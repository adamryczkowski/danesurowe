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3645" windowHeight="2370" activeTab="3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Col_IsCharacter">wew!$C$31</definedName>
    <definedName name="_Col_LongNameErr">wew!$C$29</definedName>
    <definedName name="_Col_SPSSNameErr">wew!$C$27</definedName>
    <definedName name="_FirstRowTemplate">variables!$B$2:$AN$2</definedName>
    <definedName name="_Flag_HighlightValues">wew!$B$3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Max">INDIRECT(wew!$C$19)</definedName>
    <definedName name="_Wew_ForceMin">INDIRECT(wew!$C$17)</definedName>
    <definedName name="_WEW_LabelExist">INDIRECT(wew!$C$7)</definedName>
    <definedName name="_WEW_Max">INDIRECT(wew!$C$11)</definedName>
    <definedName name="_WEW_Min">INDIRECT(wew!$C$9)</definedName>
    <definedName name="_WEW_Typ_Niecalk">INDIRECT(wew!$C$23)</definedName>
    <definedName name="_WEW_TypValueErr">INDIRECT(wew!$C$25)</definedName>
    <definedName name="CustomerFolder">ster!$B$3</definedName>
    <definedName name="DataOrigin">data_frame!$A$1</definedName>
    <definedName name="DBLongName">ster!$C$3</definedName>
    <definedName name="LabelOrigin">labels!$A$1</definedName>
    <definedName name="LongNames">variables!$E$2</definedName>
    <definedName name="MaxLabelCount">ster!$B$20</definedName>
    <definedName name="Measure">variables!$C$2</definedName>
    <definedName name="PathPrefix">wew!$G$13</definedName>
    <definedName name="PointerColumn">wew!$Q$7</definedName>
    <definedName name="RFileName">ster!$O$24</definedName>
    <definedName name="RObjName">ster!$D$3</definedName>
    <definedName name="ServerIP">ster!$O$26</definedName>
    <definedName name="ServerPort">ster!$O$28</definedName>
    <definedName name="SPSSFileName">ster!$O$22</definedName>
    <definedName name="SPSSNames">variables!$D$2</definedName>
    <definedName name="SubcustomerFolder">ster!$B$5</definedName>
    <definedName name="Units">variables!$AF$2</definedName>
    <definedName name="VariableCount">ster!$C$12</definedName>
    <definedName name="VariableGroupNames">grupy!$C$4</definedName>
    <definedName name="VariableGroupsColumn">variables!$AJ$1</definedName>
    <definedName name="VariablesOrigin">variables!$B$2</definedName>
    <definedName name="Z_E6351D91_D2AA_41F8_B6F1_38581D57FD08_.wvu.Cols" localSheetId="3" hidden="1">variables!$G:$N,variables!$S:$S,variables!$AD:$AF</definedName>
  </definedNames>
  <calcPr calcId="125725" calcMode="manual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B3" i="3"/>
  <c r="AD3"/>
  <c r="B4" l="1"/>
  <c r="AD4"/>
  <c r="G3"/>
  <c r="E3"/>
  <c r="B5" l="1"/>
  <c r="AD5"/>
  <c r="G4"/>
  <c r="E4"/>
  <c r="B6" l="1"/>
  <c r="AD6"/>
  <c r="G5"/>
  <c r="E5"/>
  <c r="B7" l="1"/>
  <c r="AD7"/>
  <c r="G6"/>
  <c r="E6"/>
  <c r="B8" l="1"/>
  <c r="AD8"/>
  <c r="G7"/>
  <c r="E7"/>
  <c r="B9" l="1"/>
  <c r="G8"/>
  <c r="E8"/>
  <c r="AD9"/>
  <c r="B10" l="1"/>
  <c r="AD10"/>
  <c r="G9"/>
  <c r="E9"/>
  <c r="B11" l="1"/>
  <c r="AD11"/>
  <c r="G10"/>
  <c r="E10"/>
  <c r="B12" l="1"/>
  <c r="AD12"/>
  <c r="G11"/>
  <c r="E11"/>
  <c r="B13" l="1"/>
  <c r="AD13"/>
  <c r="G12"/>
  <c r="E12"/>
  <c r="B14" l="1"/>
  <c r="AD14"/>
  <c r="G13"/>
  <c r="E13"/>
  <c r="B15" l="1"/>
  <c r="AD15"/>
  <c r="G14"/>
  <c r="E14"/>
  <c r="B16" l="1"/>
  <c r="AD16"/>
  <c r="G15"/>
  <c r="E15"/>
  <c r="B17" l="1"/>
  <c r="AD17"/>
  <c r="G16"/>
  <c r="E16"/>
  <c r="B18" l="1"/>
  <c r="AD18"/>
  <c r="G17"/>
  <c r="E17"/>
  <c r="B19" l="1"/>
  <c r="AD19"/>
  <c r="G18"/>
  <c r="E18"/>
  <c r="B20" l="1"/>
  <c r="AD20"/>
  <c r="G19"/>
  <c r="E19"/>
  <c r="B21" l="1"/>
  <c r="AD21"/>
  <c r="G20"/>
  <c r="E20"/>
  <c r="B22" l="1"/>
  <c r="AD22"/>
  <c r="G21"/>
  <c r="E21"/>
  <c r="B23" l="1"/>
  <c r="AD23"/>
  <c r="G22"/>
  <c r="E22"/>
  <c r="B24" l="1"/>
  <c r="AD24"/>
  <c r="G23"/>
  <c r="E23"/>
  <c r="B25" l="1"/>
  <c r="AD25"/>
  <c r="G24"/>
  <c r="E24"/>
  <c r="B26" l="1"/>
  <c r="AD26"/>
  <c r="G25"/>
  <c r="E25"/>
  <c r="B27" l="1"/>
  <c r="AD27"/>
  <c r="G26"/>
  <c r="E26"/>
  <c r="B28" l="1"/>
  <c r="AD28"/>
  <c r="G27"/>
  <c r="E27"/>
  <c r="B29" l="1"/>
  <c r="AD29"/>
  <c r="G28"/>
  <c r="E28"/>
  <c r="B30" l="1"/>
  <c r="AD30"/>
  <c r="G29"/>
  <c r="E29"/>
  <c r="B31" l="1"/>
  <c r="AD31"/>
  <c r="G30"/>
  <c r="E30"/>
  <c r="B32" l="1"/>
  <c r="AD32"/>
  <c r="G31"/>
  <c r="E31"/>
  <c r="B33" l="1"/>
  <c r="AD33"/>
  <c r="G32"/>
  <c r="E32"/>
  <c r="B34" l="1"/>
  <c r="AD34"/>
  <c r="G33"/>
  <c r="E33"/>
  <c r="B35" l="1"/>
  <c r="AD35"/>
  <c r="G34"/>
  <c r="E34"/>
  <c r="B36" l="1"/>
  <c r="AD36"/>
  <c r="G35"/>
  <c r="E35"/>
  <c r="B37" l="1"/>
  <c r="AD37"/>
  <c r="G36"/>
  <c r="E36"/>
  <c r="B38" l="1"/>
  <c r="AD38"/>
  <c r="G37"/>
  <c r="E37"/>
  <c r="B39" l="1"/>
  <c r="AD39"/>
  <c r="G38"/>
  <c r="E38"/>
  <c r="B40" l="1"/>
  <c r="AD40"/>
  <c r="G39"/>
  <c r="E39"/>
  <c r="B41" l="1"/>
  <c r="AD41"/>
  <c r="G40"/>
  <c r="E40"/>
  <c r="B42" l="1"/>
  <c r="AD42"/>
  <c r="G41"/>
  <c r="E41"/>
  <c r="B43" l="1"/>
  <c r="AD43"/>
  <c r="G42"/>
  <c r="E42"/>
  <c r="B44" l="1"/>
  <c r="AD44"/>
  <c r="G43"/>
  <c r="E43"/>
  <c r="B45" l="1"/>
  <c r="AD45"/>
  <c r="G44"/>
  <c r="E44"/>
  <c r="B46" l="1"/>
  <c r="AD46"/>
  <c r="G45"/>
  <c r="E45"/>
  <c r="B47" l="1"/>
  <c r="AD47"/>
  <c r="G46"/>
  <c r="E46"/>
  <c r="B48" l="1"/>
  <c r="AD48"/>
  <c r="G47"/>
  <c r="E47"/>
  <c r="B49" l="1"/>
  <c r="AD49"/>
  <c r="G48"/>
  <c r="E48"/>
  <c r="B50" l="1"/>
  <c r="AD50"/>
  <c r="G49"/>
  <c r="E49"/>
  <c r="B51" l="1"/>
  <c r="AD51"/>
  <c r="G50"/>
  <c r="E50"/>
  <c r="B52" l="1"/>
  <c r="AD52"/>
  <c r="G51"/>
  <c r="E51"/>
  <c r="B53" l="1"/>
  <c r="AD53"/>
  <c r="G52"/>
  <c r="E52"/>
  <c r="B54" l="1"/>
  <c r="AD54"/>
  <c r="G53"/>
  <c r="E53"/>
  <c r="B55" l="1"/>
  <c r="AD55"/>
  <c r="G54"/>
  <c r="E54"/>
  <c r="B56" l="1"/>
  <c r="AD56"/>
  <c r="G55"/>
  <c r="E55"/>
  <c r="B57" l="1"/>
  <c r="AD57"/>
  <c r="G56"/>
  <c r="E56"/>
  <c r="B58" l="1"/>
  <c r="AD58"/>
  <c r="G57"/>
  <c r="E57"/>
  <c r="B59" l="1"/>
  <c r="AD59"/>
  <c r="G58"/>
  <c r="E58"/>
  <c r="B60" l="1"/>
  <c r="AD60"/>
  <c r="G59"/>
  <c r="E59"/>
  <c r="B61" l="1"/>
  <c r="AD61"/>
  <c r="G60"/>
  <c r="E60"/>
  <c r="B62" l="1"/>
  <c r="AD62"/>
  <c r="G61"/>
  <c r="E61"/>
  <c r="B63" l="1"/>
  <c r="AD63"/>
  <c r="G62"/>
  <c r="E62"/>
  <c r="B64" l="1"/>
  <c r="AD64"/>
  <c r="G63"/>
  <c r="E63"/>
  <c r="B65" l="1"/>
  <c r="AD65"/>
  <c r="G64"/>
  <c r="E64"/>
  <c r="B66" l="1"/>
  <c r="AD66"/>
  <c r="G65"/>
  <c r="E65"/>
  <c r="B67" l="1"/>
  <c r="AD67"/>
  <c r="G66"/>
  <c r="E66"/>
  <c r="B68" l="1"/>
  <c r="AD68"/>
  <c r="G67"/>
  <c r="E67"/>
  <c r="B69" l="1"/>
  <c r="AD69"/>
  <c r="G68"/>
  <c r="E68"/>
  <c r="B70" l="1"/>
  <c r="AD70"/>
  <c r="G69"/>
  <c r="E69"/>
  <c r="B71" l="1"/>
  <c r="AD71"/>
  <c r="G70"/>
  <c r="E70"/>
  <c r="B72" l="1"/>
  <c r="AD72"/>
  <c r="G71"/>
  <c r="E71"/>
  <c r="B73" l="1"/>
  <c r="AD73"/>
  <c r="G72"/>
  <c r="E72"/>
  <c r="B74" l="1"/>
  <c r="AD74"/>
  <c r="G73"/>
  <c r="E73"/>
  <c r="B75" l="1"/>
  <c r="AD75"/>
  <c r="G74"/>
  <c r="E74"/>
  <c r="B76" l="1"/>
  <c r="AD76"/>
  <c r="G75"/>
  <c r="E75"/>
  <c r="B77" l="1"/>
  <c r="AD77"/>
  <c r="G76"/>
  <c r="E76"/>
  <c r="B78" l="1"/>
  <c r="AD78"/>
  <c r="G77"/>
  <c r="E77"/>
  <c r="B79" l="1"/>
  <c r="AD79"/>
  <c r="G78"/>
  <c r="E78"/>
  <c r="B80" l="1"/>
  <c r="AD80"/>
  <c r="G79"/>
  <c r="E79"/>
  <c r="B81" l="1"/>
  <c r="AD81"/>
  <c r="G80"/>
  <c r="E80"/>
  <c r="B82" l="1"/>
  <c r="AD82"/>
  <c r="G81"/>
  <c r="E81"/>
  <c r="B83" l="1"/>
  <c r="AD83"/>
  <c r="G82"/>
  <c r="E82"/>
  <c r="B84" l="1"/>
  <c r="AD84"/>
  <c r="G83"/>
  <c r="E83"/>
  <c r="B85" l="1"/>
  <c r="AD85"/>
  <c r="G84"/>
  <c r="E84"/>
  <c r="B86" l="1"/>
  <c r="AD86"/>
  <c r="G85"/>
  <c r="E85"/>
  <c r="B87" l="1"/>
  <c r="AD87"/>
  <c r="G86"/>
  <c r="E86"/>
  <c r="B88" l="1"/>
  <c r="AD88"/>
  <c r="G87"/>
  <c r="E87"/>
  <c r="B89" l="1"/>
  <c r="AD89"/>
  <c r="G88"/>
  <c r="E88"/>
  <c r="B90" l="1"/>
  <c r="AD90"/>
  <c r="G89"/>
  <c r="E89"/>
  <c r="B91" l="1"/>
  <c r="AD91"/>
  <c r="G90"/>
  <c r="E90"/>
  <c r="B92" l="1"/>
  <c r="AD92"/>
  <c r="G91"/>
  <c r="E91"/>
  <c r="B93" l="1"/>
  <c r="AD93"/>
  <c r="G92"/>
  <c r="E92"/>
  <c r="B94" l="1"/>
  <c r="AD94"/>
  <c r="G93"/>
  <c r="E93"/>
  <c r="B95" l="1"/>
  <c r="AD95"/>
  <c r="G94"/>
  <c r="E94"/>
  <c r="B96" l="1"/>
  <c r="AD96"/>
  <c r="G95"/>
  <c r="E95"/>
  <c r="B97" l="1"/>
  <c r="AD97"/>
  <c r="G96"/>
  <c r="E96"/>
  <c r="B98" l="1"/>
  <c r="AD98"/>
  <c r="G97"/>
  <c r="E97"/>
  <c r="B99" l="1"/>
  <c r="AD99"/>
  <c r="G98"/>
  <c r="E98"/>
  <c r="B100" l="1"/>
  <c r="AD100"/>
  <c r="G99"/>
  <c r="E99"/>
  <c r="B101" l="1"/>
  <c r="AD101"/>
  <c r="G100"/>
  <c r="E100"/>
  <c r="B102" l="1"/>
  <c r="AD102"/>
  <c r="G101"/>
  <c r="E101"/>
  <c r="B103" l="1"/>
  <c r="AD103"/>
  <c r="G102"/>
  <c r="E102"/>
  <c r="B104" l="1"/>
  <c r="AD104"/>
  <c r="G103"/>
  <c r="E103"/>
  <c r="B105" l="1"/>
  <c r="AD105"/>
  <c r="G104"/>
  <c r="E104"/>
  <c r="B106" l="1"/>
  <c r="AD106"/>
  <c r="G105"/>
  <c r="E105"/>
  <c r="B107" l="1"/>
  <c r="AD107"/>
  <c r="G106"/>
  <c r="E106"/>
  <c r="B108" l="1"/>
  <c r="AD108"/>
  <c r="G107"/>
  <c r="E107"/>
  <c r="B109" l="1"/>
  <c r="AD109"/>
  <c r="G108"/>
  <c r="E108"/>
  <c r="B110" l="1"/>
  <c r="AD110"/>
  <c r="G109"/>
  <c r="E109"/>
  <c r="B111" l="1"/>
  <c r="AD111"/>
  <c r="G110"/>
  <c r="E110"/>
  <c r="B112" l="1"/>
  <c r="AD112"/>
  <c r="G111"/>
  <c r="E111"/>
  <c r="B113" l="1"/>
  <c r="AD113"/>
  <c r="G112"/>
  <c r="E112"/>
  <c r="B114" l="1"/>
  <c r="AD114"/>
  <c r="G113"/>
  <c r="E113"/>
  <c r="B115" l="1"/>
  <c r="AD115"/>
  <c r="G114"/>
  <c r="E114"/>
  <c r="B116" l="1"/>
  <c r="AD116"/>
  <c r="G115"/>
  <c r="E115"/>
  <c r="B117" l="1"/>
  <c r="AD117"/>
  <c r="G116"/>
  <c r="E116"/>
  <c r="B118" l="1"/>
  <c r="AD118"/>
  <c r="G117"/>
  <c r="E117"/>
  <c r="B119" l="1"/>
  <c r="AD119"/>
  <c r="G118"/>
  <c r="E118"/>
  <c r="B120" l="1"/>
  <c r="AD120"/>
  <c r="G119"/>
  <c r="E119"/>
  <c r="B121" l="1"/>
  <c r="AD121"/>
  <c r="G120"/>
  <c r="E120"/>
  <c r="B122" l="1"/>
  <c r="AD122"/>
  <c r="G121"/>
  <c r="E121"/>
  <c r="B123" l="1"/>
  <c r="AD123"/>
  <c r="G122"/>
  <c r="E122"/>
  <c r="B124" l="1"/>
  <c r="AD124"/>
  <c r="G123"/>
  <c r="E123"/>
  <c r="B125" l="1"/>
  <c r="AD125"/>
  <c r="G124"/>
  <c r="E124"/>
  <c r="B126" l="1"/>
  <c r="AD126"/>
  <c r="G125"/>
  <c r="E125"/>
  <c r="B127" l="1"/>
  <c r="AD127"/>
  <c r="G126"/>
  <c r="E126"/>
  <c r="B128" l="1"/>
  <c r="AD128"/>
  <c r="G127"/>
  <c r="E127"/>
  <c r="B129" l="1"/>
  <c r="AD129"/>
  <c r="G128"/>
  <c r="E128"/>
  <c r="B130" l="1"/>
  <c r="AD130"/>
  <c r="G129"/>
  <c r="E129"/>
  <c r="B131" l="1"/>
  <c r="AD131"/>
  <c r="G130"/>
  <c r="E130"/>
  <c r="B132" l="1"/>
  <c r="AD132"/>
  <c r="G131"/>
  <c r="E131"/>
  <c r="B133" l="1"/>
  <c r="AD133"/>
  <c r="G132"/>
  <c r="E132"/>
  <c r="B134" l="1"/>
  <c r="AD134"/>
  <c r="G133"/>
  <c r="E133"/>
  <c r="B135" l="1"/>
  <c r="AD135"/>
  <c r="G134"/>
  <c r="E134"/>
  <c r="B136" l="1"/>
  <c r="AD136"/>
  <c r="G135"/>
  <c r="E135"/>
  <c r="B137" l="1"/>
  <c r="AD137"/>
  <c r="G136"/>
  <c r="E136"/>
  <c r="B138" l="1"/>
  <c r="AD138"/>
  <c r="G137"/>
  <c r="E137"/>
  <c r="B139" l="1"/>
  <c r="AD139"/>
  <c r="G138"/>
  <c r="E138"/>
  <c r="B140" l="1"/>
  <c r="AD140"/>
  <c r="G139"/>
  <c r="E139"/>
  <c r="B141" l="1"/>
  <c r="AD141"/>
  <c r="G140"/>
  <c r="E140"/>
  <c r="B142" l="1"/>
  <c r="AD142"/>
  <c r="G141"/>
  <c r="E141"/>
  <c r="B143" l="1"/>
  <c r="AD143"/>
  <c r="G142"/>
  <c r="E142"/>
  <c r="B144" l="1"/>
  <c r="AD144"/>
  <c r="G143"/>
  <c r="E143"/>
  <c r="B145" l="1"/>
  <c r="AD145"/>
  <c r="G144"/>
  <c r="E144"/>
  <c r="B146" l="1"/>
  <c r="AD146"/>
  <c r="G145"/>
  <c r="E145"/>
  <c r="B147" l="1"/>
  <c r="AD147"/>
  <c r="G146"/>
  <c r="E146"/>
  <c r="B148" l="1"/>
  <c r="AD148"/>
  <c r="G147"/>
  <c r="E147"/>
  <c r="B149" l="1"/>
  <c r="AD149"/>
  <c r="G148"/>
  <c r="E148"/>
  <c r="B150" l="1"/>
  <c r="AD150"/>
  <c r="G149"/>
  <c r="E149"/>
  <c r="B151" l="1"/>
  <c r="AD151"/>
  <c r="G150"/>
  <c r="E150"/>
  <c r="B152" l="1"/>
  <c r="AD152"/>
  <c r="G151"/>
  <c r="E151"/>
  <c r="B153" l="1"/>
  <c r="AD153"/>
  <c r="G152"/>
  <c r="E152"/>
  <c r="B154" l="1"/>
  <c r="AD154"/>
  <c r="G153"/>
  <c r="E153"/>
  <c r="B155" l="1"/>
  <c r="AD155"/>
  <c r="G154"/>
  <c r="E154"/>
  <c r="B156" l="1"/>
  <c r="AD156"/>
  <c r="G155"/>
  <c r="E155"/>
  <c r="B157" l="1"/>
  <c r="AD157"/>
  <c r="G156"/>
  <c r="E156"/>
  <c r="B158" l="1"/>
  <c r="AD158"/>
  <c r="G157"/>
  <c r="E157"/>
  <c r="B159" l="1"/>
  <c r="AD159"/>
  <c r="G158"/>
  <c r="E158"/>
  <c r="B160" l="1"/>
  <c r="AD160"/>
  <c r="G159"/>
  <c r="E159"/>
  <c r="B161" l="1"/>
  <c r="AD161"/>
  <c r="G160"/>
  <c r="E160"/>
  <c r="B162" l="1"/>
  <c r="AD162"/>
  <c r="G161"/>
  <c r="E161"/>
  <c r="B163" l="1"/>
  <c r="AD163"/>
  <c r="G162"/>
  <c r="E162"/>
  <c r="B164" l="1"/>
  <c r="AD164"/>
  <c r="G163"/>
  <c r="E163"/>
  <c r="B165" l="1"/>
  <c r="AD165"/>
  <c r="G164"/>
  <c r="E164"/>
  <c r="B166" l="1"/>
  <c r="AD166"/>
  <c r="G165"/>
  <c r="E165"/>
  <c r="B167" l="1"/>
  <c r="AD167"/>
  <c r="G166"/>
  <c r="E166"/>
  <c r="B168" l="1"/>
  <c r="AD168"/>
  <c r="G167"/>
  <c r="E167"/>
  <c r="B169" l="1"/>
  <c r="AD169"/>
  <c r="G168"/>
  <c r="E168"/>
  <c r="B170" l="1"/>
  <c r="AD170"/>
  <c r="G169"/>
  <c r="E169"/>
  <c r="B171" l="1"/>
  <c r="AD171"/>
  <c r="G170"/>
  <c r="E170"/>
  <c r="B172" l="1"/>
  <c r="AD172"/>
  <c r="G171"/>
  <c r="E171"/>
  <c r="B173" l="1"/>
  <c r="AD173"/>
  <c r="G172"/>
  <c r="E172"/>
  <c r="B174" l="1"/>
  <c r="AD174"/>
  <c r="G173"/>
  <c r="E173"/>
  <c r="B175" l="1"/>
  <c r="AD175"/>
  <c r="G174"/>
  <c r="E174"/>
  <c r="B176" l="1"/>
  <c r="AD176"/>
  <c r="G175"/>
  <c r="E175"/>
  <c r="B177" l="1"/>
  <c r="AD177"/>
  <c r="G176"/>
  <c r="E176"/>
  <c r="B178" l="1"/>
  <c r="AD178"/>
  <c r="G177"/>
  <c r="E177"/>
  <c r="B179" l="1"/>
  <c r="AD179"/>
  <c r="G178"/>
  <c r="E178"/>
  <c r="B180" l="1"/>
  <c r="AD180"/>
  <c r="G179"/>
  <c r="E179"/>
  <c r="B181" l="1"/>
  <c r="AD181"/>
  <c r="G180"/>
  <c r="E180"/>
  <c r="B182" l="1"/>
  <c r="AD182"/>
  <c r="G181"/>
  <c r="E181"/>
  <c r="B183" l="1"/>
  <c r="AD183"/>
  <c r="G182"/>
  <c r="E182"/>
  <c r="B184" l="1"/>
  <c r="AD184"/>
  <c r="G183"/>
  <c r="E183"/>
  <c r="B185" l="1"/>
  <c r="AD185"/>
  <c r="G184"/>
  <c r="E184"/>
  <c r="B186" l="1"/>
  <c r="AD186"/>
  <c r="G185"/>
  <c r="E185"/>
  <c r="B187" l="1"/>
  <c r="AD187"/>
  <c r="G186"/>
  <c r="E186"/>
  <c r="B188" l="1"/>
  <c r="AD188"/>
  <c r="G187"/>
  <c r="E187"/>
  <c r="B189" l="1"/>
  <c r="AD189"/>
  <c r="G188"/>
  <c r="E188"/>
  <c r="B190" l="1"/>
  <c r="AD190"/>
  <c r="G189"/>
  <c r="E189"/>
  <c r="B191" l="1"/>
  <c r="AD191"/>
  <c r="G190"/>
  <c r="E190"/>
  <c r="B192" l="1"/>
  <c r="AD192"/>
  <c r="G191"/>
  <c r="E191"/>
  <c r="B193" l="1"/>
  <c r="AD193"/>
  <c r="G192"/>
  <c r="E192"/>
  <c r="B194" l="1"/>
  <c r="AD194"/>
  <c r="G193"/>
  <c r="E193"/>
  <c r="B195" l="1"/>
  <c r="AD195"/>
  <c r="G194"/>
  <c r="E194"/>
  <c r="B196" l="1"/>
  <c r="AD196"/>
  <c r="G195"/>
  <c r="E195"/>
  <c r="B197" l="1"/>
  <c r="AD197"/>
  <c r="G196"/>
  <c r="E196"/>
  <c r="B198" l="1"/>
  <c r="AD198"/>
  <c r="G197"/>
  <c r="E197"/>
  <c r="B199" l="1"/>
  <c r="AD199"/>
  <c r="G198"/>
  <c r="E198"/>
  <c r="B200" l="1"/>
  <c r="AD200"/>
  <c r="G199"/>
  <c r="E199"/>
  <c r="B201" l="1"/>
  <c r="AD201"/>
  <c r="G200"/>
  <c r="E200"/>
  <c r="B202" l="1"/>
  <c r="AD202"/>
  <c r="G201"/>
  <c r="E201"/>
  <c r="B203" l="1"/>
  <c r="AD203"/>
  <c r="G202"/>
  <c r="E202"/>
  <c r="B204" l="1"/>
  <c r="AD204"/>
  <c r="G203"/>
  <c r="E203"/>
  <c r="B205" l="1"/>
  <c r="AD205"/>
  <c r="G204"/>
  <c r="E204"/>
  <c r="B206" l="1"/>
  <c r="AD206"/>
  <c r="G205"/>
  <c r="E205"/>
  <c r="B207" l="1"/>
  <c r="AD207"/>
  <c r="G206"/>
  <c r="E206"/>
  <c r="B208" l="1"/>
  <c r="AD208"/>
  <c r="G207"/>
  <c r="E207"/>
  <c r="B209" l="1"/>
  <c r="AD209"/>
  <c r="G208"/>
  <c r="E208"/>
  <c r="B210" l="1"/>
  <c r="AD210"/>
  <c r="G209"/>
  <c r="E209"/>
  <c r="B211" l="1"/>
  <c r="AD211"/>
  <c r="G210"/>
  <c r="E210"/>
  <c r="B212" l="1"/>
  <c r="AD212"/>
  <c r="G211"/>
  <c r="E211"/>
  <c r="B213" l="1"/>
  <c r="AD213"/>
  <c r="G212"/>
  <c r="E212"/>
  <c r="B214" l="1"/>
  <c r="AD214"/>
  <c r="G213"/>
  <c r="E213"/>
  <c r="B215" l="1"/>
  <c r="AD215"/>
  <c r="G214"/>
  <c r="E214"/>
  <c r="B216" l="1"/>
  <c r="AD216"/>
  <c r="G215"/>
  <c r="E215"/>
  <c r="B217" l="1"/>
  <c r="AD217"/>
  <c r="G216"/>
  <c r="E216"/>
  <c r="B218" l="1"/>
  <c r="AD218"/>
  <c r="G217"/>
  <c r="E217"/>
  <c r="B219" l="1"/>
  <c r="AD219"/>
  <c r="G218"/>
  <c r="E218"/>
  <c r="B220" l="1"/>
  <c r="AD220"/>
  <c r="G219"/>
  <c r="E219"/>
  <c r="B221" l="1"/>
  <c r="AD221"/>
  <c r="G220"/>
  <c r="E220"/>
  <c r="B222" l="1"/>
  <c r="AD222"/>
  <c r="G221"/>
  <c r="E221"/>
  <c r="B223" l="1"/>
  <c r="AD223"/>
  <c r="G222"/>
  <c r="E222"/>
  <c r="B224" l="1"/>
  <c r="AD224"/>
  <c r="G223"/>
  <c r="E223"/>
  <c r="B225" l="1"/>
  <c r="AD225"/>
  <c r="G224"/>
  <c r="E224"/>
  <c r="B226" l="1"/>
  <c r="AD226"/>
  <c r="G225"/>
  <c r="E225"/>
  <c r="B227" l="1"/>
  <c r="AD227"/>
  <c r="G226"/>
  <c r="E226"/>
  <c r="B228" l="1"/>
  <c r="AD228"/>
  <c r="G227"/>
  <c r="E227"/>
  <c r="B229" l="1"/>
  <c r="AD229"/>
  <c r="G228"/>
  <c r="E228"/>
  <c r="B230" l="1"/>
  <c r="AD230"/>
  <c r="G229"/>
  <c r="E229"/>
  <c r="B231" l="1"/>
  <c r="AD231"/>
  <c r="G230"/>
  <c r="E230"/>
  <c r="B232" l="1"/>
  <c r="AD232"/>
  <c r="G231"/>
  <c r="E231"/>
  <c r="B233" l="1"/>
  <c r="AD233"/>
  <c r="G232"/>
  <c r="E232"/>
  <c r="B234" l="1"/>
  <c r="AD234"/>
  <c r="G233"/>
  <c r="E233"/>
  <c r="B235" l="1"/>
  <c r="AD235"/>
  <c r="G234"/>
  <c r="E234"/>
  <c r="B236" l="1"/>
  <c r="AD236"/>
  <c r="G235"/>
  <c r="E235"/>
  <c r="B237" l="1"/>
  <c r="AD237"/>
  <c r="G236"/>
  <c r="E236"/>
  <c r="B238" l="1"/>
  <c r="AD238"/>
  <c r="G237"/>
  <c r="E237"/>
  <c r="B239" l="1"/>
  <c r="AD239"/>
  <c r="G238"/>
  <c r="E238"/>
  <c r="B240" l="1"/>
  <c r="AD240"/>
  <c r="G239"/>
  <c r="E239"/>
  <c r="B241" l="1"/>
  <c r="AD241"/>
  <c r="G240"/>
  <c r="E240"/>
  <c r="B242" l="1"/>
  <c r="AD242"/>
  <c r="G241"/>
  <c r="E241"/>
  <c r="B243" l="1"/>
  <c r="AD243"/>
  <c r="G242"/>
  <c r="E242"/>
  <c r="B244" l="1"/>
  <c r="AD244"/>
  <c r="G243"/>
  <c r="E243"/>
  <c r="B245" l="1"/>
  <c r="AD245"/>
  <c r="G244"/>
  <c r="E244"/>
  <c r="B246" l="1"/>
  <c r="AD246"/>
  <c r="G245"/>
  <c r="E245"/>
  <c r="B247" l="1"/>
  <c r="AD247"/>
  <c r="G246"/>
  <c r="E246"/>
  <c r="B248" l="1"/>
  <c r="AD248"/>
  <c r="G247"/>
  <c r="E247"/>
  <c r="B249" l="1"/>
  <c r="AD249"/>
  <c r="G248"/>
  <c r="E248"/>
  <c r="B250" l="1"/>
  <c r="AD250"/>
  <c r="G249"/>
  <c r="E249"/>
  <c r="B251" l="1"/>
  <c r="AD251"/>
  <c r="G250"/>
  <c r="E250"/>
  <c r="B252" l="1"/>
  <c r="AD252"/>
  <c r="G251"/>
  <c r="E251"/>
  <c r="B253" l="1"/>
  <c r="AD253"/>
  <c r="G252"/>
  <c r="E252"/>
  <c r="B254" l="1"/>
  <c r="AD254"/>
  <c r="G253"/>
  <c r="E253"/>
  <c r="B255" l="1"/>
  <c r="AD255"/>
  <c r="G254"/>
  <c r="E254"/>
  <c r="B256" l="1"/>
  <c r="AD256"/>
  <c r="G255"/>
  <c r="E255"/>
  <c r="B257" l="1"/>
  <c r="AD257"/>
  <c r="G256"/>
  <c r="E256"/>
  <c r="B258" l="1"/>
  <c r="AD258"/>
  <c r="G257"/>
  <c r="E257"/>
  <c r="B259" l="1"/>
  <c r="AD259"/>
  <c r="G258"/>
  <c r="E258"/>
  <c r="B260" l="1"/>
  <c r="AD260"/>
  <c r="G259"/>
  <c r="E259"/>
  <c r="B261" l="1"/>
  <c r="AD261"/>
  <c r="G260"/>
  <c r="E260"/>
  <c r="B262" l="1"/>
  <c r="AD262"/>
  <c r="G261"/>
  <c r="E261"/>
  <c r="B263" l="1"/>
  <c r="AD263"/>
  <c r="G262"/>
  <c r="E262"/>
  <c r="B264" l="1"/>
  <c r="AD264"/>
  <c r="G263"/>
  <c r="E263"/>
  <c r="B265" l="1"/>
  <c r="AD265"/>
  <c r="G264"/>
  <c r="E264"/>
  <c r="B266" l="1"/>
  <c r="AD266"/>
  <c r="G265"/>
  <c r="E265"/>
  <c r="B267" l="1"/>
  <c r="AD267"/>
  <c r="G266"/>
  <c r="E266"/>
  <c r="B268" l="1"/>
  <c r="AD268"/>
  <c r="G267"/>
  <c r="E267"/>
  <c r="B269" l="1"/>
  <c r="AD269"/>
  <c r="G268"/>
  <c r="E268"/>
  <c r="B270" l="1"/>
  <c r="AD270"/>
  <c r="G269"/>
  <c r="E269"/>
  <c r="B271" l="1"/>
  <c r="AD271"/>
  <c r="G270"/>
  <c r="E270"/>
  <c r="B272" l="1"/>
  <c r="AD272"/>
  <c r="G271"/>
  <c r="E271"/>
  <c r="B273" l="1"/>
  <c r="AD273"/>
  <c r="G272"/>
  <c r="E272"/>
  <c r="B274" l="1"/>
  <c r="AD274"/>
  <c r="G273"/>
  <c r="E273"/>
  <c r="B275" l="1"/>
  <c r="AD275"/>
  <c r="G274"/>
  <c r="E274"/>
  <c r="B276" l="1"/>
  <c r="AD276"/>
  <c r="G275"/>
  <c r="E275"/>
  <c r="B277" l="1"/>
  <c r="AD277"/>
  <c r="G276"/>
  <c r="E276"/>
  <c r="B278" l="1"/>
  <c r="AD278"/>
  <c r="G277"/>
  <c r="E277"/>
  <c r="B279" l="1"/>
  <c r="AD279"/>
  <c r="G278"/>
  <c r="E278"/>
  <c r="B280" l="1"/>
  <c r="AD280"/>
  <c r="G279"/>
  <c r="E279"/>
  <c r="B281" l="1"/>
  <c r="AD281"/>
  <c r="G280"/>
  <c r="E280"/>
  <c r="B282" l="1"/>
  <c r="AD282"/>
  <c r="G281"/>
  <c r="E281"/>
  <c r="B283" l="1"/>
  <c r="AD283"/>
  <c r="G282"/>
  <c r="E282"/>
  <c r="B284" l="1"/>
  <c r="AD284"/>
  <c r="G283"/>
  <c r="E283"/>
  <c r="B285" l="1"/>
  <c r="AD285"/>
  <c r="G284"/>
  <c r="E284"/>
  <c r="B286" l="1"/>
  <c r="AD286"/>
  <c r="G285"/>
  <c r="E285"/>
  <c r="B287" l="1"/>
  <c r="AD287"/>
  <c r="G286"/>
  <c r="E286"/>
  <c r="B288" l="1"/>
  <c r="AD288"/>
  <c r="G287"/>
  <c r="E287"/>
  <c r="B289" l="1"/>
  <c r="AD289"/>
  <c r="G288"/>
  <c r="E288"/>
  <c r="B290" l="1"/>
  <c r="AD290"/>
  <c r="G289"/>
  <c r="E289"/>
  <c r="B291" l="1"/>
  <c r="AD291"/>
  <c r="G290"/>
  <c r="E290"/>
  <c r="B292" l="1"/>
  <c r="AD292"/>
  <c r="G291"/>
  <c r="E291"/>
  <c r="B293" l="1"/>
  <c r="AD293"/>
  <c r="G292"/>
  <c r="E292"/>
  <c r="B294" l="1"/>
  <c r="AD294"/>
  <c r="G293"/>
  <c r="E293"/>
  <c r="B295" l="1"/>
  <c r="AD295"/>
  <c r="G294"/>
  <c r="E294"/>
  <c r="B296" l="1"/>
  <c r="AD296"/>
  <c r="G295"/>
  <c r="E295"/>
  <c r="B297" l="1"/>
  <c r="AD297"/>
  <c r="G296"/>
  <c r="E296"/>
  <c r="B298" l="1"/>
  <c r="AD298"/>
  <c r="G297"/>
  <c r="E297"/>
  <c r="B299" l="1"/>
  <c r="AD299"/>
  <c r="G298"/>
  <c r="E298"/>
  <c r="B300" l="1"/>
  <c r="AD300"/>
  <c r="G299"/>
  <c r="E299"/>
  <c r="B301" l="1"/>
  <c r="AD301"/>
  <c r="G300"/>
  <c r="E300"/>
  <c r="B302" l="1"/>
  <c r="AD302"/>
  <c r="G301"/>
  <c r="E301"/>
  <c r="B303" l="1"/>
  <c r="AD303"/>
  <c r="G302"/>
  <c r="E302"/>
  <c r="B304" l="1"/>
  <c r="AD304"/>
  <c r="G303"/>
  <c r="E303"/>
  <c r="B305" l="1"/>
  <c r="AD305"/>
  <c r="G304"/>
  <c r="E304"/>
  <c r="B306" l="1"/>
  <c r="AD306"/>
  <c r="G305"/>
  <c r="E305"/>
  <c r="B307" l="1"/>
  <c r="AD307"/>
  <c r="G306"/>
  <c r="E306"/>
  <c r="B308" l="1"/>
  <c r="AD308"/>
  <c r="G307"/>
  <c r="E307"/>
  <c r="B309" l="1"/>
  <c r="AD309"/>
  <c r="G308"/>
  <c r="E308"/>
  <c r="B310" l="1"/>
  <c r="AD310"/>
  <c r="G309"/>
  <c r="E309"/>
  <c r="B311" l="1"/>
  <c r="AD311"/>
  <c r="G310"/>
  <c r="E310"/>
  <c r="B312" l="1"/>
  <c r="AD312"/>
  <c r="G311"/>
  <c r="E311"/>
  <c r="B313" l="1"/>
  <c r="AD313"/>
  <c r="G312"/>
  <c r="E312"/>
  <c r="B314" l="1"/>
  <c r="AD314"/>
  <c r="G313"/>
  <c r="E313"/>
  <c r="B315" l="1"/>
  <c r="AD315"/>
  <c r="G314"/>
  <c r="E314"/>
  <c r="B316" l="1"/>
  <c r="AD316"/>
  <c r="G315"/>
  <c r="E315"/>
  <c r="B317" l="1"/>
  <c r="AD317"/>
  <c r="G316"/>
  <c r="E316"/>
  <c r="B318" l="1"/>
  <c r="AD318"/>
  <c r="G317"/>
  <c r="E317"/>
  <c r="B319" l="1"/>
  <c r="AD319"/>
  <c r="G318"/>
  <c r="E318"/>
  <c r="B320" l="1"/>
  <c r="AD320"/>
  <c r="G319"/>
  <c r="E319"/>
  <c r="B321" l="1"/>
  <c r="AD321"/>
  <c r="G320"/>
  <c r="E320"/>
  <c r="B322" l="1"/>
  <c r="AD322"/>
  <c r="G321"/>
  <c r="E321"/>
  <c r="B323" l="1"/>
  <c r="AD323"/>
  <c r="E322"/>
  <c r="G322"/>
  <c r="B324" l="1"/>
  <c r="AD324"/>
  <c r="G323"/>
  <c r="E323"/>
  <c r="B325" l="1"/>
  <c r="AD325"/>
  <c r="G324"/>
  <c r="E324"/>
  <c r="B326" l="1"/>
  <c r="AD326"/>
  <c r="G325"/>
  <c r="E325"/>
  <c r="B327" l="1"/>
  <c r="AD327"/>
  <c r="G326"/>
  <c r="E326"/>
  <c r="B328" l="1"/>
  <c r="AD328"/>
  <c r="G327"/>
  <c r="E327"/>
  <c r="B329" l="1"/>
  <c r="AD329"/>
  <c r="G328"/>
  <c r="E328"/>
  <c r="B330" l="1"/>
  <c r="AD330"/>
  <c r="G329"/>
  <c r="E329"/>
  <c r="B331" l="1"/>
  <c r="AD331"/>
  <c r="G330"/>
  <c r="E330"/>
  <c r="B332" l="1"/>
  <c r="AD332"/>
  <c r="G331"/>
  <c r="E331"/>
  <c r="B333" l="1"/>
  <c r="AD333"/>
  <c r="G332"/>
  <c r="E332"/>
  <c r="B334" l="1"/>
  <c r="AD334"/>
  <c r="G333"/>
  <c r="E333"/>
  <c r="B335" l="1"/>
  <c r="AD335"/>
  <c r="G334"/>
  <c r="E334"/>
  <c r="B336" l="1"/>
  <c r="AD336"/>
  <c r="G335"/>
  <c r="E335"/>
  <c r="B337" l="1"/>
  <c r="AD337"/>
  <c r="G336"/>
  <c r="E336"/>
  <c r="B338" l="1"/>
  <c r="AD338"/>
  <c r="G337"/>
  <c r="E337"/>
  <c r="B339" l="1"/>
  <c r="AD339"/>
  <c r="G338"/>
  <c r="E338"/>
  <c r="B340" l="1"/>
  <c r="AD340"/>
  <c r="G339"/>
  <c r="E339"/>
  <c r="B341" l="1"/>
  <c r="AD341"/>
  <c r="G340"/>
  <c r="E340"/>
  <c r="B342" l="1"/>
  <c r="AD342"/>
  <c r="G341"/>
  <c r="E341"/>
  <c r="B343" l="1"/>
  <c r="AD343"/>
  <c r="G342"/>
  <c r="E342"/>
  <c r="B344" l="1"/>
  <c r="AD344"/>
  <c r="G343"/>
  <c r="E343"/>
  <c r="B345" l="1"/>
  <c r="AD345"/>
  <c r="G344"/>
  <c r="E344"/>
  <c r="B346" l="1"/>
  <c r="AD346"/>
  <c r="G345"/>
  <c r="E345"/>
  <c r="B347" l="1"/>
  <c r="AD347"/>
  <c r="G346"/>
  <c r="E346"/>
  <c r="B348" l="1"/>
  <c r="AD348"/>
  <c r="G347"/>
  <c r="E347"/>
  <c r="B349" l="1"/>
  <c r="AD349"/>
  <c r="G348"/>
  <c r="E348"/>
  <c r="B350" l="1"/>
  <c r="AD350"/>
  <c r="G349"/>
  <c r="E349"/>
  <c r="B351" l="1"/>
  <c r="AD351"/>
  <c r="G350"/>
  <c r="E350"/>
  <c r="B352" l="1"/>
  <c r="AD352"/>
  <c r="G351"/>
  <c r="E351"/>
  <c r="B353" l="1"/>
  <c r="AD353"/>
  <c r="G352"/>
  <c r="E352"/>
  <c r="B354" l="1"/>
  <c r="AD354"/>
  <c r="G353"/>
  <c r="E353"/>
  <c r="B355" l="1"/>
  <c r="AD355"/>
  <c r="G354"/>
  <c r="E354"/>
  <c r="B356" l="1"/>
  <c r="AD356"/>
  <c r="G355"/>
  <c r="E355"/>
  <c r="B357" l="1"/>
  <c r="AD357"/>
  <c r="G356"/>
  <c r="E356"/>
  <c r="B358" l="1"/>
  <c r="AD358"/>
  <c r="G357"/>
  <c r="E357"/>
  <c r="B359" l="1"/>
  <c r="G358"/>
  <c r="E358"/>
  <c r="AD359"/>
  <c r="E359" l="1"/>
  <c r="C359" s="1"/>
  <c r="F359"/>
  <c r="R359"/>
  <c r="G359"/>
  <c r="B360"/>
  <c r="AD360"/>
  <c r="E360" l="1"/>
  <c r="C360" s="1"/>
  <c r="F360"/>
  <c r="R360"/>
  <c r="G360"/>
  <c r="B361"/>
  <c r="AD361"/>
  <c r="E361" l="1"/>
  <c r="C361" s="1"/>
  <c r="F361"/>
  <c r="R361"/>
  <c r="G361"/>
  <c r="B362"/>
  <c r="AD362"/>
  <c r="E362" l="1"/>
  <c r="C362" s="1"/>
  <c r="F362"/>
  <c r="R362"/>
  <c r="G362"/>
  <c r="B363"/>
  <c r="AD363"/>
  <c r="E363" l="1"/>
  <c r="C363" s="1"/>
  <c r="F363"/>
  <c r="R363"/>
  <c r="G363"/>
  <c r="B364"/>
  <c r="AD364"/>
  <c r="E364" l="1"/>
  <c r="C364" s="1"/>
  <c r="F364"/>
  <c r="R364"/>
  <c r="G364"/>
  <c r="B365"/>
  <c r="AD365"/>
  <c r="E365" l="1"/>
  <c r="C365" s="1"/>
  <c r="F365"/>
  <c r="R365"/>
  <c r="G365"/>
  <c r="B366"/>
  <c r="AD366"/>
  <c r="E366" l="1"/>
  <c r="C366" s="1"/>
  <c r="F366"/>
  <c r="R366"/>
  <c r="G366"/>
  <c r="B367"/>
  <c r="AD367"/>
  <c r="E367" l="1"/>
  <c r="C367" s="1"/>
  <c r="F367"/>
  <c r="R367"/>
  <c r="G367"/>
  <c r="B368"/>
  <c r="AD368"/>
  <c r="E368" l="1"/>
  <c r="C368" s="1"/>
  <c r="F368"/>
  <c r="R368"/>
  <c r="G368"/>
  <c r="B369"/>
  <c r="AD369"/>
  <c r="E369" l="1"/>
  <c r="C369" s="1"/>
  <c r="F369"/>
  <c r="R369"/>
  <c r="G369"/>
  <c r="B370"/>
  <c r="AD370"/>
  <c r="E370" l="1"/>
  <c r="C370" s="1"/>
  <c r="F370"/>
  <c r="R370"/>
  <c r="G370"/>
  <c r="B371"/>
  <c r="AD371"/>
  <c r="E371" l="1"/>
  <c r="C371" s="1"/>
  <c r="F371"/>
  <c r="R371"/>
  <c r="G371"/>
  <c r="B372"/>
  <c r="AD372"/>
  <c r="E372" l="1"/>
  <c r="C372" s="1"/>
  <c r="F372"/>
  <c r="R372"/>
  <c r="G372"/>
  <c r="B373"/>
  <c r="AD373"/>
  <c r="E373" l="1"/>
  <c r="C373" s="1"/>
  <c r="F373"/>
  <c r="R373"/>
  <c r="G373"/>
  <c r="B374"/>
  <c r="AD374"/>
  <c r="E374" l="1"/>
  <c r="C374" s="1"/>
  <c r="F374"/>
  <c r="R374"/>
  <c r="G374"/>
  <c r="B375"/>
  <c r="AD375"/>
  <c r="E375" l="1"/>
  <c r="C375" s="1"/>
  <c r="F375"/>
  <c r="R375"/>
  <c r="G375"/>
  <c r="B376"/>
  <c r="AD376"/>
  <c r="E376" l="1"/>
  <c r="C376" s="1"/>
  <c r="F376"/>
  <c r="R376"/>
  <c r="G376"/>
  <c r="B377"/>
  <c r="AD377"/>
  <c r="E377" l="1"/>
  <c r="C377" s="1"/>
  <c r="F377"/>
  <c r="R377"/>
  <c r="G377"/>
  <c r="B378"/>
  <c r="AD378"/>
  <c r="E378" l="1"/>
  <c r="C378" s="1"/>
  <c r="F378"/>
  <c r="R378"/>
  <c r="G378"/>
  <c r="B379"/>
  <c r="AD379"/>
  <c r="E379" l="1"/>
  <c r="C379" s="1"/>
  <c r="F379"/>
  <c r="R379"/>
  <c r="G379"/>
  <c r="B380"/>
  <c r="AD380"/>
  <c r="E380" l="1"/>
  <c r="C380" s="1"/>
  <c r="F380"/>
  <c r="R380"/>
  <c r="G380"/>
  <c r="B381"/>
  <c r="AD381"/>
  <c r="E381" l="1"/>
  <c r="C381" s="1"/>
  <c r="F381"/>
  <c r="R381"/>
  <c r="G381"/>
  <c r="B382"/>
  <c r="AD382"/>
  <c r="E382" l="1"/>
  <c r="C382" s="1"/>
  <c r="F382"/>
  <c r="R382"/>
  <c r="G382"/>
  <c r="B383"/>
  <c r="AD383"/>
  <c r="E383" l="1"/>
  <c r="C383" s="1"/>
  <c r="F383"/>
  <c r="R383"/>
  <c r="G383"/>
  <c r="B384"/>
  <c r="AD384"/>
  <c r="E384" l="1"/>
  <c r="C384" s="1"/>
  <c r="F384"/>
  <c r="R384"/>
  <c r="G384"/>
  <c r="B385"/>
  <c r="AD385"/>
  <c r="E385" l="1"/>
  <c r="C385" s="1"/>
  <c r="F385"/>
  <c r="R385"/>
  <c r="G385"/>
  <c r="B386"/>
  <c r="AD386"/>
  <c r="E386" l="1"/>
  <c r="C386" s="1"/>
  <c r="F386"/>
  <c r="R386"/>
  <c r="G386"/>
  <c r="B387"/>
  <c r="AD387"/>
  <c r="E387" l="1"/>
  <c r="C387" s="1"/>
  <c r="F387"/>
  <c r="R387"/>
  <c r="G387"/>
  <c r="B388"/>
  <c r="AD388"/>
  <c r="E388" l="1"/>
  <c r="C388" s="1"/>
  <c r="F388"/>
  <c r="R388"/>
  <c r="G388"/>
  <c r="B389"/>
  <c r="AD389"/>
  <c r="E389" l="1"/>
  <c r="C389" s="1"/>
  <c r="F389"/>
  <c r="R389"/>
  <c r="G389"/>
  <c r="B390"/>
  <c r="AD390"/>
  <c r="E390" l="1"/>
  <c r="C390" s="1"/>
  <c r="F390"/>
  <c r="R390"/>
  <c r="G390"/>
  <c r="B391"/>
  <c r="AD391"/>
  <c r="E391" l="1"/>
  <c r="C391" s="1"/>
  <c r="F391"/>
  <c r="R391"/>
  <c r="G391"/>
  <c r="B392"/>
  <c r="AD392"/>
  <c r="E392" l="1"/>
  <c r="C392" s="1"/>
  <c r="F392"/>
  <c r="R392"/>
  <c r="G392"/>
  <c r="B393"/>
  <c r="AD393"/>
  <c r="E393" l="1"/>
  <c r="C393" s="1"/>
  <c r="F393"/>
  <c r="R393"/>
  <c r="G393"/>
  <c r="B394"/>
  <c r="AD394"/>
  <c r="E394" l="1"/>
  <c r="C394" s="1"/>
  <c r="F394"/>
  <c r="R394"/>
  <c r="G394"/>
  <c r="B395"/>
  <c r="AD395"/>
  <c r="E395" l="1"/>
  <c r="C395" s="1"/>
  <c r="F395"/>
  <c r="R395"/>
  <c r="G395"/>
  <c r="B396"/>
  <c r="AD396"/>
  <c r="E396" l="1"/>
  <c r="C396" s="1"/>
  <c r="F396"/>
  <c r="R396"/>
  <c r="G396"/>
  <c r="B397"/>
  <c r="AD397"/>
  <c r="E397" l="1"/>
  <c r="C397" s="1"/>
  <c r="F397"/>
  <c r="R397"/>
  <c r="G397"/>
  <c r="B398"/>
  <c r="AD398"/>
  <c r="E398" l="1"/>
  <c r="C398" s="1"/>
  <c r="F398"/>
  <c r="R398"/>
  <c r="G398"/>
  <c r="B399"/>
  <c r="AD399"/>
  <c r="E399" l="1"/>
  <c r="C399" s="1"/>
  <c r="F399"/>
  <c r="R399"/>
  <c r="G399"/>
  <c r="B400"/>
  <c r="AD400"/>
  <c r="E400" l="1"/>
  <c r="C400" s="1"/>
  <c r="F400"/>
  <c r="R400"/>
  <c r="G400"/>
  <c r="B401"/>
  <c r="AD401"/>
  <c r="E401" l="1"/>
  <c r="C401" s="1"/>
  <c r="F401"/>
  <c r="R401"/>
  <c r="G401"/>
  <c r="B402"/>
  <c r="AD402"/>
  <c r="E402" l="1"/>
  <c r="C402" s="1"/>
  <c r="F402"/>
  <c r="R402"/>
  <c r="G402"/>
  <c r="B403"/>
  <c r="AD403"/>
  <c r="E403" l="1"/>
  <c r="C403" s="1"/>
  <c r="F403"/>
  <c r="R403"/>
  <c r="G403"/>
  <c r="B404"/>
  <c r="AD404"/>
  <c r="E404" l="1"/>
  <c r="C404" s="1"/>
  <c r="F404"/>
  <c r="R404"/>
  <c r="G404"/>
  <c r="B405"/>
  <c r="AD405"/>
  <c r="E405" l="1"/>
  <c r="C405" s="1"/>
  <c r="F405"/>
  <c r="R405"/>
  <c r="G405"/>
  <c r="B406"/>
  <c r="AD406"/>
  <c r="E406" l="1"/>
  <c r="C406" s="1"/>
  <c r="F406"/>
  <c r="R406"/>
  <c r="G406"/>
  <c r="B407"/>
  <c r="AD407"/>
  <c r="E407" l="1"/>
  <c r="C407" s="1"/>
  <c r="F407"/>
  <c r="R407"/>
  <c r="G407"/>
  <c r="B408"/>
  <c r="AD408"/>
  <c r="E408" l="1"/>
  <c r="C408" s="1"/>
  <c r="F408"/>
  <c r="R408"/>
  <c r="G408"/>
  <c r="B409"/>
  <c r="AD409"/>
  <c r="E409" l="1"/>
  <c r="C409" s="1"/>
  <c r="F409"/>
  <c r="R409"/>
  <c r="G409"/>
  <c r="B410"/>
  <c r="AD410"/>
  <c r="E410" l="1"/>
  <c r="C410" s="1"/>
  <c r="F410"/>
  <c r="R410"/>
  <c r="G410"/>
  <c r="B411"/>
  <c r="AD411"/>
  <c r="E411" l="1"/>
  <c r="C411" s="1"/>
  <c r="F411"/>
  <c r="R411"/>
  <c r="G411"/>
  <c r="B412"/>
  <c r="AD412"/>
  <c r="E412" l="1"/>
  <c r="C412" s="1"/>
  <c r="F412"/>
  <c r="R412"/>
  <c r="G412"/>
  <c r="B413"/>
  <c r="AD413"/>
  <c r="E413" l="1"/>
  <c r="C413" s="1"/>
  <c r="F413"/>
  <c r="R413"/>
  <c r="G413"/>
  <c r="B414"/>
  <c r="AD414"/>
  <c r="E414" l="1"/>
  <c r="C414" s="1"/>
  <c r="F414"/>
  <c r="R414"/>
  <c r="G414"/>
  <c r="B415"/>
  <c r="AD415"/>
  <c r="E415" l="1"/>
  <c r="C415" s="1"/>
  <c r="F415"/>
  <c r="R415"/>
  <c r="G415"/>
  <c r="B416"/>
  <c r="AD416"/>
  <c r="E416" l="1"/>
  <c r="C416" s="1"/>
  <c r="F416"/>
  <c r="R416"/>
  <c r="G416"/>
  <c r="B417"/>
  <c r="AD417"/>
  <c r="E417" l="1"/>
  <c r="C417" s="1"/>
  <c r="F417"/>
  <c r="R417"/>
  <c r="G417"/>
  <c r="B418"/>
  <c r="AD418"/>
  <c r="E418" l="1"/>
  <c r="C418" s="1"/>
  <c r="F418"/>
  <c r="R418"/>
  <c r="G418"/>
  <c r="B419"/>
  <c r="AD419"/>
  <c r="E419" l="1"/>
  <c r="C419" s="1"/>
  <c r="F419"/>
  <c r="R419"/>
  <c r="G419"/>
  <c r="B420"/>
  <c r="AD420"/>
  <c r="E420" l="1"/>
  <c r="C420" s="1"/>
  <c r="F420"/>
  <c r="R420"/>
  <c r="G420"/>
  <c r="B421"/>
  <c r="AD421"/>
  <c r="E421" l="1"/>
  <c r="C421" s="1"/>
  <c r="F421"/>
  <c r="R421"/>
  <c r="G421"/>
  <c r="B422"/>
  <c r="AD422"/>
  <c r="E422" l="1"/>
  <c r="C422" s="1"/>
  <c r="F422"/>
  <c r="R422"/>
  <c r="G422"/>
  <c r="B423"/>
  <c r="AD423"/>
  <c r="E423" l="1"/>
  <c r="C423" s="1"/>
  <c r="F423"/>
  <c r="R423"/>
  <c r="G423"/>
  <c r="B424"/>
  <c r="AD424"/>
  <c r="E424" l="1"/>
  <c r="C424" s="1"/>
  <c r="F424"/>
  <c r="R424"/>
  <c r="G424"/>
  <c r="B425"/>
  <c r="AD425"/>
  <c r="E425" l="1"/>
  <c r="C425" s="1"/>
  <c r="F425"/>
  <c r="R425"/>
  <c r="G425"/>
  <c r="B426"/>
  <c r="AD426"/>
  <c r="E426" l="1"/>
  <c r="C426" s="1"/>
  <c r="F426"/>
  <c r="R426"/>
  <c r="G426"/>
  <c r="B427"/>
  <c r="AD427"/>
  <c r="E427" l="1"/>
  <c r="C427" s="1"/>
  <c r="F427"/>
  <c r="R427"/>
  <c r="G427"/>
  <c r="B428"/>
  <c r="AD428"/>
  <c r="E428" l="1"/>
  <c r="C428" s="1"/>
  <c r="F428"/>
  <c r="R428"/>
  <c r="G428"/>
  <c r="B429"/>
  <c r="AD429"/>
  <c r="E429" l="1"/>
  <c r="C429" s="1"/>
  <c r="F429"/>
  <c r="R429"/>
  <c r="G429"/>
  <c r="B430"/>
  <c r="AD430"/>
  <c r="E430" l="1"/>
  <c r="C430" s="1"/>
  <c r="F430"/>
  <c r="R430"/>
  <c r="G430"/>
  <c r="B431"/>
  <c r="AD431"/>
  <c r="E431" l="1"/>
  <c r="C431" s="1"/>
  <c r="F431"/>
  <c r="R431"/>
  <c r="G431"/>
  <c r="B432"/>
  <c r="AD432"/>
  <c r="E432" l="1"/>
  <c r="C432" s="1"/>
  <c r="F432"/>
  <c r="R432"/>
  <c r="G432"/>
  <c r="B433"/>
  <c r="AD433"/>
  <c r="E433" l="1"/>
  <c r="C433" s="1"/>
  <c r="F433"/>
  <c r="R433"/>
  <c r="G433"/>
  <c r="B434"/>
  <c r="AD434"/>
  <c r="E434" l="1"/>
  <c r="C434" s="1"/>
  <c r="F434"/>
  <c r="R434"/>
  <c r="G434"/>
  <c r="B435"/>
  <c r="AD435"/>
  <c r="E435" l="1"/>
  <c r="C435" s="1"/>
  <c r="F435"/>
  <c r="R435"/>
  <c r="G435"/>
  <c r="B436"/>
  <c r="AD436"/>
  <c r="E436" l="1"/>
  <c r="C436" s="1"/>
  <c r="F436"/>
  <c r="R436"/>
  <c r="G436"/>
  <c r="B437"/>
  <c r="AD437"/>
  <c r="E437" l="1"/>
  <c r="C437" s="1"/>
  <c r="F437"/>
  <c r="R437"/>
  <c r="G437"/>
  <c r="B438"/>
  <c r="AD438"/>
  <c r="E438" l="1"/>
  <c r="C438" s="1"/>
  <c r="F438"/>
  <c r="R438"/>
  <c r="G438"/>
  <c r="B439"/>
  <c r="AD439"/>
  <c r="E439" l="1"/>
  <c r="C439" s="1"/>
  <c r="F439"/>
  <c r="R439"/>
  <c r="G439"/>
  <c r="B440"/>
  <c r="AD440"/>
  <c r="E440" l="1"/>
  <c r="C440" s="1"/>
  <c r="F440"/>
  <c r="R440"/>
  <c r="G440"/>
  <c r="B441"/>
  <c r="AD441"/>
  <c r="E441" l="1"/>
  <c r="C441" s="1"/>
  <c r="F441"/>
  <c r="R441"/>
  <c r="G441"/>
  <c r="B442"/>
  <c r="AD442"/>
  <c r="E442" l="1"/>
  <c r="C442" s="1"/>
  <c r="F442"/>
  <c r="R442"/>
  <c r="G442"/>
  <c r="B443"/>
  <c r="AD443"/>
  <c r="E443" l="1"/>
  <c r="C443" s="1"/>
  <c r="F443"/>
  <c r="R443"/>
  <c r="G443"/>
  <c r="B444"/>
  <c r="AD444"/>
  <c r="E444" l="1"/>
  <c r="C444" s="1"/>
  <c r="F444"/>
  <c r="R444"/>
  <c r="G444"/>
  <c r="B445"/>
  <c r="AD445"/>
  <c r="E445" l="1"/>
  <c r="C445" s="1"/>
  <c r="F445"/>
  <c r="R445"/>
  <c r="G445"/>
  <c r="B446"/>
  <c r="AD446"/>
  <c r="E446" l="1"/>
  <c r="C446" s="1"/>
  <c r="F446"/>
  <c r="R446"/>
  <c r="G446"/>
  <c r="B447"/>
  <c r="AD447"/>
  <c r="E447" l="1"/>
  <c r="C447" s="1"/>
  <c r="F447"/>
  <c r="R447"/>
  <c r="G447"/>
  <c r="B448"/>
  <c r="AD448"/>
  <c r="E448" l="1"/>
  <c r="C448" s="1"/>
  <c r="F448"/>
  <c r="R448"/>
  <c r="G448"/>
  <c r="B449"/>
  <c r="AD449"/>
  <c r="E449" l="1"/>
  <c r="C449" s="1"/>
  <c r="F449"/>
  <c r="R449"/>
  <c r="G449"/>
  <c r="B450"/>
  <c r="AD450"/>
  <c r="E450" l="1"/>
  <c r="C450" s="1"/>
  <c r="F450"/>
  <c r="R450"/>
  <c r="G450"/>
  <c r="B451"/>
  <c r="AD451"/>
  <c r="E451" l="1"/>
  <c r="C451" s="1"/>
  <c r="F451"/>
  <c r="R451"/>
  <c r="G451"/>
  <c r="B452"/>
  <c r="AD452"/>
  <c r="E452" l="1"/>
  <c r="C452" s="1"/>
  <c r="F452"/>
  <c r="R452"/>
  <c r="G452"/>
  <c r="B453"/>
  <c r="AD453"/>
  <c r="E453" l="1"/>
  <c r="C453" s="1"/>
  <c r="F453"/>
  <c r="R453"/>
  <c r="G453"/>
  <c r="B454"/>
  <c r="AD454"/>
  <c r="E454" l="1"/>
  <c r="C454" s="1"/>
  <c r="F454"/>
  <c r="R454"/>
  <c r="G454"/>
  <c r="B455"/>
  <c r="AD455"/>
  <c r="E455" l="1"/>
  <c r="C455" s="1"/>
  <c r="F455"/>
  <c r="R455"/>
  <c r="G455"/>
  <c r="B456"/>
  <c r="AD456"/>
  <c r="E456" l="1"/>
  <c r="C456" s="1"/>
  <c r="F456"/>
  <c r="R456"/>
  <c r="G456"/>
  <c r="B457"/>
  <c r="AD457"/>
  <c r="E457" l="1"/>
  <c r="C457" s="1"/>
  <c r="F457"/>
  <c r="R457"/>
  <c r="G457"/>
  <c r="B458"/>
  <c r="AD458"/>
  <c r="E458" l="1"/>
  <c r="C458" s="1"/>
  <c r="F458"/>
  <c r="R458"/>
  <c r="G458"/>
  <c r="B459"/>
  <c r="AD459"/>
  <c r="E459" l="1"/>
  <c r="C459" s="1"/>
  <c r="F459"/>
  <c r="R459"/>
  <c r="G459"/>
  <c r="B460"/>
  <c r="AD460"/>
  <c r="E460" l="1"/>
  <c r="C460" s="1"/>
  <c r="F460"/>
  <c r="R460"/>
  <c r="G460"/>
  <c r="B461"/>
  <c r="AD461"/>
  <c r="E461" l="1"/>
  <c r="C461" s="1"/>
  <c r="F461"/>
  <c r="R461"/>
  <c r="G461"/>
  <c r="B462"/>
  <c r="AD462"/>
  <c r="E462" l="1"/>
  <c r="C462" s="1"/>
  <c r="F462"/>
  <c r="R462"/>
  <c r="G462"/>
  <c r="B463"/>
  <c r="AD463"/>
  <c r="E463" l="1"/>
  <c r="C463" s="1"/>
  <c r="F463"/>
  <c r="R463"/>
  <c r="G463"/>
  <c r="B464"/>
  <c r="AD464"/>
  <c r="E464" l="1"/>
  <c r="C464" s="1"/>
  <c r="F464"/>
  <c r="R464"/>
  <c r="G464"/>
  <c r="B465"/>
  <c r="AD465"/>
  <c r="E465" l="1"/>
  <c r="C465" s="1"/>
  <c r="F465"/>
  <c r="R465"/>
  <c r="G465"/>
  <c r="B466"/>
  <c r="AD466"/>
  <c r="E466" l="1"/>
  <c r="C466" s="1"/>
  <c r="F466"/>
  <c r="R466"/>
  <c r="G466"/>
  <c r="B467"/>
  <c r="AD467"/>
  <c r="E467" l="1"/>
  <c r="C467" s="1"/>
  <c r="F467"/>
  <c r="R467"/>
  <c r="G467"/>
  <c r="B468"/>
  <c r="AD468"/>
  <c r="E468" l="1"/>
  <c r="C468" s="1"/>
  <c r="F468"/>
  <c r="R468"/>
  <c r="G468"/>
  <c r="B469"/>
  <c r="AD469"/>
  <c r="E469" l="1"/>
  <c r="C469" s="1"/>
  <c r="F469"/>
  <c r="R469"/>
  <c r="G469"/>
  <c r="B470"/>
  <c r="AD470"/>
  <c r="E470" l="1"/>
  <c r="C470" s="1"/>
  <c r="F470"/>
  <c r="R470"/>
  <c r="G470"/>
  <c r="B471"/>
  <c r="AD471"/>
  <c r="E471" l="1"/>
  <c r="C471" s="1"/>
  <c r="F471"/>
  <c r="R471"/>
  <c r="G471"/>
  <c r="B472"/>
  <c r="AD472"/>
  <c r="E472" l="1"/>
  <c r="C472" s="1"/>
  <c r="F472"/>
  <c r="R472"/>
  <c r="G472"/>
  <c r="B473"/>
  <c r="AD473"/>
  <c r="E473" l="1"/>
  <c r="C473" s="1"/>
  <c r="F473"/>
  <c r="R473"/>
  <c r="G473"/>
  <c r="B474"/>
  <c r="AD474"/>
  <c r="E474" l="1"/>
  <c r="C474" s="1"/>
  <c r="F474"/>
  <c r="R474"/>
  <c r="G474"/>
  <c r="B475"/>
  <c r="AD475"/>
  <c r="E475" l="1"/>
  <c r="C475" s="1"/>
  <c r="F475"/>
  <c r="R475"/>
  <c r="G475"/>
  <c r="B476"/>
  <c r="AD476"/>
  <c r="E476" l="1"/>
  <c r="C476" s="1"/>
  <c r="F476"/>
  <c r="R476"/>
  <c r="G476"/>
  <c r="B477"/>
  <c r="AD477"/>
  <c r="E477" l="1"/>
  <c r="C477" s="1"/>
  <c r="F477"/>
  <c r="R477"/>
  <c r="G477"/>
  <c r="B478"/>
  <c r="AD478"/>
  <c r="E478" l="1"/>
  <c r="C478" s="1"/>
  <c r="F478"/>
  <c r="R478"/>
  <c r="G478"/>
  <c r="B479"/>
  <c r="AD479"/>
  <c r="E479" l="1"/>
  <c r="C479" s="1"/>
  <c r="F479"/>
  <c r="R479"/>
  <c r="G479"/>
  <c r="B480"/>
  <c r="AD480"/>
  <c r="E480" l="1"/>
  <c r="C480" s="1"/>
  <c r="F480"/>
  <c r="R480"/>
  <c r="G480"/>
  <c r="B481"/>
  <c r="AD481"/>
  <c r="E481" l="1"/>
  <c r="C481" s="1"/>
  <c r="F481"/>
  <c r="R481"/>
  <c r="G481"/>
  <c r="B482"/>
  <c r="AD482"/>
  <c r="E482" l="1"/>
  <c r="C482" s="1"/>
  <c r="F482"/>
  <c r="R482"/>
  <c r="G482"/>
  <c r="B483"/>
  <c r="AD483"/>
  <c r="E483" l="1"/>
  <c r="C483" s="1"/>
  <c r="F483"/>
  <c r="R483"/>
  <c r="G483"/>
  <c r="B484"/>
  <c r="AD484"/>
  <c r="E484" l="1"/>
  <c r="C484" s="1"/>
  <c r="F484"/>
  <c r="R484"/>
  <c r="G484"/>
  <c r="B485"/>
  <c r="AD485"/>
  <c r="E485" l="1"/>
  <c r="C485" s="1"/>
  <c r="F485"/>
  <c r="R485"/>
  <c r="G485"/>
  <c r="B486"/>
  <c r="AD486"/>
  <c r="E486" l="1"/>
  <c r="C486" s="1"/>
  <c r="F486"/>
  <c r="R486"/>
  <c r="G486"/>
  <c r="B487"/>
  <c r="AD487"/>
  <c r="E487" l="1"/>
  <c r="C487" s="1"/>
  <c r="F487"/>
  <c r="R487"/>
  <c r="G487"/>
  <c r="B488"/>
  <c r="AD488"/>
  <c r="E488" l="1"/>
  <c r="C488" s="1"/>
  <c r="F488"/>
  <c r="R488"/>
  <c r="G488"/>
  <c r="B489"/>
  <c r="AD489"/>
  <c r="E489" l="1"/>
  <c r="C489" s="1"/>
  <c r="F489"/>
  <c r="R489"/>
  <c r="G489"/>
  <c r="B490"/>
  <c r="AD490"/>
  <c r="E490" l="1"/>
  <c r="C490" s="1"/>
  <c r="F490"/>
  <c r="R490"/>
  <c r="G490"/>
  <c r="B491"/>
  <c r="AD491"/>
  <c r="E491" l="1"/>
  <c r="C491" s="1"/>
  <c r="F491"/>
  <c r="R491"/>
  <c r="G491"/>
  <c r="B492"/>
  <c r="AD492"/>
  <c r="E492" l="1"/>
  <c r="C492" s="1"/>
  <c r="F492"/>
  <c r="R492"/>
  <c r="G492"/>
  <c r="B493"/>
  <c r="AD493"/>
  <c r="E493" l="1"/>
  <c r="C493" s="1"/>
  <c r="F493"/>
  <c r="R493"/>
  <c r="G493"/>
  <c r="B494"/>
  <c r="AD494"/>
  <c r="E494" l="1"/>
  <c r="C494" s="1"/>
  <c r="F494"/>
  <c r="R494"/>
  <c r="G494"/>
  <c r="B495"/>
  <c r="AD495"/>
  <c r="E495" l="1"/>
  <c r="C495" s="1"/>
  <c r="F495"/>
  <c r="R495"/>
  <c r="G495"/>
  <c r="B496"/>
  <c r="AD496"/>
  <c r="E496" l="1"/>
  <c r="C496" s="1"/>
  <c r="F496"/>
  <c r="R496"/>
  <c r="G496"/>
  <c r="B497"/>
  <c r="AD497"/>
  <c r="E497" l="1"/>
  <c r="C497" s="1"/>
  <c r="F497"/>
  <c r="R497"/>
  <c r="G497"/>
  <c r="B498"/>
  <c r="AD498"/>
  <c r="E498" l="1"/>
  <c r="C498" s="1"/>
  <c r="F498"/>
  <c r="R498"/>
  <c r="G498"/>
  <c r="B499"/>
  <c r="AD499"/>
  <c r="E499" l="1"/>
  <c r="C499" s="1"/>
  <c r="F499"/>
  <c r="R499"/>
  <c r="G499"/>
  <c r="B500"/>
  <c r="AD500"/>
  <c r="E500" l="1"/>
  <c r="C500" s="1"/>
  <c r="F500"/>
  <c r="R500"/>
  <c r="G500"/>
  <c r="B501"/>
  <c r="AD501"/>
  <c r="E501" l="1"/>
  <c r="C501" s="1"/>
  <c r="F501"/>
  <c r="R501"/>
  <c r="G501"/>
  <c r="B502"/>
  <c r="AD502"/>
  <c r="E502" l="1"/>
  <c r="C502" s="1"/>
  <c r="F502"/>
  <c r="R502"/>
  <c r="G502"/>
  <c r="B503"/>
  <c r="AD503"/>
  <c r="E503" l="1"/>
  <c r="C503" s="1"/>
  <c r="F503"/>
  <c r="R503"/>
  <c r="G503"/>
  <c r="B504"/>
  <c r="AD504"/>
  <c r="E504" l="1"/>
  <c r="C504" s="1"/>
  <c r="F504"/>
  <c r="R504"/>
  <c r="G504"/>
  <c r="B505"/>
  <c r="AD505"/>
  <c r="E505" l="1"/>
  <c r="C505" s="1"/>
  <c r="F505"/>
  <c r="R505"/>
  <c r="G505"/>
  <c r="B506"/>
  <c r="AD506"/>
  <c r="E506" l="1"/>
  <c r="C506" s="1"/>
  <c r="F506"/>
  <c r="R506"/>
  <c r="G506"/>
  <c r="B507"/>
  <c r="AD507"/>
  <c r="E507" l="1"/>
  <c r="C507" s="1"/>
  <c r="F507"/>
  <c r="R507"/>
  <c r="G507"/>
  <c r="B508"/>
  <c r="AD508"/>
  <c r="E508" l="1"/>
  <c r="C508" s="1"/>
  <c r="F508"/>
  <c r="R508"/>
  <c r="G508"/>
  <c r="B509"/>
  <c r="AD509"/>
  <c r="E509" l="1"/>
  <c r="C509" s="1"/>
  <c r="F509"/>
  <c r="R509"/>
  <c r="G509"/>
  <c r="B510"/>
  <c r="AD510"/>
  <c r="E510" l="1"/>
  <c r="C510" s="1"/>
  <c r="F510"/>
  <c r="R510"/>
  <c r="G510"/>
  <c r="B511"/>
  <c r="AD511"/>
  <c r="E511" l="1"/>
  <c r="C511" s="1"/>
  <c r="F511"/>
  <c r="R511"/>
  <c r="G511"/>
  <c r="B512"/>
  <c r="AD512"/>
  <c r="E512" l="1"/>
  <c r="C512" s="1"/>
  <c r="F512"/>
  <c r="R512"/>
  <c r="G512"/>
  <c r="B513"/>
  <c r="AD513"/>
  <c r="E513" l="1"/>
  <c r="C513" s="1"/>
  <c r="F513"/>
  <c r="R513"/>
  <c r="G513"/>
  <c r="B514"/>
  <c r="AD514"/>
  <c r="E514" l="1"/>
  <c r="C514" s="1"/>
  <c r="F514"/>
  <c r="R514"/>
  <c r="G514"/>
  <c r="B515"/>
  <c r="AD515"/>
  <c r="E515" l="1"/>
  <c r="C515" s="1"/>
  <c r="F515"/>
  <c r="R515"/>
  <c r="G515"/>
  <c r="B516"/>
  <c r="AD516"/>
  <c r="E516" l="1"/>
  <c r="C516" s="1"/>
  <c r="F516"/>
  <c r="R516"/>
  <c r="G516"/>
  <c r="B517"/>
  <c r="AD517"/>
  <c r="E517" l="1"/>
  <c r="C517" s="1"/>
  <c r="F517"/>
  <c r="R517"/>
  <c r="G517"/>
  <c r="B518"/>
  <c r="AD518"/>
  <c r="E518" l="1"/>
  <c r="C518" s="1"/>
  <c r="F518"/>
  <c r="R518"/>
  <c r="G518"/>
  <c r="B519"/>
  <c r="AD519"/>
  <c r="E519" l="1"/>
  <c r="C519" s="1"/>
  <c r="F519"/>
  <c r="R519"/>
  <c r="G519"/>
  <c r="B520"/>
  <c r="AD520"/>
  <c r="E520" l="1"/>
  <c r="C520" s="1"/>
  <c r="F520"/>
  <c r="R520"/>
  <c r="G520"/>
  <c r="B521"/>
  <c r="AD521"/>
  <c r="E521" l="1"/>
  <c r="C521" s="1"/>
  <c r="F521"/>
  <c r="R521"/>
  <c r="G521"/>
  <c r="B522"/>
  <c r="AD522"/>
  <c r="E522" l="1"/>
  <c r="C522" s="1"/>
  <c r="F522"/>
  <c r="R522"/>
  <c r="G522"/>
  <c r="B523"/>
  <c r="AD523"/>
  <c r="E523" l="1"/>
  <c r="C523" s="1"/>
  <c r="F523"/>
  <c r="R523"/>
  <c r="G523"/>
  <c r="B524"/>
  <c r="AD524"/>
  <c r="E524" l="1"/>
  <c r="C524" s="1"/>
  <c r="F524"/>
  <c r="R524"/>
  <c r="G524"/>
  <c r="B525"/>
  <c r="AD525"/>
  <c r="E525" l="1"/>
  <c r="C525" s="1"/>
  <c r="F525"/>
  <c r="R525"/>
  <c r="G525"/>
  <c r="B526"/>
  <c r="AD526"/>
  <c r="E526" l="1"/>
  <c r="C526" s="1"/>
  <c r="F526"/>
  <c r="R526"/>
  <c r="G526"/>
  <c r="B527"/>
  <c r="AD527"/>
  <c r="E527" l="1"/>
  <c r="C527" s="1"/>
  <c r="F527"/>
  <c r="R527"/>
  <c r="G527"/>
  <c r="B528"/>
  <c r="AD528"/>
  <c r="E528" l="1"/>
  <c r="C528" s="1"/>
  <c r="F528"/>
  <c r="R528"/>
  <c r="G528"/>
  <c r="B529"/>
  <c r="AD529"/>
  <c r="E529" l="1"/>
  <c r="C529" s="1"/>
  <c r="F529"/>
  <c r="R529"/>
  <c r="G529"/>
  <c r="B530"/>
  <c r="AD530"/>
  <c r="E530" l="1"/>
  <c r="C530" s="1"/>
  <c r="F530"/>
  <c r="R530"/>
  <c r="G530"/>
  <c r="B531"/>
  <c r="AD531"/>
  <c r="E531" l="1"/>
  <c r="C531" s="1"/>
  <c r="F531"/>
  <c r="R531"/>
  <c r="G531"/>
  <c r="B532"/>
  <c r="AD532"/>
  <c r="E532" l="1"/>
  <c r="C532" s="1"/>
  <c r="F532"/>
  <c r="R532"/>
  <c r="G532"/>
  <c r="B533"/>
  <c r="AD533"/>
  <c r="E533" l="1"/>
  <c r="C533" s="1"/>
  <c r="F533"/>
  <c r="R533"/>
  <c r="G533"/>
  <c r="B534"/>
  <c r="AD534"/>
  <c r="E534" l="1"/>
  <c r="C534" s="1"/>
  <c r="F534"/>
  <c r="R534"/>
  <c r="G534"/>
  <c r="B535"/>
  <c r="AD535"/>
  <c r="E535" l="1"/>
  <c r="C535" s="1"/>
  <c r="F535"/>
  <c r="R535"/>
  <c r="G535"/>
  <c r="B536"/>
  <c r="AD536"/>
  <c r="E536" l="1"/>
  <c r="C536" s="1"/>
  <c r="F536"/>
  <c r="R536"/>
  <c r="G536"/>
  <c r="B537"/>
  <c r="AD537"/>
  <c r="E537" l="1"/>
  <c r="C537" s="1"/>
  <c r="F537"/>
  <c r="R537"/>
  <c r="G537"/>
  <c r="B538"/>
  <c r="AD538"/>
  <c r="E538" l="1"/>
  <c r="C538" s="1"/>
  <c r="F538"/>
  <c r="R538"/>
  <c r="G538"/>
  <c r="B539"/>
  <c r="AD539"/>
  <c r="E539" l="1"/>
  <c r="C539" s="1"/>
  <c r="F539"/>
  <c r="R539"/>
  <c r="G539"/>
  <c r="B540"/>
  <c r="AD540"/>
  <c r="E540" l="1"/>
  <c r="C540" s="1"/>
  <c r="F540"/>
  <c r="R540"/>
  <c r="G540"/>
  <c r="B541"/>
  <c r="AD541"/>
  <c r="E541" l="1"/>
  <c r="C541" s="1"/>
  <c r="F541"/>
  <c r="R541"/>
  <c r="G541"/>
  <c r="B542"/>
  <c r="AD542"/>
  <c r="E542" l="1"/>
  <c r="C542" s="1"/>
  <c r="F542"/>
  <c r="R542"/>
  <c r="G542"/>
  <c r="B543"/>
  <c r="AD543"/>
  <c r="E543" l="1"/>
  <c r="C543" s="1"/>
  <c r="F543"/>
  <c r="R543"/>
  <c r="G543"/>
  <c r="B544"/>
  <c r="AD544"/>
  <c r="E544" l="1"/>
  <c r="C544" s="1"/>
  <c r="F544"/>
  <c r="R544"/>
  <c r="G544"/>
  <c r="B545"/>
  <c r="AD545"/>
  <c r="E545" l="1"/>
  <c r="C545" s="1"/>
  <c r="F545"/>
  <c r="R545"/>
  <c r="G545"/>
  <c r="B546"/>
  <c r="AD546"/>
  <c r="E546" l="1"/>
  <c r="C546" s="1"/>
  <c r="F546"/>
  <c r="R546"/>
  <c r="G546"/>
  <c r="B547"/>
  <c r="AD547"/>
  <c r="E547" l="1"/>
  <c r="C547" s="1"/>
  <c r="F547"/>
  <c r="R547"/>
  <c r="G547"/>
  <c r="B2" l="1"/>
  <c r="C3" i="7" l="1"/>
  <c r="J9" i="25"/>
  <c r="J10" s="1"/>
  <c r="J11" l="1"/>
  <c r="J12" l="1"/>
  <c r="J13" l="1"/>
  <c r="J14" l="1"/>
  <c r="J15" l="1"/>
  <c r="X4" i="24" l="1"/>
  <c r="X5"/>
  <c r="X6"/>
  <c r="X7"/>
  <c r="X8"/>
  <c r="X9"/>
  <c r="X10"/>
  <c r="X11"/>
  <c r="J70" l="1"/>
  <c r="J69"/>
  <c r="J48"/>
  <c r="J47"/>
  <c r="J41"/>
  <c r="J15"/>
  <c r="G1" i="2"/>
  <c r="O1"/>
  <c r="W1"/>
  <c r="AE1"/>
  <c r="AM1"/>
  <c r="AU1"/>
  <c r="BC1"/>
  <c r="BK1"/>
  <c r="BS1"/>
  <c r="CA1"/>
  <c r="CI1"/>
  <c r="CQ1"/>
  <c r="CY1"/>
  <c r="DG1"/>
  <c r="DO1"/>
  <c r="DW1"/>
  <c r="EE1"/>
  <c r="EM1"/>
  <c r="EU1"/>
  <c r="FC1"/>
  <c r="FK1"/>
  <c r="FS1"/>
  <c r="GA1"/>
  <c r="GI1"/>
  <c r="GQ1"/>
  <c r="GY1"/>
  <c r="HG1"/>
  <c r="HO1"/>
  <c r="HW1"/>
  <c r="IE1"/>
  <c r="IM1"/>
  <c r="IU1"/>
  <c r="JC1"/>
  <c r="JK1"/>
  <c r="JS1"/>
  <c r="KA1"/>
  <c r="KI1"/>
  <c r="KQ1"/>
  <c r="KY1"/>
  <c r="LG1"/>
  <c r="LO1"/>
  <c r="LW1"/>
  <c r="ME1"/>
  <c r="MM1"/>
  <c r="MU1"/>
  <c r="NC1"/>
  <c r="NK1"/>
  <c r="NS1"/>
  <c r="OA1"/>
  <c r="OI1"/>
  <c r="OQ1"/>
  <c r="OY1"/>
  <c r="PG1"/>
  <c r="PO1"/>
  <c r="PW1"/>
  <c r="QE1"/>
  <c r="QM1"/>
  <c r="QU1"/>
  <c r="RC1"/>
  <c r="RK1"/>
  <c r="RS1"/>
  <c r="SA1"/>
  <c r="SI1"/>
  <c r="SQ1"/>
  <c r="SY1"/>
  <c r="TG1"/>
  <c r="TO1"/>
  <c r="TW1"/>
  <c r="UE1"/>
  <c r="UM1"/>
  <c r="UU1"/>
  <c r="VC1"/>
  <c r="VK1"/>
  <c r="VS1"/>
  <c r="WA1"/>
  <c r="WI1"/>
  <c r="WQ1"/>
  <c r="WY1"/>
  <c r="XG1"/>
  <c r="XO1"/>
  <c r="XW1"/>
  <c r="YE1"/>
  <c r="YM1"/>
  <c r="YU1"/>
  <c r="ZC1"/>
  <c r="ZK1"/>
  <c r="ZS1"/>
  <c r="AAA1"/>
  <c r="AAI1"/>
  <c r="AAQ1"/>
  <c r="AAY1"/>
  <c r="ABG1"/>
  <c r="ABO1"/>
  <c r="ABW1"/>
  <c r="ACE1"/>
  <c r="ACM1"/>
  <c r="ACU1"/>
  <c r="ADC1"/>
  <c r="ADK1"/>
  <c r="ADS1"/>
  <c r="AEA1"/>
  <c r="AEI1"/>
  <c r="AEQ1"/>
  <c r="AEY1"/>
  <c r="AFG1"/>
  <c r="AFO1"/>
  <c r="AFW1"/>
  <c r="AGE1"/>
  <c r="AGM1"/>
  <c r="AGU1"/>
  <c r="AHC1"/>
  <c r="AHK1"/>
  <c r="AHS1"/>
  <c r="AIA1"/>
  <c r="AII1"/>
  <c r="AIQ1"/>
  <c r="AIY1"/>
  <c r="AJG1"/>
  <c r="AJO1"/>
  <c r="AJW1"/>
  <c r="AKE1"/>
  <c r="AKM1"/>
  <c r="AKU1"/>
  <c r="ALC1"/>
  <c r="ALK1"/>
  <c r="ALS1"/>
  <c r="AMA1"/>
  <c r="AMI1"/>
  <c r="AMQ1"/>
  <c r="AMY1"/>
  <c r="ANG1"/>
  <c r="ANO1"/>
  <c r="ANW1"/>
  <c r="AOE1"/>
  <c r="AOM1"/>
  <c r="AOU1"/>
  <c r="B11" i="26"/>
  <c r="F8"/>
  <c r="G5"/>
  <c r="B3"/>
  <c r="WW1" i="2"/>
  <c r="XU1"/>
  <c r="YS1"/>
  <c r="ZQ1"/>
  <c r="AAG1"/>
  <c r="ABE1"/>
  <c r="ABU1"/>
  <c r="ACS1"/>
  <c r="ADI1"/>
  <c r="AEG1"/>
  <c r="AEW1"/>
  <c r="AFU1"/>
  <c r="AGK1"/>
  <c r="AHI1"/>
  <c r="AHY1"/>
  <c r="AIW1"/>
  <c r="AJM1"/>
  <c r="AKK1"/>
  <c r="ALI1"/>
  <c r="AMG1"/>
  <c r="ANE1"/>
  <c r="ANU1"/>
  <c r="AOS1"/>
  <c r="B9" i="26"/>
  <c r="ABD1" i="2"/>
  <c r="ACJ1"/>
  <c r="ADH1"/>
  <c r="AEN1"/>
  <c r="AFD1"/>
  <c r="AGJ1"/>
  <c r="AGZ1"/>
  <c r="AIF1"/>
  <c r="AIV1"/>
  <c r="AKB1"/>
  <c r="AKR1"/>
  <c r="ALX1"/>
  <c r="AMN1"/>
  <c r="ANT1"/>
  <c r="AOZ1"/>
  <c r="B4" i="26"/>
  <c r="K1" i="2"/>
  <c r="AI1"/>
  <c r="BO1"/>
  <c r="CE1"/>
  <c r="DK1"/>
  <c r="EA1"/>
  <c r="FG1"/>
  <c r="FW1"/>
  <c r="HC1"/>
  <c r="II1"/>
  <c r="JG1"/>
  <c r="KM1"/>
  <c r="LC1"/>
  <c r="MI1"/>
  <c r="NG1"/>
  <c r="OE1"/>
  <c r="PK1"/>
  <c r="QA1"/>
  <c r="RG1"/>
  <c r="RW1"/>
  <c r="TC1"/>
  <c r="UA1"/>
  <c r="VG1"/>
  <c r="VW1"/>
  <c r="XC1"/>
  <c r="YA1"/>
  <c r="YY1"/>
  <c r="ZW1"/>
  <c r="AAU1"/>
  <c r="ACA1"/>
  <c r="ACQ1"/>
  <c r="ADW1"/>
  <c r="AEM1"/>
  <c r="AFS1"/>
  <c r="AGI1"/>
  <c r="AHG1"/>
  <c r="AIE1"/>
  <c r="AIU1"/>
  <c r="AJS1"/>
  <c r="AKQ1"/>
  <c r="ALO1"/>
  <c r="AMU1"/>
  <c r="ANK1"/>
  <c r="AOI1"/>
  <c r="AOY1"/>
  <c r="J1"/>
  <c r="AH1"/>
  <c r="BF1"/>
  <c r="CD1"/>
  <c r="DB1"/>
  <c r="DZ1"/>
  <c r="EX1"/>
  <c r="FV1"/>
  <c r="HB1"/>
  <c r="HR1"/>
  <c r="IX1"/>
  <c r="JV1"/>
  <c r="LB1"/>
  <c r="MH1"/>
  <c r="MX1"/>
  <c r="OD1"/>
  <c r="OT1"/>
  <c r="PZ1"/>
  <c r="QP1"/>
  <c r="RV1"/>
  <c r="SL1"/>
  <c r="TR1"/>
  <c r="UH1"/>
  <c r="VN1"/>
  <c r="WD1"/>
  <c r="XJ1"/>
  <c r="F1"/>
  <c r="N1"/>
  <c r="V1"/>
  <c r="AD1"/>
  <c r="AL1"/>
  <c r="AT1"/>
  <c r="BB1"/>
  <c r="BJ1"/>
  <c r="BR1"/>
  <c r="BZ1"/>
  <c r="CH1"/>
  <c r="CP1"/>
  <c r="CX1"/>
  <c r="DF1"/>
  <c r="DN1"/>
  <c r="DV1"/>
  <c r="ED1"/>
  <c r="EL1"/>
  <c r="ET1"/>
  <c r="FB1"/>
  <c r="FJ1"/>
  <c r="FR1"/>
  <c r="FZ1"/>
  <c r="GH1"/>
  <c r="GP1"/>
  <c r="GX1"/>
  <c r="HF1"/>
  <c r="HN1"/>
  <c r="HV1"/>
  <c r="ID1"/>
  <c r="IL1"/>
  <c r="IT1"/>
  <c r="JB1"/>
  <c r="JJ1"/>
  <c r="JR1"/>
  <c r="JZ1"/>
  <c r="KH1"/>
  <c r="KP1"/>
  <c r="KX1"/>
  <c r="LF1"/>
  <c r="LN1"/>
  <c r="LV1"/>
  <c r="MD1"/>
  <c r="ML1"/>
  <c r="MT1"/>
  <c r="NB1"/>
  <c r="NJ1"/>
  <c r="NR1"/>
  <c r="NZ1"/>
  <c r="OH1"/>
  <c r="OP1"/>
  <c r="OX1"/>
  <c r="PF1"/>
  <c r="PN1"/>
  <c r="PV1"/>
  <c r="QD1"/>
  <c r="QL1"/>
  <c r="QT1"/>
  <c r="RB1"/>
  <c r="RJ1"/>
  <c r="RR1"/>
  <c r="RZ1"/>
  <c r="SH1"/>
  <c r="SP1"/>
  <c r="SX1"/>
  <c r="TF1"/>
  <c r="TN1"/>
  <c r="TV1"/>
  <c r="UD1"/>
  <c r="UL1"/>
  <c r="UT1"/>
  <c r="VB1"/>
  <c r="VJ1"/>
  <c r="VR1"/>
  <c r="VZ1"/>
  <c r="WH1"/>
  <c r="WP1"/>
  <c r="WX1"/>
  <c r="XF1"/>
  <c r="XN1"/>
  <c r="XV1"/>
  <c r="YD1"/>
  <c r="YL1"/>
  <c r="YT1"/>
  <c r="ZB1"/>
  <c r="ZJ1"/>
  <c r="ZR1"/>
  <c r="ZZ1"/>
  <c r="AAH1"/>
  <c r="AAP1"/>
  <c r="AAX1"/>
  <c r="ABF1"/>
  <c r="ABN1"/>
  <c r="ABV1"/>
  <c r="ACD1"/>
  <c r="ACL1"/>
  <c r="ACT1"/>
  <c r="ADB1"/>
  <c r="ADJ1"/>
  <c r="ADR1"/>
  <c r="ADZ1"/>
  <c r="AEH1"/>
  <c r="AEP1"/>
  <c r="AEX1"/>
  <c r="AFF1"/>
  <c r="AFN1"/>
  <c r="AFV1"/>
  <c r="AGD1"/>
  <c r="AGL1"/>
  <c r="AGT1"/>
  <c r="AHB1"/>
  <c r="AHJ1"/>
  <c r="AHR1"/>
  <c r="AHZ1"/>
  <c r="AIH1"/>
  <c r="AIP1"/>
  <c r="AIX1"/>
  <c r="AJF1"/>
  <c r="AJN1"/>
  <c r="AJV1"/>
  <c r="AKD1"/>
  <c r="AKL1"/>
  <c r="AKT1"/>
  <c r="ALB1"/>
  <c r="ALJ1"/>
  <c r="ALR1"/>
  <c r="ALZ1"/>
  <c r="AMH1"/>
  <c r="AMP1"/>
  <c r="AMX1"/>
  <c r="ANF1"/>
  <c r="ANN1"/>
  <c r="ANV1"/>
  <c r="AOD1"/>
  <c r="AOL1"/>
  <c r="AOT1"/>
  <c r="F11" i="26"/>
  <c r="G8"/>
  <c r="B6"/>
  <c r="F3"/>
  <c r="WO1" i="2"/>
  <c r="XM1"/>
  <c r="YK1"/>
  <c r="ZA1"/>
  <c r="ZY1"/>
  <c r="AAO1"/>
  <c r="ABM1"/>
  <c r="ACC1"/>
  <c r="ADA1"/>
  <c r="ADQ1"/>
  <c r="AEO1"/>
  <c r="AFE1"/>
  <c r="AGC1"/>
  <c r="AGS1"/>
  <c r="AHQ1"/>
  <c r="AIG1"/>
  <c r="AJE1"/>
  <c r="AKC1"/>
  <c r="AKS1"/>
  <c r="ALQ1"/>
  <c r="ALY1"/>
  <c r="AMW1"/>
  <c r="ANM1"/>
  <c r="AOK1"/>
  <c r="G11" i="26"/>
  <c r="F6"/>
  <c r="ABL1" i="2"/>
  <c r="ACR1"/>
  <c r="ACZ1"/>
  <c r="ADX1"/>
  <c r="AEV1"/>
  <c r="AGB1"/>
  <c r="AGR1"/>
  <c r="AHX1"/>
  <c r="AIN1"/>
  <c r="AJT1"/>
  <c r="AKJ1"/>
  <c r="ALP1"/>
  <c r="AMF1"/>
  <c r="ANL1"/>
  <c r="AOB1"/>
  <c r="F9" i="26"/>
  <c r="G6"/>
  <c r="C1" i="2"/>
  <c r="AQ1"/>
  <c r="BW1"/>
  <c r="CM1"/>
  <c r="DS1"/>
  <c r="EI1"/>
  <c r="FO1"/>
  <c r="GM1"/>
  <c r="HK1"/>
  <c r="IA1"/>
  <c r="IY1"/>
  <c r="KE1"/>
  <c r="KU1"/>
  <c r="MA1"/>
  <c r="MQ1"/>
  <c r="NW1"/>
  <c r="OM1"/>
  <c r="PS1"/>
  <c r="QI1"/>
  <c r="RO1"/>
  <c r="SE1"/>
  <c r="TK1"/>
  <c r="TS1"/>
  <c r="UY1"/>
  <c r="VO1"/>
  <c r="WU1"/>
  <c r="XK1"/>
  <c r="YQ1"/>
  <c r="ZG1"/>
  <c r="AAM1"/>
  <c r="ABC1"/>
  <c r="ACI1"/>
  <c r="ACY1"/>
  <c r="AEE1"/>
  <c r="AFK1"/>
  <c r="AGA1"/>
  <c r="AGY1"/>
  <c r="AHO1"/>
  <c r="AIM1"/>
  <c r="AJK1"/>
  <c r="AKI1"/>
  <c r="ALG1"/>
  <c r="AMM1"/>
  <c r="ANC1"/>
  <c r="AOQ1"/>
  <c r="G9" i="26"/>
  <c r="A1" i="25"/>
  <c r="Z1" i="2"/>
  <c r="AP1"/>
  <c r="BN1"/>
  <c r="CL1"/>
  <c r="DJ1"/>
  <c r="EH1"/>
  <c r="FN1"/>
  <c r="GD1"/>
  <c r="HJ1"/>
  <c r="HZ1"/>
  <c r="JF1"/>
  <c r="JN1"/>
  <c r="KT1"/>
  <c r="LJ1"/>
  <c r="MP1"/>
  <c r="NF1"/>
  <c r="OL1"/>
  <c r="PB1"/>
  <c r="QH1"/>
  <c r="QX1"/>
  <c r="SD1"/>
  <c r="ST1"/>
  <c r="TZ1"/>
  <c r="VF1"/>
  <c r="VV1"/>
  <c r="XB1"/>
  <c r="E1"/>
  <c r="M1"/>
  <c r="U1"/>
  <c r="AC1"/>
  <c r="AK1"/>
  <c r="AS1"/>
  <c r="BA1"/>
  <c r="BI1"/>
  <c r="BQ1"/>
  <c r="BY1"/>
  <c r="CG1"/>
  <c r="CO1"/>
  <c r="CW1"/>
  <c r="DE1"/>
  <c r="DM1"/>
  <c r="DU1"/>
  <c r="EC1"/>
  <c r="EK1"/>
  <c r="ES1"/>
  <c r="FA1"/>
  <c r="FI1"/>
  <c r="FQ1"/>
  <c r="FY1"/>
  <c r="GG1"/>
  <c r="GO1"/>
  <c r="GW1"/>
  <c r="HE1"/>
  <c r="HM1"/>
  <c r="HU1"/>
  <c r="IC1"/>
  <c r="IK1"/>
  <c r="IS1"/>
  <c r="JA1"/>
  <c r="JI1"/>
  <c r="JQ1"/>
  <c r="JY1"/>
  <c r="KG1"/>
  <c r="KO1"/>
  <c r="KW1"/>
  <c r="LE1"/>
  <c r="LM1"/>
  <c r="LU1"/>
  <c r="MC1"/>
  <c r="MK1"/>
  <c r="MS1"/>
  <c r="NA1"/>
  <c r="NI1"/>
  <c r="NQ1"/>
  <c r="NY1"/>
  <c r="OG1"/>
  <c r="OO1"/>
  <c r="OW1"/>
  <c r="PE1"/>
  <c r="PM1"/>
  <c r="PU1"/>
  <c r="QC1"/>
  <c r="QK1"/>
  <c r="QS1"/>
  <c r="RA1"/>
  <c r="RI1"/>
  <c r="RQ1"/>
  <c r="RY1"/>
  <c r="SG1"/>
  <c r="SO1"/>
  <c r="SW1"/>
  <c r="TE1"/>
  <c r="TM1"/>
  <c r="TU1"/>
  <c r="UC1"/>
  <c r="UK1"/>
  <c r="US1"/>
  <c r="VA1"/>
  <c r="VI1"/>
  <c r="VQ1"/>
  <c r="VY1"/>
  <c r="WG1"/>
  <c r="XE1"/>
  <c r="YC1"/>
  <c r="ZI1"/>
  <c r="AAW1"/>
  <c r="ACK1"/>
  <c r="ADY1"/>
  <c r="AFM1"/>
  <c r="AHA1"/>
  <c r="AIO1"/>
  <c r="AJU1"/>
  <c r="ALA1"/>
  <c r="AMO1"/>
  <c r="AOC1"/>
  <c r="G3" i="26"/>
  <c r="ABT1" i="2"/>
  <c r="ADP1"/>
  <c r="AFL1"/>
  <c r="AHH1"/>
  <c r="AJD1"/>
  <c r="AKZ1"/>
  <c r="AMV1"/>
  <c r="AOJ1"/>
  <c r="AA1"/>
  <c r="AY1"/>
  <c r="CU1"/>
  <c r="EQ1"/>
  <c r="GE1"/>
  <c r="HS1"/>
  <c r="JW1"/>
  <c r="LS1"/>
  <c r="NO1"/>
  <c r="PC1"/>
  <c r="QY1"/>
  <c r="SU1"/>
  <c r="UQ1"/>
  <c r="WM1"/>
  <c r="YI1"/>
  <c r="AAE1"/>
  <c r="ABS1"/>
  <c r="ADO1"/>
  <c r="AFC1"/>
  <c r="AGQ1"/>
  <c r="AHW1"/>
  <c r="AJC1"/>
  <c r="AKY1"/>
  <c r="AME1"/>
  <c r="AOA1"/>
  <c r="F4" i="26"/>
  <c r="B1" i="2"/>
  <c r="BV1"/>
  <c r="DR1"/>
  <c r="FF1"/>
  <c r="GT1"/>
  <c r="IP1"/>
  <c r="KD1"/>
  <c r="LR1"/>
  <c r="NN1"/>
  <c r="PJ1"/>
  <c r="RF1"/>
  <c r="TB1"/>
  <c r="UP1"/>
  <c r="WL1"/>
  <c r="D1"/>
  <c r="L1"/>
  <c r="T1"/>
  <c r="AB1"/>
  <c r="AJ1"/>
  <c r="AR1"/>
  <c r="AZ1"/>
  <c r="BH1"/>
  <c r="BP1"/>
  <c r="BX1"/>
  <c r="CF1"/>
  <c r="CN1"/>
  <c r="CV1"/>
  <c r="DD1"/>
  <c r="DL1"/>
  <c r="DT1"/>
  <c r="EB1"/>
  <c r="EJ1"/>
  <c r="ER1"/>
  <c r="EZ1"/>
  <c r="FH1"/>
  <c r="FP1"/>
  <c r="FX1"/>
  <c r="GF1"/>
  <c r="GN1"/>
  <c r="GV1"/>
  <c r="HD1"/>
  <c r="HL1"/>
  <c r="HT1"/>
  <c r="IB1"/>
  <c r="IJ1"/>
  <c r="IR1"/>
  <c r="IZ1"/>
  <c r="JH1"/>
  <c r="JP1"/>
  <c r="JX1"/>
  <c r="KF1"/>
  <c r="KN1"/>
  <c r="KV1"/>
  <c r="LD1"/>
  <c r="LL1"/>
  <c r="LT1"/>
  <c r="MB1"/>
  <c r="MJ1"/>
  <c r="MR1"/>
  <c r="MZ1"/>
  <c r="NH1"/>
  <c r="NP1"/>
  <c r="NX1"/>
  <c r="OF1"/>
  <c r="ON1"/>
  <c r="OV1"/>
  <c r="PD1"/>
  <c r="PL1"/>
  <c r="PT1"/>
  <c r="QB1"/>
  <c r="QJ1"/>
  <c r="QR1"/>
  <c r="QZ1"/>
  <c r="RH1"/>
  <c r="RP1"/>
  <c r="RX1"/>
  <c r="SF1"/>
  <c r="SN1"/>
  <c r="SV1"/>
  <c r="TD1"/>
  <c r="TL1"/>
  <c r="TT1"/>
  <c r="UB1"/>
  <c r="UJ1"/>
  <c r="UR1"/>
  <c r="UZ1"/>
  <c r="VH1"/>
  <c r="VP1"/>
  <c r="VX1"/>
  <c r="WF1"/>
  <c r="WN1"/>
  <c r="WV1"/>
  <c r="XD1"/>
  <c r="XL1"/>
  <c r="XT1"/>
  <c r="YB1"/>
  <c r="YJ1"/>
  <c r="YR1"/>
  <c r="YZ1"/>
  <c r="ZH1"/>
  <c r="ZP1"/>
  <c r="ZX1"/>
  <c r="AAF1"/>
  <c r="AAN1"/>
  <c r="AAV1"/>
  <c r="ACB1"/>
  <c r="AEF1"/>
  <c r="AFT1"/>
  <c r="AHP1"/>
  <c r="AJL1"/>
  <c r="ALH1"/>
  <c r="AND1"/>
  <c r="AOR1"/>
  <c r="S1"/>
  <c r="BG1"/>
  <c r="DC1"/>
  <c r="EY1"/>
  <c r="GU1"/>
  <c r="IQ1"/>
  <c r="JO1"/>
  <c r="LK1"/>
  <c r="MY1"/>
  <c r="OU1"/>
  <c r="QQ1"/>
  <c r="SM1"/>
  <c r="UI1"/>
  <c r="WE1"/>
  <c r="XS1"/>
  <c r="ZO1"/>
  <c r="ABK1"/>
  <c r="ADG1"/>
  <c r="AEU1"/>
  <c r="AKA1"/>
  <c r="ALW1"/>
  <c r="ANS1"/>
  <c r="B7" i="26"/>
  <c r="R1" i="2"/>
  <c r="AX1"/>
  <c r="CT1"/>
  <c r="EP1"/>
  <c r="GL1"/>
  <c r="IH1"/>
  <c r="KL1"/>
  <c r="LZ1"/>
  <c r="NV1"/>
  <c r="PR1"/>
  <c r="RN1"/>
  <c r="TJ1"/>
  <c r="UX1"/>
  <c r="WT1"/>
  <c r="Y1"/>
  <c r="BE1"/>
  <c r="CK1"/>
  <c r="DQ1"/>
  <c r="EW1"/>
  <c r="GC1"/>
  <c r="HI1"/>
  <c r="IO1"/>
  <c r="JU1"/>
  <c r="LA1"/>
  <c r="MG1"/>
  <c r="NM1"/>
  <c r="OS1"/>
  <c r="PY1"/>
  <c r="RE1"/>
  <c r="SK1"/>
  <c r="TQ1"/>
  <c r="UW1"/>
  <c r="WC1"/>
  <c r="XI1"/>
  <c r="YG1"/>
  <c r="ZD1"/>
  <c r="ZV1"/>
  <c r="AAS1"/>
  <c r="ABP1"/>
  <c r="ACH1"/>
  <c r="ADE1"/>
  <c r="AEB1"/>
  <c r="AET1"/>
  <c r="AFQ1"/>
  <c r="AGN1"/>
  <c r="AHF1"/>
  <c r="AIC1"/>
  <c r="AIZ1"/>
  <c r="AJR1"/>
  <c r="AKO1"/>
  <c r="ALL1"/>
  <c r="AMD1"/>
  <c r="ANA1"/>
  <c r="ANX1"/>
  <c r="AOP1"/>
  <c r="G7" i="26"/>
  <c r="AJQ1" i="2"/>
  <c r="ALF1"/>
  <c r="AMZ1"/>
  <c r="AOO1"/>
  <c r="UO1"/>
  <c r="YW1"/>
  <c r="ABI1"/>
  <c r="ADU1"/>
  <c r="AFJ1"/>
  <c r="AHV1"/>
  <c r="AJP1"/>
  <c r="AMB1"/>
  <c r="ANQ1"/>
  <c r="F2" i="26"/>
  <c r="WZ1" i="2"/>
  <c r="AAK1"/>
  <c r="ACW1"/>
  <c r="AFI1"/>
  <c r="AHU1"/>
  <c r="AKG1"/>
  <c r="AMS1"/>
  <c r="F10" i="26"/>
  <c r="AO1" i="2"/>
  <c r="GS1"/>
  <c r="JE1"/>
  <c r="OC1"/>
  <c r="QO1"/>
  <c r="VM1"/>
  <c r="XX1"/>
  <c r="ABB1"/>
  <c r="ACV1"/>
  <c r="AFZ1"/>
  <c r="AHT1"/>
  <c r="AKX1"/>
  <c r="AMR1"/>
  <c r="AN1"/>
  <c r="FL1"/>
  <c r="HX1"/>
  <c r="MV1"/>
  <c r="PH1"/>
  <c r="UF1"/>
  <c r="WR1"/>
  <c r="AAD1"/>
  <c r="ABX1"/>
  <c r="AFB1"/>
  <c r="AFY1"/>
  <c r="AJH1"/>
  <c r="ALT1"/>
  <c r="AOX1"/>
  <c r="B5" i="26"/>
  <c r="AG1" i="2"/>
  <c r="FE1"/>
  <c r="KC1"/>
  <c r="PA1"/>
  <c r="RM1"/>
  <c r="WK1"/>
  <c r="YN1"/>
  <c r="ABR1"/>
  <c r="ACO1"/>
  <c r="AFX1"/>
  <c r="AHM1"/>
  <c r="AKV1"/>
  <c r="AMK1"/>
  <c r="F5" i="26"/>
  <c r="AF1" i="2"/>
  <c r="GJ1"/>
  <c r="IV1"/>
  <c r="NT1"/>
  <c r="QF1"/>
  <c r="VD1"/>
  <c r="XP1"/>
  <c r="AAT1"/>
  <c r="ACN1"/>
  <c r="AFR1"/>
  <c r="AJA1"/>
  <c r="AKP1"/>
  <c r="ANY1"/>
  <c r="F7" i="26"/>
  <c r="X1" i="2"/>
  <c r="BD1"/>
  <c r="CJ1"/>
  <c r="DP1"/>
  <c r="EV1"/>
  <c r="GB1"/>
  <c r="HH1"/>
  <c r="IN1"/>
  <c r="JT1"/>
  <c r="KZ1"/>
  <c r="MF1"/>
  <c r="NL1"/>
  <c r="OR1"/>
  <c r="PX1"/>
  <c r="RD1"/>
  <c r="SJ1"/>
  <c r="TP1"/>
  <c r="UV1"/>
  <c r="WB1"/>
  <c r="XH1"/>
  <c r="YF1"/>
  <c r="YX1"/>
  <c r="ZU1"/>
  <c r="AAR1"/>
  <c r="ABJ1"/>
  <c r="ACG1"/>
  <c r="ADD1"/>
  <c r="ADV1"/>
  <c r="AES1"/>
  <c r="AFP1"/>
  <c r="AGH1"/>
  <c r="AHE1"/>
  <c r="AIB1"/>
  <c r="AIT1"/>
  <c r="AKN1"/>
  <c r="AMC1"/>
  <c r="ANR1"/>
  <c r="B8" i="26"/>
  <c r="B2"/>
  <c r="VU1" i="2"/>
  <c r="XZ1"/>
  <c r="AAL1"/>
  <c r="ACF1"/>
  <c r="AER1"/>
  <c r="AGG1"/>
  <c r="AIS1"/>
  <c r="AKH1"/>
  <c r="AMT1"/>
  <c r="AON1"/>
  <c r="XY1"/>
  <c r="ABH1"/>
  <c r="ADT1"/>
  <c r="AGF1"/>
  <c r="AIR1"/>
  <c r="ALD1"/>
  <c r="AOH1"/>
  <c r="I1"/>
  <c r="HY1"/>
  <c r="KK1"/>
  <c r="PI1"/>
  <c r="RU1"/>
  <c r="WS1"/>
  <c r="YP1"/>
  <c r="ABY1"/>
  <c r="ADN1"/>
  <c r="AGW1"/>
  <c r="AIL1"/>
  <c r="ALU1"/>
  <c r="G10" i="26"/>
  <c r="G4"/>
  <c r="H1" i="2"/>
  <c r="EF1"/>
  <c r="GR1"/>
  <c r="JD1"/>
  <c r="OB1"/>
  <c r="QN1"/>
  <c r="VL1"/>
  <c r="ZL1"/>
  <c r="ABA1"/>
  <c r="AEJ1"/>
  <c r="AGV1"/>
  <c r="AJZ1"/>
  <c r="AKW1"/>
  <c r="AOF1"/>
  <c r="A1"/>
  <c r="DY1"/>
  <c r="IW1"/>
  <c r="LI1"/>
  <c r="QG1"/>
  <c r="SS1"/>
  <c r="XQ1"/>
  <c r="AAZ1"/>
  <c r="ADL1"/>
  <c r="AGP1"/>
  <c r="AIJ1"/>
  <c r="ALN1"/>
  <c r="ANH1"/>
  <c r="DX1"/>
  <c r="FD1"/>
  <c r="HP1"/>
  <c r="KB1"/>
  <c r="OZ1"/>
  <c r="RL1"/>
  <c r="WJ1"/>
  <c r="AAB1"/>
  <c r="ABQ1"/>
  <c r="AEZ1"/>
  <c r="AGO1"/>
  <c r="AJX1"/>
  <c r="ALM1"/>
  <c r="AOV1"/>
  <c r="Q1"/>
  <c r="AW1"/>
  <c r="CC1"/>
  <c r="DI1"/>
  <c r="EO1"/>
  <c r="FU1"/>
  <c r="HA1"/>
  <c r="IG1"/>
  <c r="JM1"/>
  <c r="KS1"/>
  <c r="LY1"/>
  <c r="NE1"/>
  <c r="OK1"/>
  <c r="PQ1"/>
  <c r="QW1"/>
  <c r="SC1"/>
  <c r="TI1"/>
  <c r="XA1"/>
  <c r="ZT1"/>
  <c r="ACX1"/>
  <c r="AHD1"/>
  <c r="ALE1"/>
  <c r="B10" i="26"/>
  <c r="YV1" i="2"/>
  <c r="AEL1"/>
  <c r="AJJ1"/>
  <c r="ANP1"/>
  <c r="BU1"/>
  <c r="EG1"/>
  <c r="MW1"/>
  <c r="UG1"/>
  <c r="ZM1"/>
  <c r="AEK1"/>
  <c r="AKF1"/>
  <c r="AOG1"/>
  <c r="BT1"/>
  <c r="KJ1"/>
  <c r="RT1"/>
  <c r="XR1"/>
  <c r="ACP1"/>
  <c r="AHN1"/>
  <c r="AML1"/>
  <c r="BM1"/>
  <c r="HQ1"/>
  <c r="NU1"/>
  <c r="VE1"/>
  <c r="AAC1"/>
  <c r="AFA1"/>
  <c r="AJY1"/>
  <c r="AOW1"/>
  <c r="BL1"/>
  <c r="MN1"/>
  <c r="TX1"/>
  <c r="ZE1"/>
  <c r="AEC1"/>
  <c r="AID1"/>
  <c r="ANB1"/>
  <c r="P1"/>
  <c r="AV1"/>
  <c r="CB1"/>
  <c r="DH1"/>
  <c r="EN1"/>
  <c r="FT1"/>
  <c r="GZ1"/>
  <c r="IF1"/>
  <c r="JL1"/>
  <c r="KR1"/>
  <c r="LX1"/>
  <c r="ND1"/>
  <c r="OJ1"/>
  <c r="PP1"/>
  <c r="QV1"/>
  <c r="SB1"/>
  <c r="TH1"/>
  <c r="UN1"/>
  <c r="VT1"/>
  <c r="ZN1"/>
  <c r="ABZ1"/>
  <c r="AGX1"/>
  <c r="ALV1"/>
  <c r="G2" i="26"/>
  <c r="DA1" i="2"/>
  <c r="FM1"/>
  <c r="LQ1"/>
  <c r="TA1"/>
  <c r="AAJ1"/>
  <c r="AFH1"/>
  <c r="AJI1"/>
  <c r="ANJ1"/>
  <c r="CZ1"/>
  <c r="LP1"/>
  <c r="SZ1"/>
  <c r="YO1"/>
  <c r="ADM1"/>
  <c r="AIK1"/>
  <c r="ANI1"/>
  <c r="CS1"/>
  <c r="GK1"/>
  <c r="MO1"/>
  <c r="TY1"/>
  <c r="ZF1"/>
  <c r="AED1"/>
  <c r="AJB1"/>
  <c r="ANZ1"/>
  <c r="CR1"/>
  <c r="LH1"/>
  <c r="SR1"/>
  <c r="YH1"/>
  <c r="ADF1"/>
  <c r="AHL1"/>
  <c r="AMJ1"/>
  <c r="B14" i="7"/>
  <c r="X3" i="24"/>
  <c r="AD2" i="3"/>
  <c r="J38" i="24"/>
  <c r="J36"/>
  <c r="J25"/>
  <c r="J68"/>
  <c r="J65"/>
  <c r="J43"/>
  <c r="J35"/>
  <c r="J29"/>
  <c r="J46"/>
  <c r="O2"/>
  <c r="J23"/>
  <c r="J34"/>
  <c r="J16"/>
  <c r="J61"/>
  <c r="J44"/>
  <c r="J39"/>
  <c r="J67"/>
  <c r="J59"/>
  <c r="J17"/>
  <c r="J63"/>
  <c r="J45"/>
  <c r="J62"/>
  <c r="J60"/>
  <c r="J54"/>
  <c r="J21"/>
  <c r="J26"/>
  <c r="J18"/>
  <c r="J66"/>
  <c r="J37"/>
  <c r="J22"/>
  <c r="J31"/>
  <c r="J58"/>
  <c r="J32"/>
  <c r="J71"/>
  <c r="J24"/>
  <c r="J49"/>
  <c r="J40"/>
  <c r="J50"/>
  <c r="J20"/>
  <c r="J33"/>
  <c r="J14"/>
  <c r="J19"/>
  <c r="J51"/>
  <c r="J27"/>
  <c r="J53"/>
  <c r="J52"/>
  <c r="J28"/>
  <c r="J30"/>
  <c r="J64"/>
  <c r="J42"/>
  <c r="J13"/>
  <c r="AMJ2" i="2" l="1"/>
  <c r="AHL2"/>
  <c r="ADF2"/>
  <c r="YH2"/>
  <c r="SR2"/>
  <c r="LH2"/>
  <c r="CR2"/>
  <c r="ANZ2"/>
  <c r="AJB2"/>
  <c r="AED2"/>
  <c r="ZF2"/>
  <c r="TY2"/>
  <c r="MO2"/>
  <c r="GK2"/>
  <c r="CS2"/>
  <c r="ANI2"/>
  <c r="AIK2"/>
  <c r="ADM2"/>
  <c r="YO2"/>
  <c r="SZ2"/>
  <c r="LP2"/>
  <c r="CZ2"/>
  <c r="ANJ2"/>
  <c r="AJI2"/>
  <c r="AFH2"/>
  <c r="AAJ2"/>
  <c r="TA2"/>
  <c r="LQ2"/>
  <c r="FM2"/>
  <c r="DA2"/>
  <c r="ALV2"/>
  <c r="AGX2"/>
  <c r="ABZ2"/>
  <c r="ZN2"/>
  <c r="VT2"/>
  <c r="UN2"/>
  <c r="TH2"/>
  <c r="SB2"/>
  <c r="QV2"/>
  <c r="PP2"/>
  <c r="OJ2"/>
  <c r="ND2"/>
  <c r="LX2"/>
  <c r="KR2"/>
  <c r="JL2"/>
  <c r="IF2"/>
  <c r="GZ2"/>
  <c r="FT2"/>
  <c r="EN2"/>
  <c r="DH2"/>
  <c r="CB2"/>
  <c r="AV2"/>
  <c r="P2"/>
  <c r="ANB2"/>
  <c r="AID2"/>
  <c r="AEC2"/>
  <c r="ZE2"/>
  <c r="TX2"/>
  <c r="MN2"/>
  <c r="BL2"/>
  <c r="AOW2"/>
  <c r="AJY2"/>
  <c r="AFA2"/>
  <c r="AAC2"/>
  <c r="VE2"/>
  <c r="NU2"/>
  <c r="HQ2"/>
  <c r="BM2"/>
  <c r="AML2"/>
  <c r="AHN2"/>
  <c r="ACP2"/>
  <c r="XR2"/>
  <c r="RT2"/>
  <c r="KJ2"/>
  <c r="BT2"/>
  <c r="AOG2"/>
  <c r="AKF2"/>
  <c r="AEK2"/>
  <c r="ZM2"/>
  <c r="UG2"/>
  <c r="MW2"/>
  <c r="EG2"/>
  <c r="BU2"/>
  <c r="ANP2"/>
  <c r="AJJ2"/>
  <c r="AEL2"/>
  <c r="YV2"/>
  <c r="D10" i="26"/>
  <c r="C10"/>
  <c r="E10"/>
  <c r="ALE2" i="2"/>
  <c r="AHD2"/>
  <c r="ACX2"/>
  <c r="ZT2"/>
  <c r="XA2"/>
  <c r="TI2"/>
  <c r="SC2"/>
  <c r="QW2"/>
  <c r="PQ2"/>
  <c r="OK2"/>
  <c r="NE2"/>
  <c r="LY2"/>
  <c r="KS2"/>
  <c r="JM2"/>
  <c r="IG2"/>
  <c r="HA2"/>
  <c r="FU2"/>
  <c r="EO2"/>
  <c r="DI2"/>
  <c r="CC2"/>
  <c r="AW2"/>
  <c r="Q2"/>
  <c r="AOV2"/>
  <c r="ALM2"/>
  <c r="AJX2"/>
  <c r="AGO2"/>
  <c r="AEZ2"/>
  <c r="ABQ2"/>
  <c r="AAB2"/>
  <c r="WJ2"/>
  <c r="RL2"/>
  <c r="OZ2"/>
  <c r="KB2"/>
  <c r="HP2"/>
  <c r="FD2"/>
  <c r="DX2"/>
  <c r="ANH2"/>
  <c r="ALN2"/>
  <c r="AIJ2"/>
  <c r="AGP2"/>
  <c r="ADL2"/>
  <c r="AAZ2"/>
  <c r="XQ2"/>
  <c r="SS2"/>
  <c r="QG2"/>
  <c r="LI2"/>
  <c r="IW2"/>
  <c r="DY2"/>
  <c r="A2"/>
  <c r="AOF2"/>
  <c r="AKW2"/>
  <c r="AJZ2"/>
  <c r="AGV2"/>
  <c r="AEJ2"/>
  <c r="ABA2"/>
  <c r="ZL2"/>
  <c r="VL2"/>
  <c r="QN2"/>
  <c r="OB2"/>
  <c r="JD2"/>
  <c r="GR2"/>
  <c r="EF2"/>
  <c r="H2"/>
  <c r="ALU2"/>
  <c r="AIL2"/>
  <c r="AGW2"/>
  <c r="ADN2"/>
  <c r="ABY2"/>
  <c r="YP2"/>
  <c r="WS2"/>
  <c r="RU2"/>
  <c r="PI2"/>
  <c r="KK2"/>
  <c r="HY2"/>
  <c r="I2"/>
  <c r="AOH2"/>
  <c r="ALD2"/>
  <c r="AIR2"/>
  <c r="AGF2"/>
  <c r="ADT2"/>
  <c r="ABH2"/>
  <c r="XY2"/>
  <c r="AON2"/>
  <c r="AMT2"/>
  <c r="AKH2"/>
  <c r="AIS2"/>
  <c r="AGG2"/>
  <c r="AER2"/>
  <c r="ACF2"/>
  <c r="AAL2"/>
  <c r="XZ2"/>
  <c r="VU2"/>
  <c r="D2" i="26"/>
  <c r="C2"/>
  <c r="E2"/>
  <c r="D8"/>
  <c r="C8"/>
  <c r="E8"/>
  <c r="ANR2" i="2"/>
  <c r="AMC2"/>
  <c r="AKN2"/>
  <c r="AIT2"/>
  <c r="AIB2"/>
  <c r="AHE2"/>
  <c r="AGH2"/>
  <c r="AFP2"/>
  <c r="AES2"/>
  <c r="ADV2"/>
  <c r="ADD2"/>
  <c r="ACG2"/>
  <c r="ABJ2"/>
  <c r="AAR2"/>
  <c r="ZU2"/>
  <c r="YX2"/>
  <c r="YF2"/>
  <c r="XH2"/>
  <c r="WB2"/>
  <c r="UV2"/>
  <c r="TP2"/>
  <c r="SJ2"/>
  <c r="RD2"/>
  <c r="PX2"/>
  <c r="OR2"/>
  <c r="NL2"/>
  <c r="MF2"/>
  <c r="KZ2"/>
  <c r="JT2"/>
  <c r="IN2"/>
  <c r="HH2"/>
  <c r="GB2"/>
  <c r="EV2"/>
  <c r="DP2"/>
  <c r="CJ2"/>
  <c r="BD2"/>
  <c r="X2"/>
  <c r="ANY2"/>
  <c r="AKP2"/>
  <c r="AJA2"/>
  <c r="AFR2"/>
  <c r="ACN2"/>
  <c r="AAT2"/>
  <c r="XP2"/>
  <c r="VD2"/>
  <c r="QF2"/>
  <c r="NT2"/>
  <c r="IV2"/>
  <c r="GJ2"/>
  <c r="AF2"/>
  <c r="AMK2"/>
  <c r="AKV2"/>
  <c r="AHM2"/>
  <c r="AFX2"/>
  <c r="ACO2"/>
  <c r="ABR2"/>
  <c r="YN2"/>
  <c r="WK2"/>
  <c r="RM2"/>
  <c r="PA2"/>
  <c r="KC2"/>
  <c r="FE2"/>
  <c r="AG2"/>
  <c r="D5" i="26"/>
  <c r="C5"/>
  <c r="E5"/>
  <c r="AOX2" i="2"/>
  <c r="ALT2"/>
  <c r="AJH2"/>
  <c r="AFY2"/>
  <c r="AFB2"/>
  <c r="ABX2"/>
  <c r="AAD2"/>
  <c r="WR2"/>
  <c r="UF2"/>
  <c r="PH2"/>
  <c r="MV2"/>
  <c r="HX2"/>
  <c r="FL2"/>
  <c r="AN2"/>
  <c r="AMR2"/>
  <c r="AKX2"/>
  <c r="AHT2"/>
  <c r="AFZ2"/>
  <c r="ACV2"/>
  <c r="ABB2"/>
  <c r="XX2"/>
  <c r="VM2"/>
  <c r="QO2"/>
  <c r="OC2"/>
  <c r="JE2"/>
  <c r="GS2"/>
  <c r="AO2"/>
  <c r="AMS2"/>
  <c r="AKG2"/>
  <c r="AHU2"/>
  <c r="AFI2"/>
  <c r="ACW2"/>
  <c r="AAK2"/>
  <c r="WZ2"/>
  <c r="ANQ2"/>
  <c r="AMB2"/>
  <c r="AJP2"/>
  <c r="AHV2"/>
  <c r="AFJ2"/>
  <c r="ADU2"/>
  <c r="ABI2"/>
  <c r="YW2"/>
  <c r="UO2"/>
  <c r="AOO2"/>
  <c r="AMZ2"/>
  <c r="ALF2"/>
  <c r="AJQ2"/>
  <c r="AOP2"/>
  <c r="ANX2"/>
  <c r="ANA2"/>
  <c r="AMD2"/>
  <c r="ALL2"/>
  <c r="AKO2"/>
  <c r="AJR2"/>
  <c r="AIZ2"/>
  <c r="AIC2"/>
  <c r="AHF2"/>
  <c r="AGN2"/>
  <c r="AFQ2"/>
  <c r="AET2"/>
  <c r="AEB2"/>
  <c r="ADE2"/>
  <c r="ACH2"/>
  <c r="ABP2"/>
  <c r="AAS2"/>
  <c r="ZV2"/>
  <c r="ZD2"/>
  <c r="YG2"/>
  <c r="XI2"/>
  <c r="WC2"/>
  <c r="UW2"/>
  <c r="TQ2"/>
  <c r="SK2"/>
  <c r="RE2"/>
  <c r="PY2"/>
  <c r="OS2"/>
  <c r="NM2"/>
  <c r="MG2"/>
  <c r="LA2"/>
  <c r="JU2"/>
  <c r="IO2"/>
  <c r="HI2"/>
  <c r="GC2"/>
  <c r="EW2"/>
  <c r="DQ2"/>
  <c r="CK2"/>
  <c r="BE2"/>
  <c r="Y2"/>
  <c r="WT2"/>
  <c r="UX2"/>
  <c r="TJ2"/>
  <c r="RN2"/>
  <c r="PR2"/>
  <c r="NV2"/>
  <c r="LZ2"/>
  <c r="KL2"/>
  <c r="IH2"/>
  <c r="GL2"/>
  <c r="EP2"/>
  <c r="CT2"/>
  <c r="AX2"/>
  <c r="R2"/>
  <c r="D7" i="26"/>
  <c r="C7"/>
  <c r="E7"/>
  <c r="ANS2" i="2"/>
  <c r="ALW2"/>
  <c r="AKA2"/>
  <c r="AEU2"/>
  <c r="ADG2"/>
  <c r="ABK2"/>
  <c r="ZO2"/>
  <c r="XS2"/>
  <c r="WE2"/>
  <c r="UI2"/>
  <c r="SM2"/>
  <c r="QQ2"/>
  <c r="OU2"/>
  <c r="MY2"/>
  <c r="LK2"/>
  <c r="JO2"/>
  <c r="IQ2"/>
  <c r="GU2"/>
  <c r="EY2"/>
  <c r="DC2"/>
  <c r="BG2"/>
  <c r="S2"/>
  <c r="AOR2"/>
  <c r="AND2"/>
  <c r="ALH2"/>
  <c r="AJL2"/>
  <c r="AHP2"/>
  <c r="AFT2"/>
  <c r="AEF2"/>
  <c r="ACB2"/>
  <c r="AAV2"/>
  <c r="AAN2"/>
  <c r="AAF2"/>
  <c r="ZX2"/>
  <c r="ZP2"/>
  <c r="ZH2"/>
  <c r="YZ2"/>
  <c r="YR2"/>
  <c r="YJ2"/>
  <c r="YB2"/>
  <c r="XT2"/>
  <c r="XL2"/>
  <c r="XD2"/>
  <c r="WV2"/>
  <c r="WN2"/>
  <c r="WF2"/>
  <c r="VX2"/>
  <c r="VP2"/>
  <c r="VH2"/>
  <c r="UZ2"/>
  <c r="UR2"/>
  <c r="UJ2"/>
  <c r="UB2"/>
  <c r="TT2"/>
  <c r="TL2"/>
  <c r="TD2"/>
  <c r="SV2"/>
  <c r="SN2"/>
  <c r="SF2"/>
  <c r="RX2"/>
  <c r="RP2"/>
  <c r="RH2"/>
  <c r="QZ2"/>
  <c r="QR2"/>
  <c r="QJ2"/>
  <c r="QB2"/>
  <c r="PT2"/>
  <c r="PL2"/>
  <c r="PD2"/>
  <c r="OV2"/>
  <c r="ON2"/>
  <c r="OF2"/>
  <c r="NX2"/>
  <c r="NP2"/>
  <c r="NH2"/>
  <c r="MZ2"/>
  <c r="MR2"/>
  <c r="MJ2"/>
  <c r="MB2"/>
  <c r="LT2"/>
  <c r="LL2"/>
  <c r="LD2"/>
  <c r="KV2"/>
  <c r="KN2"/>
  <c r="KF2"/>
  <c r="JX2"/>
  <c r="JP2"/>
  <c r="JH2"/>
  <c r="IZ2"/>
  <c r="IR2"/>
  <c r="IJ2"/>
  <c r="IB2"/>
  <c r="HT2"/>
  <c r="HL2"/>
  <c r="HD2"/>
  <c r="GV2"/>
  <c r="GN2"/>
  <c r="GF2"/>
  <c r="FX2"/>
  <c r="FP2"/>
  <c r="FH2"/>
  <c r="EZ2"/>
  <c r="ER2"/>
  <c r="EJ2"/>
  <c r="EB2"/>
  <c r="DT2"/>
  <c r="DL2"/>
  <c r="DD2"/>
  <c r="CV2"/>
  <c r="CN2"/>
  <c r="CF2"/>
  <c r="BX2"/>
  <c r="BP2"/>
  <c r="BH2"/>
  <c r="AZ2"/>
  <c r="AR2"/>
  <c r="AJ2"/>
  <c r="AB2"/>
  <c r="T2"/>
  <c r="L2"/>
  <c r="D2"/>
  <c r="WL2"/>
  <c r="UP2"/>
  <c r="TB2"/>
  <c r="RF2"/>
  <c r="PJ2"/>
  <c r="NN2"/>
  <c r="LR2"/>
  <c r="KD2"/>
  <c r="IP2"/>
  <c r="GT2"/>
  <c r="FF2"/>
  <c r="DR2"/>
  <c r="BV2"/>
  <c r="B2"/>
  <c r="AOA2"/>
  <c r="AME2"/>
  <c r="AKY2"/>
  <c r="AJC2"/>
  <c r="AHW2"/>
  <c r="AGQ2"/>
  <c r="AFC2"/>
  <c r="ADO2"/>
  <c r="ABS2"/>
  <c r="AAE2"/>
  <c r="YI2"/>
  <c r="WM2"/>
  <c r="UQ2"/>
  <c r="SU2"/>
  <c r="QY2"/>
  <c r="PC2"/>
  <c r="NO2"/>
  <c r="LS2"/>
  <c r="JW2"/>
  <c r="HS2"/>
  <c r="GE2"/>
  <c r="EQ2"/>
  <c r="CU2"/>
  <c r="AY2"/>
  <c r="AA2"/>
  <c r="AOJ2"/>
  <c r="AMV2"/>
  <c r="AKZ2"/>
  <c r="AJD2"/>
  <c r="AHH2"/>
  <c r="AFL2"/>
  <c r="ADP2"/>
  <c r="ABT2"/>
  <c r="AOC2"/>
  <c r="AMO2"/>
  <c r="ALA2"/>
  <c r="AJU2"/>
  <c r="AIO2"/>
  <c r="AHA2"/>
  <c r="AFM2"/>
  <c r="ADY2"/>
  <c r="ACK2"/>
  <c r="AAW2"/>
  <c r="ZI2"/>
  <c r="YC2"/>
  <c r="XE2"/>
  <c r="WG2"/>
  <c r="VY2"/>
  <c r="VQ2"/>
  <c r="VI2"/>
  <c r="VA2"/>
  <c r="US2"/>
  <c r="UK2"/>
  <c r="UC2"/>
  <c r="TU2"/>
  <c r="TM2"/>
  <c r="TE2"/>
  <c r="SW2"/>
  <c r="SO2"/>
  <c r="SG2"/>
  <c r="RY2"/>
  <c r="RQ2"/>
  <c r="RI2"/>
  <c r="RA2"/>
  <c r="QS2"/>
  <c r="QK2"/>
  <c r="QC2"/>
  <c r="PU2"/>
  <c r="PM2"/>
  <c r="PE2"/>
  <c r="OW2"/>
  <c r="OO2"/>
  <c r="OG2"/>
  <c r="NY2"/>
  <c r="NQ2"/>
  <c r="NI2"/>
  <c r="NA2"/>
  <c r="MS2"/>
  <c r="MK2"/>
  <c r="MC2"/>
  <c r="LU2"/>
  <c r="LM2"/>
  <c r="LE2"/>
  <c r="KW2"/>
  <c r="KO2"/>
  <c r="KG2"/>
  <c r="JY2"/>
  <c r="JQ2"/>
  <c r="JI2"/>
  <c r="JA2"/>
  <c r="IS2"/>
  <c r="IK2"/>
  <c r="IC2"/>
  <c r="HU2"/>
  <c r="HM2"/>
  <c r="HE2"/>
  <c r="GW2"/>
  <c r="GO2"/>
  <c r="GG2"/>
  <c r="FY2"/>
  <c r="FQ2"/>
  <c r="FI2"/>
  <c r="FA2"/>
  <c r="ES2"/>
  <c r="EK2"/>
  <c r="EC2"/>
  <c r="DU2"/>
  <c r="DM2"/>
  <c r="DE2"/>
  <c r="CW2"/>
  <c r="CO2"/>
  <c r="CG2"/>
  <c r="BY2"/>
  <c r="BQ2"/>
  <c r="BI2"/>
  <c r="BA2"/>
  <c r="AS2"/>
  <c r="AK2"/>
  <c r="AC2"/>
  <c r="U2"/>
  <c r="M2"/>
  <c r="E2"/>
  <c r="XB2"/>
  <c r="VV2"/>
  <c r="VF2"/>
  <c r="TZ2"/>
  <c r="ST2"/>
  <c r="SD2"/>
  <c r="QX2"/>
  <c r="QH2"/>
  <c r="PB2"/>
  <c r="OL2"/>
  <c r="NF2"/>
  <c r="MP2"/>
  <c r="LJ2"/>
  <c r="KT2"/>
  <c r="JN2"/>
  <c r="JF2"/>
  <c r="HZ2"/>
  <c r="HJ2"/>
  <c r="GD2"/>
  <c r="FN2"/>
  <c r="EH2"/>
  <c r="DJ2"/>
  <c r="CL2"/>
  <c r="BN2"/>
  <c r="AP2"/>
  <c r="Z2"/>
  <c r="AOQ2"/>
  <c r="ANC2"/>
  <c r="AMM2"/>
  <c r="ALG2"/>
  <c r="AKI2"/>
  <c r="AJK2"/>
  <c r="AIM2"/>
  <c r="AHO2"/>
  <c r="AGY2"/>
  <c r="AGA2"/>
  <c r="AFK2"/>
  <c r="AEE2"/>
  <c r="ACY2"/>
  <c r="ACI2"/>
  <c r="ABC2"/>
  <c r="AAM2"/>
  <c r="ZG2"/>
  <c r="YQ2"/>
  <c r="XK2"/>
  <c r="WU2"/>
  <c r="VO2"/>
  <c r="UY2"/>
  <c r="TS2"/>
  <c r="TK2"/>
  <c r="SE2"/>
  <c r="RO2"/>
  <c r="QI2"/>
  <c r="PS2"/>
  <c r="OM2"/>
  <c r="NW2"/>
  <c r="MQ2"/>
  <c r="MA2"/>
  <c r="KU2"/>
  <c r="KE2"/>
  <c r="IY2"/>
  <c r="IA2"/>
  <c r="HK2"/>
  <c r="GM2"/>
  <c r="FO2"/>
  <c r="EI2"/>
  <c r="DS2"/>
  <c r="CM2"/>
  <c r="BW2"/>
  <c r="AQ2"/>
  <c r="C2"/>
  <c r="AOB2"/>
  <c r="ANL2"/>
  <c r="AMF2"/>
  <c r="ALP2"/>
  <c r="AKJ2"/>
  <c r="AJT2"/>
  <c r="AIN2"/>
  <c r="AHX2"/>
  <c r="AGR2"/>
  <c r="AGB2"/>
  <c r="AEV2"/>
  <c r="ADX2"/>
  <c r="ACZ2"/>
  <c r="ACR2"/>
  <c r="ABL2"/>
  <c r="AOK2"/>
  <c r="ANM2"/>
  <c r="AMW2"/>
  <c r="ALY2"/>
  <c r="ALQ2"/>
  <c r="AKS2"/>
  <c r="AKC2"/>
  <c r="AJE2"/>
  <c r="AIG2"/>
  <c r="AHQ2"/>
  <c r="AGS2"/>
  <c r="AGC2"/>
  <c r="AFE2"/>
  <c r="AEO2"/>
  <c r="ADQ2"/>
  <c r="ADA2"/>
  <c r="ACC2"/>
  <c r="ABM2"/>
  <c r="AAO2"/>
  <c r="ZY2"/>
  <c r="ZA2"/>
  <c r="YK2"/>
  <c r="XM2"/>
  <c r="WO2"/>
  <c r="D6" i="26"/>
  <c r="C6"/>
  <c r="E6"/>
  <c r="AOT2" i="2"/>
  <c r="AOL2"/>
  <c r="AOD2"/>
  <c r="ANV2"/>
  <c r="ANN2"/>
  <c r="ANF2"/>
  <c r="AMX2"/>
  <c r="AMP2"/>
  <c r="AMH2"/>
  <c r="ALZ2"/>
  <c r="ALR2"/>
  <c r="ALJ2"/>
  <c r="ALB2"/>
  <c r="AKT2"/>
  <c r="AKL2"/>
  <c r="AKD2"/>
  <c r="AJV2"/>
  <c r="AJN2"/>
  <c r="AJF2"/>
  <c r="AIX2"/>
  <c r="AIP2"/>
  <c r="AIH2"/>
  <c r="AHZ2"/>
  <c r="AHR2"/>
  <c r="AHJ2"/>
  <c r="AHB2"/>
  <c r="AGT2"/>
  <c r="AGL2"/>
  <c r="AGD2"/>
  <c r="AFV2"/>
  <c r="AFN2"/>
  <c r="AFF2"/>
  <c r="AEX2"/>
  <c r="AEP2"/>
  <c r="AEH2"/>
  <c r="ADZ2"/>
  <c r="ADR2"/>
  <c r="ADJ2"/>
  <c r="ADB2"/>
  <c r="ACT2"/>
  <c r="ACL2"/>
  <c r="ACD2"/>
  <c r="ABV2"/>
  <c r="ABN2"/>
  <c r="ABF2"/>
  <c r="AAX2"/>
  <c r="AAP2"/>
  <c r="AAH2"/>
  <c r="ZZ2"/>
  <c r="ZR2"/>
  <c r="ZJ2"/>
  <c r="ZB2"/>
  <c r="YT2"/>
  <c r="YL2"/>
  <c r="YD2"/>
  <c r="XV2"/>
  <c r="XN2"/>
  <c r="XF2"/>
  <c r="WX2"/>
  <c r="WP2"/>
  <c r="WH2"/>
  <c r="VZ2"/>
  <c r="VR2"/>
  <c r="VJ2"/>
  <c r="VB2"/>
  <c r="UT2"/>
  <c r="UL2"/>
  <c r="UD2"/>
  <c r="TV2"/>
  <c r="TN2"/>
  <c r="TF2"/>
  <c r="SX2"/>
  <c r="SP2"/>
  <c r="SH2"/>
  <c r="RZ2"/>
  <c r="RR2"/>
  <c r="RJ2"/>
  <c r="RB2"/>
  <c r="QT2"/>
  <c r="QL2"/>
  <c r="QD2"/>
  <c r="PV2"/>
  <c r="PN2"/>
  <c r="PF2"/>
  <c r="OX2"/>
  <c r="OP2"/>
  <c r="OH2"/>
  <c r="NZ2"/>
  <c r="NR2"/>
  <c r="NJ2"/>
  <c r="NB2"/>
  <c r="MT2"/>
  <c r="ML2"/>
  <c r="MD2"/>
  <c r="LV2"/>
  <c r="LN2"/>
  <c r="LF2"/>
  <c r="KX2"/>
  <c r="KP2"/>
  <c r="KH2"/>
  <c r="JZ2"/>
  <c r="JR2"/>
  <c r="JJ2"/>
  <c r="JB2"/>
  <c r="IT2"/>
  <c r="IL2"/>
  <c r="ID2"/>
  <c r="HV2"/>
  <c r="HN2"/>
  <c r="HF2"/>
  <c r="GX2"/>
  <c r="GP2"/>
  <c r="GH2"/>
  <c r="FZ2"/>
  <c r="FR2"/>
  <c r="FJ2"/>
  <c r="FB2"/>
  <c r="ET2"/>
  <c r="EL2"/>
  <c r="ED2"/>
  <c r="DV2"/>
  <c r="DN2"/>
  <c r="DF2"/>
  <c r="CX2"/>
  <c r="CP2"/>
  <c r="CH2"/>
  <c r="BZ2"/>
  <c r="BR2"/>
  <c r="BJ2"/>
  <c r="BB2"/>
  <c r="AT2"/>
  <c r="AL2"/>
  <c r="AD2"/>
  <c r="V2"/>
  <c r="N2"/>
  <c r="F2"/>
  <c r="XJ2"/>
  <c r="WD2"/>
  <c r="VN2"/>
  <c r="UH2"/>
  <c r="TR2"/>
  <c r="SL2"/>
  <c r="RV2"/>
  <c r="QP2"/>
  <c r="PZ2"/>
  <c r="OT2"/>
  <c r="OD2"/>
  <c r="MX2"/>
  <c r="MH2"/>
  <c r="LB2"/>
  <c r="JV2"/>
  <c r="IX2"/>
  <c r="HR2"/>
  <c r="HB2"/>
  <c r="FV2"/>
  <c r="EX2"/>
  <c r="DZ2"/>
  <c r="DB2"/>
  <c r="CD2"/>
  <c r="BF2"/>
  <c r="AH2"/>
  <c r="J2"/>
  <c r="AOY2"/>
  <c r="AOI2"/>
  <c r="ANK2"/>
  <c r="AMU2"/>
  <c r="ALO2"/>
  <c r="AKQ2"/>
  <c r="AJS2"/>
  <c r="AIU2"/>
  <c r="AIE2"/>
  <c r="AHG2"/>
  <c r="AGI2"/>
  <c r="AFS2"/>
  <c r="AEM2"/>
  <c r="ADW2"/>
  <c r="ACQ2"/>
  <c r="ACA2"/>
  <c r="AAU2"/>
  <c r="ZW2"/>
  <c r="YY2"/>
  <c r="YA2"/>
  <c r="XC2"/>
  <c r="VW2"/>
  <c r="VG2"/>
  <c r="UA2"/>
  <c r="TC2"/>
  <c r="RW2"/>
  <c r="RG2"/>
  <c r="QA2"/>
  <c r="PK2"/>
  <c r="OE2"/>
  <c r="NG2"/>
  <c r="MI2"/>
  <c r="LC2"/>
  <c r="KM2"/>
  <c r="JG2"/>
  <c r="II2"/>
  <c r="HC2"/>
  <c r="FW2"/>
  <c r="FG2"/>
  <c r="EA2"/>
  <c r="DK2"/>
  <c r="CE2"/>
  <c r="BO2"/>
  <c r="AI2"/>
  <c r="K2"/>
  <c r="D4" i="26"/>
  <c r="C4"/>
  <c r="E4"/>
  <c r="AOZ2" i="2"/>
  <c r="ANT2"/>
  <c r="AMN2"/>
  <c r="ALX2"/>
  <c r="AKR2"/>
  <c r="AKB2"/>
  <c r="AIV2"/>
  <c r="AIF2"/>
  <c r="AGZ2"/>
  <c r="AGJ2"/>
  <c r="AFD2"/>
  <c r="AEN2"/>
  <c r="ADH2"/>
  <c r="ACJ2"/>
  <c r="ABD2"/>
  <c r="D9" i="26"/>
  <c r="C9"/>
  <c r="E9"/>
  <c r="AOS2" i="2"/>
  <c r="ANU2"/>
  <c r="ANE2"/>
  <c r="AMG2"/>
  <c r="ALI2"/>
  <c r="AKK2"/>
  <c r="AJM2"/>
  <c r="AIW2"/>
  <c r="AHY2"/>
  <c r="AHI2"/>
  <c r="AGK2"/>
  <c r="AFU2"/>
  <c r="AEW2"/>
  <c r="AEG2"/>
  <c r="ADI2"/>
  <c r="ACS2"/>
  <c r="ABU2"/>
  <c r="ABE2"/>
  <c r="AAG2"/>
  <c r="ZQ2"/>
  <c r="YS2"/>
  <c r="XU2"/>
  <c r="WW2"/>
  <c r="D3" i="26"/>
  <c r="C3"/>
  <c r="E3"/>
  <c r="D11"/>
  <c r="C11"/>
  <c r="E11"/>
  <c r="AOU2" i="2"/>
  <c r="AOM2"/>
  <c r="AOE2"/>
  <c r="ANW2"/>
  <c r="ANO2"/>
  <c r="ANG2"/>
  <c r="AMY2"/>
  <c r="AMQ2"/>
  <c r="AMI2"/>
  <c r="AMA2"/>
  <c r="ALS2"/>
  <c r="ALK2"/>
  <c r="ALC2"/>
  <c r="AKU2"/>
  <c r="AKM2"/>
  <c r="AKE2"/>
  <c r="AJW2"/>
  <c r="AJO2"/>
  <c r="AJG2"/>
  <c r="AIY2"/>
  <c r="AIQ2"/>
  <c r="AII2"/>
  <c r="AIA2"/>
  <c r="AHS2"/>
  <c r="AHK2"/>
  <c r="AHC2"/>
  <c r="AGU2"/>
  <c r="AGM2"/>
  <c r="AGE2"/>
  <c r="AFW2"/>
  <c r="AFO2"/>
  <c r="AFG2"/>
  <c r="AEY2"/>
  <c r="AEQ2"/>
  <c r="AEI2"/>
  <c r="AEA2"/>
  <c r="ADS2"/>
  <c r="ADK2"/>
  <c r="ADC2"/>
  <c r="ACU2"/>
  <c r="ACM2"/>
  <c r="ACE2"/>
  <c r="ABW2"/>
  <c r="ABO2"/>
  <c r="ABG2"/>
  <c r="AAY2"/>
  <c r="AAQ2"/>
  <c r="AAI2"/>
  <c r="AAA2"/>
  <c r="ZS2"/>
  <c r="ZK2"/>
  <c r="ZC2"/>
  <c r="YU2"/>
  <c r="YM2"/>
  <c r="YE2"/>
  <c r="XW2"/>
  <c r="XO2"/>
  <c r="XG2"/>
  <c r="WY2"/>
  <c r="WQ2"/>
  <c r="WI2"/>
  <c r="WA2"/>
  <c r="VS2"/>
  <c r="VK2"/>
  <c r="VC2"/>
  <c r="UU2"/>
  <c r="UM2"/>
  <c r="UE2"/>
  <c r="TW2"/>
  <c r="TO2"/>
  <c r="TG2"/>
  <c r="SY2"/>
  <c r="SQ2"/>
  <c r="SI2"/>
  <c r="SA2"/>
  <c r="RS2"/>
  <c r="RK2"/>
  <c r="RC2"/>
  <c r="QU2"/>
  <c r="QM2"/>
  <c r="QE2"/>
  <c r="PW2"/>
  <c r="PO2"/>
  <c r="PG2"/>
  <c r="OY2"/>
  <c r="OQ2"/>
  <c r="OI2"/>
  <c r="OA2"/>
  <c r="NS2"/>
  <c r="NK2"/>
  <c r="NC2"/>
  <c r="MU2"/>
  <c r="MM2"/>
  <c r="ME2"/>
  <c r="LW2"/>
  <c r="LO2"/>
  <c r="LG2"/>
  <c r="KY2"/>
  <c r="KQ2"/>
  <c r="KI2"/>
  <c r="KA2"/>
  <c r="JS2"/>
  <c r="JK2"/>
  <c r="JC2"/>
  <c r="IU2"/>
  <c r="IM2"/>
  <c r="IE2"/>
  <c r="HW2"/>
  <c r="HO2"/>
  <c r="HG2"/>
  <c r="GY2"/>
  <c r="GQ2"/>
  <c r="GI2"/>
  <c r="GA2"/>
  <c r="FS2"/>
  <c r="FK2"/>
  <c r="FC2"/>
  <c r="EU2"/>
  <c r="EM2"/>
  <c r="EE2"/>
  <c r="DW2"/>
  <c r="DO2"/>
  <c r="DG2"/>
  <c r="CY2"/>
  <c r="CQ2"/>
  <c r="CI2"/>
  <c r="CA2"/>
  <c r="BS2"/>
  <c r="BK2"/>
  <c r="BC2"/>
  <c r="AU2"/>
  <c r="AM2"/>
  <c r="AE2"/>
  <c r="W2"/>
  <c r="O2"/>
  <c r="G2"/>
  <c r="C31" i="25"/>
  <c r="A16" i="24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C29" i="25"/>
  <c r="C27"/>
  <c r="E2" i="3"/>
  <c r="G2"/>
  <c r="C2" l="1"/>
  <c r="A14" i="24"/>
  <c r="A15"/>
  <c r="A13"/>
  <c r="C14" i="7" a="1"/>
  <c r="C14" l="1"/>
  <c r="AD35" i="24"/>
  <c r="AE35"/>
  <c r="AO35" s="1"/>
  <c r="AF35"/>
  <c r="AJ35"/>
  <c r="AK35"/>
  <c r="AM35"/>
  <c r="AN35"/>
  <c r="AR35" l="1"/>
  <c r="AS35"/>
  <c r="AT35"/>
  <c r="AZ35"/>
  <c r="AW35"/>
  <c r="AU35" l="1"/>
  <c r="AQ35"/>
  <c r="AY35"/>
  <c r="AX35"/>
  <c r="AP35" l="1"/>
  <c r="BB35"/>
  <c r="BI35"/>
  <c r="BE35" s="1"/>
  <c r="BJ35"/>
  <c r="BK35"/>
  <c r="BL35" s="1"/>
  <c r="BP35"/>
  <c r="BW35"/>
  <c r="BX35" l="1"/>
  <c r="BY35" s="1"/>
  <c r="CA35"/>
  <c r="AG35" l="1"/>
  <c r="AH35"/>
  <c r="AI35"/>
  <c r="AL35"/>
  <c r="CC35"/>
  <c r="CD35"/>
  <c r="CF35"/>
  <c r="CG35"/>
  <c r="CH35"/>
  <c r="CI35"/>
  <c r="CJ35"/>
  <c r="CN35"/>
  <c r="CO35"/>
  <c r="CP35"/>
  <c r="CQ35"/>
  <c r="CR35"/>
  <c r="DR35"/>
  <c r="DS35"/>
  <c r="DT35"/>
  <c r="DU35"/>
  <c r="DV35"/>
  <c r="AD34"/>
  <c r="AE34"/>
  <c r="AJ34" s="1"/>
  <c r="AF34"/>
  <c r="AO34" l="1"/>
  <c r="AN34"/>
  <c r="AM34"/>
  <c r="AK34"/>
  <c r="CZ35"/>
  <c r="DJ35"/>
  <c r="CY35"/>
  <c r="DI35"/>
  <c r="CX35"/>
  <c r="DH35"/>
  <c r="CW35"/>
  <c r="DG35"/>
  <c r="CV35"/>
  <c r="DF35"/>
  <c r="AR34"/>
  <c r="AS34"/>
  <c r="AT34"/>
  <c r="AZ34"/>
  <c r="AW34"/>
  <c r="AU34" l="1"/>
  <c r="AQ34"/>
  <c r="AY34"/>
  <c r="AX34"/>
  <c r="AP34" l="1"/>
  <c r="BB34"/>
  <c r="BI34"/>
  <c r="BE34" s="1"/>
  <c r="BJ34"/>
  <c r="BK34"/>
  <c r="BL34" s="1"/>
  <c r="BP34"/>
  <c r="BW34"/>
  <c r="BX34" l="1"/>
  <c r="BY34" s="1"/>
  <c r="CA34"/>
  <c r="AG34" l="1"/>
  <c r="AH34"/>
  <c r="AI34"/>
  <c r="AL34"/>
  <c r="CC34"/>
  <c r="CD34"/>
  <c r="CF34"/>
  <c r="CG34"/>
  <c r="CH34"/>
  <c r="CI34"/>
  <c r="CJ34"/>
  <c r="CN34"/>
  <c r="CO34"/>
  <c r="CP34"/>
  <c r="CQ34"/>
  <c r="CR34"/>
  <c r="DR34"/>
  <c r="DS34"/>
  <c r="DT34"/>
  <c r="DU34"/>
  <c r="DV34"/>
  <c r="D29"/>
  <c r="AD29"/>
  <c r="AE29"/>
  <c r="AF29" s="1"/>
  <c r="AO29" l="1"/>
  <c r="AN29"/>
  <c r="AM29"/>
  <c r="AK29"/>
  <c r="AJ29"/>
  <c r="CZ34"/>
  <c r="DJ34"/>
  <c r="CY34"/>
  <c r="DI34"/>
  <c r="CX34"/>
  <c r="DH34"/>
  <c r="CW34"/>
  <c r="DG34"/>
  <c r="CV34"/>
  <c r="DF34"/>
  <c r="AR29"/>
  <c r="AS29"/>
  <c r="AT29"/>
  <c r="AZ29"/>
  <c r="AW29"/>
  <c r="AU29" l="1"/>
  <c r="AQ29"/>
  <c r="AY29"/>
  <c r="AX29"/>
  <c r="AP29" l="1"/>
  <c r="BB29"/>
  <c r="BI29"/>
  <c r="BE29" s="1"/>
  <c r="BF29" s="1"/>
  <c r="BJ29"/>
  <c r="BK29"/>
  <c r="BL29" s="1"/>
  <c r="BP29"/>
  <c r="BG29" l="1"/>
  <c r="BX29"/>
  <c r="BY29" s="1"/>
  <c r="BZ29"/>
  <c r="CA29"/>
  <c r="CB29"/>
  <c r="AG29" l="1"/>
  <c r="AH29"/>
  <c r="AI29"/>
  <c r="AL29"/>
  <c r="CC29"/>
  <c r="CD29"/>
  <c r="CF29"/>
  <c r="CG29"/>
  <c r="CH29"/>
  <c r="CI29"/>
  <c r="CJ29"/>
  <c r="CN29"/>
  <c r="CO29"/>
  <c r="CP29"/>
  <c r="CQ29"/>
  <c r="CR29"/>
  <c r="DR29"/>
  <c r="DS29"/>
  <c r="DT29"/>
  <c r="DU29"/>
  <c r="DV29"/>
  <c r="D30"/>
  <c r="AD30"/>
  <c r="AE30"/>
  <c r="AF30" s="1"/>
  <c r="AR30"/>
  <c r="AS30"/>
  <c r="AU30" s="1"/>
  <c r="AT30"/>
  <c r="AK30" l="1"/>
  <c r="AO30"/>
  <c r="AN30"/>
  <c r="AM30"/>
  <c r="AJ30"/>
  <c r="AQ30"/>
  <c r="AP30" s="1"/>
  <c r="CZ29"/>
  <c r="DJ29"/>
  <c r="CY29"/>
  <c r="DI29"/>
  <c r="CX29"/>
  <c r="DH29"/>
  <c r="CW29"/>
  <c r="DG29"/>
  <c r="CV29"/>
  <c r="DF29"/>
  <c r="AZ30"/>
  <c r="AW30"/>
  <c r="BB30" l="1"/>
  <c r="BI30"/>
  <c r="BE30" s="1"/>
  <c r="BF30" s="1"/>
  <c r="BJ30"/>
  <c r="BK30"/>
  <c r="BL30" s="1"/>
  <c r="BP30"/>
  <c r="AY30"/>
  <c r="AX30"/>
  <c r="BG30" l="1"/>
  <c r="BX30"/>
  <c r="BY30" s="1"/>
  <c r="BZ30"/>
  <c r="CA30"/>
  <c r="CB30"/>
  <c r="AG30" l="1"/>
  <c r="AH30"/>
  <c r="AI30"/>
  <c r="AL30"/>
  <c r="CC30"/>
  <c r="CD30"/>
  <c r="CF30"/>
  <c r="CG30"/>
  <c r="CH30"/>
  <c r="CI30"/>
  <c r="CJ30"/>
  <c r="CN30"/>
  <c r="CO30"/>
  <c r="CP30"/>
  <c r="CQ30"/>
  <c r="CR30"/>
  <c r="DR30"/>
  <c r="DS30"/>
  <c r="DT30"/>
  <c r="DU30"/>
  <c r="DV30"/>
  <c r="D33"/>
  <c r="AD33"/>
  <c r="AE33"/>
  <c r="AF33" s="1"/>
  <c r="AO33" l="1"/>
  <c r="AN33"/>
  <c r="AM33"/>
  <c r="AK33"/>
  <c r="AJ33"/>
  <c r="AR33"/>
  <c r="AS33"/>
  <c r="AT33"/>
  <c r="CZ30"/>
  <c r="DJ30"/>
  <c r="CY30"/>
  <c r="DI30"/>
  <c r="CX30"/>
  <c r="DH30"/>
  <c r="CW30"/>
  <c r="DG30"/>
  <c r="CV30"/>
  <c r="DF30"/>
  <c r="AZ33"/>
  <c r="AW33"/>
  <c r="AU33" l="1"/>
  <c r="AQ33"/>
  <c r="AY33"/>
  <c r="AX33"/>
  <c r="AP33" l="1"/>
  <c r="BB33"/>
  <c r="BI33"/>
  <c r="BE33" s="1"/>
  <c r="BJ33"/>
  <c r="BK33"/>
  <c r="BL33" s="1"/>
  <c r="BP33"/>
  <c r="BX33" l="1"/>
  <c r="BY33" s="1"/>
  <c r="CA33"/>
  <c r="AG33" l="1"/>
  <c r="AH33"/>
  <c r="AI33"/>
  <c r="AL33"/>
  <c r="CC33"/>
  <c r="CD33"/>
  <c r="CF33"/>
  <c r="CG33"/>
  <c r="CH33"/>
  <c r="CI33"/>
  <c r="CJ33"/>
  <c r="CN33"/>
  <c r="CO33"/>
  <c r="CP33"/>
  <c r="CQ33"/>
  <c r="CR33"/>
  <c r="DR33"/>
  <c r="DS33"/>
  <c r="DT33"/>
  <c r="DU33"/>
  <c r="DV33"/>
  <c r="D36"/>
  <c r="AD36"/>
  <c r="AR36" s="1"/>
  <c r="AE36"/>
  <c r="AF36" s="1"/>
  <c r="AS36"/>
  <c r="AU36" s="1"/>
  <c r="AT36"/>
  <c r="AN36" l="1"/>
  <c r="AO36"/>
  <c r="AM36"/>
  <c r="AK36"/>
  <c r="AJ36"/>
  <c r="AQ36"/>
  <c r="AP36" s="1"/>
  <c r="CZ33"/>
  <c r="DJ33"/>
  <c r="CY33"/>
  <c r="DI33"/>
  <c r="CX33"/>
  <c r="DH33"/>
  <c r="CW33"/>
  <c r="DG33"/>
  <c r="CV33"/>
  <c r="DF33"/>
  <c r="AZ36"/>
  <c r="AW36"/>
  <c r="BB36" l="1"/>
  <c r="BI36"/>
  <c r="BE36" s="1"/>
  <c r="BF36" s="1"/>
  <c r="BJ36"/>
  <c r="BK36"/>
  <c r="BL36" s="1"/>
  <c r="BP36"/>
  <c r="AY36"/>
  <c r="AX36"/>
  <c r="BG36" l="1"/>
  <c r="BX36"/>
  <c r="BY36" s="1"/>
  <c r="BZ36"/>
  <c r="CA36"/>
  <c r="CB36"/>
  <c r="AG36" l="1"/>
  <c r="AH36"/>
  <c r="AI36"/>
  <c r="AL36"/>
  <c r="CC36"/>
  <c r="CD36"/>
  <c r="CF36"/>
  <c r="CG36"/>
  <c r="CH36"/>
  <c r="CI36"/>
  <c r="CJ36"/>
  <c r="CN36"/>
  <c r="CO36"/>
  <c r="CP36"/>
  <c r="CQ36"/>
  <c r="CR36"/>
  <c r="DR36"/>
  <c r="DS36"/>
  <c r="DT36"/>
  <c r="DU36"/>
  <c r="DV36"/>
  <c r="CZ36" l="1"/>
  <c r="DJ36"/>
  <c r="CY36"/>
  <c r="DI36"/>
  <c r="CX36"/>
  <c r="DH36"/>
  <c r="CW36"/>
  <c r="DG36"/>
  <c r="CV36"/>
  <c r="DF36"/>
  <c r="K70" l="1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 l="1"/>
  <c r="DJ97" s="1"/>
  <c r="DU97"/>
  <c r="CY97" s="1"/>
  <c r="DT97"/>
  <c r="CX97" s="1"/>
  <c r="DS97"/>
  <c r="CW97" s="1"/>
  <c r="DR97"/>
  <c r="CV97" s="1"/>
  <c r="DQ97"/>
  <c r="CU97" s="1"/>
  <c r="DP97"/>
  <c r="CT97" s="1"/>
  <c r="DO97"/>
  <c r="CS97" s="1"/>
  <c r="CR97"/>
  <c r="CQ97"/>
  <c r="CP97"/>
  <c r="CO97"/>
  <c r="CN97"/>
  <c r="CM97"/>
  <c r="CL97"/>
  <c r="CK97"/>
  <c r="CJ97"/>
  <c r="CI97"/>
  <c r="CB97"/>
  <c r="DC97" l="1"/>
  <c r="DG97"/>
  <c r="DE97"/>
  <c r="DI97"/>
  <c r="DD97"/>
  <c r="DF97"/>
  <c r="DH97"/>
  <c r="CZ97"/>
  <c r="BJ97"/>
  <c r="BI97"/>
  <c r="AT97"/>
  <c r="AS97"/>
  <c r="AV97" s="1"/>
  <c r="AE97"/>
  <c r="AD97"/>
  <c r="CE97" s="1"/>
  <c r="U97"/>
  <c r="B97"/>
  <c r="DV96"/>
  <c r="CZ96" s="1"/>
  <c r="DU96"/>
  <c r="CY96" s="1"/>
  <c r="DT96"/>
  <c r="CX96" s="1"/>
  <c r="DS96"/>
  <c r="CW96" s="1"/>
  <c r="DR96"/>
  <c r="CV96" s="1"/>
  <c r="DQ96"/>
  <c r="CU96" s="1"/>
  <c r="DP96"/>
  <c r="CT96" s="1"/>
  <c r="DO96"/>
  <c r="CS96" s="1"/>
  <c r="CR96"/>
  <c r="CQ96"/>
  <c r="CP96"/>
  <c r="CO96"/>
  <c r="CN96"/>
  <c r="CM96"/>
  <c r="CL96"/>
  <c r="CK96"/>
  <c r="CJ96"/>
  <c r="CI96"/>
  <c r="CB96"/>
  <c r="DJ96" l="1"/>
  <c r="AZ97"/>
  <c r="AO97"/>
  <c r="BV97"/>
  <c r="DG96"/>
  <c r="DE96"/>
  <c r="DH96"/>
  <c r="DC96"/>
  <c r="DD96"/>
  <c r="DF96"/>
  <c r="DI96"/>
  <c r="DB97"/>
  <c r="AK97"/>
  <c r="AM97"/>
  <c r="AU97"/>
  <c r="BA97"/>
  <c r="BX97"/>
  <c r="AF97"/>
  <c r="AJ97"/>
  <c r="AN97"/>
  <c r="AR97"/>
  <c r="AW97" s="1"/>
  <c r="BB97"/>
  <c r="BP97"/>
  <c r="BW97"/>
  <c r="BJ96"/>
  <c r="BI96"/>
  <c r="AT96"/>
  <c r="AS96"/>
  <c r="AU96" s="1"/>
  <c r="AE96"/>
  <c r="AD96"/>
  <c r="CE96" s="1"/>
  <c r="U96"/>
  <c r="B96"/>
  <c r="DV95"/>
  <c r="CZ95" s="1"/>
  <c r="DU95"/>
  <c r="CY95" s="1"/>
  <c r="DT95"/>
  <c r="CX95" s="1"/>
  <c r="DS95"/>
  <c r="CW95" s="1"/>
  <c r="DR95"/>
  <c r="CV95" s="1"/>
  <c r="DQ95"/>
  <c r="CU95" s="1"/>
  <c r="DP95"/>
  <c r="CT95" s="1"/>
  <c r="DO95"/>
  <c r="CS95" s="1"/>
  <c r="DH95"/>
  <c r="CR95"/>
  <c r="CQ95"/>
  <c r="CP95"/>
  <c r="CO95"/>
  <c r="CN95"/>
  <c r="CM95"/>
  <c r="CL95"/>
  <c r="CK95"/>
  <c r="CJ95"/>
  <c r="CI95"/>
  <c r="CB95"/>
  <c r="BD97" l="1"/>
  <c r="BX96"/>
  <c r="AH96" s="1"/>
  <c r="AO96"/>
  <c r="BV96"/>
  <c r="BC97"/>
  <c r="DD95"/>
  <c r="DF95"/>
  <c r="DE95"/>
  <c r="DG95"/>
  <c r="DI95"/>
  <c r="DJ95"/>
  <c r="DC95"/>
  <c r="DB96"/>
  <c r="BS97"/>
  <c r="BT97" s="1"/>
  <c r="BQ97"/>
  <c r="BR97" s="1"/>
  <c r="CD97"/>
  <c r="CA97"/>
  <c r="BK97"/>
  <c r="AX97"/>
  <c r="AY97"/>
  <c r="AQ97"/>
  <c r="BY97"/>
  <c r="AL97" s="1"/>
  <c r="AH97"/>
  <c r="AG97"/>
  <c r="AF96"/>
  <c r="AJ96"/>
  <c r="AN96"/>
  <c r="AR96"/>
  <c r="AW96" s="1"/>
  <c r="AV96"/>
  <c r="AZ96"/>
  <c r="BB96"/>
  <c r="BP96"/>
  <c r="BW96"/>
  <c r="AK96"/>
  <c r="AM96"/>
  <c r="BA96"/>
  <c r="BJ95"/>
  <c r="BI95"/>
  <c r="AT95"/>
  <c r="AS95"/>
  <c r="AU95" s="1"/>
  <c r="AE95"/>
  <c r="AD95"/>
  <c r="CE95" s="1"/>
  <c r="DV94"/>
  <c r="CZ94" s="1"/>
  <c r="DU94"/>
  <c r="CY94" s="1"/>
  <c r="DT94"/>
  <c r="CX94" s="1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CB94"/>
  <c r="AG96" l="1"/>
  <c r="BY96"/>
  <c r="AI96" s="1"/>
  <c r="BX95"/>
  <c r="AH95" s="1"/>
  <c r="AO95"/>
  <c r="AF95"/>
  <c r="AJ95"/>
  <c r="AN95"/>
  <c r="AV95"/>
  <c r="BC96"/>
  <c r="DG94"/>
  <c r="DE94"/>
  <c r="DI94"/>
  <c r="DF94"/>
  <c r="DH94"/>
  <c r="DJ94"/>
  <c r="DB95"/>
  <c r="DD94"/>
  <c r="DC94"/>
  <c r="AI97"/>
  <c r="BH97" a="1"/>
  <c r="BH97" s="1"/>
  <c r="T97"/>
  <c r="BS96"/>
  <c r="BT96" s="1"/>
  <c r="BQ96"/>
  <c r="BR96" s="1"/>
  <c r="CD96"/>
  <c r="AY96"/>
  <c r="AQ96"/>
  <c r="CA96"/>
  <c r="BK96"/>
  <c r="AX96"/>
  <c r="AR95"/>
  <c r="AW95" s="1"/>
  <c r="B95"/>
  <c r="U95"/>
  <c r="AK95"/>
  <c r="AM95"/>
  <c r="BA95"/>
  <c r="BV95"/>
  <c r="BD96"/>
  <c r="CH97"/>
  <c r="CF97"/>
  <c r="CG97"/>
  <c r="CC97"/>
  <c r="AP97"/>
  <c r="BL97"/>
  <c r="BE97"/>
  <c r="AZ95"/>
  <c r="BB95"/>
  <c r="BP95"/>
  <c r="BW95"/>
  <c r="BJ94"/>
  <c r="BI94"/>
  <c r="AT94"/>
  <c r="AS94"/>
  <c r="AU94" s="1"/>
  <c r="AE94"/>
  <c r="AD94"/>
  <c r="CE94" s="1"/>
  <c r="DV93"/>
  <c r="CZ93" s="1"/>
  <c r="DU93"/>
  <c r="CY93" s="1"/>
  <c r="DT93"/>
  <c r="CX93" s="1"/>
  <c r="DS93"/>
  <c r="CW93" s="1"/>
  <c r="DR93"/>
  <c r="CV93" s="1"/>
  <c r="DQ93"/>
  <c r="CU93" s="1"/>
  <c r="DP93"/>
  <c r="CT93" s="1"/>
  <c r="DO93"/>
  <c r="CS93" s="1"/>
  <c r="CR93"/>
  <c r="CQ93"/>
  <c r="CP93"/>
  <c r="CO93"/>
  <c r="CN93"/>
  <c r="CM93"/>
  <c r="CL93"/>
  <c r="CK93"/>
  <c r="CJ93"/>
  <c r="CI93"/>
  <c r="CB93"/>
  <c r="AG95" l="1"/>
  <c r="DJ93"/>
  <c r="AL96"/>
  <c r="BY95"/>
  <c r="AL95" s="1"/>
  <c r="AZ94"/>
  <c r="AO94"/>
  <c r="AF94"/>
  <c r="AJ94"/>
  <c r="AN94"/>
  <c r="AV94"/>
  <c r="BD95"/>
  <c r="BC95"/>
  <c r="DI93"/>
  <c r="DH93"/>
  <c r="DD93"/>
  <c r="DG93"/>
  <c r="DB94"/>
  <c r="DE93"/>
  <c r="DF93"/>
  <c r="DC93"/>
  <c r="BH96" a="1"/>
  <c r="BH96" s="1"/>
  <c r="T96"/>
  <c r="BS95"/>
  <c r="BT95" s="1"/>
  <c r="BQ95"/>
  <c r="BR95" s="1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D94" s="1"/>
  <c r="BV94"/>
  <c r="BX94"/>
  <c r="BF97"/>
  <c r="BZ97"/>
  <c r="BG97"/>
  <c r="AR94"/>
  <c r="AW94" s="1"/>
  <c r="BB94"/>
  <c r="BP94"/>
  <c r="BW94"/>
  <c r="BJ93"/>
  <c r="BI93"/>
  <c r="AT93"/>
  <c r="AS93"/>
  <c r="AU93" s="1"/>
  <c r="AE93"/>
  <c r="AD93"/>
  <c r="CE93" s="1"/>
  <c r="DV92"/>
  <c r="CZ92" s="1"/>
  <c r="DU92"/>
  <c r="CY92" s="1"/>
  <c r="DT92"/>
  <c r="CX92" s="1"/>
  <c r="DS92"/>
  <c r="CW92" s="1"/>
  <c r="DR92"/>
  <c r="CV92" s="1"/>
  <c r="DQ92"/>
  <c r="CU92" s="1"/>
  <c r="DP92"/>
  <c r="CT92" s="1"/>
  <c r="DO92"/>
  <c r="CS92" s="1"/>
  <c r="CR92"/>
  <c r="CQ92"/>
  <c r="CP92"/>
  <c r="CO92"/>
  <c r="CN92"/>
  <c r="CM92"/>
  <c r="CL92"/>
  <c r="CK92"/>
  <c r="CJ92"/>
  <c r="CI92"/>
  <c r="CB92"/>
  <c r="AI95" l="1"/>
  <c r="BX93"/>
  <c r="AH93" s="1"/>
  <c r="AO93"/>
  <c r="AF93"/>
  <c r="AJ93"/>
  <c r="AN93"/>
  <c r="AV93"/>
  <c r="BC94"/>
  <c r="DI92"/>
  <c r="DH92"/>
  <c r="DJ92"/>
  <c r="DD92"/>
  <c r="DG92"/>
  <c r="DB93"/>
  <c r="DC92"/>
  <c r="DE92"/>
  <c r="DF92"/>
  <c r="BH95" a="1"/>
  <c r="BH95" s="1"/>
  <c r="T95"/>
  <c r="BS94"/>
  <c r="BT94" s="1"/>
  <c r="BQ94"/>
  <c r="BR94" s="1"/>
  <c r="CD94"/>
  <c r="CA94"/>
  <c r="BK94"/>
  <c r="AX94"/>
  <c r="AY94"/>
  <c r="AQ94"/>
  <c r="BY94"/>
  <c r="AL94" s="1"/>
  <c r="AH94"/>
  <c r="AG94"/>
  <c r="AR93"/>
  <c r="AW93" s="1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 s="1"/>
  <c r="AE92"/>
  <c r="AD92"/>
  <c r="CE92" s="1"/>
  <c r="U92"/>
  <c r="B92"/>
  <c r="DV91"/>
  <c r="CZ91" s="1"/>
  <c r="DU91"/>
  <c r="CY91" s="1"/>
  <c r="DT91"/>
  <c r="CX91" s="1"/>
  <c r="DS91"/>
  <c r="CW91" s="1"/>
  <c r="DR91"/>
  <c r="CV91" s="1"/>
  <c r="DQ91"/>
  <c r="CU91" s="1"/>
  <c r="DP91"/>
  <c r="CT91" s="1"/>
  <c r="DO91"/>
  <c r="CS91" s="1"/>
  <c r="CR91"/>
  <c r="CQ91"/>
  <c r="CP91"/>
  <c r="CO91"/>
  <c r="CN91"/>
  <c r="CM91"/>
  <c r="CL91"/>
  <c r="CK91"/>
  <c r="CJ91"/>
  <c r="CI91"/>
  <c r="CB91"/>
  <c r="BY93" l="1"/>
  <c r="AI93" s="1"/>
  <c r="AG93"/>
  <c r="DI91"/>
  <c r="DJ91"/>
  <c r="BX92"/>
  <c r="BY92" s="1"/>
  <c r="AL92" s="1"/>
  <c r="AO92"/>
  <c r="BV92"/>
  <c r="BC93"/>
  <c r="DE91"/>
  <c r="DG91"/>
  <c r="DF91"/>
  <c r="DH91"/>
  <c r="DC91"/>
  <c r="DD91"/>
  <c r="DB92"/>
  <c r="AI94"/>
  <c r="AG92"/>
  <c r="AM92"/>
  <c r="AF92"/>
  <c r="AJ92"/>
  <c r="AN92"/>
  <c r="AR92"/>
  <c r="AW92" s="1"/>
  <c r="AV92"/>
  <c r="AZ92"/>
  <c r="BB92"/>
  <c r="BP92"/>
  <c r="BW92"/>
  <c r="BD93"/>
  <c r="BH94" a="1"/>
  <c r="BH94" s="1"/>
  <c r="T94"/>
  <c r="BS93"/>
  <c r="BT93" s="1"/>
  <c r="BQ93"/>
  <c r="BR93" s="1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 s="1"/>
  <c r="AE91"/>
  <c r="AD91"/>
  <c r="CE91" s="1"/>
  <c r="DV90"/>
  <c r="CZ90" s="1"/>
  <c r="DU90"/>
  <c r="CY90" s="1"/>
  <c r="DT90"/>
  <c r="CX90" s="1"/>
  <c r="DS90"/>
  <c r="CW90" s="1"/>
  <c r="DR90"/>
  <c r="CV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CB90"/>
  <c r="AL93" l="1"/>
  <c r="AH92"/>
  <c r="BX91"/>
  <c r="AG91" s="1"/>
  <c r="AO91"/>
  <c r="AF91"/>
  <c r="AJ91"/>
  <c r="AN91"/>
  <c r="AV91"/>
  <c r="BC92"/>
  <c r="DG90"/>
  <c r="DJ90"/>
  <c r="DH90"/>
  <c r="DI90"/>
  <c r="DB91"/>
  <c r="DE90"/>
  <c r="DF90"/>
  <c r="DC90"/>
  <c r="DD90"/>
  <c r="BY91"/>
  <c r="AL91" s="1"/>
  <c r="BH93" a="1"/>
  <c r="BH93" s="1"/>
  <c r="T93"/>
  <c r="BF94"/>
  <c r="BZ94"/>
  <c r="BG94"/>
  <c r="BS92"/>
  <c r="BT92" s="1"/>
  <c r="BQ92"/>
  <c r="BR92" s="1"/>
  <c r="CD92"/>
  <c r="AY92"/>
  <c r="CA92"/>
  <c r="BK92"/>
  <c r="AX92"/>
  <c r="AQ92"/>
  <c r="B91"/>
  <c r="U91"/>
  <c r="AK91"/>
  <c r="AM91"/>
  <c r="BA91"/>
  <c r="BV91"/>
  <c r="BD92"/>
  <c r="AI92"/>
  <c r="CG93"/>
  <c r="CC93"/>
  <c r="CH93"/>
  <c r="CF93"/>
  <c r="BL93"/>
  <c r="BE93"/>
  <c r="AP93"/>
  <c r="AR91"/>
  <c r="AW91" s="1"/>
  <c r="AZ91"/>
  <c r="BB91"/>
  <c r="BP91"/>
  <c r="BW91"/>
  <c r="BJ90"/>
  <c r="BI90"/>
  <c r="AT90"/>
  <c r="AS90"/>
  <c r="AU90" s="1"/>
  <c r="AE90"/>
  <c r="AD90"/>
  <c r="CE90" s="1"/>
  <c r="DV89"/>
  <c r="CZ89" s="1"/>
  <c r="DU89"/>
  <c r="CY89" s="1"/>
  <c r="DT89"/>
  <c r="CX89" s="1"/>
  <c r="DS89"/>
  <c r="CW89" s="1"/>
  <c r="DR89"/>
  <c r="CV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CB89"/>
  <c r="AH91" l="1"/>
  <c r="DI89"/>
  <c r="DJ89"/>
  <c r="BX90"/>
  <c r="AH90" s="1"/>
  <c r="AO90"/>
  <c r="AF90"/>
  <c r="AJ90"/>
  <c r="AN90"/>
  <c r="BD91"/>
  <c r="BC91"/>
  <c r="AV90"/>
  <c r="DE89"/>
  <c r="DG89"/>
  <c r="DC89"/>
  <c r="DD89"/>
  <c r="DF89"/>
  <c r="DH89"/>
  <c r="DB90"/>
  <c r="AI91"/>
  <c r="BY90"/>
  <c r="AL90" s="1"/>
  <c r="BH92" a="1"/>
  <c r="BH92" s="1"/>
  <c r="T92"/>
  <c r="BS91"/>
  <c r="BT91" s="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 s="1"/>
  <c r="AZ90"/>
  <c r="BB90"/>
  <c r="BP90"/>
  <c r="BW90"/>
  <c r="BJ89"/>
  <c r="BI89"/>
  <c r="AT89"/>
  <c r="AS89"/>
  <c r="AU89" s="1"/>
  <c r="AE89"/>
  <c r="AD89"/>
  <c r="CE89" s="1"/>
  <c r="DV88"/>
  <c r="CZ88" s="1"/>
  <c r="DU88"/>
  <c r="CY88" s="1"/>
  <c r="DT88"/>
  <c r="CX88" s="1"/>
  <c r="DS88"/>
  <c r="CW88" s="1"/>
  <c r="DR88"/>
  <c r="CV88" s="1"/>
  <c r="DQ88"/>
  <c r="CU88" s="1"/>
  <c r="DP88"/>
  <c r="CT88" s="1"/>
  <c r="DO88"/>
  <c r="CS88" s="1"/>
  <c r="CR88"/>
  <c r="CQ88"/>
  <c r="CP88"/>
  <c r="CO88"/>
  <c r="CN88"/>
  <c r="CM88"/>
  <c r="CL88"/>
  <c r="CK88"/>
  <c r="CJ88"/>
  <c r="CI88"/>
  <c r="CB88"/>
  <c r="AG90" l="1"/>
  <c r="DJ88"/>
  <c r="DI88"/>
  <c r="DH88"/>
  <c r="DG88"/>
  <c r="BC90"/>
  <c r="BX89"/>
  <c r="BY89" s="1"/>
  <c r="AL89" s="1"/>
  <c r="AO89"/>
  <c r="AF89"/>
  <c r="AJ89"/>
  <c r="AN89"/>
  <c r="DC88"/>
  <c r="DE88"/>
  <c r="DD88"/>
  <c r="DF88"/>
  <c r="AV89"/>
  <c r="DB89"/>
  <c r="AI90"/>
  <c r="BH91" a="1"/>
  <c r="BH91" s="1"/>
  <c r="T91"/>
  <c r="BS90"/>
  <c r="BT90" s="1"/>
  <c r="BQ90"/>
  <c r="BR90" s="1"/>
  <c r="BZ92"/>
  <c r="BG92"/>
  <c r="BF92"/>
  <c r="B89"/>
  <c r="U89"/>
  <c r="AK89"/>
  <c r="AM89"/>
  <c r="BA89"/>
  <c r="BV89"/>
  <c r="BD90"/>
  <c r="CD90"/>
  <c r="CA90"/>
  <c r="BK90"/>
  <c r="AX90"/>
  <c r="AY90"/>
  <c r="AQ90"/>
  <c r="CH91"/>
  <c r="CF91"/>
  <c r="CG91"/>
  <c r="CC91"/>
  <c r="AP91"/>
  <c r="BL91"/>
  <c r="BE91"/>
  <c r="AR89"/>
  <c r="AW89" s="1"/>
  <c r="AZ89"/>
  <c r="BB89"/>
  <c r="BP89"/>
  <c r="BW89"/>
  <c r="BJ88"/>
  <c r="BI88"/>
  <c r="AT88"/>
  <c r="AS88"/>
  <c r="AU88" s="1"/>
  <c r="AE88"/>
  <c r="AD88"/>
  <c r="CE88" s="1"/>
  <c r="U88"/>
  <c r="B88"/>
  <c r="DV87"/>
  <c r="CZ87" s="1"/>
  <c r="DU87"/>
  <c r="CY87" s="1"/>
  <c r="DT87"/>
  <c r="CX87" s="1"/>
  <c r="DS87"/>
  <c r="CW87" s="1"/>
  <c r="DR87"/>
  <c r="CV87" s="1"/>
  <c r="DQ87"/>
  <c r="CU87" s="1"/>
  <c r="DP87"/>
  <c r="CT87" s="1"/>
  <c r="DO87"/>
  <c r="CS87" s="1"/>
  <c r="CR87"/>
  <c r="CQ87"/>
  <c r="CP87"/>
  <c r="CO87"/>
  <c r="CN87"/>
  <c r="CM87"/>
  <c r="CL87"/>
  <c r="CK87"/>
  <c r="CJ87"/>
  <c r="CI87"/>
  <c r="CB87"/>
  <c r="BC89" l="1"/>
  <c r="AG89"/>
  <c r="AH89"/>
  <c r="BX88"/>
  <c r="AH88" s="1"/>
  <c r="AO88"/>
  <c r="DB88"/>
  <c r="BD89"/>
  <c r="DG87"/>
  <c r="DJ87"/>
  <c r="DC87"/>
  <c r="DE87"/>
  <c r="DD87"/>
  <c r="DF87"/>
  <c r="DH87"/>
  <c r="DI87"/>
  <c r="AI89"/>
  <c r="AG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 s="1"/>
  <c r="AV88"/>
  <c r="AZ88"/>
  <c r="BB88"/>
  <c r="BP88"/>
  <c r="BW88"/>
  <c r="BH90" a="1"/>
  <c r="BH90" s="1"/>
  <c r="T90"/>
  <c r="BS89"/>
  <c r="BT89" s="1"/>
  <c r="BQ89"/>
  <c r="BR89" s="1"/>
  <c r="BF91"/>
  <c r="BZ91"/>
  <c r="BG91"/>
  <c r="AK88"/>
  <c r="AM88"/>
  <c r="BA88"/>
  <c r="BV88"/>
  <c r="BJ87"/>
  <c r="BI87"/>
  <c r="AT87"/>
  <c r="AS87"/>
  <c r="AU87" s="1"/>
  <c r="AE87"/>
  <c r="AD87"/>
  <c r="CE87" s="1"/>
  <c r="DV86"/>
  <c r="DJ86" s="1"/>
  <c r="DU86"/>
  <c r="CY86" s="1"/>
  <c r="DT86"/>
  <c r="CX86" s="1"/>
  <c r="DS86"/>
  <c r="CW86" s="1"/>
  <c r="DR86"/>
  <c r="CV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CB86"/>
  <c r="BY88" l="1"/>
  <c r="AI88" s="1"/>
  <c r="DH86"/>
  <c r="BX87"/>
  <c r="AH87" s="1"/>
  <c r="AO87"/>
  <c r="AF87"/>
  <c r="AJ87"/>
  <c r="AN87"/>
  <c r="BC88"/>
  <c r="AV87"/>
  <c r="DD86"/>
  <c r="DF86"/>
  <c r="DG86"/>
  <c r="DI86"/>
  <c r="DC86"/>
  <c r="DE86"/>
  <c r="CZ86"/>
  <c r="DB87"/>
  <c r="BY87"/>
  <c r="AI87" s="1"/>
  <c r="BH89" a="1"/>
  <c r="BH89" s="1"/>
  <c r="T89"/>
  <c r="BS88"/>
  <c r="BT88" s="1"/>
  <c r="BQ88"/>
  <c r="BR88" s="1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 s="1"/>
  <c r="AZ87"/>
  <c r="B87"/>
  <c r="U87"/>
  <c r="AK87"/>
  <c r="AM87"/>
  <c r="BA87"/>
  <c r="BV87"/>
  <c r="BD88"/>
  <c r="BB87"/>
  <c r="BP87"/>
  <c r="BW87"/>
  <c r="BJ86"/>
  <c r="BI86"/>
  <c r="AT86"/>
  <c r="AS86"/>
  <c r="AU86" s="1"/>
  <c r="AE86"/>
  <c r="AD86"/>
  <c r="CE86" s="1"/>
  <c r="U86"/>
  <c r="B86"/>
  <c r="DV85"/>
  <c r="CZ85" s="1"/>
  <c r="DU85"/>
  <c r="CY85" s="1"/>
  <c r="DT85"/>
  <c r="CX85" s="1"/>
  <c r="DS85"/>
  <c r="CW85" s="1"/>
  <c r="DR85"/>
  <c r="CV85" s="1"/>
  <c r="DQ85"/>
  <c r="CU85" s="1"/>
  <c r="DP85"/>
  <c r="CT85" s="1"/>
  <c r="DO85"/>
  <c r="CS85" s="1"/>
  <c r="CR85"/>
  <c r="CQ85"/>
  <c r="CP85"/>
  <c r="CO85"/>
  <c r="CN85"/>
  <c r="CM85"/>
  <c r="CL85"/>
  <c r="CK85"/>
  <c r="CJ85"/>
  <c r="CI85"/>
  <c r="CB85"/>
  <c r="AL88" l="1"/>
  <c r="AG87"/>
  <c r="DH85"/>
  <c r="DJ85"/>
  <c r="BX86"/>
  <c r="AH86" s="1"/>
  <c r="AO86"/>
  <c r="BV86"/>
  <c r="BC87"/>
  <c r="DI85"/>
  <c r="DE85"/>
  <c r="DB86"/>
  <c r="DC85"/>
  <c r="DD85"/>
  <c r="DF85"/>
  <c r="DG85"/>
  <c r="AL87"/>
  <c r="AG86"/>
  <c r="BY86"/>
  <c r="AI86" s="1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 s="1"/>
  <c r="AV86"/>
  <c r="AZ86"/>
  <c r="BB86"/>
  <c r="BP86"/>
  <c r="BW86"/>
  <c r="BH88" a="1"/>
  <c r="BH88" s="1"/>
  <c r="T88"/>
  <c r="BS87"/>
  <c r="BT87" s="1"/>
  <c r="BQ87"/>
  <c r="BR87" s="1"/>
  <c r="BF89"/>
  <c r="BZ89"/>
  <c r="BG89"/>
  <c r="AK86"/>
  <c r="AM86"/>
  <c r="BA86"/>
  <c r="BD87"/>
  <c r="BJ85"/>
  <c r="BI85"/>
  <c r="AT85"/>
  <c r="AS85"/>
  <c r="AU85" s="1"/>
  <c r="AE85"/>
  <c r="AD85"/>
  <c r="CE85" s="1"/>
  <c r="DV84"/>
  <c r="CZ84" s="1"/>
  <c r="DU84"/>
  <c r="CY84" s="1"/>
  <c r="DT84"/>
  <c r="CX84" s="1"/>
  <c r="DS84"/>
  <c r="CW84" s="1"/>
  <c r="DR84"/>
  <c r="CV84" s="1"/>
  <c r="DQ84"/>
  <c r="CU84" s="1"/>
  <c r="DP84"/>
  <c r="CT84" s="1"/>
  <c r="DO84"/>
  <c r="CS84" s="1"/>
  <c r="DI84"/>
  <c r="CR84"/>
  <c r="CQ84"/>
  <c r="CP84"/>
  <c r="CO84"/>
  <c r="CN84"/>
  <c r="CM84"/>
  <c r="CL84"/>
  <c r="CK84"/>
  <c r="CJ84"/>
  <c r="CI84"/>
  <c r="CB84"/>
  <c r="DJ84" l="1"/>
  <c r="BX85"/>
  <c r="AG85" s="1"/>
  <c r="AO85"/>
  <c r="AF85"/>
  <c r="AJ85"/>
  <c r="AN85"/>
  <c r="BC86"/>
  <c r="DG84"/>
  <c r="DH84"/>
  <c r="DC84"/>
  <c r="DF84"/>
  <c r="DD84"/>
  <c r="DE84"/>
  <c r="AV85"/>
  <c r="DB85"/>
  <c r="AL86"/>
  <c r="BH87" a="1"/>
  <c r="BH87" s="1"/>
  <c r="T87"/>
  <c r="BS86"/>
  <c r="BT86" s="1"/>
  <c r="BQ86"/>
  <c r="BR86" s="1"/>
  <c r="CD86"/>
  <c r="AY86"/>
  <c r="AQ86"/>
  <c r="CA86"/>
  <c r="BK86"/>
  <c r="AX86"/>
  <c r="AR85"/>
  <c r="AW85" s="1"/>
  <c r="B85"/>
  <c r="U85"/>
  <c r="AK85"/>
  <c r="AM85"/>
  <c r="BA85"/>
  <c r="BV85"/>
  <c r="BD86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 s="1"/>
  <c r="AE84"/>
  <c r="AD84"/>
  <c r="CE84" s="1"/>
  <c r="DV83"/>
  <c r="CZ83" s="1"/>
  <c r="DU83"/>
  <c r="CY83" s="1"/>
  <c r="DT83"/>
  <c r="CX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CB83"/>
  <c r="BY85" l="1"/>
  <c r="AL85" s="1"/>
  <c r="AH85"/>
  <c r="BC85"/>
  <c r="B84"/>
  <c r="U84"/>
  <c r="BX84"/>
  <c r="BY84" s="1"/>
  <c r="AI84" s="1"/>
  <c r="AO84"/>
  <c r="DB84"/>
  <c r="DG83"/>
  <c r="DE83"/>
  <c r="DI83"/>
  <c r="DD83"/>
  <c r="DF83"/>
  <c r="DH83"/>
  <c r="DC83"/>
  <c r="DJ83"/>
  <c r="BD85"/>
  <c r="AG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 s="1"/>
  <c r="AV84"/>
  <c r="AZ84"/>
  <c r="BB84"/>
  <c r="BP84"/>
  <c r="BW84"/>
  <c r="BH86" a="1"/>
  <c r="BH86" s="1"/>
  <c r="T86"/>
  <c r="BS85"/>
  <c r="BT85" s="1"/>
  <c r="BQ85"/>
  <c r="BR85" s="1"/>
  <c r="BF87"/>
  <c r="BZ87"/>
  <c r="BG87"/>
  <c r="AK84"/>
  <c r="AM84"/>
  <c r="BA84"/>
  <c r="BV84"/>
  <c r="BJ83"/>
  <c r="BI83"/>
  <c r="AT83"/>
  <c r="AS83"/>
  <c r="AU83" s="1"/>
  <c r="AE83"/>
  <c r="AD83"/>
  <c r="CE83" s="1"/>
  <c r="DV82"/>
  <c r="CZ82" s="1"/>
  <c r="DU82"/>
  <c r="CY82" s="1"/>
  <c r="DT82"/>
  <c r="CX82" s="1"/>
  <c r="DS82"/>
  <c r="CW82" s="1"/>
  <c r="DR82"/>
  <c r="CV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CB82"/>
  <c r="AI85" l="1"/>
  <c r="DG82"/>
  <c r="DJ82"/>
  <c r="AH84"/>
  <c r="DF82"/>
  <c r="DH82"/>
  <c r="DI82"/>
  <c r="BX83"/>
  <c r="BY83" s="1"/>
  <c r="AI83" s="1"/>
  <c r="AO83"/>
  <c r="AF83"/>
  <c r="AJ83"/>
  <c r="AN83"/>
  <c r="BC84"/>
  <c r="AV83"/>
  <c r="DC82"/>
  <c r="DB83"/>
  <c r="DD82"/>
  <c r="DE82"/>
  <c r="AL84"/>
  <c r="BH85" a="1"/>
  <c r="BH85" s="1"/>
  <c r="T85"/>
  <c r="BS84"/>
  <c r="BT84" s="1"/>
  <c r="BQ84"/>
  <c r="BR84" s="1"/>
  <c r="CD84"/>
  <c r="AY84"/>
  <c r="AQ84"/>
  <c r="CA84"/>
  <c r="BK84"/>
  <c r="AX84"/>
  <c r="AZ83"/>
  <c r="B83"/>
  <c r="U83"/>
  <c r="AK83"/>
  <c r="AM83"/>
  <c r="BA83"/>
  <c r="BV83"/>
  <c r="BD84"/>
  <c r="BZ86"/>
  <c r="BG86"/>
  <c r="BF86"/>
  <c r="CG85"/>
  <c r="CC85"/>
  <c r="CH85"/>
  <c r="CF85"/>
  <c r="BL85"/>
  <c r="BE85"/>
  <c r="AP85"/>
  <c r="AR83"/>
  <c r="AW83" s="1"/>
  <c r="BB83"/>
  <c r="BP83"/>
  <c r="BW83"/>
  <c r="BJ82"/>
  <c r="BI82"/>
  <c r="AT82"/>
  <c r="AS82"/>
  <c r="AU82" s="1"/>
  <c r="AE82"/>
  <c r="AD82"/>
  <c r="CE82" s="1"/>
  <c r="U82"/>
  <c r="B82"/>
  <c r="DV81"/>
  <c r="CZ81" s="1"/>
  <c r="DU81"/>
  <c r="CY81" s="1"/>
  <c r="DT81"/>
  <c r="CX81" s="1"/>
  <c r="DS81"/>
  <c r="CW81" s="1"/>
  <c r="DR81"/>
  <c r="CV81" s="1"/>
  <c r="DQ81"/>
  <c r="CU81" s="1"/>
  <c r="DP81"/>
  <c r="CT81" s="1"/>
  <c r="DO81"/>
  <c r="CS81" s="1"/>
  <c r="CR81"/>
  <c r="CQ81"/>
  <c r="CP81"/>
  <c r="CO81"/>
  <c r="CN81"/>
  <c r="CM81"/>
  <c r="CL81"/>
  <c r="CK81"/>
  <c r="CJ81"/>
  <c r="CI81"/>
  <c r="CB81"/>
  <c r="DH81" l="1"/>
  <c r="AH83"/>
  <c r="DI81"/>
  <c r="AG83"/>
  <c r="DJ81"/>
  <c r="BX82"/>
  <c r="AH82" s="1"/>
  <c r="AO82"/>
  <c r="BC83"/>
  <c r="DF81"/>
  <c r="DG81"/>
  <c r="DD81"/>
  <c r="DE81"/>
  <c r="DC81"/>
  <c r="DB82"/>
  <c r="AL83"/>
  <c r="CG84"/>
  <c r="CC84"/>
  <c r="CH84"/>
  <c r="CF84"/>
  <c r="BL84"/>
  <c r="BE84"/>
  <c r="AP84"/>
  <c r="AF82"/>
  <c r="AJ82"/>
  <c r="AN82"/>
  <c r="AR82"/>
  <c r="AW82" s="1"/>
  <c r="AV82"/>
  <c r="AZ82"/>
  <c r="BB82"/>
  <c r="BP82"/>
  <c r="BW82"/>
  <c r="BD83"/>
  <c r="BH84" a="1"/>
  <c r="BH84" s="1"/>
  <c r="T84"/>
  <c r="BS83"/>
  <c r="BT83" s="1"/>
  <c r="BQ83"/>
  <c r="BR83" s="1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 s="1"/>
  <c r="AE81"/>
  <c r="AD81"/>
  <c r="CE81" s="1"/>
  <c r="U81"/>
  <c r="B81"/>
  <c r="DV80"/>
  <c r="CZ80" s="1"/>
  <c r="DU80"/>
  <c r="CY80" s="1"/>
  <c r="DT80"/>
  <c r="CX80" s="1"/>
  <c r="DS80"/>
  <c r="CW80" s="1"/>
  <c r="DR80"/>
  <c r="CV80" s="1"/>
  <c r="DQ80"/>
  <c r="CU80" s="1"/>
  <c r="DP80"/>
  <c r="CT80" s="1"/>
  <c r="DO80"/>
  <c r="CS80" s="1"/>
  <c r="CR80"/>
  <c r="CQ80"/>
  <c r="CP80"/>
  <c r="CO80"/>
  <c r="CN80"/>
  <c r="CM80"/>
  <c r="CL80"/>
  <c r="CK80"/>
  <c r="CJ80"/>
  <c r="CI80"/>
  <c r="CB80"/>
  <c r="AG82" l="1"/>
  <c r="BY82"/>
  <c r="AI82" s="1"/>
  <c r="DH80"/>
  <c r="DJ80"/>
  <c r="DG80"/>
  <c r="DI80"/>
  <c r="BX81"/>
  <c r="AH81" s="1"/>
  <c r="AO81"/>
  <c r="BV81"/>
  <c r="BC82"/>
  <c r="DF80"/>
  <c r="DD80"/>
  <c r="DC80"/>
  <c r="DE80"/>
  <c r="DB81"/>
  <c r="BD82"/>
  <c r="AL82"/>
  <c r="BZ84"/>
  <c r="BG84"/>
  <c r="BF84"/>
  <c r="AM81"/>
  <c r="AF81"/>
  <c r="AJ81"/>
  <c r="AN81"/>
  <c r="AR81"/>
  <c r="AW81" s="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BK82"/>
  <c r="AX82"/>
  <c r="AK81"/>
  <c r="BA81"/>
  <c r="BJ80"/>
  <c r="BI80"/>
  <c r="AT80"/>
  <c r="AS80"/>
  <c r="AU80" s="1"/>
  <c r="AE80"/>
  <c r="AD80"/>
  <c r="CE80" s="1"/>
  <c r="DV79"/>
  <c r="CZ79" s="1"/>
  <c r="DU79"/>
  <c r="CY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CB79"/>
  <c r="BY81" l="1"/>
  <c r="AI81" s="1"/>
  <c r="DI79"/>
  <c r="DJ79"/>
  <c r="AG81"/>
  <c r="DF79"/>
  <c r="BX80"/>
  <c r="BY80" s="1"/>
  <c r="AL80" s="1"/>
  <c r="AO80"/>
  <c r="AF80"/>
  <c r="AJ80"/>
  <c r="AN80"/>
  <c r="BC81"/>
  <c r="DD79"/>
  <c r="DC79"/>
  <c r="DE79"/>
  <c r="DG79"/>
  <c r="DH79"/>
  <c r="AV80"/>
  <c r="DB80"/>
  <c r="BH82" a="1"/>
  <c r="BH82" s="1"/>
  <c r="T82"/>
  <c r="BH83" a="1"/>
  <c r="BH83" s="1"/>
  <c r="T83"/>
  <c r="BS81"/>
  <c r="BT81" s="1"/>
  <c r="BQ81"/>
  <c r="BR81" s="1"/>
  <c r="CD81"/>
  <c r="AY81"/>
  <c r="AQ81"/>
  <c r="CA81"/>
  <c r="BK81"/>
  <c r="AX81"/>
  <c r="B80"/>
  <c r="U80"/>
  <c r="AK80"/>
  <c r="AM80"/>
  <c r="BA80"/>
  <c r="BV80"/>
  <c r="BD81"/>
  <c r="CG82"/>
  <c r="CC82"/>
  <c r="CH82"/>
  <c r="CF82"/>
  <c r="BL82"/>
  <c r="BE82"/>
  <c r="AP82"/>
  <c r="BF83"/>
  <c r="BZ83"/>
  <c r="BG83"/>
  <c r="AR80"/>
  <c r="AW80" s="1"/>
  <c r="AZ80"/>
  <c r="BB80"/>
  <c r="BP80"/>
  <c r="BW80"/>
  <c r="BJ79"/>
  <c r="BI79"/>
  <c r="AT79"/>
  <c r="AS79"/>
  <c r="AU79" s="1"/>
  <c r="AE79"/>
  <c r="AD79"/>
  <c r="CE79" s="1"/>
  <c r="DV78"/>
  <c r="DJ78" s="1"/>
  <c r="DU78"/>
  <c r="CY78" s="1"/>
  <c r="DT78"/>
  <c r="CX78" s="1"/>
  <c r="DS78"/>
  <c r="CW78" s="1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CB78"/>
  <c r="AL81" l="1"/>
  <c r="CZ78"/>
  <c r="AG80"/>
  <c r="AH80"/>
  <c r="BC80"/>
  <c r="BX79"/>
  <c r="BY79" s="1"/>
  <c r="AL79" s="1"/>
  <c r="AO79"/>
  <c r="AF79"/>
  <c r="AJ79"/>
  <c r="AN79"/>
  <c r="DB79"/>
  <c r="DI78"/>
  <c r="AV79"/>
  <c r="DE78"/>
  <c r="DC78"/>
  <c r="DG78"/>
  <c r="DD78"/>
  <c r="DF78"/>
  <c r="DH78"/>
  <c r="AI80"/>
  <c r="BH81" a="1"/>
  <c r="BH81" s="1"/>
  <c r="T81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BD80"/>
  <c r="CD80"/>
  <c r="CA80"/>
  <c r="BK80"/>
  <c r="AX80"/>
  <c r="AY80"/>
  <c r="AQ80"/>
  <c r="AR79"/>
  <c r="AW79" s="1"/>
  <c r="AZ79"/>
  <c r="BB79"/>
  <c r="BP79"/>
  <c r="BW79"/>
  <c r="BJ78"/>
  <c r="BI78"/>
  <c r="AT78"/>
  <c r="AS78"/>
  <c r="AU78" s="1"/>
  <c r="AE78"/>
  <c r="AD78"/>
  <c r="CE78" s="1"/>
  <c r="U78"/>
  <c r="B78"/>
  <c r="DV77"/>
  <c r="CZ77" s="1"/>
  <c r="DU77"/>
  <c r="CY77" s="1"/>
  <c r="DT77"/>
  <c r="CX77" s="1"/>
  <c r="DS77"/>
  <c r="CW77" s="1"/>
  <c r="DR77"/>
  <c r="CV77" s="1"/>
  <c r="DQ77"/>
  <c r="CU77" s="1"/>
  <c r="DP77"/>
  <c r="CT77" s="1"/>
  <c r="DO77"/>
  <c r="CS77" s="1"/>
  <c r="CR77"/>
  <c r="CQ77"/>
  <c r="CP77"/>
  <c r="CO77"/>
  <c r="CN77"/>
  <c r="CM77"/>
  <c r="CL77"/>
  <c r="CK77"/>
  <c r="CJ77"/>
  <c r="CI77"/>
  <c r="CB77"/>
  <c r="AG79" l="1"/>
  <c r="AH79"/>
  <c r="BC79"/>
  <c r="DI77"/>
  <c r="DJ77"/>
  <c r="BX78"/>
  <c r="BY78" s="1"/>
  <c r="AI78" s="1"/>
  <c r="AO78"/>
  <c r="DB78"/>
  <c r="DE77"/>
  <c r="DC77"/>
  <c r="DG77"/>
  <c r="DD77"/>
  <c r="DF77"/>
  <c r="DH77"/>
  <c r="BD79"/>
  <c r="AI79"/>
  <c r="CD79"/>
  <c r="CA79"/>
  <c r="BK79"/>
  <c r="AX79"/>
  <c r="AY79"/>
  <c r="AQ79"/>
  <c r="AF78"/>
  <c r="AJ78"/>
  <c r="AN78"/>
  <c r="AR78"/>
  <c r="AW78" s="1"/>
  <c r="AV78"/>
  <c r="AZ78"/>
  <c r="BB78"/>
  <c r="BP78"/>
  <c r="BW78"/>
  <c r="BH80" a="1"/>
  <c r="BH80" s="1"/>
  <c r="T80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 s="1"/>
  <c r="AE77"/>
  <c r="AD77"/>
  <c r="CE77" s="1"/>
  <c r="DV76"/>
  <c r="CZ76" s="1"/>
  <c r="DU76"/>
  <c r="CY76" s="1"/>
  <c r="DT76"/>
  <c r="CX76" s="1"/>
  <c r="DS76"/>
  <c r="CW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CB76"/>
  <c r="AG78" l="1"/>
  <c r="DI76"/>
  <c r="DG76"/>
  <c r="DH76"/>
  <c r="AH78"/>
  <c r="DJ76"/>
  <c r="BX77"/>
  <c r="AG77" s="1"/>
  <c r="AO77"/>
  <c r="AF77"/>
  <c r="AJ77"/>
  <c r="AN77"/>
  <c r="BC78"/>
  <c r="DF76"/>
  <c r="AV77"/>
  <c r="DD76"/>
  <c r="DC76"/>
  <c r="DE76"/>
  <c r="DB77"/>
  <c r="AL78"/>
  <c r="BF80"/>
  <c r="BZ80"/>
  <c r="BG80"/>
  <c r="B77"/>
  <c r="U77"/>
  <c r="AK77"/>
  <c r="AM77"/>
  <c r="BA77"/>
  <c r="BV77"/>
  <c r="BH79" a="1"/>
  <c r="BH79" s="1"/>
  <c r="T79"/>
  <c r="BS78"/>
  <c r="BT78" s="1"/>
  <c r="BQ78"/>
  <c r="BR78" s="1"/>
  <c r="CD78"/>
  <c r="AY78"/>
  <c r="AQ78"/>
  <c r="CA78"/>
  <c r="BK78"/>
  <c r="AX78"/>
  <c r="CF79"/>
  <c r="CG79"/>
  <c r="CC79"/>
  <c r="CH79"/>
  <c r="AP79"/>
  <c r="BL79"/>
  <c r="BE79"/>
  <c r="AR77"/>
  <c r="AW77" s="1"/>
  <c r="AZ77"/>
  <c r="BB77"/>
  <c r="BP77"/>
  <c r="BW77"/>
  <c r="BD78"/>
  <c r="BJ76"/>
  <c r="BI76"/>
  <c r="AT76"/>
  <c r="AS76"/>
  <c r="AU76" s="1"/>
  <c r="AE76"/>
  <c r="AD76"/>
  <c r="CE76" s="1"/>
  <c r="U76"/>
  <c r="DV75"/>
  <c r="CZ75" s="1"/>
  <c r="DU75"/>
  <c r="CY75" s="1"/>
  <c r="DT75"/>
  <c r="CX75" s="1"/>
  <c r="DS75"/>
  <c r="CW75" s="1"/>
  <c r="DR75"/>
  <c r="CV75" s="1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CB75"/>
  <c r="BC77" l="1"/>
  <c r="DJ75"/>
  <c r="AH77"/>
  <c r="BY77"/>
  <c r="AL77" s="1"/>
  <c r="B76"/>
  <c r="BX76"/>
  <c r="AG76" s="1"/>
  <c r="AO76"/>
  <c r="DB76"/>
  <c r="DD75"/>
  <c r="DH75"/>
  <c r="DG75"/>
  <c r="DI75"/>
  <c r="DC75"/>
  <c r="DE75"/>
  <c r="DF75"/>
  <c r="BD77"/>
  <c r="CD77"/>
  <c r="CA77"/>
  <c r="BK77"/>
  <c r="AX77"/>
  <c r="AY77"/>
  <c r="AQ77"/>
  <c r="AF76"/>
  <c r="AJ76"/>
  <c r="AN76"/>
  <c r="AR76"/>
  <c r="AW76" s="1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 s="1"/>
  <c r="AE75"/>
  <c r="AD75"/>
  <c r="CE75" s="1"/>
  <c r="U75"/>
  <c r="B75"/>
  <c r="DV74"/>
  <c r="CZ74" s="1"/>
  <c r="DU74"/>
  <c r="CY74" s="1"/>
  <c r="DT74"/>
  <c r="CX74" s="1"/>
  <c r="DS74"/>
  <c r="CW74" s="1"/>
  <c r="DR74"/>
  <c r="CV74" s="1"/>
  <c r="DQ74"/>
  <c r="CU74" s="1"/>
  <c r="DP74"/>
  <c r="CT74" s="1"/>
  <c r="DO74"/>
  <c r="CS74" s="1"/>
  <c r="CR74"/>
  <c r="CQ74"/>
  <c r="CP74"/>
  <c r="CO74"/>
  <c r="CN74"/>
  <c r="CM74"/>
  <c r="CL74"/>
  <c r="CK74"/>
  <c r="CJ74"/>
  <c r="CI74"/>
  <c r="CB74"/>
  <c r="AI77" l="1"/>
  <c r="AH76"/>
  <c r="BY76"/>
  <c r="AI76" s="1"/>
  <c r="DJ74"/>
  <c r="BX75"/>
  <c r="AG75" s="1"/>
  <c r="AO75"/>
  <c r="BV75"/>
  <c r="BC76"/>
  <c r="DI74"/>
  <c r="DH74"/>
  <c r="DG74"/>
  <c r="DC74"/>
  <c r="DB75"/>
  <c r="DE74"/>
  <c r="DD74"/>
  <c r="DF74"/>
  <c r="AL76"/>
  <c r="BZ78"/>
  <c r="BG78"/>
  <c r="BF78"/>
  <c r="AF75"/>
  <c r="AJ75"/>
  <c r="AN75"/>
  <c r="AR75"/>
  <c r="AW75" s="1"/>
  <c r="AV75"/>
  <c r="AZ75"/>
  <c r="BB75"/>
  <c r="BP75"/>
  <c r="BW75"/>
  <c r="BH78" a="1"/>
  <c r="BH78" s="1"/>
  <c r="T78"/>
  <c r="BH77" a="1"/>
  <c r="BH77" s="1"/>
  <c r="T77"/>
  <c r="BS76"/>
  <c r="BT76" s="1"/>
  <c r="BQ76"/>
  <c r="BR76" s="1"/>
  <c r="CD76"/>
  <c r="AY76"/>
  <c r="AQ76"/>
  <c r="CA76"/>
  <c r="BK76"/>
  <c r="AX76"/>
  <c r="CC77"/>
  <c r="CH77"/>
  <c r="CF77"/>
  <c r="CG77"/>
  <c r="AP77"/>
  <c r="BL77"/>
  <c r="BE77"/>
  <c r="AK75"/>
  <c r="AM75"/>
  <c r="BA75"/>
  <c r="BD76"/>
  <c r="BJ74"/>
  <c r="BI74"/>
  <c r="AT74"/>
  <c r="AS74"/>
  <c r="AU74" s="1"/>
  <c r="AE74"/>
  <c r="AD74"/>
  <c r="CE74" s="1"/>
  <c r="DV73"/>
  <c r="CZ73" s="1"/>
  <c r="DU73"/>
  <c r="CY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CB73"/>
  <c r="AH75" l="1"/>
  <c r="BY75"/>
  <c r="AI75" s="1"/>
  <c r="DJ73"/>
  <c r="BX74"/>
  <c r="BY74" s="1"/>
  <c r="AL74" s="1"/>
  <c r="AO74"/>
  <c r="AF74"/>
  <c r="AJ74"/>
  <c r="AN74"/>
  <c r="BC75"/>
  <c r="DH73"/>
  <c r="DE73"/>
  <c r="DI73"/>
  <c r="AV74"/>
  <c r="DB74"/>
  <c r="DC73"/>
  <c r="DD73"/>
  <c r="DF73"/>
  <c r="DG73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BK75"/>
  <c r="AX75"/>
  <c r="AR74"/>
  <c r="AW74" s="1"/>
  <c r="AZ74"/>
  <c r="BB74"/>
  <c r="BP74"/>
  <c r="BW74"/>
  <c r="BD75"/>
  <c r="BJ73"/>
  <c r="BI73"/>
  <c r="AT73"/>
  <c r="AS73"/>
  <c r="AU73" s="1"/>
  <c r="AE73"/>
  <c r="AD73"/>
  <c r="CE73" s="1"/>
  <c r="DV72"/>
  <c r="CZ72" s="1"/>
  <c r="DU72"/>
  <c r="CY72" s="1"/>
  <c r="DT72"/>
  <c r="CX72" s="1"/>
  <c r="DS72"/>
  <c r="CW72" s="1"/>
  <c r="DR72"/>
  <c r="CV72" s="1"/>
  <c r="DQ72"/>
  <c r="CU72" s="1"/>
  <c r="DP72"/>
  <c r="CT72" s="1"/>
  <c r="DO72"/>
  <c r="CS72" s="1"/>
  <c r="CR72"/>
  <c r="CQ72"/>
  <c r="CP72"/>
  <c r="CO72"/>
  <c r="CN72"/>
  <c r="CM72"/>
  <c r="CL72"/>
  <c r="CK72"/>
  <c r="CJ72"/>
  <c r="CI72"/>
  <c r="CB72"/>
  <c r="DJ72" l="1"/>
  <c r="AL75"/>
  <c r="AH74"/>
  <c r="AG74"/>
  <c r="BC74"/>
  <c r="DI72"/>
  <c r="B73"/>
  <c r="U73"/>
  <c r="BX73"/>
  <c r="BY73" s="1"/>
  <c r="AI73" s="1"/>
  <c r="AO73"/>
  <c r="DG72"/>
  <c r="DH72"/>
  <c r="DC72"/>
  <c r="DE72"/>
  <c r="DD72"/>
  <c r="DF72"/>
  <c r="DB73"/>
  <c r="BD74"/>
  <c r="AI74"/>
  <c r="BH75" a="1"/>
  <c r="BH75" s="1"/>
  <c r="T75"/>
  <c r="BH76" a="1"/>
  <c r="BH76" s="1"/>
  <c r="T76"/>
  <c r="BS74"/>
  <c r="BT74" s="1"/>
  <c r="BQ74"/>
  <c r="BR74" s="1"/>
  <c r="BZ76"/>
  <c r="BG76"/>
  <c r="BF76"/>
  <c r="AF73"/>
  <c r="AJ73"/>
  <c r="AN73"/>
  <c r="AR73"/>
  <c r="AW73" s="1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 s="1"/>
  <c r="AE72"/>
  <c r="AD72"/>
  <c r="CE72" s="1"/>
  <c r="AG73" l="1"/>
  <c r="AH73"/>
  <c r="BX72"/>
  <c r="AG72" s="1"/>
  <c r="AO72"/>
  <c r="AF72"/>
  <c r="AJ72"/>
  <c r="AN72"/>
  <c r="BC73"/>
  <c r="AV72"/>
  <c r="DB72"/>
  <c r="BD73"/>
  <c r="AL73"/>
  <c r="BH74" a="1"/>
  <c r="BH74" s="1"/>
  <c r="T74"/>
  <c r="AR72"/>
  <c r="AW72" s="1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BK73"/>
  <c r="AX73"/>
  <c r="AZ72"/>
  <c r="BB72"/>
  <c r="BP72"/>
  <c r="BW72"/>
  <c r="BY72" l="1"/>
  <c r="AL72" s="1"/>
  <c r="AH72"/>
  <c r="BC72"/>
  <c r="BD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BK72"/>
  <c r="AY72"/>
  <c r="AQ72"/>
  <c r="AX72"/>
  <c r="AI72" l="1"/>
  <c r="CC72"/>
  <c r="CH72"/>
  <c r="CF72"/>
  <c r="CG72"/>
  <c r="BL72"/>
  <c r="BE72"/>
  <c r="AP72"/>
  <c r="BZ73"/>
  <c r="BG73"/>
  <c r="BF73"/>
  <c r="BH73" a="1"/>
  <c r="BH73" s="1"/>
  <c r="T73"/>
  <c r="BH72" l="1" a="1"/>
  <c r="BH72" s="1"/>
  <c r="T72"/>
  <c r="BF72"/>
  <c r="BZ72"/>
  <c r="BG72"/>
  <c r="DV71"/>
  <c r="CZ71" s="1"/>
  <c r="DU71"/>
  <c r="CY71" s="1"/>
  <c r="DT71"/>
  <c r="CX71" s="1"/>
  <c r="DS71"/>
  <c r="DG71" s="1"/>
  <c r="DR71"/>
  <c r="CV71" s="1"/>
  <c r="DQ71"/>
  <c r="CU71" s="1"/>
  <c r="DP71"/>
  <c r="CT71" s="1"/>
  <c r="CR71"/>
  <c r="CQ71"/>
  <c r="CP71"/>
  <c r="CO71"/>
  <c r="CN71"/>
  <c r="CM71"/>
  <c r="CL71"/>
  <c r="CJ71"/>
  <c r="CI71"/>
  <c r="CB71"/>
  <c r="DI71" l="1"/>
  <c r="CW71"/>
  <c r="DE71"/>
  <c r="DD71"/>
  <c r="DF71"/>
  <c r="DH71"/>
  <c r="DJ71"/>
  <c r="BJ71"/>
  <c r="BI71"/>
  <c r="AT71"/>
  <c r="AS71"/>
  <c r="AU71" s="1"/>
  <c r="AE71"/>
  <c r="AD71"/>
  <c r="BX71" l="1"/>
  <c r="AH71" s="1"/>
  <c r="AO71"/>
  <c r="AF71"/>
  <c r="AJ71"/>
  <c r="AN71"/>
  <c r="AR71"/>
  <c r="AZ71"/>
  <c r="BP71"/>
  <c r="AK71"/>
  <c r="AM71"/>
  <c r="BA71"/>
  <c r="AW71"/>
  <c r="AG71" l="1"/>
  <c r="BY71"/>
  <c r="AI71" s="1"/>
  <c r="CD71"/>
  <c r="AQ71"/>
  <c r="CA71"/>
  <c r="BK71"/>
  <c r="BD71"/>
  <c r="AL71" l="1"/>
  <c r="CH71"/>
  <c r="CF71"/>
  <c r="CG71"/>
  <c r="CC71"/>
  <c r="BL71"/>
  <c r="BE71"/>
  <c r="AP71"/>
  <c r="BB71"/>
  <c r="BC71" s="1"/>
  <c r="AY71"/>
  <c r="AX71"/>
  <c r="T71" l="1"/>
  <c r="BG71"/>
  <c r="BF71"/>
  <c r="BH71" a="1"/>
  <c r="BZ71" l="1"/>
  <c r="BH71"/>
  <c r="DV70" l="1"/>
  <c r="CZ70" s="1"/>
  <c r="DU70"/>
  <c r="CY70" s="1"/>
  <c r="DT70"/>
  <c r="CX70" s="1"/>
  <c r="DS70"/>
  <c r="CW70" s="1"/>
  <c r="DR70"/>
  <c r="CV70" s="1"/>
  <c r="DQ70"/>
  <c r="CU70" s="1"/>
  <c r="DP70"/>
  <c r="CT70" s="1"/>
  <c r="DO70"/>
  <c r="CS70" s="1"/>
  <c r="DJ70"/>
  <c r="CR70"/>
  <c r="CQ70"/>
  <c r="CP70"/>
  <c r="CO70"/>
  <c r="CN70"/>
  <c r="CM70"/>
  <c r="CL70"/>
  <c r="CK70"/>
  <c r="CJ70"/>
  <c r="CI70"/>
  <c r="CB70"/>
  <c r="DI70" l="1"/>
  <c r="DG70"/>
  <c r="DH70"/>
  <c r="DD70"/>
  <c r="DE70"/>
  <c r="DC70"/>
  <c r="DF70"/>
  <c r="BJ70"/>
  <c r="BI70"/>
  <c r="AT70"/>
  <c r="AS70"/>
  <c r="AU70" s="1"/>
  <c r="AE70"/>
  <c r="AD70"/>
  <c r="DV69"/>
  <c r="CZ69" s="1"/>
  <c r="DU69"/>
  <c r="CY69" s="1"/>
  <c r="DT69"/>
  <c r="CX69" s="1"/>
  <c r="DS69"/>
  <c r="CW69" s="1"/>
  <c r="DR69"/>
  <c r="CV69" s="1"/>
  <c r="DQ69"/>
  <c r="CU69" s="1"/>
  <c r="DP69"/>
  <c r="CT69" s="1"/>
  <c r="DO69"/>
  <c r="CS69" s="1"/>
  <c r="CR69"/>
  <c r="CQ69"/>
  <c r="CP69"/>
  <c r="CO69"/>
  <c r="CN69"/>
  <c r="CM69"/>
  <c r="CL69"/>
  <c r="CK69"/>
  <c r="CJ69"/>
  <c r="CI69"/>
  <c r="DF69" l="1"/>
  <c r="DE69"/>
  <c r="DG69"/>
  <c r="DH69"/>
  <c r="DI69"/>
  <c r="DJ69"/>
  <c r="BX70"/>
  <c r="AG70" s="1"/>
  <c r="AO70"/>
  <c r="AF70"/>
  <c r="AJ70"/>
  <c r="AN70"/>
  <c r="DD69"/>
  <c r="DC69"/>
  <c r="DB70"/>
  <c r="BY70"/>
  <c r="AL70" s="1"/>
  <c r="AK70"/>
  <c r="AM70"/>
  <c r="BA70"/>
  <c r="AR70"/>
  <c r="AW70" s="1"/>
  <c r="BP70"/>
  <c r="BJ69"/>
  <c r="BI69"/>
  <c r="AT69"/>
  <c r="AS69"/>
  <c r="AU69" s="1"/>
  <c r="AE69"/>
  <c r="AD69"/>
  <c r="AH70" l="1"/>
  <c r="BX69"/>
  <c r="AH69" s="1"/>
  <c r="AO69"/>
  <c r="DB69"/>
  <c r="AI70"/>
  <c r="CD70"/>
  <c r="CA70"/>
  <c r="BK70"/>
  <c r="AQ70"/>
  <c r="AF69"/>
  <c r="AJ69"/>
  <c r="AN69"/>
  <c r="AR69"/>
  <c r="AW69" s="1"/>
  <c r="BP69"/>
  <c r="AK69"/>
  <c r="AM69"/>
  <c r="BA69"/>
  <c r="AG69" l="1"/>
  <c r="BY69"/>
  <c r="AI69" s="1"/>
  <c r="CG70"/>
  <c r="CH70"/>
  <c r="CF70"/>
  <c r="CC70"/>
  <c r="AP70"/>
  <c r="BL70"/>
  <c r="BE70"/>
  <c r="CE70"/>
  <c r="BB70"/>
  <c r="CD69"/>
  <c r="AQ69"/>
  <c r="CA69"/>
  <c r="BK69"/>
  <c r="AX70"/>
  <c r="AY70"/>
  <c r="AL69" l="1"/>
  <c r="BF70"/>
  <c r="BZ70"/>
  <c r="BG70"/>
  <c r="CG69"/>
  <c r="CC69"/>
  <c r="CH69"/>
  <c r="CF69"/>
  <c r="BL69"/>
  <c r="BE69"/>
  <c r="AP69"/>
  <c r="BB69"/>
  <c r="CE69"/>
  <c r="AX69"/>
  <c r="AY69"/>
  <c r="DV68" l="1"/>
  <c r="CZ68" s="1"/>
  <c r="DU68"/>
  <c r="CY68" s="1"/>
  <c r="DT68"/>
  <c r="CX68" s="1"/>
  <c r="DS68"/>
  <c r="CW68" s="1"/>
  <c r="DR68"/>
  <c r="CV68" s="1"/>
  <c r="DQ68"/>
  <c r="CU68" s="1"/>
  <c r="DP68"/>
  <c r="CT68" s="1"/>
  <c r="DO68"/>
  <c r="CS68" s="1"/>
  <c r="CR68"/>
  <c r="CQ68"/>
  <c r="CP68"/>
  <c r="CO68"/>
  <c r="CN68"/>
  <c r="CM68"/>
  <c r="CL68"/>
  <c r="CK68"/>
  <c r="CJ68"/>
  <c r="CI68"/>
  <c r="DI68" l="1"/>
  <c r="DF68"/>
  <c r="DJ68"/>
  <c r="DD68"/>
  <c r="DC68"/>
  <c r="DE68"/>
  <c r="DG68"/>
  <c r="DH68"/>
  <c r="BJ68"/>
  <c r="BI68"/>
  <c r="AT68"/>
  <c r="AS68"/>
  <c r="AU68" s="1"/>
  <c r="AE68"/>
  <c r="AD68"/>
  <c r="DV67"/>
  <c r="CZ67" s="1"/>
  <c r="DU67"/>
  <c r="CY67" s="1"/>
  <c r="DT67"/>
  <c r="CX67" s="1"/>
  <c r="DS67"/>
  <c r="CW67" s="1"/>
  <c r="DR67"/>
  <c r="CV67" s="1"/>
  <c r="DQ67"/>
  <c r="CU67" s="1"/>
  <c r="DP67"/>
  <c r="CT67" s="1"/>
  <c r="DO67"/>
  <c r="CS67" s="1"/>
  <c r="CR67"/>
  <c r="CQ67"/>
  <c r="CP67"/>
  <c r="CO67"/>
  <c r="CN67"/>
  <c r="CM67"/>
  <c r="CL67"/>
  <c r="CK67"/>
  <c r="CJ67"/>
  <c r="CI67"/>
  <c r="DH67" l="1"/>
  <c r="DJ67"/>
  <c r="DE67"/>
  <c r="DF67"/>
  <c r="DG67"/>
  <c r="DC67"/>
  <c r="DI67"/>
  <c r="DD67"/>
  <c r="BX68"/>
  <c r="BY68" s="1"/>
  <c r="AI68" s="1"/>
  <c r="AO68"/>
  <c r="AF68"/>
  <c r="AJ68"/>
  <c r="AN68"/>
  <c r="DB68"/>
  <c r="AK68"/>
  <c r="AM68"/>
  <c r="BA68"/>
  <c r="AR68"/>
  <c r="AZ68"/>
  <c r="BP68"/>
  <c r="BJ67"/>
  <c r="BI67"/>
  <c r="AT67"/>
  <c r="AS67"/>
  <c r="AE67"/>
  <c r="AD67"/>
  <c r="DV66"/>
  <c r="CZ66" s="1"/>
  <c r="DU66"/>
  <c r="CY66" s="1"/>
  <c r="DT66"/>
  <c r="CX66" s="1"/>
  <c r="DS66"/>
  <c r="CW66" s="1"/>
  <c r="DR66"/>
  <c r="CV66" s="1"/>
  <c r="DQ66"/>
  <c r="CU66" s="1"/>
  <c r="DP66"/>
  <c r="CT66" s="1"/>
  <c r="DO66"/>
  <c r="CS66" s="1"/>
  <c r="CR66"/>
  <c r="CQ66"/>
  <c r="CP66"/>
  <c r="CO66"/>
  <c r="CN66"/>
  <c r="CM66"/>
  <c r="CL66"/>
  <c r="CK66"/>
  <c r="CJ66"/>
  <c r="CI66"/>
  <c r="AW68"/>
  <c r="DB67" l="1"/>
  <c r="AH68"/>
  <c r="DG66"/>
  <c r="DH66"/>
  <c r="DI66"/>
  <c r="DD66"/>
  <c r="AG68"/>
  <c r="DJ66"/>
  <c r="AZ67"/>
  <c r="AO67"/>
  <c r="DC66"/>
  <c r="DE66"/>
  <c r="DF66"/>
  <c r="BD68"/>
  <c r="AL68"/>
  <c r="CD68"/>
  <c r="CA68"/>
  <c r="BK68"/>
  <c r="AQ68"/>
  <c r="AK67"/>
  <c r="AM67"/>
  <c r="AU67"/>
  <c r="BA67"/>
  <c r="BX67"/>
  <c r="AF67"/>
  <c r="AJ67"/>
  <c r="AN67"/>
  <c r="AR67"/>
  <c r="BP67"/>
  <c r="BJ66"/>
  <c r="BI66"/>
  <c r="AT66"/>
  <c r="AS66"/>
  <c r="AU66" s="1"/>
  <c r="AE66"/>
  <c r="AD66"/>
  <c r="DV65"/>
  <c r="CZ65" s="1"/>
  <c r="DU65"/>
  <c r="DI65" s="1"/>
  <c r="DT65"/>
  <c r="CX65" s="1"/>
  <c r="DS65"/>
  <c r="DG65" s="1"/>
  <c r="DR65"/>
  <c r="CV65" s="1"/>
  <c r="DQ65"/>
  <c r="DE65" s="1"/>
  <c r="DP65"/>
  <c r="CT65" s="1"/>
  <c r="CR65"/>
  <c r="CQ65"/>
  <c r="CP65"/>
  <c r="CO65"/>
  <c r="CN65"/>
  <c r="CM65"/>
  <c r="CL65"/>
  <c r="CJ65"/>
  <c r="CI65"/>
  <c r="AW67"/>
  <c r="BD67" l="1"/>
  <c r="BX66"/>
  <c r="AH66" s="1"/>
  <c r="AO66"/>
  <c r="DB66"/>
  <c r="DH65"/>
  <c r="DJ65"/>
  <c r="DD65"/>
  <c r="CW65"/>
  <c r="DF65"/>
  <c r="CU65"/>
  <c r="CY65"/>
  <c r="BY67"/>
  <c r="AL67" s="1"/>
  <c r="AH67"/>
  <c r="AG67"/>
  <c r="AF66"/>
  <c r="AJ66"/>
  <c r="AN66"/>
  <c r="AR66"/>
  <c r="AZ66"/>
  <c r="BP66"/>
  <c r="CD67"/>
  <c r="CA67"/>
  <c r="BK67"/>
  <c r="AQ67"/>
  <c r="CH68"/>
  <c r="CF68"/>
  <c r="CC68"/>
  <c r="CG68"/>
  <c r="AP68"/>
  <c r="BL68"/>
  <c r="BE68"/>
  <c r="CE68"/>
  <c r="BB68"/>
  <c r="BC68" s="1"/>
  <c r="AK66"/>
  <c r="AM66"/>
  <c r="BA66"/>
  <c r="BJ65"/>
  <c r="BI65"/>
  <c r="AT65"/>
  <c r="AS65"/>
  <c r="AU65" s="1"/>
  <c r="AE65"/>
  <c r="AD65"/>
  <c r="DV64"/>
  <c r="CZ64" s="1"/>
  <c r="DU64"/>
  <c r="DI64" s="1"/>
  <c r="DT64"/>
  <c r="CX64" s="1"/>
  <c r="DS64"/>
  <c r="DG64" s="1"/>
  <c r="DR64"/>
  <c r="CV64" s="1"/>
  <c r="DQ64"/>
  <c r="DE64" s="1"/>
  <c r="DP64"/>
  <c r="CT64" s="1"/>
  <c r="CR64"/>
  <c r="CQ64"/>
  <c r="CP64"/>
  <c r="CO64"/>
  <c r="CN64"/>
  <c r="CM64"/>
  <c r="CL64"/>
  <c r="CJ64"/>
  <c r="CI64"/>
  <c r="AX68"/>
  <c r="AY68"/>
  <c r="AW66"/>
  <c r="AG66" l="1"/>
  <c r="BY66"/>
  <c r="AI66" s="1"/>
  <c r="BX65"/>
  <c r="AH65" s="1"/>
  <c r="AO65"/>
  <c r="CW64"/>
  <c r="DD64"/>
  <c r="DH64"/>
  <c r="DF64"/>
  <c r="DJ64"/>
  <c r="CU64"/>
  <c r="CY64"/>
  <c r="AI67"/>
  <c r="T68"/>
  <c r="BG68"/>
  <c r="CD66"/>
  <c r="AQ66"/>
  <c r="CA66"/>
  <c r="BK66"/>
  <c r="AF65"/>
  <c r="AJ65"/>
  <c r="AN65"/>
  <c r="AR65"/>
  <c r="AZ65"/>
  <c r="BP65"/>
  <c r="BD66"/>
  <c r="CH67"/>
  <c r="CF67"/>
  <c r="CG67"/>
  <c r="CC67"/>
  <c r="AP67"/>
  <c r="BL67"/>
  <c r="BE67"/>
  <c r="CE67"/>
  <c r="BB67"/>
  <c r="BC67" s="1"/>
  <c r="AK65"/>
  <c r="AM65"/>
  <c r="BA65"/>
  <c r="BJ64"/>
  <c r="BI64"/>
  <c r="AT64"/>
  <c r="AS64"/>
  <c r="AU64" s="1"/>
  <c r="AE64"/>
  <c r="AD64"/>
  <c r="DV63"/>
  <c r="DJ63" s="1"/>
  <c r="DU63"/>
  <c r="CY63" s="1"/>
  <c r="DT63"/>
  <c r="DH63" s="1"/>
  <c r="DS63"/>
  <c r="CW63" s="1"/>
  <c r="DR63"/>
  <c r="DF63" s="1"/>
  <c r="DQ63"/>
  <c r="CU63" s="1"/>
  <c r="DP63"/>
  <c r="DD63" s="1"/>
  <c r="CR63"/>
  <c r="CQ63"/>
  <c r="CP63"/>
  <c r="CO63"/>
  <c r="CN63"/>
  <c r="CM63"/>
  <c r="CL63"/>
  <c r="CJ63"/>
  <c r="CI63"/>
  <c r="AY67"/>
  <c r="AW65"/>
  <c r="AX67"/>
  <c r="AL66" l="1"/>
  <c r="AG65"/>
  <c r="BY65"/>
  <c r="AI65" s="1"/>
  <c r="BX64"/>
  <c r="BY64" s="1"/>
  <c r="AL64" s="1"/>
  <c r="AO64"/>
  <c r="AF64"/>
  <c r="AJ64"/>
  <c r="AN64"/>
  <c r="DI63"/>
  <c r="CV63"/>
  <c r="DE63"/>
  <c r="CZ63"/>
  <c r="DG63"/>
  <c r="CT63"/>
  <c r="CX63"/>
  <c r="AG64"/>
  <c r="T67"/>
  <c r="BG67"/>
  <c r="AK64"/>
  <c r="AM64"/>
  <c r="BA64"/>
  <c r="CD65"/>
  <c r="AQ65"/>
  <c r="CA65"/>
  <c r="BK65"/>
  <c r="CH66"/>
  <c r="CF66"/>
  <c r="CG66"/>
  <c r="CC66"/>
  <c r="BL66"/>
  <c r="BE66"/>
  <c r="AP66"/>
  <c r="BB66"/>
  <c r="BC66" s="1"/>
  <c r="CE66"/>
  <c r="AR64"/>
  <c r="AZ64"/>
  <c r="BP64"/>
  <c r="BD65"/>
  <c r="BJ63"/>
  <c r="BI63"/>
  <c r="AT63"/>
  <c r="AS63"/>
  <c r="AU63" s="1"/>
  <c r="AE63"/>
  <c r="AD63"/>
  <c r="DV62"/>
  <c r="DJ62" s="1"/>
  <c r="DU62"/>
  <c r="CY62" s="1"/>
  <c r="DT62"/>
  <c r="CX62" s="1"/>
  <c r="DS62"/>
  <c r="CW62" s="1"/>
  <c r="DR62"/>
  <c r="DF62" s="1"/>
  <c r="DQ62"/>
  <c r="CU62" s="1"/>
  <c r="DP62"/>
  <c r="CT62" s="1"/>
  <c r="CR62"/>
  <c r="CQ62"/>
  <c r="CP62"/>
  <c r="CO62"/>
  <c r="CN62"/>
  <c r="CM62"/>
  <c r="CL62"/>
  <c r="CJ62"/>
  <c r="CI62"/>
  <c r="AY66"/>
  <c r="AX66"/>
  <c r="AW64"/>
  <c r="AH64" l="1"/>
  <c r="AL65"/>
  <c r="BX63"/>
  <c r="BY63" s="1"/>
  <c r="AL63" s="1"/>
  <c r="AO63"/>
  <c r="AF63"/>
  <c r="AJ63"/>
  <c r="AN63"/>
  <c r="DD62"/>
  <c r="CV62"/>
  <c r="DH62"/>
  <c r="CZ62"/>
  <c r="DE62"/>
  <c r="DG62"/>
  <c r="DI62"/>
  <c r="BD64"/>
  <c r="AI64"/>
  <c r="AH63"/>
  <c r="T66"/>
  <c r="BG66"/>
  <c r="AK63"/>
  <c r="AM63"/>
  <c r="BA63"/>
  <c r="CD64"/>
  <c r="CA64"/>
  <c r="BK64"/>
  <c r="AQ64"/>
  <c r="CG65"/>
  <c r="CH65"/>
  <c r="CF65"/>
  <c r="CC65"/>
  <c r="BL65"/>
  <c r="BE65"/>
  <c r="AP65"/>
  <c r="BB65"/>
  <c r="BC65" s="1"/>
  <c r="AR63"/>
  <c r="AZ63"/>
  <c r="BP63"/>
  <c r="BJ62"/>
  <c r="BI62"/>
  <c r="AT62"/>
  <c r="AS62"/>
  <c r="AU62" s="1"/>
  <c r="AE62"/>
  <c r="AD62"/>
  <c r="DV61"/>
  <c r="CZ61" s="1"/>
  <c r="DU61"/>
  <c r="CY61" s="1"/>
  <c r="DT61"/>
  <c r="CX61" s="1"/>
  <c r="DS61"/>
  <c r="CW61" s="1"/>
  <c r="DR61"/>
  <c r="CV61" s="1"/>
  <c r="DQ61"/>
  <c r="CU61" s="1"/>
  <c r="DP61"/>
  <c r="CT61" s="1"/>
  <c r="DO61"/>
  <c r="CS61" s="1"/>
  <c r="CR61"/>
  <c r="CQ61"/>
  <c r="CP61"/>
  <c r="CO61"/>
  <c r="CN61"/>
  <c r="CM61"/>
  <c r="CL61"/>
  <c r="CK61"/>
  <c r="CJ61"/>
  <c r="CI61"/>
  <c r="AX65"/>
  <c r="CB61"/>
  <c r="AY65"/>
  <c r="AW63"/>
  <c r="AG63" l="1"/>
  <c r="DJ61"/>
  <c r="DG61"/>
  <c r="DH61"/>
  <c r="DI61"/>
  <c r="BX62"/>
  <c r="AG62" s="1"/>
  <c r="AO62"/>
  <c r="BD63"/>
  <c r="DE61"/>
  <c r="DF61"/>
  <c r="DD61"/>
  <c r="DC61"/>
  <c r="AI63"/>
  <c r="T65"/>
  <c r="AF62"/>
  <c r="AJ62"/>
  <c r="AN62"/>
  <c r="AR62"/>
  <c r="AZ62"/>
  <c r="BP62"/>
  <c r="CD63"/>
  <c r="CA63"/>
  <c r="BK63"/>
  <c r="AQ63"/>
  <c r="BG65"/>
  <c r="CG64"/>
  <c r="CC64"/>
  <c r="CH64"/>
  <c r="CF64"/>
  <c r="AP64"/>
  <c r="BL64"/>
  <c r="BE64"/>
  <c r="BB64"/>
  <c r="BC64" s="1"/>
  <c r="AK62"/>
  <c r="AM62"/>
  <c r="BA62"/>
  <c r="BJ61"/>
  <c r="BI61"/>
  <c r="AT61"/>
  <c r="AS61"/>
  <c r="AU61" s="1"/>
  <c r="AE61"/>
  <c r="AD61"/>
  <c r="DV60"/>
  <c r="CZ60" s="1"/>
  <c r="DU60"/>
  <c r="CY60" s="1"/>
  <c r="DT60"/>
  <c r="CX60" s="1"/>
  <c r="DS60"/>
  <c r="CW60" s="1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X64"/>
  <c r="CB60"/>
  <c r="AY64"/>
  <c r="AW62"/>
  <c r="AH62" l="1"/>
  <c r="BY62"/>
  <c r="AI62" s="1"/>
  <c r="BX61"/>
  <c r="BY61" s="1"/>
  <c r="AI61" s="1"/>
  <c r="AO61"/>
  <c r="AF61"/>
  <c r="AJ61"/>
  <c r="AN61"/>
  <c r="DH60"/>
  <c r="DF60"/>
  <c r="DE60"/>
  <c r="DG60"/>
  <c r="DI60"/>
  <c r="DJ60"/>
  <c r="DC60"/>
  <c r="DD60"/>
  <c r="DB61"/>
  <c r="T64"/>
  <c r="AK61"/>
  <c r="AM61"/>
  <c r="BG64"/>
  <c r="CG63"/>
  <c r="CC63"/>
  <c r="CH63"/>
  <c r="CF63"/>
  <c r="AP63"/>
  <c r="BL63"/>
  <c r="BE63"/>
  <c r="BB63"/>
  <c r="BC63" s="1"/>
  <c r="CD62"/>
  <c r="AQ62"/>
  <c r="CA62"/>
  <c r="BK62"/>
  <c r="AR61"/>
  <c r="AZ61"/>
  <c r="BP61"/>
  <c r="BD62"/>
  <c r="BJ60"/>
  <c r="BI60"/>
  <c r="AT60"/>
  <c r="AS60"/>
  <c r="AU60" s="1"/>
  <c r="AE60"/>
  <c r="AD60"/>
  <c r="DV59"/>
  <c r="CZ59" s="1"/>
  <c r="DU59"/>
  <c r="CY59" s="1"/>
  <c r="DT59"/>
  <c r="CX59" s="1"/>
  <c r="DS59"/>
  <c r="CW59" s="1"/>
  <c r="DR59"/>
  <c r="CV59" s="1"/>
  <c r="DQ59"/>
  <c r="CU59" s="1"/>
  <c r="DP59"/>
  <c r="CT59" s="1"/>
  <c r="DO59"/>
  <c r="CS59" s="1"/>
  <c r="CR59"/>
  <c r="CQ59"/>
  <c r="CP59"/>
  <c r="CO59"/>
  <c r="CN59"/>
  <c r="CM59"/>
  <c r="CL59"/>
  <c r="CK59"/>
  <c r="CJ59"/>
  <c r="CI59"/>
  <c r="CB59"/>
  <c r="AX63"/>
  <c r="AY63"/>
  <c r="AW61"/>
  <c r="AH61" l="1"/>
  <c r="AG61"/>
  <c r="AL62"/>
  <c r="BX60"/>
  <c r="BY60" s="1"/>
  <c r="AL60" s="1"/>
  <c r="AO60"/>
  <c r="AF60"/>
  <c r="AJ60"/>
  <c r="AN60"/>
  <c r="DI59"/>
  <c r="DJ59"/>
  <c r="DB60"/>
  <c r="DG59"/>
  <c r="DC59"/>
  <c r="DF59"/>
  <c r="DH59"/>
  <c r="DD59"/>
  <c r="DE59"/>
  <c r="AL61"/>
  <c r="AR60"/>
  <c r="AK60"/>
  <c r="AM60"/>
  <c r="CD61"/>
  <c r="CA61"/>
  <c r="BK61"/>
  <c r="AQ61"/>
  <c r="CH62"/>
  <c r="CF62"/>
  <c r="CG62"/>
  <c r="CC62"/>
  <c r="BL62"/>
  <c r="BE62"/>
  <c r="AP62"/>
  <c r="BB62"/>
  <c r="BC62" s="1"/>
  <c r="T63"/>
  <c r="BG63"/>
  <c r="AZ60"/>
  <c r="BP60"/>
  <c r="BJ59"/>
  <c r="BI59"/>
  <c r="AT59"/>
  <c r="AS59"/>
  <c r="AU59" s="1"/>
  <c r="AE59"/>
  <c r="AD59"/>
  <c r="DV58"/>
  <c r="CZ58" s="1"/>
  <c r="DU58"/>
  <c r="CY58" s="1"/>
  <c r="DT58"/>
  <c r="CX58" s="1"/>
  <c r="DS58"/>
  <c r="CW58" s="1"/>
  <c r="DR58"/>
  <c r="CV58" s="1"/>
  <c r="DQ58"/>
  <c r="CU58" s="1"/>
  <c r="DP58"/>
  <c r="CT58" s="1"/>
  <c r="DO58"/>
  <c r="CS58" s="1"/>
  <c r="CR58"/>
  <c r="CQ58"/>
  <c r="CP58"/>
  <c r="CO58"/>
  <c r="CN58"/>
  <c r="CM58"/>
  <c r="CL58"/>
  <c r="CK58"/>
  <c r="CJ58"/>
  <c r="CI58"/>
  <c r="CB58"/>
  <c r="AX62"/>
  <c r="AW60"/>
  <c r="AY62"/>
  <c r="AG60" l="1"/>
  <c r="AH60"/>
  <c r="DI58"/>
  <c r="DJ58"/>
  <c r="DG58"/>
  <c r="DH58"/>
  <c r="BX59"/>
  <c r="AH59" s="1"/>
  <c r="AO59"/>
  <c r="AF59"/>
  <c r="AJ59"/>
  <c r="AN59"/>
  <c r="DC58"/>
  <c r="DE58"/>
  <c r="DD58"/>
  <c r="DF58"/>
  <c r="DB59"/>
  <c r="AI60"/>
  <c r="T62"/>
  <c r="AK59"/>
  <c r="AM59"/>
  <c r="BG62"/>
  <c r="CG61"/>
  <c r="CC61"/>
  <c r="CH61"/>
  <c r="CF61"/>
  <c r="AP61"/>
  <c r="BL61"/>
  <c r="BE61"/>
  <c r="BB61"/>
  <c r="CE61"/>
  <c r="CD60"/>
  <c r="CA60"/>
  <c r="BK60"/>
  <c r="AQ60"/>
  <c r="AR59"/>
  <c r="AZ59"/>
  <c r="BP59"/>
  <c r="BJ58"/>
  <c r="BI58"/>
  <c r="AT58"/>
  <c r="AS58"/>
  <c r="AU58" s="1"/>
  <c r="AE58"/>
  <c r="AD58"/>
  <c r="DV57"/>
  <c r="CZ57" s="1"/>
  <c r="DU57"/>
  <c r="CY57" s="1"/>
  <c r="DT57"/>
  <c r="CX57" s="1"/>
  <c r="DS57"/>
  <c r="CW57" s="1"/>
  <c r="DR57"/>
  <c r="CV57" s="1"/>
  <c r="DQ57"/>
  <c r="CU57" s="1"/>
  <c r="DP57"/>
  <c r="CT57" s="1"/>
  <c r="DO57"/>
  <c r="CS57" s="1"/>
  <c r="CR57"/>
  <c r="CQ57"/>
  <c r="CP57"/>
  <c r="CO57"/>
  <c r="CN57"/>
  <c r="CM57"/>
  <c r="CL57"/>
  <c r="CK57"/>
  <c r="CJ57"/>
  <c r="CI57"/>
  <c r="AY61"/>
  <c r="CB57"/>
  <c r="AX61"/>
  <c r="AW59"/>
  <c r="BY59" l="1"/>
  <c r="AL59" s="1"/>
  <c r="AG59"/>
  <c r="BX58"/>
  <c r="AH58" s="1"/>
  <c r="AO58"/>
  <c r="DC57"/>
  <c r="DB58"/>
  <c r="DG57"/>
  <c r="DE57"/>
  <c r="DI57"/>
  <c r="DD57"/>
  <c r="DF57"/>
  <c r="DH57"/>
  <c r="DJ57"/>
  <c r="CD59"/>
  <c r="CA59"/>
  <c r="BK59"/>
  <c r="AQ59"/>
  <c r="BF61"/>
  <c r="BZ61"/>
  <c r="BG61"/>
  <c r="AF58"/>
  <c r="AJ58"/>
  <c r="AN58"/>
  <c r="AR58"/>
  <c r="AZ58"/>
  <c r="BP58"/>
  <c r="CG60"/>
  <c r="CC60"/>
  <c r="CH60"/>
  <c r="CF60"/>
  <c r="AP60"/>
  <c r="BL60"/>
  <c r="BE60"/>
  <c r="CE60"/>
  <c r="BB60"/>
  <c r="AK58"/>
  <c r="AM58"/>
  <c r="BJ57"/>
  <c r="BI57"/>
  <c r="AT57"/>
  <c r="AS57"/>
  <c r="AU57" s="1"/>
  <c r="AE57"/>
  <c r="AF57" s="1"/>
  <c r="AD57"/>
  <c r="DV56"/>
  <c r="CZ56" s="1"/>
  <c r="DU56"/>
  <c r="CY56" s="1"/>
  <c r="DT56"/>
  <c r="CX56" s="1"/>
  <c r="DS56"/>
  <c r="CW56" s="1"/>
  <c r="DR56"/>
  <c r="CV56" s="1"/>
  <c r="DQ56"/>
  <c r="CU56" s="1"/>
  <c r="DP56"/>
  <c r="CT56" s="1"/>
  <c r="DO56"/>
  <c r="CS56" s="1"/>
  <c r="CR56"/>
  <c r="CQ56"/>
  <c r="CP56"/>
  <c r="CO56"/>
  <c r="CN56"/>
  <c r="CM56"/>
  <c r="CL56"/>
  <c r="CK56"/>
  <c r="CJ56"/>
  <c r="CI56"/>
  <c r="AY60"/>
  <c r="AJ57"/>
  <c r="AO57"/>
  <c r="AW58"/>
  <c r="CB56"/>
  <c r="BX57"/>
  <c r="AX60"/>
  <c r="AI59" l="1"/>
  <c r="AG58"/>
  <c r="BY58"/>
  <c r="AI58" s="1"/>
  <c r="DJ56"/>
  <c r="DH56"/>
  <c r="DI56"/>
  <c r="DE56"/>
  <c r="DB57"/>
  <c r="AV57"/>
  <c r="DC56"/>
  <c r="DD56"/>
  <c r="DF56"/>
  <c r="DG56"/>
  <c r="BY57"/>
  <c r="AL57" s="1"/>
  <c r="AH57"/>
  <c r="AG57"/>
  <c r="BF60"/>
  <c r="BZ60"/>
  <c r="BG60"/>
  <c r="CD58"/>
  <c r="AQ58"/>
  <c r="CA58"/>
  <c r="BK58"/>
  <c r="CH59"/>
  <c r="CF59"/>
  <c r="CG59"/>
  <c r="CC59"/>
  <c r="BL59"/>
  <c r="BE59"/>
  <c r="AP59"/>
  <c r="CE59"/>
  <c r="BB59"/>
  <c r="AL58"/>
  <c r="AR57"/>
  <c r="AW57" s="1"/>
  <c r="BP57"/>
  <c r="BJ56"/>
  <c r="BI56"/>
  <c r="AT56"/>
  <c r="AS56"/>
  <c r="AU56" s="1"/>
  <c r="AE56"/>
  <c r="AF56" s="1"/>
  <c r="AD56"/>
  <c r="DV55"/>
  <c r="CZ55" s="1"/>
  <c r="DU55"/>
  <c r="CY55" s="1"/>
  <c r="DT55"/>
  <c r="CX55" s="1"/>
  <c r="DS55"/>
  <c r="CW55" s="1"/>
  <c r="DR55"/>
  <c r="CV55" s="1"/>
  <c r="DQ55"/>
  <c r="CU55" s="1"/>
  <c r="DP55"/>
  <c r="CT55" s="1"/>
  <c r="DO55"/>
  <c r="CS55" s="1"/>
  <c r="CR55"/>
  <c r="CQ55"/>
  <c r="CP55"/>
  <c r="CO55"/>
  <c r="CN55"/>
  <c r="CM55"/>
  <c r="CL55"/>
  <c r="CK55"/>
  <c r="CJ55"/>
  <c r="CI55"/>
  <c r="AM57"/>
  <c r="AK57"/>
  <c r="AX59"/>
  <c r="AO56"/>
  <c r="AY59"/>
  <c r="CB55"/>
  <c r="BX56"/>
  <c r="DJ55" l="1"/>
  <c r="DH55"/>
  <c r="DI55"/>
  <c r="AV56"/>
  <c r="DB56"/>
  <c r="DE55"/>
  <c r="DC55"/>
  <c r="DF55"/>
  <c r="DD55"/>
  <c r="DG55"/>
  <c r="AI57"/>
  <c r="BY56"/>
  <c r="AL56" s="1"/>
  <c r="AH56"/>
  <c r="AG56"/>
  <c r="BF59"/>
  <c r="BZ59"/>
  <c r="BG59"/>
  <c r="CD57"/>
  <c r="CA57"/>
  <c r="BK57"/>
  <c r="AX57"/>
  <c r="AY57"/>
  <c r="AQ57"/>
  <c r="CG58"/>
  <c r="CC58"/>
  <c r="CH58"/>
  <c r="CF58"/>
  <c r="BL58"/>
  <c r="BE58"/>
  <c r="AP58"/>
  <c r="BB58"/>
  <c r="CE58"/>
  <c r="AR56"/>
  <c r="AW56" s="1"/>
  <c r="BP56"/>
  <c r="BJ55"/>
  <c r="BI55"/>
  <c r="AT55"/>
  <c r="AS55"/>
  <c r="AU55" s="1"/>
  <c r="AE55"/>
  <c r="AD55"/>
  <c r="DV54"/>
  <c r="CZ54" s="1"/>
  <c r="DU54"/>
  <c r="CY54" s="1"/>
  <c r="DT54"/>
  <c r="CX54" s="1"/>
  <c r="DS54"/>
  <c r="CW54" s="1"/>
  <c r="DR54"/>
  <c r="CV54" s="1"/>
  <c r="DQ54"/>
  <c r="CU54" s="1"/>
  <c r="DP54"/>
  <c r="CT54" s="1"/>
  <c r="DO54"/>
  <c r="CS54" s="1"/>
  <c r="CR54"/>
  <c r="CQ54"/>
  <c r="CP54"/>
  <c r="CO54"/>
  <c r="CN54"/>
  <c r="CM54"/>
  <c r="CL54"/>
  <c r="CK54"/>
  <c r="CJ54"/>
  <c r="CI54"/>
  <c r="AY58"/>
  <c r="AJ56"/>
  <c r="CB54"/>
  <c r="AN57"/>
  <c r="AX58"/>
  <c r="AM56"/>
  <c r="DI54" l="1"/>
  <c r="DH54"/>
  <c r="DJ54"/>
  <c r="AV55"/>
  <c r="AF55"/>
  <c r="DB55"/>
  <c r="DD54"/>
  <c r="DF54"/>
  <c r="DC54"/>
  <c r="DE54"/>
  <c r="DG54"/>
  <c r="AZ57"/>
  <c r="BA57"/>
  <c r="AI56"/>
  <c r="BZ58"/>
  <c r="BG58"/>
  <c r="BF58"/>
  <c r="CC57"/>
  <c r="CH57"/>
  <c r="CF57"/>
  <c r="CG57"/>
  <c r="BL57"/>
  <c r="BE57"/>
  <c r="CE57"/>
  <c r="BB57"/>
  <c r="CD56"/>
  <c r="CA56"/>
  <c r="BK56"/>
  <c r="AX56"/>
  <c r="AY56"/>
  <c r="AQ56"/>
  <c r="AR55"/>
  <c r="AW55" s="1"/>
  <c r="BP55"/>
  <c r="BJ54"/>
  <c r="BI54"/>
  <c r="AT54"/>
  <c r="AS54"/>
  <c r="AU54" s="1"/>
  <c r="AE54"/>
  <c r="AD54"/>
  <c r="DV53"/>
  <c r="CZ53" s="1"/>
  <c r="DU53"/>
  <c r="CY53" s="1"/>
  <c r="DT53"/>
  <c r="CX53" s="1"/>
  <c r="DS53"/>
  <c r="CW53" s="1"/>
  <c r="DR53"/>
  <c r="CV53" s="1"/>
  <c r="DQ53"/>
  <c r="CU53" s="1"/>
  <c r="DP53"/>
  <c r="CT53" s="1"/>
  <c r="DO53"/>
  <c r="CS53" s="1"/>
  <c r="CR53"/>
  <c r="CQ53"/>
  <c r="CP53"/>
  <c r="CO53"/>
  <c r="CN53"/>
  <c r="CM53"/>
  <c r="CL53"/>
  <c r="CK53"/>
  <c r="CJ53"/>
  <c r="CI53"/>
  <c r="BX55"/>
  <c r="AP57"/>
  <c r="AO55"/>
  <c r="CB53"/>
  <c r="AN56"/>
  <c r="AM55"/>
  <c r="AK56"/>
  <c r="BX54" l="1"/>
  <c r="BY54" s="1"/>
  <c r="AI54" s="1"/>
  <c r="AO54"/>
  <c r="BC57"/>
  <c r="T57" s="1"/>
  <c r="DG53"/>
  <c r="DI53"/>
  <c r="DF53"/>
  <c r="DH53"/>
  <c r="DJ53"/>
  <c r="DD53"/>
  <c r="DC53"/>
  <c r="DE53"/>
  <c r="DB54"/>
  <c r="BD57"/>
  <c r="AZ56"/>
  <c r="BA56"/>
  <c r="BY55"/>
  <c r="AL55" s="1"/>
  <c r="AH55"/>
  <c r="AG55"/>
  <c r="BF57"/>
  <c r="BZ57"/>
  <c r="BG57"/>
  <c r="AF54"/>
  <c r="AJ54"/>
  <c r="AN54"/>
  <c r="AR54"/>
  <c r="AZ54"/>
  <c r="BP54"/>
  <c r="CD55"/>
  <c r="CA55"/>
  <c r="BK55"/>
  <c r="AX55"/>
  <c r="AY55"/>
  <c r="AQ55"/>
  <c r="CG56"/>
  <c r="CC56"/>
  <c r="CH56"/>
  <c r="CF56"/>
  <c r="BL56"/>
  <c r="BE56"/>
  <c r="CE56"/>
  <c r="BB56"/>
  <c r="AK54"/>
  <c r="AM54"/>
  <c r="BJ53"/>
  <c r="BI53"/>
  <c r="AT53"/>
  <c r="AS53"/>
  <c r="AU53" s="1"/>
  <c r="AE53"/>
  <c r="AD53"/>
  <c r="DV52"/>
  <c r="CZ52" s="1"/>
  <c r="DU52"/>
  <c r="CY52" s="1"/>
  <c r="DT52"/>
  <c r="CX52" s="1"/>
  <c r="DS52"/>
  <c r="CW52" s="1"/>
  <c r="DR52"/>
  <c r="CV52" s="1"/>
  <c r="DQ52"/>
  <c r="CU52" s="1"/>
  <c r="DP52"/>
  <c r="CT52" s="1"/>
  <c r="DO52"/>
  <c r="CS52" s="1"/>
  <c r="CR52"/>
  <c r="CQ52"/>
  <c r="CP52"/>
  <c r="CO52"/>
  <c r="CN52"/>
  <c r="CM52"/>
  <c r="CL52"/>
  <c r="CK52"/>
  <c r="CJ52"/>
  <c r="CI52"/>
  <c r="AJ55"/>
  <c r="AW54"/>
  <c r="AP56"/>
  <c r="AN55"/>
  <c r="CB52"/>
  <c r="AH54" l="1"/>
  <c r="AG54"/>
  <c r="DJ52"/>
  <c r="BX53"/>
  <c r="AH53" s="1"/>
  <c r="AO53"/>
  <c r="AF53"/>
  <c r="AJ53"/>
  <c r="AN53"/>
  <c r="BC56"/>
  <c r="BH56" s="1" a="1"/>
  <c r="BH56" s="1"/>
  <c r="DH52"/>
  <c r="DI52"/>
  <c r="DD52"/>
  <c r="DF52"/>
  <c r="DC52"/>
  <c r="DE52"/>
  <c r="DG52"/>
  <c r="BH57" a="1"/>
  <c r="BH57" s="1"/>
  <c r="DB53"/>
  <c r="AL54"/>
  <c r="BD56"/>
  <c r="CH55"/>
  <c r="CF55"/>
  <c r="CG55"/>
  <c r="CC55"/>
  <c r="BL55"/>
  <c r="BE55"/>
  <c r="CE55"/>
  <c r="CD54"/>
  <c r="AQ54"/>
  <c r="CA54"/>
  <c r="BK54"/>
  <c r="AR53"/>
  <c r="AK53"/>
  <c r="AM53"/>
  <c r="AI55"/>
  <c r="BF56"/>
  <c r="BZ56"/>
  <c r="BG56"/>
  <c r="BP53"/>
  <c r="BJ52"/>
  <c r="BI52"/>
  <c r="AT52"/>
  <c r="AS52"/>
  <c r="AU52" s="1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CT51" s="1"/>
  <c r="DO51"/>
  <c r="CS51" s="1"/>
  <c r="DH51"/>
  <c r="CR51"/>
  <c r="CQ51"/>
  <c r="CP51"/>
  <c r="CO51"/>
  <c r="CN51"/>
  <c r="CM51"/>
  <c r="CL51"/>
  <c r="CK51"/>
  <c r="CJ51"/>
  <c r="CI51"/>
  <c r="AP55"/>
  <c r="AK55"/>
  <c r="AW53"/>
  <c r="BY53" l="1"/>
  <c r="AI53" s="1"/>
  <c r="AG53"/>
  <c r="DJ51"/>
  <c r="BB55"/>
  <c r="DG51"/>
  <c r="DI51"/>
  <c r="BX52"/>
  <c r="AG52" s="1"/>
  <c r="AO52"/>
  <c r="DE51"/>
  <c r="DF51"/>
  <c r="DC51"/>
  <c r="DD51"/>
  <c r="DB52"/>
  <c r="T56"/>
  <c r="AZ55"/>
  <c r="BA55"/>
  <c r="CH54"/>
  <c r="CF54"/>
  <c r="CG54"/>
  <c r="CC54"/>
  <c r="BL54"/>
  <c r="BE54"/>
  <c r="AP54"/>
  <c r="BB54"/>
  <c r="CE54"/>
  <c r="BF55"/>
  <c r="BZ55"/>
  <c r="BG55"/>
  <c r="AF52"/>
  <c r="AJ52"/>
  <c r="AN52"/>
  <c r="AR52"/>
  <c r="AZ52"/>
  <c r="BP52"/>
  <c r="CD53"/>
  <c r="CA53"/>
  <c r="BK53"/>
  <c r="AQ53"/>
  <c r="AK52"/>
  <c r="AM52"/>
  <c r="BA52"/>
  <c r="BJ51"/>
  <c r="BI51"/>
  <c r="AT51"/>
  <c r="AS51"/>
  <c r="AU51" s="1"/>
  <c r="AE51"/>
  <c r="AD51"/>
  <c r="DV50"/>
  <c r="CZ50" s="1"/>
  <c r="DU50"/>
  <c r="CY50" s="1"/>
  <c r="DT50"/>
  <c r="CX50" s="1"/>
  <c r="DS50"/>
  <c r="CW50" s="1"/>
  <c r="DR50"/>
  <c r="CV50" s="1"/>
  <c r="DQ50"/>
  <c r="CU50" s="1"/>
  <c r="DP50"/>
  <c r="CT50" s="1"/>
  <c r="DO50"/>
  <c r="CS50" s="1"/>
  <c r="CR50"/>
  <c r="CQ50"/>
  <c r="CP50"/>
  <c r="CO50"/>
  <c r="CN50"/>
  <c r="CM50"/>
  <c r="CL50"/>
  <c r="CK50"/>
  <c r="CJ50"/>
  <c r="CI50"/>
  <c r="AY54"/>
  <c r="AX54"/>
  <c r="AW52"/>
  <c r="CB50"/>
  <c r="AL53" l="1"/>
  <c r="AH52"/>
  <c r="BY52"/>
  <c r="AI52" s="1"/>
  <c r="DI50"/>
  <c r="DJ50"/>
  <c r="BX51"/>
  <c r="BY51" s="1"/>
  <c r="AL51" s="1"/>
  <c r="AO51"/>
  <c r="AF51"/>
  <c r="AJ51"/>
  <c r="AN51"/>
  <c r="BC55"/>
  <c r="T55" s="1"/>
  <c r="DB51"/>
  <c r="DE50"/>
  <c r="DC50"/>
  <c r="DG50"/>
  <c r="DD50"/>
  <c r="DF50"/>
  <c r="DH50"/>
  <c r="BD55"/>
  <c r="BZ54"/>
  <c r="BG54"/>
  <c r="BF54"/>
  <c r="AR51"/>
  <c r="AK51"/>
  <c r="AM51"/>
  <c r="BA51"/>
  <c r="CG53"/>
  <c r="CC53"/>
  <c r="CH53"/>
  <c r="CF53"/>
  <c r="AP53"/>
  <c r="BL53"/>
  <c r="BE53"/>
  <c r="BB53"/>
  <c r="CE53"/>
  <c r="CD52"/>
  <c r="AQ52"/>
  <c r="CA52"/>
  <c r="BK52"/>
  <c r="AZ51"/>
  <c r="BP51"/>
  <c r="BD52"/>
  <c r="BJ50"/>
  <c r="BI50"/>
  <c r="AT50"/>
  <c r="AS50"/>
  <c r="AU50" s="1"/>
  <c r="AE50"/>
  <c r="AD50"/>
  <c r="DV49"/>
  <c r="CZ49" s="1"/>
  <c r="DU49"/>
  <c r="CY49" s="1"/>
  <c r="DT49"/>
  <c r="CX49" s="1"/>
  <c r="DS49"/>
  <c r="CW49" s="1"/>
  <c r="DR49"/>
  <c r="CV49" s="1"/>
  <c r="DQ49"/>
  <c r="CU49" s="1"/>
  <c r="DP49"/>
  <c r="CT49" s="1"/>
  <c r="DO49"/>
  <c r="CS49" s="1"/>
  <c r="CR49"/>
  <c r="CQ49"/>
  <c r="CP49"/>
  <c r="CO49"/>
  <c r="CN49"/>
  <c r="CM49"/>
  <c r="CL49"/>
  <c r="CK49"/>
  <c r="CJ49"/>
  <c r="CI49"/>
  <c r="AW51"/>
  <c r="AY53"/>
  <c r="CB49"/>
  <c r="AX53"/>
  <c r="AL52" l="1"/>
  <c r="DJ49"/>
  <c r="AG51"/>
  <c r="AH51"/>
  <c r="DI49"/>
  <c r="BX50"/>
  <c r="AH50" s="1"/>
  <c r="AO50"/>
  <c r="DE49"/>
  <c r="DH49"/>
  <c r="DC49"/>
  <c r="DD49"/>
  <c r="DF49"/>
  <c r="DG49"/>
  <c r="DB50"/>
  <c r="BH55" a="1"/>
  <c r="BH55" s="1"/>
  <c r="BD51"/>
  <c r="AI51"/>
  <c r="CD51"/>
  <c r="CA51"/>
  <c r="BK51"/>
  <c r="AQ51"/>
  <c r="AF50"/>
  <c r="AJ50"/>
  <c r="AN50"/>
  <c r="AR50"/>
  <c r="AZ50"/>
  <c r="BP50"/>
  <c r="CG52"/>
  <c r="CC52"/>
  <c r="CH52"/>
  <c r="CF52"/>
  <c r="BL52"/>
  <c r="BE52"/>
  <c r="AP52"/>
  <c r="CE52"/>
  <c r="BB52"/>
  <c r="BC52" s="1"/>
  <c r="BF53"/>
  <c r="BZ53"/>
  <c r="BG53"/>
  <c r="AK50"/>
  <c r="AM50"/>
  <c r="BA50"/>
  <c r="BJ49"/>
  <c r="BI49"/>
  <c r="AT49"/>
  <c r="AS49"/>
  <c r="AU49" s="1"/>
  <c r="AE49"/>
  <c r="AD49"/>
  <c r="DV48"/>
  <c r="CZ48" s="1"/>
  <c r="DU48"/>
  <c r="CY48" s="1"/>
  <c r="DT48"/>
  <c r="CX48" s="1"/>
  <c r="DS48"/>
  <c r="CW48" s="1"/>
  <c r="DR48"/>
  <c r="CV48" s="1"/>
  <c r="DQ48"/>
  <c r="CU48" s="1"/>
  <c r="DP48"/>
  <c r="CT48" s="1"/>
  <c r="DO48"/>
  <c r="CS48" s="1"/>
  <c r="CR48"/>
  <c r="CQ48"/>
  <c r="CP48"/>
  <c r="CO48"/>
  <c r="CN48"/>
  <c r="CM48"/>
  <c r="CL48"/>
  <c r="CK48"/>
  <c r="CJ48"/>
  <c r="CI48"/>
  <c r="CB48"/>
  <c r="AY52"/>
  <c r="AX52"/>
  <c r="AW50"/>
  <c r="AG50" l="1"/>
  <c r="BY50"/>
  <c r="AI50" s="1"/>
  <c r="DI48"/>
  <c r="DJ48"/>
  <c r="BX49"/>
  <c r="AH49" s="1"/>
  <c r="AO49"/>
  <c r="DH48"/>
  <c r="DD48"/>
  <c r="DF48"/>
  <c r="DC48"/>
  <c r="DE48"/>
  <c r="DG48"/>
  <c r="DB49"/>
  <c r="BZ52"/>
  <c r="BG52"/>
  <c r="BF52"/>
  <c r="CD50"/>
  <c r="AQ50"/>
  <c r="CA50"/>
  <c r="BK50"/>
  <c r="CH51"/>
  <c r="CF51"/>
  <c r="CG51"/>
  <c r="CC51"/>
  <c r="BL51"/>
  <c r="BE51"/>
  <c r="AP51"/>
  <c r="BB51"/>
  <c r="BC51" s="1"/>
  <c r="CE51"/>
  <c r="AF49"/>
  <c r="AJ49"/>
  <c r="AN49"/>
  <c r="AR49"/>
  <c r="AZ49"/>
  <c r="BP49"/>
  <c r="BD50"/>
  <c r="T52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CU47" s="1"/>
  <c r="DP47"/>
  <c r="CT47" s="1"/>
  <c r="DO47"/>
  <c r="CS47" s="1"/>
  <c r="CR47"/>
  <c r="CQ47"/>
  <c r="CP47"/>
  <c r="CO47"/>
  <c r="CN47"/>
  <c r="CM47"/>
  <c r="CL47"/>
  <c r="CK47"/>
  <c r="CJ47"/>
  <c r="CI47"/>
  <c r="AX51"/>
  <c r="AY51"/>
  <c r="CB47"/>
  <c r="BH52" a="1"/>
  <c r="AW49"/>
  <c r="AL50" l="1"/>
  <c r="AG49"/>
  <c r="BY49"/>
  <c r="AI49" s="1"/>
  <c r="DJ47"/>
  <c r="DI47"/>
  <c r="DH47"/>
  <c r="BX48"/>
  <c r="AH48" s="1"/>
  <c r="AO48"/>
  <c r="AF48"/>
  <c r="AJ48"/>
  <c r="AN48"/>
  <c r="DG47"/>
  <c r="DE47"/>
  <c r="DF47"/>
  <c r="DB48"/>
  <c r="DD47"/>
  <c r="AL49"/>
  <c r="DC47"/>
  <c r="BH52"/>
  <c r="CD49"/>
  <c r="AQ49"/>
  <c r="CA49"/>
  <c r="BK49"/>
  <c r="T51"/>
  <c r="BZ51"/>
  <c r="BG51"/>
  <c r="BF51"/>
  <c r="AK48"/>
  <c r="AM48"/>
  <c r="BA48"/>
  <c r="BD49"/>
  <c r="CH50"/>
  <c r="CF50"/>
  <c r="CG50"/>
  <c r="CC50"/>
  <c r="BL50"/>
  <c r="BE50"/>
  <c r="AP50"/>
  <c r="BB50"/>
  <c r="BC50" s="1"/>
  <c r="CE50"/>
  <c r="AR48"/>
  <c r="AW48" s="1"/>
  <c r="AZ48"/>
  <c r="BP48"/>
  <c r="BJ47"/>
  <c r="BI47"/>
  <c r="AT47"/>
  <c r="AS47"/>
  <c r="AU47" s="1"/>
  <c r="AE47"/>
  <c r="AD47"/>
  <c r="DV46"/>
  <c r="CZ46" s="1"/>
  <c r="DU46"/>
  <c r="CY46" s="1"/>
  <c r="DT46"/>
  <c r="CX46" s="1"/>
  <c r="DS46"/>
  <c r="CW46" s="1"/>
  <c r="DR46"/>
  <c r="CV46" s="1"/>
  <c r="DQ46"/>
  <c r="CU46" s="1"/>
  <c r="DP46"/>
  <c r="CT46" s="1"/>
  <c r="DO46"/>
  <c r="CS46" s="1"/>
  <c r="CR46"/>
  <c r="CQ46"/>
  <c r="CP46"/>
  <c r="CO46"/>
  <c r="CN46"/>
  <c r="CM46"/>
  <c r="CL46"/>
  <c r="CK46"/>
  <c r="CJ46"/>
  <c r="CI46"/>
  <c r="AX50"/>
  <c r="CB46"/>
  <c r="AY50"/>
  <c r="BY48" l="1"/>
  <c r="AI48" s="1"/>
  <c r="AG48"/>
  <c r="BX47"/>
  <c r="AH47" s="1"/>
  <c r="AO47"/>
  <c r="DG46"/>
  <c r="DI46"/>
  <c r="DF46"/>
  <c r="DH46"/>
  <c r="DC46"/>
  <c r="DJ46"/>
  <c r="DD46"/>
  <c r="DE46"/>
  <c r="DB47"/>
  <c r="BD48"/>
  <c r="CC49"/>
  <c r="CH49"/>
  <c r="CF49"/>
  <c r="CG49"/>
  <c r="BL49"/>
  <c r="BE49"/>
  <c r="AP49"/>
  <c r="BB49"/>
  <c r="BC49" s="1"/>
  <c r="CE49"/>
  <c r="AF47"/>
  <c r="AJ47"/>
  <c r="AN47"/>
  <c r="AR47"/>
  <c r="AW47" s="1"/>
  <c r="AZ47"/>
  <c r="BP47"/>
  <c r="CD48"/>
  <c r="CA48"/>
  <c r="BK48"/>
  <c r="AQ48"/>
  <c r="T50"/>
  <c r="BZ50"/>
  <c r="BG50"/>
  <c r="BF50"/>
  <c r="AK47"/>
  <c r="AM47"/>
  <c r="BA47"/>
  <c r="BJ46"/>
  <c r="BI46"/>
  <c r="AT46"/>
  <c r="AS46"/>
  <c r="AU46" s="1"/>
  <c r="AE46"/>
  <c r="AD46"/>
  <c r="DV45"/>
  <c r="CZ45" s="1"/>
  <c r="DU45"/>
  <c r="CY45" s="1"/>
  <c r="DT45"/>
  <c r="CX45" s="1"/>
  <c r="DS45"/>
  <c r="CW45" s="1"/>
  <c r="DR45"/>
  <c r="CV45" s="1"/>
  <c r="DQ45"/>
  <c r="CU45" s="1"/>
  <c r="DP45"/>
  <c r="CT45" s="1"/>
  <c r="DO45"/>
  <c r="CS45" s="1"/>
  <c r="CR45"/>
  <c r="CQ45"/>
  <c r="CP45"/>
  <c r="CO45"/>
  <c r="CN45"/>
  <c r="CM45"/>
  <c r="CL45"/>
  <c r="CK45"/>
  <c r="CJ45"/>
  <c r="CI45"/>
  <c r="AY49"/>
  <c r="BH50" a="1"/>
  <c r="AX49"/>
  <c r="AG47" l="1"/>
  <c r="AL48"/>
  <c r="BY47"/>
  <c r="AI47" s="1"/>
  <c r="DJ45"/>
  <c r="BX46"/>
  <c r="AH46" s="1"/>
  <c r="AO46"/>
  <c r="AF46"/>
  <c r="AJ46"/>
  <c r="AN46"/>
  <c r="DF45"/>
  <c r="DI45"/>
  <c r="DD45"/>
  <c r="DE45"/>
  <c r="DG45"/>
  <c r="DH45"/>
  <c r="DB46"/>
  <c r="DC45"/>
  <c r="BH50"/>
  <c r="BY46"/>
  <c r="AL46" s="1"/>
  <c r="CG48"/>
  <c r="CC48"/>
  <c r="CH48"/>
  <c r="CF48"/>
  <c r="AP48"/>
  <c r="BL48"/>
  <c r="BE48"/>
  <c r="CE48"/>
  <c r="BB48"/>
  <c r="BC48" s="1"/>
  <c r="AK46"/>
  <c r="AM46"/>
  <c r="BA46"/>
  <c r="CD47"/>
  <c r="AQ47"/>
  <c r="CA47"/>
  <c r="BK47"/>
  <c r="T49"/>
  <c r="BZ49"/>
  <c r="BG49"/>
  <c r="BF49"/>
  <c r="AR46"/>
  <c r="AZ46"/>
  <c r="BP46"/>
  <c r="BD47"/>
  <c r="BJ45"/>
  <c r="BI45"/>
  <c r="AT45"/>
  <c r="AS45"/>
  <c r="AU45" s="1"/>
  <c r="AE45"/>
  <c r="AD45"/>
  <c r="DV44"/>
  <c r="CZ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AY48"/>
  <c r="AX48"/>
  <c r="BH49" a="1"/>
  <c r="AW46"/>
  <c r="AL47" l="1"/>
  <c r="DJ44"/>
  <c r="AG46"/>
  <c r="BX45"/>
  <c r="AG45" s="1"/>
  <c r="AO45"/>
  <c r="AF45"/>
  <c r="AJ45"/>
  <c r="AN45"/>
  <c r="DH44"/>
  <c r="DI44"/>
  <c r="DB45"/>
  <c r="AI46"/>
  <c r="DG44"/>
  <c r="DC44"/>
  <c r="DE44"/>
  <c r="DD44"/>
  <c r="DF44"/>
  <c r="BD46"/>
  <c r="BH49"/>
  <c r="BY45"/>
  <c r="AL45" s="1"/>
  <c r="CH47"/>
  <c r="CF47"/>
  <c r="CG47"/>
  <c r="CC47"/>
  <c r="BL47"/>
  <c r="BE47"/>
  <c r="AP47"/>
  <c r="CE47"/>
  <c r="BB47"/>
  <c r="BC47" s="1"/>
  <c r="AK45"/>
  <c r="AM45"/>
  <c r="BA45"/>
  <c r="CD46"/>
  <c r="CA46"/>
  <c r="BK46"/>
  <c r="AQ46"/>
  <c r="T48"/>
  <c r="BF48"/>
  <c r="BZ48"/>
  <c r="BG48"/>
  <c r="AR45"/>
  <c r="AZ45"/>
  <c r="BP45"/>
  <c r="BJ44"/>
  <c r="BI44"/>
  <c r="AT44"/>
  <c r="AS44"/>
  <c r="AU44" s="1"/>
  <c r="AE44"/>
  <c r="AD44"/>
  <c r="DV43"/>
  <c r="CZ43" s="1"/>
  <c r="DU43"/>
  <c r="CY43" s="1"/>
  <c r="DT43"/>
  <c r="CX43" s="1"/>
  <c r="DS43"/>
  <c r="CW43" s="1"/>
  <c r="DR43"/>
  <c r="CV43" s="1"/>
  <c r="DQ43"/>
  <c r="CU43" s="1"/>
  <c r="DP43"/>
  <c r="CT43" s="1"/>
  <c r="DO43"/>
  <c r="CS43" s="1"/>
  <c r="CR43"/>
  <c r="CQ43"/>
  <c r="CP43"/>
  <c r="CO43"/>
  <c r="CN43"/>
  <c r="CM43"/>
  <c r="CL43"/>
  <c r="CK43"/>
  <c r="CJ43"/>
  <c r="CI43"/>
  <c r="AX47"/>
  <c r="AY47"/>
  <c r="BH48" a="1"/>
  <c r="CB43"/>
  <c r="AW45"/>
  <c r="AH45" l="1"/>
  <c r="DJ43"/>
  <c r="DH43"/>
  <c r="DG43"/>
  <c r="DI43"/>
  <c r="BX44"/>
  <c r="AG44" s="1"/>
  <c r="AO44"/>
  <c r="AF44"/>
  <c r="AJ44"/>
  <c r="AN44"/>
  <c r="BD45"/>
  <c r="DE43"/>
  <c r="DF43"/>
  <c r="DB44"/>
  <c r="DC43"/>
  <c r="DD43"/>
  <c r="BH48"/>
  <c r="CD45"/>
  <c r="CA45"/>
  <c r="BK45"/>
  <c r="AQ45"/>
  <c r="CC46"/>
  <c r="CH46"/>
  <c r="CF46"/>
  <c r="CG46"/>
  <c r="AP46"/>
  <c r="BL46"/>
  <c r="BE46"/>
  <c r="BB46"/>
  <c r="BC46" s="1"/>
  <c r="CE46"/>
  <c r="BZ47"/>
  <c r="BG47"/>
  <c r="BF47"/>
  <c r="AK44"/>
  <c r="AM44"/>
  <c r="BA44"/>
  <c r="AI45"/>
  <c r="T47"/>
  <c r="AR44"/>
  <c r="AZ44"/>
  <c r="BP44"/>
  <c r="BJ43"/>
  <c r="BI43"/>
  <c r="AT43"/>
  <c r="AS43"/>
  <c r="AU43" s="1"/>
  <c r="AE43"/>
  <c r="AD43"/>
  <c r="DV42"/>
  <c r="CZ42" s="1"/>
  <c r="DU42"/>
  <c r="CY42" s="1"/>
  <c r="DT42"/>
  <c r="CX42" s="1"/>
  <c r="DS42"/>
  <c r="CW42" s="1"/>
  <c r="DR42"/>
  <c r="CV42" s="1"/>
  <c r="DQ42"/>
  <c r="CU42" s="1"/>
  <c r="DP42"/>
  <c r="CT42" s="1"/>
  <c r="DO42"/>
  <c r="CS42" s="1"/>
  <c r="CR42"/>
  <c r="CQ42"/>
  <c r="CP42"/>
  <c r="CO42"/>
  <c r="CN42"/>
  <c r="CM42"/>
  <c r="CL42"/>
  <c r="CK42"/>
  <c r="CJ42"/>
  <c r="CI42"/>
  <c r="BH47" a="1"/>
  <c r="AY46"/>
  <c r="CB42"/>
  <c r="AW44"/>
  <c r="AX46"/>
  <c r="BY44" l="1"/>
  <c r="AL44" s="1"/>
  <c r="AH44"/>
  <c r="DJ42"/>
  <c r="BX43"/>
  <c r="AH43" s="1"/>
  <c r="AO43"/>
  <c r="BD44"/>
  <c r="DD42"/>
  <c r="DH42"/>
  <c r="DG42"/>
  <c r="DI42"/>
  <c r="DB43"/>
  <c r="DC42"/>
  <c r="DE42"/>
  <c r="DF42"/>
  <c r="BH47"/>
  <c r="BG46"/>
  <c r="AF43"/>
  <c r="AJ43"/>
  <c r="AN43"/>
  <c r="AR43"/>
  <c r="AZ43"/>
  <c r="BP43"/>
  <c r="CD44"/>
  <c r="CA44"/>
  <c r="BK44"/>
  <c r="AQ44"/>
  <c r="T46"/>
  <c r="CG45"/>
  <c r="CC45"/>
  <c r="CH45"/>
  <c r="CF45"/>
  <c r="AP45"/>
  <c r="BL45"/>
  <c r="BE45"/>
  <c r="CE45"/>
  <c r="BB45"/>
  <c r="BC45" s="1"/>
  <c r="AK43"/>
  <c r="AM43"/>
  <c r="BA43"/>
  <c r="BJ42"/>
  <c r="BI42"/>
  <c r="AT42"/>
  <c r="AS42"/>
  <c r="AU42" s="1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CT41" s="1"/>
  <c r="DO41"/>
  <c r="CS41" s="1"/>
  <c r="CR41"/>
  <c r="CQ41"/>
  <c r="CP41"/>
  <c r="CO41"/>
  <c r="CN41"/>
  <c r="CM41"/>
  <c r="CL41"/>
  <c r="CK41"/>
  <c r="CJ41"/>
  <c r="CI41"/>
  <c r="AX45"/>
  <c r="CB41"/>
  <c r="AY45"/>
  <c r="AW43"/>
  <c r="BF46"/>
  <c r="BH46" a="1"/>
  <c r="AI44" l="1"/>
  <c r="AG43"/>
  <c r="DI41"/>
  <c r="DH41"/>
  <c r="BY43"/>
  <c r="AI43" s="1"/>
  <c r="DJ41"/>
  <c r="DG41"/>
  <c r="BX42"/>
  <c r="AG42" s="1"/>
  <c r="AO42"/>
  <c r="AF42"/>
  <c r="AJ42"/>
  <c r="AN42"/>
  <c r="DE41"/>
  <c r="DF41"/>
  <c r="DC41"/>
  <c r="DD41"/>
  <c r="DB42"/>
  <c r="BZ46"/>
  <c r="BH46"/>
  <c r="T45"/>
  <c r="BF45"/>
  <c r="BZ45"/>
  <c r="BG45"/>
  <c r="AK42"/>
  <c r="AM42"/>
  <c r="BA42"/>
  <c r="CF44"/>
  <c r="CG44"/>
  <c r="CC44"/>
  <c r="CH44"/>
  <c r="AP44"/>
  <c r="BL44"/>
  <c r="BE44"/>
  <c r="BB44"/>
  <c r="BC44" s="1"/>
  <c r="CE44"/>
  <c r="CD43"/>
  <c r="AQ43"/>
  <c r="CA43"/>
  <c r="BK43"/>
  <c r="AR42"/>
  <c r="AZ42"/>
  <c r="BP42"/>
  <c r="BD43"/>
  <c r="BJ41"/>
  <c r="BI41"/>
  <c r="AT41"/>
  <c r="AS41"/>
  <c r="AU41" s="1"/>
  <c r="AE41"/>
  <c r="AD41"/>
  <c r="DV40"/>
  <c r="CZ40" s="1"/>
  <c r="DU40"/>
  <c r="CY40" s="1"/>
  <c r="DT40"/>
  <c r="CX40" s="1"/>
  <c r="DS40"/>
  <c r="CW40" s="1"/>
  <c r="DR40"/>
  <c r="CV40" s="1"/>
  <c r="DQ40"/>
  <c r="CU40" s="1"/>
  <c r="DP40"/>
  <c r="CT40" s="1"/>
  <c r="DO40"/>
  <c r="CS40" s="1"/>
  <c r="CR40"/>
  <c r="CQ40"/>
  <c r="CP40"/>
  <c r="CO40"/>
  <c r="CN40"/>
  <c r="CM40"/>
  <c r="CL40"/>
  <c r="CK40"/>
  <c r="CJ40"/>
  <c r="CI40"/>
  <c r="CB40"/>
  <c r="AW42"/>
  <c r="AX44"/>
  <c r="AY44"/>
  <c r="DJ40" l="1"/>
  <c r="AL43"/>
  <c r="DG40"/>
  <c r="DI40"/>
  <c r="AH42"/>
  <c r="BY42"/>
  <c r="AL42" s="1"/>
  <c r="DH40"/>
  <c r="BX41"/>
  <c r="BY41" s="1"/>
  <c r="AL41" s="1"/>
  <c r="AO41"/>
  <c r="AF41"/>
  <c r="AJ41"/>
  <c r="AN41"/>
  <c r="BD42"/>
  <c r="DF40"/>
  <c r="DE40"/>
  <c r="DB41"/>
  <c r="DC40"/>
  <c r="DD40"/>
  <c r="CH43"/>
  <c r="CF43"/>
  <c r="CG43"/>
  <c r="CC43"/>
  <c r="BL43"/>
  <c r="BE43"/>
  <c r="AP43"/>
  <c r="CE43"/>
  <c r="BB43"/>
  <c r="BC43" s="1"/>
  <c r="BF44"/>
  <c r="BZ44"/>
  <c r="BG44"/>
  <c r="AK41"/>
  <c r="AM41"/>
  <c r="BA41"/>
  <c r="CD42"/>
  <c r="CA42"/>
  <c r="BK42"/>
  <c r="AQ42"/>
  <c r="T44"/>
  <c r="AR41"/>
  <c r="AW41" s="1"/>
  <c r="AZ41"/>
  <c r="BP41"/>
  <c r="BJ40"/>
  <c r="BI40"/>
  <c r="AT40"/>
  <c r="AS40"/>
  <c r="AU40" s="1"/>
  <c r="AE40"/>
  <c r="AD40"/>
  <c r="DV39"/>
  <c r="DJ39" s="1"/>
  <c r="DU39"/>
  <c r="CY39" s="1"/>
  <c r="DT39"/>
  <c r="DH39" s="1"/>
  <c r="DS39"/>
  <c r="CW39" s="1"/>
  <c r="DR39"/>
  <c r="DF39" s="1"/>
  <c r="DQ39"/>
  <c r="CU39" s="1"/>
  <c r="DP39"/>
  <c r="DD39" s="1"/>
  <c r="CR39"/>
  <c r="CQ39"/>
  <c r="CP39"/>
  <c r="CO39"/>
  <c r="CN39"/>
  <c r="CM39"/>
  <c r="CL39"/>
  <c r="CJ39"/>
  <c r="CI39"/>
  <c r="AX43"/>
  <c r="AY43"/>
  <c r="CB39"/>
  <c r="AI42" l="1"/>
  <c r="AG41"/>
  <c r="AH41"/>
  <c r="CZ39"/>
  <c r="DI39"/>
  <c r="BX40"/>
  <c r="AH40" s="1"/>
  <c r="AO40"/>
  <c r="AF40"/>
  <c r="AJ40"/>
  <c r="AN40"/>
  <c r="BD41"/>
  <c r="DB40"/>
  <c r="DE39"/>
  <c r="CV39"/>
  <c r="DG39"/>
  <c r="CT39"/>
  <c r="CX39"/>
  <c r="AI41"/>
  <c r="CD41"/>
  <c r="CA41"/>
  <c r="BK41"/>
  <c r="AQ41"/>
  <c r="CG42"/>
  <c r="CC42"/>
  <c r="CH42"/>
  <c r="CF42"/>
  <c r="AP42"/>
  <c r="BL42"/>
  <c r="BE42"/>
  <c r="BB42"/>
  <c r="BC42" s="1"/>
  <c r="CE42"/>
  <c r="BZ43"/>
  <c r="BG43"/>
  <c r="BF43"/>
  <c r="AK40"/>
  <c r="AM40"/>
  <c r="BA40"/>
  <c r="T43"/>
  <c r="AR40"/>
  <c r="AZ40"/>
  <c r="BP40"/>
  <c r="BJ39"/>
  <c r="BI39"/>
  <c r="AT39"/>
  <c r="AS39"/>
  <c r="AU39" s="1"/>
  <c r="AE39"/>
  <c r="AD39"/>
  <c r="AY42"/>
  <c r="BH43" a="1"/>
  <c r="AX42"/>
  <c r="AW40"/>
  <c r="BY40" l="1"/>
  <c r="AL40" s="1"/>
  <c r="AG40"/>
  <c r="BX39"/>
  <c r="AH39" s="1"/>
  <c r="AO39"/>
  <c r="BH43"/>
  <c r="BF42"/>
  <c r="BZ42"/>
  <c r="BG42"/>
  <c r="AF39"/>
  <c r="AJ39"/>
  <c r="AN39"/>
  <c r="AR39"/>
  <c r="BP39"/>
  <c r="BD40"/>
  <c r="CD40"/>
  <c r="CA40"/>
  <c r="BK40"/>
  <c r="AQ40"/>
  <c r="T42"/>
  <c r="CH41"/>
  <c r="CF41"/>
  <c r="CG41"/>
  <c r="CC41"/>
  <c r="AP41"/>
  <c r="BL41"/>
  <c r="BE41"/>
  <c r="CE41"/>
  <c r="BB41"/>
  <c r="BC41" s="1"/>
  <c r="AK39"/>
  <c r="AM39"/>
  <c r="AX41"/>
  <c r="AY41"/>
  <c r="AW39"/>
  <c r="BH42" a="1"/>
  <c r="AI40" l="1"/>
  <c r="AG39"/>
  <c r="BY39"/>
  <c r="AI39" s="1"/>
  <c r="BH42"/>
  <c r="CH40"/>
  <c r="CG40"/>
  <c r="CC40"/>
  <c r="CF40"/>
  <c r="AP40"/>
  <c r="BL40"/>
  <c r="BE40"/>
  <c r="BB40"/>
  <c r="BC40" s="1"/>
  <c r="CE40"/>
  <c r="T41"/>
  <c r="BF41"/>
  <c r="BZ41"/>
  <c r="BG41"/>
  <c r="CD39"/>
  <c r="AQ39"/>
  <c r="CA39"/>
  <c r="BK39"/>
  <c r="BH41" a="1"/>
  <c r="AX40"/>
  <c r="AY40"/>
  <c r="AL39" l="1"/>
  <c r="BH41"/>
  <c r="CH39"/>
  <c r="CF39"/>
  <c r="CG39"/>
  <c r="CC39"/>
  <c r="BL39"/>
  <c r="BE39"/>
  <c r="AP39"/>
  <c r="BB39"/>
  <c r="BF40"/>
  <c r="BZ40"/>
  <c r="BG40"/>
  <c r="T40"/>
  <c r="BH40" a="1"/>
  <c r="AY39"/>
  <c r="AX39"/>
  <c r="BH40" l="1"/>
  <c r="BZ39"/>
  <c r="BG39"/>
  <c r="BF39"/>
  <c r="DV38" l="1"/>
  <c r="DJ38" s="1"/>
  <c r="DU38"/>
  <c r="CY38" s="1"/>
  <c r="DT38"/>
  <c r="CX38" s="1"/>
  <c r="DS38"/>
  <c r="CW38" s="1"/>
  <c r="DR38"/>
  <c r="DF38" s="1"/>
  <c r="DQ38"/>
  <c r="CU38" s="1"/>
  <c r="DP38"/>
  <c r="CT38" s="1"/>
  <c r="CR38"/>
  <c r="CQ38"/>
  <c r="CP38"/>
  <c r="CO38"/>
  <c r="CN38"/>
  <c r="CM38"/>
  <c r="CL38"/>
  <c r="CJ38"/>
  <c r="CI38"/>
  <c r="CB38"/>
  <c r="DD38" l="1"/>
  <c r="CV38"/>
  <c r="DH38"/>
  <c r="CZ38"/>
  <c r="DE38"/>
  <c r="DG38"/>
  <c r="DI38"/>
  <c r="BJ38"/>
  <c r="BI38"/>
  <c r="AT38"/>
  <c r="AS38"/>
  <c r="AU38" s="1"/>
  <c r="AE38"/>
  <c r="AD38"/>
  <c r="BX38" l="1"/>
  <c r="AG38" s="1"/>
  <c r="AO38"/>
  <c r="AF38"/>
  <c r="AJ38"/>
  <c r="AN38"/>
  <c r="AK38"/>
  <c r="AM38"/>
  <c r="AR38"/>
  <c r="AZ38"/>
  <c r="BP38"/>
  <c r="AW38"/>
  <c r="BY38" l="1"/>
  <c r="AL38" s="1"/>
  <c r="AH38"/>
  <c r="CD38"/>
  <c r="CA38"/>
  <c r="BK38"/>
  <c r="AQ38"/>
  <c r="DV37"/>
  <c r="DJ37" s="1"/>
  <c r="DU37"/>
  <c r="CY37" s="1"/>
  <c r="DT37"/>
  <c r="DH37" s="1"/>
  <c r="DS37"/>
  <c r="CW37" s="1"/>
  <c r="DR37"/>
  <c r="DF37" s="1"/>
  <c r="DQ37"/>
  <c r="CU37" s="1"/>
  <c r="DP37"/>
  <c r="CT37" s="1"/>
  <c r="CR37"/>
  <c r="CQ37"/>
  <c r="CP37"/>
  <c r="CO37"/>
  <c r="CN37"/>
  <c r="CM37"/>
  <c r="CL37"/>
  <c r="CJ37"/>
  <c r="CI37"/>
  <c r="AI38" l="1"/>
  <c r="DD37"/>
  <c r="CX37"/>
  <c r="CV37"/>
  <c r="CZ37"/>
  <c r="DE37"/>
  <c r="DG37"/>
  <c r="DI37"/>
  <c r="CH38"/>
  <c r="CF38"/>
  <c r="CG38"/>
  <c r="CC38"/>
  <c r="AP38"/>
  <c r="BL38"/>
  <c r="BE38"/>
  <c r="BB38"/>
  <c r="BJ37"/>
  <c r="BI37"/>
  <c r="AT37"/>
  <c r="AS37"/>
  <c r="AU37" s="1"/>
  <c r="AE37"/>
  <c r="AD37"/>
  <c r="DV32"/>
  <c r="DJ32" s="1"/>
  <c r="DU32"/>
  <c r="CY32" s="1"/>
  <c r="DT32"/>
  <c r="DH32" s="1"/>
  <c r="DS32"/>
  <c r="CW32" s="1"/>
  <c r="DR32"/>
  <c r="DF32" s="1"/>
  <c r="CR32"/>
  <c r="CQ32"/>
  <c r="CP32"/>
  <c r="CO32"/>
  <c r="CN32"/>
  <c r="CJ32"/>
  <c r="CI32"/>
  <c r="AY38"/>
  <c r="AX38"/>
  <c r="DI32" l="1"/>
  <c r="BX37"/>
  <c r="AH37" s="1"/>
  <c r="AO37"/>
  <c r="AF37"/>
  <c r="AJ37"/>
  <c r="AN37"/>
  <c r="CV32"/>
  <c r="DG32"/>
  <c r="CZ32"/>
  <c r="CX32"/>
  <c r="AR37"/>
  <c r="AK37"/>
  <c r="AM37"/>
  <c r="BF38"/>
  <c r="BZ38"/>
  <c r="BG38"/>
  <c r="AZ37"/>
  <c r="BP37"/>
  <c r="BJ32"/>
  <c r="BI32"/>
  <c r="AT32"/>
  <c r="AS32"/>
  <c r="AU32" s="1"/>
  <c r="AE32"/>
  <c r="AD32"/>
  <c r="DV31"/>
  <c r="CZ31" s="1"/>
  <c r="DU31"/>
  <c r="CY31" s="1"/>
  <c r="DT31"/>
  <c r="CX31" s="1"/>
  <c r="DS31"/>
  <c r="DG31" s="1"/>
  <c r="DR31"/>
  <c r="CV31" s="1"/>
  <c r="CR31"/>
  <c r="CQ31"/>
  <c r="CP31"/>
  <c r="CO31"/>
  <c r="CN31"/>
  <c r="CJ31"/>
  <c r="CI31"/>
  <c r="AW37"/>
  <c r="BY37" l="1"/>
  <c r="AI37" s="1"/>
  <c r="AG37"/>
  <c r="DI31"/>
  <c r="BX32"/>
  <c r="BY32" s="1"/>
  <c r="AL32" s="1"/>
  <c r="AO32"/>
  <c r="CW31"/>
  <c r="DF31"/>
  <c r="DH31"/>
  <c r="DJ31"/>
  <c r="AG32"/>
  <c r="AF32"/>
  <c r="AJ32"/>
  <c r="AN32"/>
  <c r="AR32"/>
  <c r="AZ32"/>
  <c r="BP32"/>
  <c r="AL37"/>
  <c r="CD37"/>
  <c r="CA37"/>
  <c r="BK37"/>
  <c r="AQ37"/>
  <c r="AK32"/>
  <c r="AM32"/>
  <c r="BJ31"/>
  <c r="BI31"/>
  <c r="AT31"/>
  <c r="AS31"/>
  <c r="AU31" s="1"/>
  <c r="AE31"/>
  <c r="AD31"/>
  <c r="DV28"/>
  <c r="DJ28" s="1"/>
  <c r="DU28"/>
  <c r="CY28" s="1"/>
  <c r="DT28"/>
  <c r="CX28" s="1"/>
  <c r="DS28"/>
  <c r="CW28" s="1"/>
  <c r="DR28"/>
  <c r="DF28" s="1"/>
  <c r="CR28"/>
  <c r="CQ28"/>
  <c r="CP28"/>
  <c r="CO28"/>
  <c r="CN28"/>
  <c r="CJ28"/>
  <c r="CI28"/>
  <c r="AW32"/>
  <c r="AH32" l="1"/>
  <c r="BX31"/>
  <c r="BY31" s="1"/>
  <c r="AL31" s="1"/>
  <c r="AO31"/>
  <c r="AF31"/>
  <c r="AJ31"/>
  <c r="AN31"/>
  <c r="CZ28"/>
  <c r="CV28"/>
  <c r="DH28"/>
  <c r="DG28"/>
  <c r="DI28"/>
  <c r="AI32"/>
  <c r="CD32"/>
  <c r="AQ32"/>
  <c r="CA32"/>
  <c r="BK32"/>
  <c r="AK31"/>
  <c r="AM31"/>
  <c r="CG37"/>
  <c r="CC37"/>
  <c r="CH37"/>
  <c r="CF37"/>
  <c r="AP37"/>
  <c r="BL37"/>
  <c r="BE37"/>
  <c r="BB37"/>
  <c r="AR31"/>
  <c r="AZ31"/>
  <c r="BP31"/>
  <c r="BJ28"/>
  <c r="BI28"/>
  <c r="AT28"/>
  <c r="AS28"/>
  <c r="AU28" s="1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AY37"/>
  <c r="AX37"/>
  <c r="AW31"/>
  <c r="AG31" l="1"/>
  <c r="AH31"/>
  <c r="DI27"/>
  <c r="BX28"/>
  <c r="AG28" s="1"/>
  <c r="AO28"/>
  <c r="CW27"/>
  <c r="DF27"/>
  <c r="DH27"/>
  <c r="DJ27"/>
  <c r="AI31"/>
  <c r="CG32"/>
  <c r="CC32"/>
  <c r="CH32"/>
  <c r="CF32"/>
  <c r="BL32"/>
  <c r="BE32"/>
  <c r="AP32"/>
  <c r="BB32"/>
  <c r="AF28"/>
  <c r="AJ28"/>
  <c r="AN28"/>
  <c r="AR28"/>
  <c r="AZ28"/>
  <c r="BP28"/>
  <c r="CD31"/>
  <c r="CA31"/>
  <c r="BK31"/>
  <c r="AQ31"/>
  <c r="BF37"/>
  <c r="BZ37"/>
  <c r="BG37"/>
  <c r="AK28"/>
  <c r="AM28"/>
  <c r="BJ27"/>
  <c r="BI27"/>
  <c r="AT27"/>
  <c r="AS27"/>
  <c r="AU27" s="1"/>
  <c r="AE27"/>
  <c r="AD27"/>
  <c r="DV26"/>
  <c r="DJ26" s="1"/>
  <c r="DU26"/>
  <c r="CY26" s="1"/>
  <c r="DT26"/>
  <c r="CX26" s="1"/>
  <c r="DS26"/>
  <c r="CW26" s="1"/>
  <c r="DR26"/>
  <c r="DF26" s="1"/>
  <c r="CR26"/>
  <c r="CQ26"/>
  <c r="CP26"/>
  <c r="CO26"/>
  <c r="CN26"/>
  <c r="CJ26"/>
  <c r="CI26"/>
  <c r="AX32"/>
  <c r="AW28"/>
  <c r="AY32"/>
  <c r="AH28" l="1"/>
  <c r="BY28"/>
  <c r="AI28" s="1"/>
  <c r="BX27"/>
  <c r="AH27" s="1"/>
  <c r="AO27"/>
  <c r="AF27"/>
  <c r="AJ27"/>
  <c r="AN27"/>
  <c r="CZ26"/>
  <c r="CV26"/>
  <c r="DH26"/>
  <c r="DG26"/>
  <c r="DI26"/>
  <c r="CC31"/>
  <c r="CH31"/>
  <c r="CF31"/>
  <c r="CG31"/>
  <c r="AP31"/>
  <c r="BL31"/>
  <c r="BE31"/>
  <c r="BB31"/>
  <c r="AK27"/>
  <c r="AM27"/>
  <c r="CD28"/>
  <c r="AQ28"/>
  <c r="CA28"/>
  <c r="BK28"/>
  <c r="AR27"/>
  <c r="AZ27"/>
  <c r="BP27"/>
  <c r="BJ26"/>
  <c r="BI26"/>
  <c r="AT26"/>
  <c r="AS26"/>
  <c r="AU26" s="1"/>
  <c r="AE26"/>
  <c r="AD26"/>
  <c r="DV25"/>
  <c r="CZ25" s="1"/>
  <c r="DU25"/>
  <c r="CY25" s="1"/>
  <c r="DT25"/>
  <c r="CX25" s="1"/>
  <c r="DS25"/>
  <c r="DG25" s="1"/>
  <c r="DR25"/>
  <c r="CV25" s="1"/>
  <c r="CR25"/>
  <c r="CQ25"/>
  <c r="CP25"/>
  <c r="CO25"/>
  <c r="CN25"/>
  <c r="CJ25"/>
  <c r="CI25"/>
  <c r="AY31"/>
  <c r="AW27"/>
  <c r="AX31"/>
  <c r="AL28" l="1"/>
  <c r="BY27"/>
  <c r="AL27" s="1"/>
  <c r="AG27"/>
  <c r="BX26"/>
  <c r="AH26" s="1"/>
  <c r="AO26"/>
  <c r="DI25"/>
  <c r="CW25"/>
  <c r="DF25"/>
  <c r="DH25"/>
  <c r="DJ25"/>
  <c r="AG26"/>
  <c r="CD27"/>
  <c r="CA27"/>
  <c r="BK27"/>
  <c r="AQ27"/>
  <c r="CH28"/>
  <c r="CF28"/>
  <c r="CG28"/>
  <c r="CC28"/>
  <c r="BL28"/>
  <c r="BE28"/>
  <c r="AP28"/>
  <c r="BB28"/>
  <c r="AF26"/>
  <c r="AJ26"/>
  <c r="AN26"/>
  <c r="AR26"/>
  <c r="AZ26"/>
  <c r="BP26"/>
  <c r="AK26"/>
  <c r="AM26"/>
  <c r="BJ25"/>
  <c r="BI25"/>
  <c r="AT25"/>
  <c r="AS25"/>
  <c r="AU25" s="1"/>
  <c r="AE25"/>
  <c r="AD25"/>
  <c r="DV24"/>
  <c r="CZ24" s="1"/>
  <c r="DU24"/>
  <c r="DI24" s="1"/>
  <c r="DT24"/>
  <c r="CX24" s="1"/>
  <c r="DS24"/>
  <c r="DG24" s="1"/>
  <c r="DR24"/>
  <c r="CV24" s="1"/>
  <c r="CR24"/>
  <c r="CQ24"/>
  <c r="CP24"/>
  <c r="CO24"/>
  <c r="CN24"/>
  <c r="CJ24"/>
  <c r="CI24"/>
  <c r="AX28"/>
  <c r="AY28"/>
  <c r="AW26"/>
  <c r="AI27" l="1"/>
  <c r="BY26"/>
  <c r="AI26" s="1"/>
  <c r="BX25"/>
  <c r="AG25" s="1"/>
  <c r="AO25"/>
  <c r="AF25"/>
  <c r="AJ25"/>
  <c r="AN25"/>
  <c r="DH24"/>
  <c r="CW24"/>
  <c r="DF24"/>
  <c r="DJ24"/>
  <c r="CY24"/>
  <c r="AK25"/>
  <c r="AM25"/>
  <c r="CD26"/>
  <c r="AQ26"/>
  <c r="CA26"/>
  <c r="BK26"/>
  <c r="CG27"/>
  <c r="CC27"/>
  <c r="CH27"/>
  <c r="CF27"/>
  <c r="AP27"/>
  <c r="BL27"/>
  <c r="BE27"/>
  <c r="BB27"/>
  <c r="AR25"/>
  <c r="AZ25"/>
  <c r="BP25"/>
  <c r="BJ24"/>
  <c r="BI24"/>
  <c r="AT24"/>
  <c r="AS24"/>
  <c r="AU24" s="1"/>
  <c r="AE24"/>
  <c r="AD24"/>
  <c r="DV23"/>
  <c r="DJ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AY27"/>
  <c r="AW25"/>
  <c r="AX27"/>
  <c r="AL26" l="1"/>
  <c r="BY25"/>
  <c r="AL25" s="1"/>
  <c r="AH25"/>
  <c r="BX24"/>
  <c r="AH24" s="1"/>
  <c r="AO24"/>
  <c r="AF24"/>
  <c r="AJ24"/>
  <c r="AN24"/>
  <c r="CZ23"/>
  <c r="CV23"/>
  <c r="DH23"/>
  <c r="DG23"/>
  <c r="DI23"/>
  <c r="CH26"/>
  <c r="CF26"/>
  <c r="CG26"/>
  <c r="CC26"/>
  <c r="BL26"/>
  <c r="BE26"/>
  <c r="AP26"/>
  <c r="BB26"/>
  <c r="AK24"/>
  <c r="AM24"/>
  <c r="CD25"/>
  <c r="CA25"/>
  <c r="BK25"/>
  <c r="AQ25"/>
  <c r="AR24"/>
  <c r="AZ24"/>
  <c r="BP24"/>
  <c r="BJ23"/>
  <c r="BI23"/>
  <c r="AT23"/>
  <c r="AS23"/>
  <c r="AU23" s="1"/>
  <c r="AE23"/>
  <c r="AD23"/>
  <c r="DV22"/>
  <c r="CZ22" s="1"/>
  <c r="DU22"/>
  <c r="CY22" s="1"/>
  <c r="DT22"/>
  <c r="CX22" s="1"/>
  <c r="DS22"/>
  <c r="DG22" s="1"/>
  <c r="DR22"/>
  <c r="CV22" s="1"/>
  <c r="CR22"/>
  <c r="CQ22"/>
  <c r="CP22"/>
  <c r="CO22"/>
  <c r="CN22"/>
  <c r="CJ22"/>
  <c r="CI22"/>
  <c r="AW24"/>
  <c r="AX26"/>
  <c r="AY26"/>
  <c r="AG24" l="1"/>
  <c r="AI25"/>
  <c r="BY24"/>
  <c r="AL24" s="1"/>
  <c r="BX23"/>
  <c r="AH23" s="1"/>
  <c r="AO23"/>
  <c r="DI22"/>
  <c r="CW22"/>
  <c r="DF22"/>
  <c r="DH22"/>
  <c r="DJ22"/>
  <c r="AI24"/>
  <c r="AG23"/>
  <c r="CG25"/>
  <c r="CH25"/>
  <c r="CF25"/>
  <c r="CC25"/>
  <c r="AP25"/>
  <c r="BL25"/>
  <c r="BE25"/>
  <c r="BB25"/>
  <c r="AF23"/>
  <c r="AJ23"/>
  <c r="AN23"/>
  <c r="AR23"/>
  <c r="AZ23"/>
  <c r="BP23"/>
  <c r="CD24"/>
  <c r="CA24"/>
  <c r="BK24"/>
  <c r="AQ24"/>
  <c r="AK23"/>
  <c r="AM23"/>
  <c r="BJ22"/>
  <c r="BI22"/>
  <c r="AT22"/>
  <c r="AS22"/>
  <c r="AU22" s="1"/>
  <c r="AE22"/>
  <c r="AD22"/>
  <c r="DV21"/>
  <c r="DJ21" s="1"/>
  <c r="DU21"/>
  <c r="CY21" s="1"/>
  <c r="DT21"/>
  <c r="DH21" s="1"/>
  <c r="DS21"/>
  <c r="CW21" s="1"/>
  <c r="DR21"/>
  <c r="DF21" s="1"/>
  <c r="CR21"/>
  <c r="CQ21"/>
  <c r="CP21"/>
  <c r="CO21"/>
  <c r="CN21"/>
  <c r="CJ21"/>
  <c r="CI21"/>
  <c r="AX25"/>
  <c r="AY25"/>
  <c r="AW23"/>
  <c r="BY23" l="1"/>
  <c r="AI23" s="1"/>
  <c r="BX22"/>
  <c r="BY22" s="1"/>
  <c r="AI22" s="1"/>
  <c r="AO22"/>
  <c r="AF22"/>
  <c r="AJ22"/>
  <c r="AN22"/>
  <c r="CX21"/>
  <c r="CV21"/>
  <c r="CZ21"/>
  <c r="DG21"/>
  <c r="DI21"/>
  <c r="AK22"/>
  <c r="AM22"/>
  <c r="CH24"/>
  <c r="CF24"/>
  <c r="CC24"/>
  <c r="CG24"/>
  <c r="AP24"/>
  <c r="BL24"/>
  <c r="BE24"/>
  <c r="BB24"/>
  <c r="CD23"/>
  <c r="AQ23"/>
  <c r="CA23"/>
  <c r="BK23"/>
  <c r="AR22"/>
  <c r="AZ22"/>
  <c r="BP22"/>
  <c r="AW22"/>
  <c r="AX24"/>
  <c r="AY24"/>
  <c r="AL23" l="1"/>
  <c r="AG22"/>
  <c r="AH22"/>
  <c r="AL22"/>
  <c r="CH23"/>
  <c r="CF23"/>
  <c r="CG23"/>
  <c r="CC23"/>
  <c r="BL23"/>
  <c r="BE23"/>
  <c r="AP23"/>
  <c r="BB23"/>
  <c r="CD22"/>
  <c r="CA22"/>
  <c r="BK22"/>
  <c r="AQ22"/>
  <c r="BJ21"/>
  <c r="BI21"/>
  <c r="AX23"/>
  <c r="AY23"/>
  <c r="CC22" l="1"/>
  <c r="CH22"/>
  <c r="CF22"/>
  <c r="CG22"/>
  <c r="BL22"/>
  <c r="BE22"/>
  <c r="AP22"/>
  <c r="BB22"/>
  <c r="AT21"/>
  <c r="AS21"/>
  <c r="AU21" s="1"/>
  <c r="AY22"/>
  <c r="AX22"/>
  <c r="AE21" l="1"/>
  <c r="AD21"/>
  <c r="DV20"/>
  <c r="CZ20" s="1"/>
  <c r="DU20"/>
  <c r="DI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 l="1"/>
  <c r="AO21"/>
  <c r="AH21"/>
  <c r="DH20"/>
  <c r="DJ20"/>
  <c r="DF20"/>
  <c r="CY20"/>
  <c r="DG20"/>
  <c r="BY21"/>
  <c r="AL21" s="1"/>
  <c r="BP21"/>
  <c r="AR21"/>
  <c r="AW21"/>
  <c r="AI21" l="1"/>
  <c r="CD21"/>
  <c r="CA21"/>
  <c r="BK21"/>
  <c r="AQ21"/>
  <c r="AP21" s="1"/>
  <c r="BJ20"/>
  <c r="BI20"/>
  <c r="CG21" l="1"/>
  <c r="CC21"/>
  <c r="CH21"/>
  <c r="CF21"/>
  <c r="BL21"/>
  <c r="BE21"/>
  <c r="BB21"/>
  <c r="AT20"/>
  <c r="AS20"/>
  <c r="AU20" s="1"/>
  <c r="AY21"/>
  <c r="AX21"/>
  <c r="AE20" l="1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 l="1"/>
  <c r="AO20"/>
  <c r="AH20"/>
  <c r="DH19"/>
  <c r="DJ19"/>
  <c r="DF19"/>
  <c r="CY19"/>
  <c r="DG19"/>
  <c r="BY20"/>
  <c r="AL20" s="1"/>
  <c r="BP20"/>
  <c r="AR20"/>
  <c r="AW20"/>
  <c r="AI20" l="1"/>
  <c r="CD20"/>
  <c r="CA20"/>
  <c r="BK20"/>
  <c r="AQ20"/>
  <c r="AP20" s="1"/>
  <c r="BJ19"/>
  <c r="BI19"/>
  <c r="CG20" l="1"/>
  <c r="CH20"/>
  <c r="CF20"/>
  <c r="CC20"/>
  <c r="BL20"/>
  <c r="BE20"/>
  <c r="BB20"/>
  <c r="AX20"/>
  <c r="AY20"/>
  <c r="AT19" l="1"/>
  <c r="AS19"/>
  <c r="AU19" s="1"/>
  <c r="AE19"/>
  <c r="AO19" s="1"/>
  <c r="AD19"/>
  <c r="DV18"/>
  <c r="DJ18" s="1"/>
  <c r="DU18"/>
  <c r="CY18" s="1"/>
  <c r="DT18"/>
  <c r="CX18" s="1"/>
  <c r="DS18"/>
  <c r="CW18" s="1"/>
  <c r="DR18"/>
  <c r="DF18" s="1"/>
  <c r="DQ18"/>
  <c r="CU18" s="1"/>
  <c r="DP18"/>
  <c r="CT18" s="1"/>
  <c r="CR18"/>
  <c r="CQ18"/>
  <c r="CP18"/>
  <c r="CO18"/>
  <c r="CN18"/>
  <c r="CM18"/>
  <c r="CL18"/>
  <c r="CJ18"/>
  <c r="CI18"/>
  <c r="AF19" l="1"/>
  <c r="AJ19"/>
  <c r="AN19"/>
  <c r="DI18"/>
  <c r="CZ18"/>
  <c r="DE18"/>
  <c r="DG18"/>
  <c r="CV18"/>
  <c r="DD18"/>
  <c r="DH18"/>
  <c r="BP19"/>
  <c r="BX19"/>
  <c r="AZ19"/>
  <c r="AK19"/>
  <c r="AM19"/>
  <c r="AR19"/>
  <c r="AW19"/>
  <c r="CD19" l="1"/>
  <c r="CA19"/>
  <c r="BK19"/>
  <c r="AQ19"/>
  <c r="BY19"/>
  <c r="AL19" s="1"/>
  <c r="AH19"/>
  <c r="AG19"/>
  <c r="BJ18"/>
  <c r="BI18"/>
  <c r="AX19"/>
  <c r="AY19"/>
  <c r="AI19" l="1"/>
  <c r="CG19"/>
  <c r="CC19"/>
  <c r="CH19"/>
  <c r="CF19"/>
  <c r="BL19"/>
  <c r="BE19"/>
  <c r="AP19"/>
  <c r="BB19"/>
  <c r="AT18"/>
  <c r="AS18"/>
  <c r="AU18" l="1"/>
  <c r="AE18"/>
  <c r="BX18" s="1"/>
  <c r="AG18" s="1"/>
  <c r="AD18"/>
  <c r="DV17"/>
  <c r="CZ17" s="1"/>
  <c r="DU17"/>
  <c r="CY17" s="1"/>
  <c r="DT17"/>
  <c r="CX17" s="1"/>
  <c r="DS17"/>
  <c r="DG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 l="1"/>
  <c r="AO18"/>
  <c r="AH18"/>
  <c r="DI17"/>
  <c r="CW17"/>
  <c r="DE17"/>
  <c r="DD17"/>
  <c r="DF17"/>
  <c r="DH17"/>
  <c r="DJ17"/>
  <c r="BY18"/>
  <c r="AL18" s="1"/>
  <c r="BP18"/>
  <c r="AR18"/>
  <c r="AW18"/>
  <c r="AI18" l="1"/>
  <c r="CD18"/>
  <c r="CA18"/>
  <c r="BK18"/>
  <c r="AQ18"/>
  <c r="AP18" s="1"/>
  <c r="BJ17"/>
  <c r="BI17"/>
  <c r="CG18" l="1"/>
  <c r="CC18"/>
  <c r="CH18"/>
  <c r="CF18"/>
  <c r="BL18"/>
  <c r="BE18"/>
  <c r="BB18"/>
  <c r="AT17"/>
  <c r="AS17"/>
  <c r="AU17" s="1"/>
  <c r="AY18"/>
  <c r="AX18"/>
  <c r="BZ18" l="1"/>
  <c r="BF18"/>
  <c r="BG18"/>
  <c r="AE17"/>
  <c r="AK17" s="1"/>
  <c r="AD17"/>
  <c r="AZ17" s="1"/>
  <c r="DV16"/>
  <c r="CZ16" s="1"/>
  <c r="DU16"/>
  <c r="CY16" s="1"/>
  <c r="DT16"/>
  <c r="CX16" s="1"/>
  <c r="DS16"/>
  <c r="CW16" s="1"/>
  <c r="CR16"/>
  <c r="CQ16"/>
  <c r="CP16"/>
  <c r="CO16"/>
  <c r="CJ16"/>
  <c r="CI16"/>
  <c r="AJ17"/>
  <c r="BX17"/>
  <c r="AH17" s="1"/>
  <c r="CB16"/>
  <c r="AN17" l="1"/>
  <c r="AM17"/>
  <c r="AF17"/>
  <c r="AO17"/>
  <c r="AG17"/>
  <c r="DJ16"/>
  <c r="DH16"/>
  <c r="DG16"/>
  <c r="DI16"/>
  <c r="BY17"/>
  <c r="AL17" s="1"/>
  <c r="BP17"/>
  <c r="AR17"/>
  <c r="AW17"/>
  <c r="AI17" l="1"/>
  <c r="CD17"/>
  <c r="CA17"/>
  <c r="BK17"/>
  <c r="AQ17"/>
  <c r="AP17" s="1"/>
  <c r="BJ16"/>
  <c r="BI16"/>
  <c r="CG17" l="1"/>
  <c r="CC17"/>
  <c r="CH17"/>
  <c r="CF17"/>
  <c r="BL17"/>
  <c r="BE17"/>
  <c r="BB17"/>
  <c r="AT16"/>
  <c r="AS16"/>
  <c r="AU16" s="1"/>
  <c r="AY17"/>
  <c r="AX17"/>
  <c r="BZ17" l="1"/>
  <c r="BF17"/>
  <c r="BG17"/>
  <c r="AE16"/>
  <c r="AK16" s="1"/>
  <c r="AD16"/>
  <c r="AZ16" s="1"/>
  <c r="DV15"/>
  <c r="CZ15" s="1"/>
  <c r="DU15"/>
  <c r="CY15" s="1"/>
  <c r="DT15"/>
  <c r="CX15" s="1"/>
  <c r="DS15"/>
  <c r="CW15" s="1"/>
  <c r="DR15"/>
  <c r="CV15" s="1"/>
  <c r="DQ15"/>
  <c r="CU15" s="1"/>
  <c r="DP15"/>
  <c r="CT15" s="1"/>
  <c r="DO15"/>
  <c r="CS15" s="1"/>
  <c r="CR15"/>
  <c r="CQ15"/>
  <c r="CP15"/>
  <c r="CO15"/>
  <c r="CN15"/>
  <c r="CM15"/>
  <c r="CL15"/>
  <c r="CK15"/>
  <c r="CJ15"/>
  <c r="CI15"/>
  <c r="AJ16"/>
  <c r="BX16"/>
  <c r="AG16" s="1"/>
  <c r="CB15"/>
  <c r="AN16" l="1"/>
  <c r="AM16"/>
  <c r="AF16"/>
  <c r="AO16"/>
  <c r="DC15"/>
  <c r="DG15"/>
  <c r="DE15"/>
  <c r="DI15"/>
  <c r="DD15"/>
  <c r="DF15"/>
  <c r="DH15"/>
  <c r="DJ15"/>
  <c r="AH16"/>
  <c r="BY16"/>
  <c r="AL16" s="1"/>
  <c r="BP16"/>
  <c r="AR16"/>
  <c r="AW16"/>
  <c r="DB15" l="1"/>
  <c r="AI16"/>
  <c r="CD16"/>
  <c r="CA16"/>
  <c r="BK16"/>
  <c r="AQ16"/>
  <c r="AP16" s="1"/>
  <c r="BJ15"/>
  <c r="BI15"/>
  <c r="CG16" l="1"/>
  <c r="CH16"/>
  <c r="CF16"/>
  <c r="CC16"/>
  <c r="BL16"/>
  <c r="BE16"/>
  <c r="BB16"/>
  <c r="AT15"/>
  <c r="AS15"/>
  <c r="AU15" s="1"/>
  <c r="AX16"/>
  <c r="AY16"/>
  <c r="BZ16" l="1"/>
  <c r="BF16"/>
  <c r="BG16"/>
  <c r="AE15"/>
  <c r="AN15" s="1"/>
  <c r="AD15"/>
  <c r="DV14"/>
  <c r="CZ14" s="1"/>
  <c r="DU14"/>
  <c r="DI14" s="1"/>
  <c r="DT14"/>
  <c r="CX14" s="1"/>
  <c r="DS14"/>
  <c r="CW14" s="1"/>
  <c r="DR14"/>
  <c r="CV14" s="1"/>
  <c r="DQ14"/>
  <c r="DE14" s="1"/>
  <c r="DP14"/>
  <c r="CT14" s="1"/>
  <c r="CR14"/>
  <c r="CQ14"/>
  <c r="CP14"/>
  <c r="CO14"/>
  <c r="CN14"/>
  <c r="CM14"/>
  <c r="CL14"/>
  <c r="CJ14"/>
  <c r="CI14"/>
  <c r="AJ15"/>
  <c r="AK15"/>
  <c r="AM15"/>
  <c r="CB14"/>
  <c r="BX15" l="1"/>
  <c r="AH15" s="1"/>
  <c r="AF15"/>
  <c r="AO15"/>
  <c r="CU14"/>
  <c r="DD14"/>
  <c r="DH14"/>
  <c r="DF14"/>
  <c r="DJ14"/>
  <c r="CY14"/>
  <c r="DG14"/>
  <c r="BP15"/>
  <c r="AR15"/>
  <c r="AW15" s="1"/>
  <c r="BY15" l="1"/>
  <c r="AL15" s="1"/>
  <c r="AG15"/>
  <c r="CD15"/>
  <c r="CA15"/>
  <c r="BK15"/>
  <c r="AQ15"/>
  <c r="AP15" s="1"/>
  <c r="BJ14"/>
  <c r="BI14"/>
  <c r="AI15" l="1"/>
  <c r="CH15"/>
  <c r="CF15"/>
  <c r="CG15"/>
  <c r="CC15"/>
  <c r="BL15"/>
  <c r="BE15"/>
  <c r="CE15"/>
  <c r="BB15"/>
  <c r="AT14"/>
  <c r="AS14"/>
  <c r="AU14" s="1"/>
  <c r="AX15"/>
  <c r="AY15"/>
  <c r="BZ15" l="1"/>
  <c r="BG15"/>
  <c r="BF15"/>
  <c r="AE14"/>
  <c r="AN14" s="1"/>
  <c r="AD14"/>
  <c r="DV13"/>
  <c r="DJ13" s="1"/>
  <c r="DU13"/>
  <c r="CY13" s="1"/>
  <c r="DT13"/>
  <c r="DH13" s="1"/>
  <c r="DS13"/>
  <c r="CW13" s="1"/>
  <c r="DR13"/>
  <c r="DF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CB13"/>
  <c r="BX14" l="1"/>
  <c r="AH14" s="1"/>
  <c r="BA14"/>
  <c r="AF14"/>
  <c r="AO14"/>
  <c r="CT13"/>
  <c r="CX13"/>
  <c r="CV13"/>
  <c r="CZ13"/>
  <c r="DE13"/>
  <c r="DG13"/>
  <c r="DI13"/>
  <c r="BP14"/>
  <c r="AR14"/>
  <c r="AW14"/>
  <c r="BY14" l="1"/>
  <c r="AL14" s="1"/>
  <c r="AG14"/>
  <c r="CA14"/>
  <c r="BK14"/>
  <c r="AQ14"/>
  <c r="AP14" s="1"/>
  <c r="BJ13"/>
  <c r="BI13"/>
  <c r="AI14" l="1"/>
  <c r="CG14"/>
  <c r="CC14"/>
  <c r="CH14"/>
  <c r="CF14"/>
  <c r="CD14"/>
  <c r="BL14"/>
  <c r="BE14"/>
  <c r="BB14"/>
  <c r="AT13"/>
  <c r="AS13"/>
  <c r="AX14"/>
  <c r="AY14"/>
  <c r="BZ14" l="1"/>
  <c r="BF14"/>
  <c r="BG14"/>
  <c r="AU13"/>
  <c r="AE13" l="1"/>
  <c r="AO13" s="1"/>
  <c r="AD13"/>
  <c r="D13"/>
  <c r="AJ13"/>
  <c r="AK13"/>
  <c r="AM13"/>
  <c r="AN13"/>
  <c r="BA13"/>
  <c r="BX13"/>
  <c r="AG13" s="1"/>
  <c r="AH13" l="1"/>
  <c r="BY13"/>
  <c r="AL13" s="1"/>
  <c r="BP13"/>
  <c r="AR13"/>
  <c r="AF13"/>
  <c r="AW13"/>
  <c r="AI13" l="1"/>
  <c r="CA13"/>
  <c r="BK13"/>
  <c r="AQ13"/>
  <c r="AP13" s="1"/>
  <c r="CG13" l="1"/>
  <c r="CC13"/>
  <c r="CH13"/>
  <c r="CF13"/>
  <c r="CD13"/>
  <c r="BL13"/>
  <c r="BE13"/>
  <c r="BB13"/>
  <c r="AY13"/>
  <c r="AX13"/>
  <c r="L3"/>
  <c r="BZ13" l="1"/>
  <c r="BF13"/>
  <c r="BG13"/>
  <c r="S2" l="1"/>
  <c r="K2"/>
  <c r="J2"/>
  <c r="U2" s="1"/>
  <c r="I2"/>
  <c r="G2"/>
  <c r="F2"/>
  <c r="E2"/>
  <c r="D2"/>
  <c r="C2" a="1"/>
  <c r="C2" s="1"/>
  <c r="G4"/>
  <c r="H2" l="1"/>
  <c r="AV70"/>
  <c r="AV69"/>
  <c r="AV40"/>
  <c r="AV15"/>
  <c r="AV14"/>
  <c r="AV13"/>
  <c r="T2"/>
  <c r="C4"/>
  <c r="BT4"/>
  <c r="BQ56" l="1"/>
  <c r="BQ55"/>
  <c r="BQ57"/>
  <c r="BV33"/>
  <c r="CK24"/>
  <c r="CK71"/>
  <c r="CL16"/>
  <c r="CL22"/>
  <c r="BV40"/>
  <c r="CL20"/>
  <c r="CL33"/>
  <c r="BV13"/>
  <c r="CK16"/>
  <c r="CK18"/>
  <c r="CK65"/>
  <c r="CL27"/>
  <c r="BV60"/>
  <c r="D4"/>
  <c r="CM27"/>
  <c r="CM24"/>
  <c r="CL35"/>
  <c r="BV41"/>
  <c r="BV54"/>
  <c r="BV65"/>
  <c r="T4"/>
  <c r="CM23"/>
  <c r="CK32"/>
  <c r="BV50"/>
  <c r="BV20"/>
  <c r="CM25"/>
  <c r="CK64"/>
  <c r="BV47"/>
  <c r="BV44"/>
  <c r="CK21"/>
  <c r="CK14"/>
  <c r="BK4"/>
  <c r="CK20"/>
  <c r="BV39"/>
  <c r="BV34"/>
  <c r="CK62"/>
  <c r="CM19"/>
  <c r="CL29"/>
  <c r="CK31"/>
  <c r="BV43"/>
  <c r="CL21"/>
  <c r="CK29"/>
  <c r="CM21"/>
  <c r="BV49"/>
  <c r="BV28"/>
  <c r="BV31"/>
  <c r="CM20"/>
  <c r="CK33"/>
  <c r="CM32"/>
  <c r="BH4"/>
  <c r="BV17"/>
  <c r="CK25"/>
  <c r="CK30"/>
  <c r="BS4"/>
  <c r="CL23"/>
  <c r="CK27"/>
  <c r="CL28"/>
  <c r="CL26"/>
  <c r="CK34"/>
  <c r="CL30"/>
  <c r="BV58"/>
  <c r="BV52"/>
  <c r="CK39"/>
  <c r="CM29"/>
  <c r="CL31"/>
  <c r="BV61"/>
  <c r="CK22"/>
  <c r="CM30"/>
  <c r="BV56"/>
  <c r="CN16"/>
  <c r="BV26"/>
  <c r="BV71"/>
  <c r="CK37"/>
  <c r="BV23"/>
  <c r="CK35"/>
  <c r="CK63"/>
  <c r="CL32"/>
  <c r="BV53"/>
  <c r="BV14"/>
  <c r="BQ4"/>
  <c r="CM35"/>
  <c r="CM31"/>
  <c r="BV24"/>
  <c r="CL34"/>
  <c r="CM22"/>
  <c r="CL24"/>
  <c r="BV19"/>
  <c r="BV64"/>
  <c r="BV37"/>
  <c r="BV22"/>
  <c r="BV69"/>
  <c r="BV21"/>
  <c r="BV36"/>
  <c r="CM33"/>
  <c r="CM26"/>
  <c r="BV55"/>
  <c r="CM16"/>
  <c r="BV45"/>
  <c r="CK26"/>
  <c r="BV48"/>
  <c r="BV42"/>
  <c r="BV67"/>
  <c r="CK13"/>
  <c r="CM36"/>
  <c r="BV62"/>
  <c r="BV46"/>
  <c r="BV68"/>
  <c r="BV51"/>
  <c r="BV27"/>
  <c r="BV29"/>
  <c r="BV38"/>
  <c r="BV25"/>
  <c r="BV15"/>
  <c r="BV16"/>
  <c r="CK28"/>
  <c r="CK38"/>
  <c r="BV59"/>
  <c r="BV70"/>
  <c r="CM34"/>
  <c r="CL25"/>
  <c r="BV63"/>
  <c r="CL19"/>
  <c r="CK17"/>
  <c r="BV66"/>
  <c r="BV57"/>
  <c r="CL36"/>
  <c r="BV30"/>
  <c r="CK23"/>
  <c r="BV32"/>
  <c r="CK19"/>
  <c r="BV18"/>
  <c r="BV35"/>
  <c r="CK36"/>
  <c r="CM28"/>
  <c r="BR55" l="1"/>
  <c r="BS55" s="1"/>
  <c r="BR56"/>
  <c r="BS56" s="1"/>
  <c r="BR57"/>
  <c r="BS57" s="1"/>
  <c r="BW29"/>
  <c r="BW30"/>
  <c r="BW33"/>
  <c r="BW36"/>
  <c r="BT57" l="1"/>
  <c r="B57"/>
  <c r="U57"/>
  <c r="BT56"/>
  <c r="U56"/>
  <c r="B56"/>
  <c r="BT55"/>
  <c r="B55" s="1"/>
  <c r="U55"/>
  <c r="BW38"/>
  <c r="BW69"/>
  <c r="BW54"/>
  <c r="BW60"/>
  <c r="BW49"/>
  <c r="BW50"/>
  <c r="BW58"/>
  <c r="BW46"/>
  <c r="BW53"/>
  <c r="BW13"/>
  <c r="BW44"/>
  <c r="BW55"/>
  <c r="BW70"/>
  <c r="BW31"/>
  <c r="BW22"/>
  <c r="BW48"/>
  <c r="BW23"/>
  <c r="BW67"/>
  <c r="BW56"/>
  <c r="BW68"/>
  <c r="BW45"/>
  <c r="BW18"/>
  <c r="BW17"/>
  <c r="BW37"/>
  <c r="BW28"/>
  <c r="BW61"/>
  <c r="BW40"/>
  <c r="BW19"/>
  <c r="BW21"/>
  <c r="BW25"/>
  <c r="BW65"/>
  <c r="BW41"/>
  <c r="BW15"/>
  <c r="BW32"/>
  <c r="BW63"/>
  <c r="BW51"/>
  <c r="BW43"/>
  <c r="BW16"/>
  <c r="BW66"/>
  <c r="BW42"/>
  <c r="BW47"/>
  <c r="BW26"/>
  <c r="BW20"/>
  <c r="BW52"/>
  <c r="BW64"/>
  <c r="BW24"/>
  <c r="BW57"/>
  <c r="BW39"/>
  <c r="BW14"/>
  <c r="BW71"/>
  <c r="BW59"/>
  <c r="BW62"/>
  <c r="BW27"/>
  <c r="BQ50" l="1"/>
  <c r="BR50" s="1"/>
  <c r="BS50" s="1"/>
  <c r="BQ40"/>
  <c r="BR40" s="1"/>
  <c r="BS40" s="1"/>
  <c r="BQ58"/>
  <c r="BR58" s="1"/>
  <c r="BS58" s="1"/>
  <c r="BQ53"/>
  <c r="BR53" s="1"/>
  <c r="BS53" s="1"/>
  <c r="BQ47"/>
  <c r="BR47" s="1"/>
  <c r="BS47" s="1"/>
  <c r="BQ48"/>
  <c r="BR48" s="1"/>
  <c r="BS48" s="1"/>
  <c r="BQ70"/>
  <c r="BR70" s="1"/>
  <c r="BS70" s="1"/>
  <c r="BQ59"/>
  <c r="BR59" s="1"/>
  <c r="BS59" s="1"/>
  <c r="BQ15"/>
  <c r="BR15" s="1"/>
  <c r="BS15" s="1"/>
  <c r="BQ42"/>
  <c r="BR42" s="1"/>
  <c r="BS42" s="1"/>
  <c r="BQ61"/>
  <c r="BR61" s="1"/>
  <c r="BS61" s="1"/>
  <c r="BQ60"/>
  <c r="BR60" s="1"/>
  <c r="BS60" s="1"/>
  <c r="BQ41"/>
  <c r="BR41" s="1"/>
  <c r="BS41" s="1"/>
  <c r="BQ54"/>
  <c r="BR54" s="1"/>
  <c r="BS54" s="1"/>
  <c r="BQ49"/>
  <c r="BR49" s="1"/>
  <c r="BS49" s="1"/>
  <c r="BQ46"/>
  <c r="BR46" s="1"/>
  <c r="BS46" s="1"/>
  <c r="BQ52"/>
  <c r="BR52" s="1"/>
  <c r="BS52" s="1"/>
  <c r="BQ43"/>
  <c r="BR43" s="1"/>
  <c r="BS43" s="1"/>
  <c r="DO64"/>
  <c r="DO16"/>
  <c r="DP36"/>
  <c r="DO71"/>
  <c r="DO65"/>
  <c r="DP33"/>
  <c r="DP30"/>
  <c r="DO63"/>
  <c r="DP32"/>
  <c r="DP23"/>
  <c r="DP25"/>
  <c r="DO62"/>
  <c r="DP22"/>
  <c r="DP20"/>
  <c r="DP34"/>
  <c r="DP27"/>
  <c r="DP24"/>
  <c r="DP26"/>
  <c r="DP31"/>
  <c r="DP29"/>
  <c r="DP21"/>
  <c r="DP28"/>
  <c r="DP35"/>
  <c r="DP19"/>
  <c r="BT43" l="1"/>
  <c r="B43" s="1"/>
  <c r="B46"/>
  <c r="BT49"/>
  <c r="B49" s="1"/>
  <c r="U54"/>
  <c r="B41"/>
  <c r="BT60"/>
  <c r="U61"/>
  <c r="BT59"/>
  <c r="U48"/>
  <c r="BT47"/>
  <c r="B47" s="1"/>
  <c r="U53"/>
  <c r="U58"/>
  <c r="BT50"/>
  <c r="B50" s="1"/>
  <c r="BT52"/>
  <c r="B52" s="1"/>
  <c r="B42"/>
  <c r="BT40"/>
  <c r="CT35"/>
  <c r="DD35"/>
  <c r="CT34"/>
  <c r="DD34"/>
  <c r="CT36"/>
  <c r="DD36"/>
  <c r="CT33"/>
  <c r="DD33"/>
  <c r="CT30"/>
  <c r="DD30"/>
  <c r="CT29"/>
  <c r="DD29"/>
  <c r="BT70"/>
  <c r="B15"/>
  <c r="U52"/>
  <c r="U59"/>
  <c r="U40"/>
  <c r="U50"/>
  <c r="B70"/>
  <c r="U42"/>
  <c r="B59"/>
  <c r="BT41"/>
  <c r="BT46"/>
  <c r="U49"/>
  <c r="B60"/>
  <c r="U47"/>
  <c r="B40"/>
  <c r="U46"/>
  <c r="U70"/>
  <c r="BT58"/>
  <c r="B58" s="1"/>
  <c r="U43"/>
  <c r="BT54"/>
  <c r="B54"/>
  <c r="BT53"/>
  <c r="BT61"/>
  <c r="B61" s="1"/>
  <c r="U60"/>
  <c r="BT42"/>
  <c r="U41"/>
  <c r="B53"/>
  <c r="BT15"/>
  <c r="B48"/>
  <c r="DC64"/>
  <c r="DB64" s="1"/>
  <c r="CE64" s="1"/>
  <c r="CS64"/>
  <c r="DD31"/>
  <c r="CT31"/>
  <c r="CT32"/>
  <c r="DD32"/>
  <c r="DD26"/>
  <c r="CT26"/>
  <c r="DD24"/>
  <c r="CT24"/>
  <c r="DC16"/>
  <c r="CS16"/>
  <c r="DD25"/>
  <c r="CT25"/>
  <c r="DC63"/>
  <c r="DB63" s="1"/>
  <c r="CE63" s="1"/>
  <c r="CS63"/>
  <c r="CS65"/>
  <c r="DC65"/>
  <c r="DB65" s="1"/>
  <c r="CE65" s="1"/>
  <c r="DC62"/>
  <c r="DB62" s="1"/>
  <c r="CE62" s="1"/>
  <c r="CS62"/>
  <c r="DD23"/>
  <c r="CT23"/>
  <c r="CT21"/>
  <c r="DD21"/>
  <c r="DD20"/>
  <c r="CT20"/>
  <c r="DD28"/>
  <c r="CT28"/>
  <c r="DD27"/>
  <c r="CT27"/>
  <c r="DD19"/>
  <c r="CT19"/>
  <c r="DC71"/>
  <c r="DB71" s="1"/>
  <c r="CE71" s="1"/>
  <c r="CS71"/>
  <c r="CT22"/>
  <c r="DD22"/>
  <c r="U15"/>
  <c r="BT48"/>
  <c r="BQ71" l="1"/>
  <c r="BR71" s="1"/>
  <c r="BS71" s="1"/>
  <c r="U71" l="1"/>
  <c r="BT71"/>
  <c r="B71" s="1"/>
  <c r="CB65"/>
  <c r="BF65"/>
  <c r="BH65" a="1"/>
  <c r="BZ65" l="1"/>
  <c r="BQ65" s="1"/>
  <c r="BH65"/>
  <c r="K15"/>
  <c r="BA15" s="1"/>
  <c r="BR65" l="1"/>
  <c r="BS65" s="1"/>
  <c r="U65" l="1"/>
  <c r="BT65"/>
  <c r="B65" s="1"/>
  <c r="O24" i="7" l="1"/>
  <c r="O22"/>
  <c r="G7" i="25"/>
  <c r="O547" i="3"/>
  <c r="S547"/>
  <c r="O546"/>
  <c r="S546"/>
  <c r="O545"/>
  <c r="S545"/>
  <c r="P545" s="1"/>
  <c r="O544"/>
  <c r="S544"/>
  <c r="P544" s="1"/>
  <c r="O543"/>
  <c r="S543"/>
  <c r="O542"/>
  <c r="S542"/>
  <c r="O541"/>
  <c r="S541"/>
  <c r="P541" s="1"/>
  <c r="O540"/>
  <c r="S540"/>
  <c r="P540" s="1"/>
  <c r="O539"/>
  <c r="S539"/>
  <c r="O538"/>
  <c r="S538"/>
  <c r="O537"/>
  <c r="S537"/>
  <c r="Q537" s="1"/>
  <c r="O536"/>
  <c r="S536"/>
  <c r="P536" s="1"/>
  <c r="O535"/>
  <c r="S535"/>
  <c r="O534"/>
  <c r="S534"/>
  <c r="O533"/>
  <c r="S533"/>
  <c r="Q533" s="1"/>
  <c r="O532"/>
  <c r="S532"/>
  <c r="P532" s="1"/>
  <c r="O531"/>
  <c r="S531"/>
  <c r="O530"/>
  <c r="S530"/>
  <c r="O529"/>
  <c r="S529"/>
  <c r="P529" s="1"/>
  <c r="O528"/>
  <c r="S528"/>
  <c r="P528" s="1"/>
  <c r="O527"/>
  <c r="S527"/>
  <c r="O526"/>
  <c r="S526"/>
  <c r="O525"/>
  <c r="S525"/>
  <c r="Q525" s="1"/>
  <c r="O524"/>
  <c r="S524"/>
  <c r="P524" s="1"/>
  <c r="O523"/>
  <c r="S523"/>
  <c r="O522"/>
  <c r="S522"/>
  <c r="O521"/>
  <c r="S521"/>
  <c r="P521" s="1"/>
  <c r="O520"/>
  <c r="S520"/>
  <c r="P520" s="1"/>
  <c r="O519"/>
  <c r="S519"/>
  <c r="O518"/>
  <c r="S518"/>
  <c r="O517"/>
  <c r="S517"/>
  <c r="Q517" s="1"/>
  <c r="O516"/>
  <c r="S516"/>
  <c r="P516" s="1"/>
  <c r="O515"/>
  <c r="S515"/>
  <c r="O514"/>
  <c r="S514"/>
  <c r="O513"/>
  <c r="S513"/>
  <c r="Q513" s="1"/>
  <c r="O512"/>
  <c r="S512"/>
  <c r="P512" s="1"/>
  <c r="O511"/>
  <c r="S511"/>
  <c r="O510"/>
  <c r="S510"/>
  <c r="O509"/>
  <c r="S509"/>
  <c r="P509" s="1"/>
  <c r="O508"/>
  <c r="S508"/>
  <c r="P508" s="1"/>
  <c r="O507"/>
  <c r="S507"/>
  <c r="O506"/>
  <c r="S506"/>
  <c r="O505"/>
  <c r="S505"/>
  <c r="Q505" s="1"/>
  <c r="O504"/>
  <c r="S504"/>
  <c r="P504" s="1"/>
  <c r="O503"/>
  <c r="S503"/>
  <c r="O502"/>
  <c r="S502"/>
  <c r="O501"/>
  <c r="S501"/>
  <c r="Q501" s="1"/>
  <c r="O500"/>
  <c r="S500"/>
  <c r="P500" s="1"/>
  <c r="O499"/>
  <c r="S499"/>
  <c r="O498"/>
  <c r="S498"/>
  <c r="O497"/>
  <c r="S497"/>
  <c r="P497" s="1"/>
  <c r="O496"/>
  <c r="S496"/>
  <c r="P496" s="1"/>
  <c r="O495"/>
  <c r="S495"/>
  <c r="O494"/>
  <c r="S494"/>
  <c r="O493"/>
  <c r="S493"/>
  <c r="P493" s="1"/>
  <c r="O492"/>
  <c r="S492"/>
  <c r="P492" s="1"/>
  <c r="O491"/>
  <c r="S491"/>
  <c r="O490"/>
  <c r="S490"/>
  <c r="O489"/>
  <c r="S489"/>
  <c r="Q489" s="1"/>
  <c r="O488"/>
  <c r="S488"/>
  <c r="P488" s="1"/>
  <c r="O487"/>
  <c r="S487"/>
  <c r="O486"/>
  <c r="S486"/>
  <c r="O485"/>
  <c r="S485"/>
  <c r="Q485" s="1"/>
  <c r="O484"/>
  <c r="S484"/>
  <c r="P484" s="1"/>
  <c r="O483"/>
  <c r="S483"/>
  <c r="O482"/>
  <c r="S482"/>
  <c r="O481"/>
  <c r="S481"/>
  <c r="P481" s="1"/>
  <c r="O480"/>
  <c r="S480"/>
  <c r="P480" s="1"/>
  <c r="O479"/>
  <c r="S479"/>
  <c r="O478"/>
  <c r="S478"/>
  <c r="O477"/>
  <c r="S477"/>
  <c r="Q477" s="1"/>
  <c r="O476"/>
  <c r="S476"/>
  <c r="P476" s="1"/>
  <c r="O475"/>
  <c r="S475"/>
  <c r="O474"/>
  <c r="S474"/>
  <c r="O473"/>
  <c r="S473"/>
  <c r="P473" s="1"/>
  <c r="O472"/>
  <c r="S472"/>
  <c r="P472" s="1"/>
  <c r="O471"/>
  <c r="S471"/>
  <c r="O470"/>
  <c r="S470"/>
  <c r="O469"/>
  <c r="S469"/>
  <c r="Q469" s="1"/>
  <c r="O468"/>
  <c r="S468"/>
  <c r="P468" s="1"/>
  <c r="O467"/>
  <c r="S467"/>
  <c r="O466"/>
  <c r="S466"/>
  <c r="O465"/>
  <c r="S465"/>
  <c r="Q465" s="1"/>
  <c r="O464"/>
  <c r="S464"/>
  <c r="P464" s="1"/>
  <c r="O463"/>
  <c r="S463"/>
  <c r="O462"/>
  <c r="S462"/>
  <c r="O461"/>
  <c r="S461"/>
  <c r="Q461" s="1"/>
  <c r="O460"/>
  <c r="S460"/>
  <c r="P460" s="1"/>
  <c r="O459"/>
  <c r="S459"/>
  <c r="O458"/>
  <c r="S458"/>
  <c r="O457"/>
  <c r="S457"/>
  <c r="P457" s="1"/>
  <c r="O456"/>
  <c r="S456"/>
  <c r="P456" s="1"/>
  <c r="O455"/>
  <c r="S455"/>
  <c r="O454"/>
  <c r="S454"/>
  <c r="O453"/>
  <c r="S453"/>
  <c r="Q453" s="1"/>
  <c r="O452"/>
  <c r="S452"/>
  <c r="P452" s="1"/>
  <c r="O451"/>
  <c r="S451"/>
  <c r="O450"/>
  <c r="S450"/>
  <c r="O449"/>
  <c r="S449"/>
  <c r="Q449" s="1"/>
  <c r="O448"/>
  <c r="S448"/>
  <c r="P448" s="1"/>
  <c r="O447"/>
  <c r="S447"/>
  <c r="O446"/>
  <c r="S446"/>
  <c r="O445"/>
  <c r="S445"/>
  <c r="P445" s="1"/>
  <c r="O444"/>
  <c r="S444"/>
  <c r="P444" s="1"/>
  <c r="O443"/>
  <c r="S443"/>
  <c r="O442"/>
  <c r="S442"/>
  <c r="O441"/>
  <c r="S441"/>
  <c r="Q441" s="1"/>
  <c r="O440"/>
  <c r="S440"/>
  <c r="P440" s="1"/>
  <c r="O439"/>
  <c r="S439"/>
  <c r="O438"/>
  <c r="S438"/>
  <c r="O437"/>
  <c r="S437"/>
  <c r="Q437" s="1"/>
  <c r="O436"/>
  <c r="S436"/>
  <c r="P436" s="1"/>
  <c r="O435"/>
  <c r="S435"/>
  <c r="O434"/>
  <c r="S434"/>
  <c r="O433"/>
  <c r="S433"/>
  <c r="P433" s="1"/>
  <c r="O432"/>
  <c r="S432"/>
  <c r="P432" s="1"/>
  <c r="O431"/>
  <c r="S431"/>
  <c r="O430"/>
  <c r="S430"/>
  <c r="O429"/>
  <c r="S429"/>
  <c r="Q429" s="1"/>
  <c r="O428"/>
  <c r="S428"/>
  <c r="P428" s="1"/>
  <c r="O427"/>
  <c r="S427"/>
  <c r="O426"/>
  <c r="S426"/>
  <c r="O425"/>
  <c r="S425"/>
  <c r="Q425" s="1"/>
  <c r="O424"/>
  <c r="S424"/>
  <c r="P424" s="1"/>
  <c r="O423"/>
  <c r="S423"/>
  <c r="O422"/>
  <c r="S422"/>
  <c r="O421"/>
  <c r="S421"/>
  <c r="P421" s="1"/>
  <c r="O420"/>
  <c r="S420"/>
  <c r="P420" s="1"/>
  <c r="O419"/>
  <c r="S419"/>
  <c r="O418"/>
  <c r="S418"/>
  <c r="O417"/>
  <c r="S417"/>
  <c r="Q417" s="1"/>
  <c r="O416"/>
  <c r="S416"/>
  <c r="P416" s="1"/>
  <c r="O415"/>
  <c r="S415"/>
  <c r="O414"/>
  <c r="S414"/>
  <c r="O413"/>
  <c r="S413"/>
  <c r="Q413" s="1"/>
  <c r="O412"/>
  <c r="S412"/>
  <c r="P412" s="1"/>
  <c r="O411"/>
  <c r="S411"/>
  <c r="O410"/>
  <c r="S410"/>
  <c r="O409"/>
  <c r="S409"/>
  <c r="P409" s="1"/>
  <c r="O408"/>
  <c r="S408"/>
  <c r="P408" s="1"/>
  <c r="O407"/>
  <c r="S407"/>
  <c r="O406"/>
  <c r="S406"/>
  <c r="O405"/>
  <c r="S405"/>
  <c r="Q405" s="1"/>
  <c r="O404"/>
  <c r="S404"/>
  <c r="P404" s="1"/>
  <c r="O403"/>
  <c r="S403"/>
  <c r="O402"/>
  <c r="S402"/>
  <c r="O401"/>
  <c r="S401"/>
  <c r="Q401" s="1"/>
  <c r="O400"/>
  <c r="S400"/>
  <c r="P400" s="1"/>
  <c r="O399"/>
  <c r="S399"/>
  <c r="O398"/>
  <c r="S398"/>
  <c r="O397"/>
  <c r="S397"/>
  <c r="P397" s="1"/>
  <c r="O396"/>
  <c r="S396"/>
  <c r="P396" s="1"/>
  <c r="O395"/>
  <c r="S395"/>
  <c r="O394"/>
  <c r="S394"/>
  <c r="O393"/>
  <c r="S393"/>
  <c r="Q393" s="1"/>
  <c r="O392"/>
  <c r="S392"/>
  <c r="P392" s="1"/>
  <c r="O391"/>
  <c r="S391"/>
  <c r="O390"/>
  <c r="S390"/>
  <c r="O389"/>
  <c r="S389"/>
  <c r="Q389" s="1"/>
  <c r="O388"/>
  <c r="S388"/>
  <c r="P388" s="1"/>
  <c r="O387"/>
  <c r="S387"/>
  <c r="O386"/>
  <c r="S386"/>
  <c r="O385"/>
  <c r="S385"/>
  <c r="P385" s="1"/>
  <c r="O384"/>
  <c r="S384"/>
  <c r="P384" s="1"/>
  <c r="O383"/>
  <c r="S383"/>
  <c r="O382"/>
  <c r="S382"/>
  <c r="O381"/>
  <c r="S381"/>
  <c r="Q381" s="1"/>
  <c r="O380"/>
  <c r="S380"/>
  <c r="P380" s="1"/>
  <c r="O379"/>
  <c r="S379"/>
  <c r="O378"/>
  <c r="S378"/>
  <c r="O377"/>
  <c r="S377"/>
  <c r="Q377" s="1"/>
  <c r="O376"/>
  <c r="S376"/>
  <c r="P376" s="1"/>
  <c r="O375"/>
  <c r="S375"/>
  <c r="O374"/>
  <c r="S374"/>
  <c r="O373"/>
  <c r="S373"/>
  <c r="Q373" s="1"/>
  <c r="O372"/>
  <c r="S372"/>
  <c r="P372" s="1"/>
  <c r="O371"/>
  <c r="S371"/>
  <c r="O370"/>
  <c r="S370"/>
  <c r="O369"/>
  <c r="S369"/>
  <c r="P369" s="1"/>
  <c r="O368"/>
  <c r="S368"/>
  <c r="P368" s="1"/>
  <c r="O367"/>
  <c r="S367"/>
  <c r="O366"/>
  <c r="S366"/>
  <c r="O365"/>
  <c r="S365"/>
  <c r="Q365" s="1"/>
  <c r="O364"/>
  <c r="S364"/>
  <c r="P364" s="1"/>
  <c r="O363"/>
  <c r="S363"/>
  <c r="O362"/>
  <c r="S362"/>
  <c r="O361"/>
  <c r="S361"/>
  <c r="Q361" s="1"/>
  <c r="O360"/>
  <c r="S360"/>
  <c r="P360" s="1"/>
  <c r="O359"/>
  <c r="S359"/>
  <c r="Q547"/>
  <c r="P547"/>
  <c r="Q546"/>
  <c r="P546"/>
  <c r="Q543"/>
  <c r="P543"/>
  <c r="Q542"/>
  <c r="P542"/>
  <c r="Q539"/>
  <c r="P539"/>
  <c r="Q538"/>
  <c r="P538"/>
  <c r="Q535"/>
  <c r="P535"/>
  <c r="Q534"/>
  <c r="P534"/>
  <c r="Q531"/>
  <c r="P531"/>
  <c r="Q530"/>
  <c r="P530"/>
  <c r="Q527"/>
  <c r="P527"/>
  <c r="Q526"/>
  <c r="P526"/>
  <c r="Q523"/>
  <c r="P523"/>
  <c r="Q522"/>
  <c r="P522"/>
  <c r="Q519"/>
  <c r="P519"/>
  <c r="Q518"/>
  <c r="P518"/>
  <c r="Q515"/>
  <c r="P515"/>
  <c r="Q514"/>
  <c r="P514"/>
  <c r="Q511"/>
  <c r="P511"/>
  <c r="Q510"/>
  <c r="P510"/>
  <c r="Q507"/>
  <c r="P507"/>
  <c r="Q506"/>
  <c r="P506"/>
  <c r="Q503"/>
  <c r="P503"/>
  <c r="Q502"/>
  <c r="P502"/>
  <c r="Q499"/>
  <c r="P499"/>
  <c r="Q498"/>
  <c r="P498"/>
  <c r="Q495"/>
  <c r="P495"/>
  <c r="Q494"/>
  <c r="P494"/>
  <c r="Q491"/>
  <c r="P491"/>
  <c r="Q490"/>
  <c r="P490"/>
  <c r="Q487"/>
  <c r="P487"/>
  <c r="Q486"/>
  <c r="P486"/>
  <c r="Q483"/>
  <c r="P483"/>
  <c r="Q482"/>
  <c r="P482"/>
  <c r="Q479"/>
  <c r="P479"/>
  <c r="Q478"/>
  <c r="P478"/>
  <c r="Q475"/>
  <c r="P475"/>
  <c r="Q474"/>
  <c r="P474"/>
  <c r="Q471"/>
  <c r="P471"/>
  <c r="Q470"/>
  <c r="P470"/>
  <c r="Q467"/>
  <c r="P467"/>
  <c r="Q466"/>
  <c r="P466"/>
  <c r="Q463"/>
  <c r="P463"/>
  <c r="Q462"/>
  <c r="P462"/>
  <c r="Q459"/>
  <c r="P459"/>
  <c r="Q458"/>
  <c r="P458"/>
  <c r="Q455"/>
  <c r="P455"/>
  <c r="Q454"/>
  <c r="P454"/>
  <c r="Q451"/>
  <c r="P451"/>
  <c r="Q450"/>
  <c r="P450"/>
  <c r="Q447"/>
  <c r="P447"/>
  <c r="Q446"/>
  <c r="P446"/>
  <c r="Q443"/>
  <c r="P443"/>
  <c r="Q442"/>
  <c r="P442"/>
  <c r="Q439"/>
  <c r="P439"/>
  <c r="Q438"/>
  <c r="P438"/>
  <c r="Q435"/>
  <c r="P435"/>
  <c r="Q434"/>
  <c r="P434"/>
  <c r="Q431"/>
  <c r="P431"/>
  <c r="Q430"/>
  <c r="P430"/>
  <c r="Q427"/>
  <c r="P427"/>
  <c r="Q426"/>
  <c r="P426"/>
  <c r="Q423"/>
  <c r="P423"/>
  <c r="Q422"/>
  <c r="P422"/>
  <c r="Q419"/>
  <c r="P419"/>
  <c r="Q418"/>
  <c r="P418"/>
  <c r="Q415"/>
  <c r="P415"/>
  <c r="Q414"/>
  <c r="P414"/>
  <c r="Q411"/>
  <c r="P411"/>
  <c r="Q410"/>
  <c r="P410"/>
  <c r="Q407"/>
  <c r="P407"/>
  <c r="Q406"/>
  <c r="P406"/>
  <c r="Q403"/>
  <c r="P403"/>
  <c r="Q402"/>
  <c r="P402"/>
  <c r="Q399"/>
  <c r="P399"/>
  <c r="Q398"/>
  <c r="P398"/>
  <c r="Q395"/>
  <c r="P395"/>
  <c r="Q394"/>
  <c r="P394"/>
  <c r="Q391"/>
  <c r="P391"/>
  <c r="Q390"/>
  <c r="P390"/>
  <c r="Q387"/>
  <c r="P387"/>
  <c r="Q386"/>
  <c r="P386"/>
  <c r="Q383"/>
  <c r="P383"/>
  <c r="Q382"/>
  <c r="P382"/>
  <c r="Q379"/>
  <c r="P379"/>
  <c r="Q378"/>
  <c r="P378"/>
  <c r="Q375"/>
  <c r="P375"/>
  <c r="Q374"/>
  <c r="P374"/>
  <c r="Q371"/>
  <c r="P371"/>
  <c r="Q370"/>
  <c r="P370"/>
  <c r="Q367"/>
  <c r="P367"/>
  <c r="Q366"/>
  <c r="P366"/>
  <c r="Q363"/>
  <c r="P363"/>
  <c r="Q362"/>
  <c r="P362"/>
  <c r="Q359"/>
  <c r="P359"/>
  <c r="Q369" l="1"/>
  <c r="Q385"/>
  <c r="Q397"/>
  <c r="Q409"/>
  <c r="Q421"/>
  <c r="Q433"/>
  <c r="Q445"/>
  <c r="Q457"/>
  <c r="Q473"/>
  <c r="Q481"/>
  <c r="Q493"/>
  <c r="Q497"/>
  <c r="Q509"/>
  <c r="Q521"/>
  <c r="Q529"/>
  <c r="Q541"/>
  <c r="Q545"/>
  <c r="P361"/>
  <c r="P365"/>
  <c r="P373"/>
  <c r="P377"/>
  <c r="P381"/>
  <c r="P389"/>
  <c r="P393"/>
  <c r="P401"/>
  <c r="P405"/>
  <c r="P413"/>
  <c r="P417"/>
  <c r="P425"/>
  <c r="P429"/>
  <c r="P437"/>
  <c r="P441"/>
  <c r="P449"/>
  <c r="P453"/>
  <c r="P461"/>
  <c r="P465"/>
  <c r="P469"/>
  <c r="P477"/>
  <c r="P485"/>
  <c r="P489"/>
  <c r="P501"/>
  <c r="P505"/>
  <c r="P513"/>
  <c r="P517"/>
  <c r="P525"/>
  <c r="P533"/>
  <c r="P537"/>
  <c r="Q372"/>
  <c r="Q376"/>
  <c r="Q380"/>
  <c r="Q384"/>
  <c r="Q388"/>
  <c r="Q392"/>
  <c r="Q396"/>
  <c r="Q400"/>
  <c r="Q404"/>
  <c r="Q408"/>
  <c r="Q412"/>
  <c r="Q416"/>
  <c r="Q420"/>
  <c r="Q424"/>
  <c r="Q428"/>
  <c r="Q432"/>
  <c r="Q436"/>
  <c r="Q440"/>
  <c r="Q444"/>
  <c r="Q448"/>
  <c r="Q452"/>
  <c r="Q456"/>
  <c r="Q460"/>
  <c r="Q464"/>
  <c r="Q468"/>
  <c r="Q472"/>
  <c r="Q476"/>
  <c r="Q480"/>
  <c r="Q484"/>
  <c r="Q488"/>
  <c r="Q492"/>
  <c r="Q496"/>
  <c r="Q500"/>
  <c r="Q504"/>
  <c r="Q508"/>
  <c r="Q512"/>
  <c r="Q516"/>
  <c r="Q520"/>
  <c r="Q524"/>
  <c r="Q528"/>
  <c r="Q532"/>
  <c r="Q536"/>
  <c r="Q540"/>
  <c r="Q544"/>
  <c r="Q360"/>
  <c r="Q364"/>
  <c r="Q368"/>
  <c r="U364" a="1"/>
  <c r="U364" s="1"/>
  <c r="V364" s="1"/>
  <c r="AC364"/>
  <c r="U365" a="1"/>
  <c r="U365" s="1"/>
  <c r="V365" s="1"/>
  <c r="AC365"/>
  <c r="U371" a="1"/>
  <c r="U371" s="1"/>
  <c r="V371" s="1"/>
  <c r="AC371"/>
  <c r="U373" a="1"/>
  <c r="U373" s="1"/>
  <c r="V373" s="1"/>
  <c r="AC373"/>
  <c r="U383" a="1"/>
  <c r="U383" s="1"/>
  <c r="V383" s="1"/>
  <c r="AC383"/>
  <c r="U387" a="1"/>
  <c r="U387" s="1"/>
  <c r="V387" s="1"/>
  <c r="AC387"/>
  <c r="U391" a="1"/>
  <c r="U391" s="1"/>
  <c r="V391" s="1"/>
  <c r="AC391"/>
  <c r="U393" a="1"/>
  <c r="U393" s="1"/>
  <c r="V393" s="1"/>
  <c r="AC393"/>
  <c r="U407" a="1"/>
  <c r="U407" s="1"/>
  <c r="V407" s="1"/>
  <c r="AC407"/>
  <c r="U408" a="1"/>
  <c r="U408" s="1"/>
  <c r="V408" s="1"/>
  <c r="AC408"/>
  <c r="U411" a="1"/>
  <c r="U411" s="1"/>
  <c r="V411" s="1"/>
  <c r="AC411"/>
  <c r="U413" a="1"/>
  <c r="U413" s="1"/>
  <c r="V413" s="1"/>
  <c r="AC413"/>
  <c r="U415" a="1"/>
  <c r="U415" s="1"/>
  <c r="V415" s="1"/>
  <c r="AC415"/>
  <c r="U417" a="1"/>
  <c r="U417" s="1"/>
  <c r="V417" s="1"/>
  <c r="AC417"/>
  <c r="U421" a="1"/>
  <c r="U421" s="1"/>
  <c r="V421" s="1"/>
  <c r="AC421"/>
  <c r="U423" a="1"/>
  <c r="U423" s="1"/>
  <c r="V423" s="1"/>
  <c r="AC423"/>
  <c r="U425" a="1"/>
  <c r="U425" s="1"/>
  <c r="V425" s="1"/>
  <c r="AC425"/>
  <c r="U431" a="1"/>
  <c r="U431" s="1"/>
  <c r="V431" s="1"/>
  <c r="AC431"/>
  <c r="U433" a="1"/>
  <c r="U433" s="1"/>
  <c r="V433" s="1"/>
  <c r="AC433"/>
  <c r="U435" a="1"/>
  <c r="U435" s="1"/>
  <c r="V435" s="1"/>
  <c r="AC435"/>
  <c r="U437" a="1"/>
  <c r="U437" s="1"/>
  <c r="V437" s="1"/>
  <c r="AC437"/>
  <c r="U439" a="1"/>
  <c r="U439" s="1"/>
  <c r="V439" s="1"/>
  <c r="AC439"/>
  <c r="U443" a="1"/>
  <c r="U443" s="1"/>
  <c r="V443" s="1"/>
  <c r="AC443"/>
  <c r="U451" a="1"/>
  <c r="U451" s="1"/>
  <c r="V451" s="1"/>
  <c r="AC451"/>
  <c r="U452" a="1"/>
  <c r="U452" s="1"/>
  <c r="V452" s="1"/>
  <c r="AC452"/>
  <c r="U453" a="1"/>
  <c r="U453" s="1"/>
  <c r="V453" s="1"/>
  <c r="AC453"/>
  <c r="U489" a="1"/>
  <c r="U489" s="1"/>
  <c r="V489" s="1"/>
  <c r="AC489"/>
  <c r="U490" a="1"/>
  <c r="U490" s="1"/>
  <c r="V490" s="1"/>
  <c r="AC490"/>
  <c r="U491" a="1"/>
  <c r="U491" s="1"/>
  <c r="V491" s="1"/>
  <c r="AC491"/>
  <c r="U492" a="1"/>
  <c r="U492" s="1"/>
  <c r="V492" s="1"/>
  <c r="AC492"/>
  <c r="U508" a="1"/>
  <c r="U508" s="1"/>
  <c r="V508" s="1"/>
  <c r="AC508"/>
  <c r="U509" a="1"/>
  <c r="U509" s="1"/>
  <c r="V509" s="1"/>
  <c r="AC509"/>
  <c r="U518" a="1"/>
  <c r="U518" s="1"/>
  <c r="V518" s="1"/>
  <c r="AC518"/>
  <c r="U519" a="1"/>
  <c r="U519" s="1"/>
  <c r="V519" s="1"/>
  <c r="AC519"/>
  <c r="U520" a="1"/>
  <c r="U520" s="1"/>
  <c r="V520" s="1"/>
  <c r="AC520"/>
  <c r="U529" a="1"/>
  <c r="U529" s="1"/>
  <c r="V529" s="1"/>
  <c r="AC529"/>
  <c r="U531" a="1"/>
  <c r="U531" s="1"/>
  <c r="V531" s="1"/>
  <c r="AC531"/>
  <c r="U532" a="1"/>
  <c r="U532" s="1"/>
  <c r="V532" s="1"/>
  <c r="AC532"/>
  <c r="U533" a="1"/>
  <c r="U533" s="1"/>
  <c r="V533" s="1"/>
  <c r="AC533"/>
  <c r="U534" a="1"/>
  <c r="U534" s="1"/>
  <c r="V534" s="1"/>
  <c r="AC534"/>
  <c r="U535" a="1"/>
  <c r="U535" s="1"/>
  <c r="V535" s="1"/>
  <c r="AC535"/>
  <c r="U536" a="1"/>
  <c r="U536" s="1"/>
  <c r="V536" s="1"/>
  <c r="AC536"/>
  <c r="U537" a="1"/>
  <c r="U537" s="1"/>
  <c r="V537" s="1"/>
  <c r="AC537"/>
  <c r="U538" a="1"/>
  <c r="U538" s="1"/>
  <c r="V538" s="1"/>
  <c r="AC538"/>
  <c r="U539" a="1"/>
  <c r="U539" s="1"/>
  <c r="V539" s="1"/>
  <c r="AC539"/>
  <c r="J359"/>
  <c r="L359"/>
  <c r="T359" s="1" a="1"/>
  <c r="T359" s="1"/>
  <c r="Z359" s="1"/>
  <c r="M359"/>
  <c r="J360"/>
  <c r="J361"/>
  <c r="L361"/>
  <c r="T361" s="1" a="1"/>
  <c r="T361" s="1"/>
  <c r="Z361" s="1"/>
  <c r="M361"/>
  <c r="J362"/>
  <c r="J363"/>
  <c r="L363"/>
  <c r="T363" s="1" a="1"/>
  <c r="T363" s="1"/>
  <c r="Z363" s="1"/>
  <c r="M363"/>
  <c r="J364"/>
  <c r="L364"/>
  <c r="T364" s="1" a="1"/>
  <c r="T364" s="1"/>
  <c r="Z364" s="1"/>
  <c r="M364"/>
  <c r="J365"/>
  <c r="L365"/>
  <c r="T365" s="1" a="1"/>
  <c r="T365" s="1"/>
  <c r="Z365" s="1"/>
  <c r="M365"/>
  <c r="J366"/>
  <c r="J367"/>
  <c r="L367"/>
  <c r="T367" s="1" a="1"/>
  <c r="T367" s="1"/>
  <c r="Z367" s="1"/>
  <c r="M367"/>
  <c r="J368"/>
  <c r="J369"/>
  <c r="L369"/>
  <c r="T369" s="1" a="1"/>
  <c r="T369" s="1"/>
  <c r="Z369" s="1"/>
  <c r="M369"/>
  <c r="J370"/>
  <c r="J371"/>
  <c r="L371"/>
  <c r="T371" s="1" a="1"/>
  <c r="T371" s="1"/>
  <c r="Z371" s="1"/>
  <c r="M371"/>
  <c r="J372"/>
  <c r="J373"/>
  <c r="L373"/>
  <c r="T373" s="1" a="1"/>
  <c r="T373" s="1"/>
  <c r="Z373" s="1"/>
  <c r="M373"/>
  <c r="J374"/>
  <c r="J375"/>
  <c r="L375"/>
  <c r="T375" s="1" a="1"/>
  <c r="T375" s="1"/>
  <c r="Z375" s="1"/>
  <c r="M375"/>
  <c r="J376"/>
  <c r="J377"/>
  <c r="L377"/>
  <c r="T377" s="1" a="1"/>
  <c r="T377" s="1"/>
  <c r="Z377" s="1"/>
  <c r="M377"/>
  <c r="J378"/>
  <c r="J379"/>
  <c r="L379"/>
  <c r="T379" s="1" a="1"/>
  <c r="T379" s="1"/>
  <c r="Z379" s="1"/>
  <c r="M379"/>
  <c r="J380"/>
  <c r="J381"/>
  <c r="L381"/>
  <c r="T381" s="1" a="1"/>
  <c r="T381" s="1"/>
  <c r="Z381" s="1"/>
  <c r="M381"/>
  <c r="J382"/>
  <c r="J383"/>
  <c r="L383"/>
  <c r="T383" s="1" a="1"/>
  <c r="T383" s="1"/>
  <c r="Z383" s="1"/>
  <c r="M383"/>
  <c r="J384"/>
  <c r="J385"/>
  <c r="L385"/>
  <c r="T385" s="1" a="1"/>
  <c r="T385" s="1"/>
  <c r="Z385" s="1"/>
  <c r="M385"/>
  <c r="J386"/>
  <c r="J387"/>
  <c r="L387"/>
  <c r="T387" s="1" a="1"/>
  <c r="T387" s="1"/>
  <c r="Z387" s="1"/>
  <c r="M387"/>
  <c r="J388"/>
  <c r="J389"/>
  <c r="L389"/>
  <c r="T389" s="1" a="1"/>
  <c r="T389" s="1"/>
  <c r="Z389" s="1"/>
  <c r="M389"/>
  <c r="J390"/>
  <c r="J391"/>
  <c r="L391"/>
  <c r="T391" s="1" a="1"/>
  <c r="T391" s="1"/>
  <c r="Z391" s="1"/>
  <c r="M391"/>
  <c r="J392"/>
  <c r="J393"/>
  <c r="L393"/>
  <c r="T393" s="1" a="1"/>
  <c r="T393" s="1"/>
  <c r="Z393" s="1"/>
  <c r="M393"/>
  <c r="J394"/>
  <c r="J395"/>
  <c r="L395"/>
  <c r="T395" s="1" a="1"/>
  <c r="T395" s="1"/>
  <c r="Z395" s="1"/>
  <c r="M395"/>
  <c r="J396"/>
  <c r="J397"/>
  <c r="L397"/>
  <c r="T397" s="1" a="1"/>
  <c r="T397" s="1"/>
  <c r="Z397" s="1"/>
  <c r="M397"/>
  <c r="J398"/>
  <c r="J399"/>
  <c r="L399"/>
  <c r="T399" s="1" a="1"/>
  <c r="T399" s="1"/>
  <c r="Z399" s="1"/>
  <c r="M399"/>
  <c r="J400"/>
  <c r="J401"/>
  <c r="L401"/>
  <c r="T401" s="1" a="1"/>
  <c r="T401" s="1"/>
  <c r="Z401" s="1"/>
  <c r="M401"/>
  <c r="J402"/>
  <c r="J403"/>
  <c r="L403"/>
  <c r="T403" s="1" a="1"/>
  <c r="T403" s="1"/>
  <c r="Z403" s="1"/>
  <c r="M403"/>
  <c r="J404"/>
  <c r="J405"/>
  <c r="L405"/>
  <c r="T405" s="1" a="1"/>
  <c r="T405" s="1"/>
  <c r="Z405" s="1"/>
  <c r="M405"/>
  <c r="J406"/>
  <c r="J407"/>
  <c r="L407"/>
  <c r="T407" s="1" a="1"/>
  <c r="T407" s="1"/>
  <c r="Z407" s="1"/>
  <c r="M407"/>
  <c r="J408"/>
  <c r="L408"/>
  <c r="T408" s="1" a="1"/>
  <c r="T408" s="1"/>
  <c r="Z408" s="1"/>
  <c r="M408"/>
  <c r="J409"/>
  <c r="L409"/>
  <c r="T409" s="1" a="1"/>
  <c r="T409" s="1"/>
  <c r="Z409" s="1"/>
  <c r="M409"/>
  <c r="J410"/>
  <c r="J411"/>
  <c r="L411"/>
  <c r="T411" s="1" a="1"/>
  <c r="T411" s="1"/>
  <c r="Z411" s="1"/>
  <c r="M411"/>
  <c r="J412"/>
  <c r="J413"/>
  <c r="L413"/>
  <c r="T413" s="1" a="1"/>
  <c r="T413" s="1"/>
  <c r="Z413" s="1"/>
  <c r="M413"/>
  <c r="J414"/>
  <c r="J415"/>
  <c r="L415"/>
  <c r="T415" s="1" a="1"/>
  <c r="T415" s="1"/>
  <c r="Z415" s="1"/>
  <c r="M415"/>
  <c r="J416"/>
  <c r="J417"/>
  <c r="L417"/>
  <c r="T417" s="1" a="1"/>
  <c r="T417" s="1"/>
  <c r="Z417" s="1"/>
  <c r="M417"/>
  <c r="J418"/>
  <c r="J419"/>
  <c r="L419"/>
  <c r="T419" s="1" a="1"/>
  <c r="T419" s="1"/>
  <c r="Z419" s="1"/>
  <c r="M419"/>
  <c r="J420"/>
  <c r="J421"/>
  <c r="L421"/>
  <c r="T421" s="1" a="1"/>
  <c r="T421" s="1"/>
  <c r="Z421" s="1"/>
  <c r="M421"/>
  <c r="J422"/>
  <c r="J423"/>
  <c r="L423"/>
  <c r="T423" s="1" a="1"/>
  <c r="T423" s="1"/>
  <c r="Z423" s="1"/>
  <c r="M423"/>
  <c r="J424"/>
  <c r="J425"/>
  <c r="L425"/>
  <c r="T425" s="1" a="1"/>
  <c r="T425" s="1"/>
  <c r="Z425" s="1"/>
  <c r="M425"/>
  <c r="J426"/>
  <c r="J427"/>
  <c r="L427"/>
  <c r="T427" s="1" a="1"/>
  <c r="T427" s="1"/>
  <c r="Z427" s="1"/>
  <c r="M427"/>
  <c r="J428"/>
  <c r="J429"/>
  <c r="L429"/>
  <c r="T429" s="1" a="1"/>
  <c r="T429" s="1"/>
  <c r="Z429" s="1"/>
  <c r="M429"/>
  <c r="J430"/>
  <c r="J431"/>
  <c r="L431"/>
  <c r="T431" s="1" a="1"/>
  <c r="T431" s="1"/>
  <c r="Z431" s="1"/>
  <c r="M431"/>
  <c r="J432"/>
  <c r="J433"/>
  <c r="L433"/>
  <c r="T433" s="1" a="1"/>
  <c r="T433" s="1"/>
  <c r="Z433" s="1"/>
  <c r="M433"/>
  <c r="J434"/>
  <c r="J435"/>
  <c r="L435"/>
  <c r="T435" s="1" a="1"/>
  <c r="T435" s="1"/>
  <c r="Z435" s="1"/>
  <c r="M435"/>
  <c r="J436"/>
  <c r="J437"/>
  <c r="L437"/>
  <c r="T437" s="1" a="1"/>
  <c r="T437" s="1"/>
  <c r="Z437" s="1"/>
  <c r="M437"/>
  <c r="J438"/>
  <c r="J439"/>
  <c r="L439"/>
  <c r="T439" s="1" a="1"/>
  <c r="T439" s="1"/>
  <c r="Z439" s="1"/>
  <c r="M439"/>
  <c r="J440"/>
  <c r="J441"/>
  <c r="L441"/>
  <c r="T441" s="1" a="1"/>
  <c r="T441" s="1"/>
  <c r="Z441" s="1"/>
  <c r="M441"/>
  <c r="J442"/>
  <c r="J443"/>
  <c r="L443"/>
  <c r="T443" s="1" a="1"/>
  <c r="T443" s="1"/>
  <c r="Z443" s="1"/>
  <c r="M443"/>
  <c r="J444"/>
  <c r="J445"/>
  <c r="L445"/>
  <c r="T445" s="1" a="1"/>
  <c r="T445" s="1"/>
  <c r="Z445" s="1"/>
  <c r="M445"/>
  <c r="J446"/>
  <c r="J447"/>
  <c r="L447"/>
  <c r="T447" s="1" a="1"/>
  <c r="T447" s="1"/>
  <c r="Z447" s="1"/>
  <c r="M447"/>
  <c r="J448"/>
  <c r="J449"/>
  <c r="L449"/>
  <c r="T449" s="1" a="1"/>
  <c r="T449" s="1"/>
  <c r="Z449" s="1"/>
  <c r="M449"/>
  <c r="J450"/>
  <c r="J451"/>
  <c r="L451"/>
  <c r="T451" s="1" a="1"/>
  <c r="T451" s="1"/>
  <c r="Z451" s="1"/>
  <c r="M451"/>
  <c r="J452"/>
  <c r="L452"/>
  <c r="T452" s="1" a="1"/>
  <c r="T452" s="1"/>
  <c r="Z452" s="1"/>
  <c r="M452"/>
  <c r="J453"/>
  <c r="L453"/>
  <c r="T453" s="1" a="1"/>
  <c r="T453" s="1"/>
  <c r="Z453" s="1"/>
  <c r="M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L489"/>
  <c r="T489" s="1" a="1"/>
  <c r="T489" s="1"/>
  <c r="Z489" s="1"/>
  <c r="M489"/>
  <c r="J490"/>
  <c r="L490"/>
  <c r="T490" s="1" a="1"/>
  <c r="T490" s="1"/>
  <c r="Z490" s="1"/>
  <c r="M490"/>
  <c r="J491"/>
  <c r="L491"/>
  <c r="T491" s="1" a="1"/>
  <c r="T491" s="1"/>
  <c r="Z491" s="1"/>
  <c r="M491"/>
  <c r="J492"/>
  <c r="L492"/>
  <c r="T492" s="1" a="1"/>
  <c r="T492" s="1"/>
  <c r="Z492" s="1"/>
  <c r="M492"/>
  <c r="J493"/>
  <c r="J494"/>
  <c r="J495"/>
  <c r="J496"/>
  <c r="J497"/>
  <c r="J498"/>
  <c r="J499"/>
  <c r="J500"/>
  <c r="J501"/>
  <c r="J502"/>
  <c r="J503"/>
  <c r="J504"/>
  <c r="J505"/>
  <c r="J506"/>
  <c r="J507"/>
  <c r="J508"/>
  <c r="L508"/>
  <c r="T508" s="1" a="1"/>
  <c r="T508" s="1"/>
  <c r="Z508" s="1"/>
  <c r="M508"/>
  <c r="J509"/>
  <c r="L509"/>
  <c r="T509" s="1" a="1"/>
  <c r="T509" s="1"/>
  <c r="Z509" s="1"/>
  <c r="M509"/>
  <c r="J510"/>
  <c r="J511"/>
  <c r="J512"/>
  <c r="J513"/>
  <c r="J514"/>
  <c r="J515"/>
  <c r="J516"/>
  <c r="J517"/>
  <c r="J518"/>
  <c r="L518"/>
  <c r="T518" s="1" a="1"/>
  <c r="T518" s="1"/>
  <c r="Z518" s="1"/>
  <c r="M518"/>
  <c r="J519"/>
  <c r="L519"/>
  <c r="T519" s="1" a="1"/>
  <c r="T519" s="1"/>
  <c r="Z519" s="1"/>
  <c r="M519"/>
  <c r="J520"/>
  <c r="J521"/>
  <c r="J522"/>
  <c r="J523"/>
  <c r="J524"/>
  <c r="J525"/>
  <c r="J526"/>
  <c r="J527"/>
  <c r="J528"/>
  <c r="J529"/>
  <c r="L529"/>
  <c r="T529" s="1" a="1"/>
  <c r="T529" s="1"/>
  <c r="Z529" s="1"/>
  <c r="M529"/>
  <c r="J530"/>
  <c r="J531"/>
  <c r="L531"/>
  <c r="T531" s="1" a="1"/>
  <c r="T531" s="1"/>
  <c r="Z531" s="1"/>
  <c r="M531"/>
  <c r="J532"/>
  <c r="L532"/>
  <c r="T532" s="1" a="1"/>
  <c r="T532" s="1"/>
  <c r="Z532" s="1"/>
  <c r="M532"/>
  <c r="J533"/>
  <c r="L533"/>
  <c r="T533" s="1" a="1"/>
  <c r="T533" s="1"/>
  <c r="Z533" s="1"/>
  <c r="M533"/>
  <c r="J534"/>
  <c r="L534"/>
  <c r="T534" s="1" a="1"/>
  <c r="T534" s="1"/>
  <c r="Z534" s="1"/>
  <c r="M534"/>
  <c r="J535"/>
  <c r="L535"/>
  <c r="T535" s="1" a="1"/>
  <c r="T535" s="1"/>
  <c r="Z535" s="1"/>
  <c r="M535"/>
  <c r="J536"/>
  <c r="L536"/>
  <c r="T536" s="1" a="1"/>
  <c r="T536" s="1"/>
  <c r="Z536" s="1"/>
  <c r="M536"/>
  <c r="J537"/>
  <c r="L537"/>
  <c r="T537" s="1" a="1"/>
  <c r="T537" s="1"/>
  <c r="Z537" s="1"/>
  <c r="M537"/>
  <c r="J538"/>
  <c r="L538"/>
  <c r="T538" s="1" a="1"/>
  <c r="T538" s="1"/>
  <c r="Z538" s="1"/>
  <c r="M538"/>
  <c r="J539"/>
  <c r="J540"/>
  <c r="J541"/>
  <c r="J542"/>
  <c r="J543"/>
  <c r="J544"/>
  <c r="J545"/>
  <c r="J546"/>
  <c r="J547"/>
  <c r="G9" i="25"/>
  <c r="U359" i="3" a="1"/>
  <c r="U360" a="1"/>
  <c r="U361" a="1"/>
  <c r="U362" a="1"/>
  <c r="U363" a="1"/>
  <c r="U366" a="1"/>
  <c r="U367" a="1"/>
  <c r="U368" a="1"/>
  <c r="U369" a="1"/>
  <c r="U370" a="1"/>
  <c r="U372" a="1"/>
  <c r="U374" a="1"/>
  <c r="U375" a="1"/>
  <c r="U376" a="1"/>
  <c r="U377" a="1"/>
  <c r="U378" a="1"/>
  <c r="U379" a="1"/>
  <c r="U380" a="1"/>
  <c r="U381" a="1"/>
  <c r="U382" a="1"/>
  <c r="U384" a="1"/>
  <c r="U385" a="1"/>
  <c r="U386" a="1"/>
  <c r="U388" a="1"/>
  <c r="U389" a="1"/>
  <c r="U390" a="1"/>
  <c r="U392" a="1"/>
  <c r="U394" a="1"/>
  <c r="U395" a="1"/>
  <c r="U396" a="1"/>
  <c r="U397" a="1"/>
  <c r="U398" a="1"/>
  <c r="U399" a="1"/>
  <c r="U400" a="1"/>
  <c r="U401" a="1"/>
  <c r="U402" a="1"/>
  <c r="U403" a="1"/>
  <c r="U404" a="1"/>
  <c r="U405" a="1"/>
  <c r="U406" a="1"/>
  <c r="U409" a="1"/>
  <c r="U410" a="1"/>
  <c r="U412" a="1"/>
  <c r="U414" a="1"/>
  <c r="U416" a="1"/>
  <c r="U418" a="1"/>
  <c r="U419" a="1"/>
  <c r="U420" a="1"/>
  <c r="U422" a="1"/>
  <c r="U424" a="1"/>
  <c r="U426" a="1"/>
  <c r="U427" a="1"/>
  <c r="U428" a="1"/>
  <c r="U429" a="1"/>
  <c r="U430" a="1"/>
  <c r="U432" a="1"/>
  <c r="U434" a="1"/>
  <c r="U436" a="1"/>
  <c r="U438" a="1"/>
  <c r="U440" a="1"/>
  <c r="U441" a="1"/>
  <c r="U442" a="1"/>
  <c r="U444" a="1"/>
  <c r="U445" a="1"/>
  <c r="U446" a="1"/>
  <c r="U447" a="1"/>
  <c r="U448" a="1"/>
  <c r="U449" a="1"/>
  <c r="U450" a="1"/>
  <c r="U454" a="1"/>
  <c r="U455" a="1"/>
  <c r="U456" a="1"/>
  <c r="U457" a="1"/>
  <c r="U458" a="1"/>
  <c r="U459" a="1"/>
  <c r="U460" a="1"/>
  <c r="U461" a="1"/>
  <c r="U462" a="1"/>
  <c r="U463" a="1"/>
  <c r="U464" a="1"/>
  <c r="U465" a="1"/>
  <c r="U466" a="1"/>
  <c r="U467" a="1"/>
  <c r="U468" a="1"/>
  <c r="U469" a="1"/>
  <c r="U470" a="1"/>
  <c r="U471" a="1"/>
  <c r="U472" a="1"/>
  <c r="U473" a="1"/>
  <c r="U474" a="1"/>
  <c r="U475" a="1"/>
  <c r="U476" a="1"/>
  <c r="U477" a="1"/>
  <c r="U478" a="1"/>
  <c r="U479" a="1"/>
  <c r="U480" a="1"/>
  <c r="U481" a="1"/>
  <c r="U482" a="1"/>
  <c r="U483" a="1"/>
  <c r="U484" a="1"/>
  <c r="U485" a="1"/>
  <c r="U486" a="1"/>
  <c r="U487" a="1"/>
  <c r="U488" a="1"/>
  <c r="U493" a="1"/>
  <c r="U494" a="1"/>
  <c r="U495" a="1"/>
  <c r="U496" a="1"/>
  <c r="U497" a="1"/>
  <c r="U498" a="1"/>
  <c r="U499" a="1"/>
  <c r="U500" a="1"/>
  <c r="U501" a="1"/>
  <c r="U502" a="1"/>
  <c r="U503" a="1"/>
  <c r="U504" a="1"/>
  <c r="U505" a="1"/>
  <c r="U506" a="1"/>
  <c r="U507" a="1"/>
  <c r="U510" a="1"/>
  <c r="U511" a="1"/>
  <c r="U512" a="1"/>
  <c r="U513" a="1"/>
  <c r="U514" a="1"/>
  <c r="U515" a="1"/>
  <c r="U516" a="1"/>
  <c r="U517" a="1"/>
  <c r="U521" a="1"/>
  <c r="U522" a="1"/>
  <c r="U523" a="1"/>
  <c r="U524" a="1"/>
  <c r="U525" a="1"/>
  <c r="U526" a="1"/>
  <c r="U527" a="1"/>
  <c r="U528" a="1"/>
  <c r="U530" a="1"/>
  <c r="U540" a="1"/>
  <c r="U541" a="1"/>
  <c r="U542" a="1"/>
  <c r="U543" a="1"/>
  <c r="U544" a="1"/>
  <c r="U545" a="1"/>
  <c r="U546" a="1"/>
  <c r="U547" a="1"/>
  <c r="L360"/>
  <c r="M360"/>
  <c r="L362"/>
  <c r="M362"/>
  <c r="L366"/>
  <c r="M366"/>
  <c r="L368"/>
  <c r="M368"/>
  <c r="L370"/>
  <c r="M370"/>
  <c r="L372"/>
  <c r="M372"/>
  <c r="L374"/>
  <c r="M374"/>
  <c r="L376"/>
  <c r="M376"/>
  <c r="L378"/>
  <c r="M378"/>
  <c r="L380"/>
  <c r="M380"/>
  <c r="L382"/>
  <c r="M382"/>
  <c r="L384"/>
  <c r="M384"/>
  <c r="L386"/>
  <c r="M386"/>
  <c r="L388"/>
  <c r="M388"/>
  <c r="L390"/>
  <c r="M390"/>
  <c r="L392"/>
  <c r="M392"/>
  <c r="L394"/>
  <c r="M394"/>
  <c r="L396"/>
  <c r="M396"/>
  <c r="L398"/>
  <c r="M398"/>
  <c r="L400"/>
  <c r="M400"/>
  <c r="L402"/>
  <c r="M402"/>
  <c r="L404"/>
  <c r="M404"/>
  <c r="L406"/>
  <c r="M406"/>
  <c r="L410"/>
  <c r="M410"/>
  <c r="L412"/>
  <c r="M412"/>
  <c r="L414"/>
  <c r="M414"/>
  <c r="L416"/>
  <c r="M416"/>
  <c r="L418"/>
  <c r="M418"/>
  <c r="L420"/>
  <c r="M420"/>
  <c r="L422"/>
  <c r="M422"/>
  <c r="L424"/>
  <c r="M424"/>
  <c r="L426"/>
  <c r="M426"/>
  <c r="L428"/>
  <c r="M428"/>
  <c r="L430"/>
  <c r="M430"/>
  <c r="L432"/>
  <c r="M432"/>
  <c r="L434"/>
  <c r="M434"/>
  <c r="L436"/>
  <c r="M436"/>
  <c r="L438"/>
  <c r="M438"/>
  <c r="L440"/>
  <c r="M440"/>
  <c r="L442"/>
  <c r="M442"/>
  <c r="L444"/>
  <c r="M444"/>
  <c r="L446"/>
  <c r="M446"/>
  <c r="L448"/>
  <c r="M448"/>
  <c r="L450"/>
  <c r="M450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L480"/>
  <c r="M480"/>
  <c r="L481"/>
  <c r="M481"/>
  <c r="L482"/>
  <c r="M482"/>
  <c r="L483"/>
  <c r="M483"/>
  <c r="L484"/>
  <c r="M484"/>
  <c r="L485"/>
  <c r="M485"/>
  <c r="L486"/>
  <c r="M486"/>
  <c r="L487"/>
  <c r="M487"/>
  <c r="L488"/>
  <c r="M488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10"/>
  <c r="M510"/>
  <c r="L511"/>
  <c r="M511"/>
  <c r="L512"/>
  <c r="M512"/>
  <c r="L513"/>
  <c r="M513"/>
  <c r="L514"/>
  <c r="M514"/>
  <c r="L515"/>
  <c r="M515"/>
  <c r="L516"/>
  <c r="M516"/>
  <c r="L517"/>
  <c r="M517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30"/>
  <c r="M530"/>
  <c r="L539"/>
  <c r="M539"/>
  <c r="L540"/>
  <c r="M540"/>
  <c r="L541"/>
  <c r="M541"/>
  <c r="L542"/>
  <c r="M542"/>
  <c r="L543"/>
  <c r="M543"/>
  <c r="L544"/>
  <c r="M544"/>
  <c r="L545"/>
  <c r="M545"/>
  <c r="L546"/>
  <c r="M546"/>
  <c r="L547"/>
  <c r="M547"/>
  <c r="U547" l="1"/>
  <c r="V547" s="1"/>
  <c r="U546"/>
  <c r="V546" s="1"/>
  <c r="U545"/>
  <c r="V545" s="1"/>
  <c r="U544"/>
  <c r="V544" s="1"/>
  <c r="U543"/>
  <c r="V543" s="1"/>
  <c r="U542"/>
  <c r="V542" s="1"/>
  <c r="U541"/>
  <c r="V541" s="1"/>
  <c r="U540"/>
  <c r="V540" s="1"/>
  <c r="U530"/>
  <c r="V530" s="1"/>
  <c r="U528"/>
  <c r="V528" s="1"/>
  <c r="U527"/>
  <c r="V527" s="1"/>
  <c r="U526"/>
  <c r="V526" s="1"/>
  <c r="U525"/>
  <c r="V525" s="1"/>
  <c r="U524"/>
  <c r="V524" s="1"/>
  <c r="U523"/>
  <c r="V523" s="1"/>
  <c r="U522"/>
  <c r="V522" s="1"/>
  <c r="U521"/>
  <c r="V521" s="1"/>
  <c r="U517"/>
  <c r="V517" s="1"/>
  <c r="U516"/>
  <c r="V516" s="1"/>
  <c r="U515"/>
  <c r="V515" s="1"/>
  <c r="U514"/>
  <c r="V514" s="1"/>
  <c r="U513"/>
  <c r="V513" s="1"/>
  <c r="U512"/>
  <c r="V512" s="1"/>
  <c r="U511"/>
  <c r="V511" s="1"/>
  <c r="U510"/>
  <c r="V510" s="1"/>
  <c r="U507"/>
  <c r="V507" s="1"/>
  <c r="U506"/>
  <c r="V506" s="1"/>
  <c r="U505"/>
  <c r="V505" s="1"/>
  <c r="U504"/>
  <c r="V504" s="1"/>
  <c r="U503"/>
  <c r="V503" s="1"/>
  <c r="U502"/>
  <c r="V502" s="1"/>
  <c r="U501"/>
  <c r="V501" s="1"/>
  <c r="U500"/>
  <c r="V500" s="1"/>
  <c r="U499"/>
  <c r="V499" s="1"/>
  <c r="U498"/>
  <c r="V498" s="1"/>
  <c r="U497"/>
  <c r="V497" s="1"/>
  <c r="U496"/>
  <c r="V496" s="1"/>
  <c r="U495"/>
  <c r="V495" s="1"/>
  <c r="U494"/>
  <c r="V494" s="1"/>
  <c r="U493"/>
  <c r="V493" s="1"/>
  <c r="U488"/>
  <c r="V488" s="1"/>
  <c r="U487"/>
  <c r="V487" s="1"/>
  <c r="U486"/>
  <c r="V486" s="1"/>
  <c r="U485"/>
  <c r="V485" s="1"/>
  <c r="U484"/>
  <c r="V484" s="1"/>
  <c r="U483"/>
  <c r="V483" s="1"/>
  <c r="U482"/>
  <c r="V482" s="1"/>
  <c r="U481"/>
  <c r="V481" s="1"/>
  <c r="U480"/>
  <c r="V480" s="1"/>
  <c r="U479"/>
  <c r="V479" s="1"/>
  <c r="U478"/>
  <c r="V478" s="1"/>
  <c r="U477"/>
  <c r="V477" s="1"/>
  <c r="U476"/>
  <c r="V476" s="1"/>
  <c r="U475"/>
  <c r="V475" s="1"/>
  <c r="U474"/>
  <c r="V474" s="1"/>
  <c r="U473"/>
  <c r="V473" s="1"/>
  <c r="U472"/>
  <c r="V472" s="1"/>
  <c r="U471"/>
  <c r="V471" s="1"/>
  <c r="U470"/>
  <c r="V470" s="1"/>
  <c r="U469"/>
  <c r="V469" s="1"/>
  <c r="U468"/>
  <c r="V468" s="1"/>
  <c r="U467"/>
  <c r="V467" s="1"/>
  <c r="U466"/>
  <c r="V466" s="1"/>
  <c r="U465"/>
  <c r="V465" s="1"/>
  <c r="U464"/>
  <c r="V464" s="1"/>
  <c r="U463"/>
  <c r="V463" s="1"/>
  <c r="U462"/>
  <c r="V462" s="1"/>
  <c r="U461"/>
  <c r="V461" s="1"/>
  <c r="U460"/>
  <c r="V460" s="1"/>
  <c r="U459"/>
  <c r="V459" s="1"/>
  <c r="U458"/>
  <c r="V458" s="1"/>
  <c r="U457"/>
  <c r="V457" s="1"/>
  <c r="U456"/>
  <c r="V456" s="1"/>
  <c r="U455"/>
  <c r="V455" s="1"/>
  <c r="U454"/>
  <c r="V454" s="1"/>
  <c r="U450"/>
  <c r="V450" s="1"/>
  <c r="U449"/>
  <c r="V449" s="1"/>
  <c r="U448"/>
  <c r="V448" s="1"/>
  <c r="U447"/>
  <c r="V447" s="1"/>
  <c r="U446"/>
  <c r="V446" s="1"/>
  <c r="U445"/>
  <c r="V445" s="1"/>
  <c r="U444"/>
  <c r="V444" s="1"/>
  <c r="U442"/>
  <c r="V442" s="1"/>
  <c r="U441"/>
  <c r="V441" s="1"/>
  <c r="U440"/>
  <c r="V440" s="1"/>
  <c r="U438"/>
  <c r="V438" s="1"/>
  <c r="U436"/>
  <c r="V436" s="1"/>
  <c r="U434"/>
  <c r="V434" s="1"/>
  <c r="U432"/>
  <c r="V432" s="1"/>
  <c r="U430"/>
  <c r="V430" s="1"/>
  <c r="U429"/>
  <c r="V429" s="1"/>
  <c r="U428"/>
  <c r="V428" s="1"/>
  <c r="U427"/>
  <c r="V427" s="1"/>
  <c r="U426"/>
  <c r="V426" s="1"/>
  <c r="U424"/>
  <c r="V424" s="1"/>
  <c r="U422"/>
  <c r="V422" s="1"/>
  <c r="U420"/>
  <c r="V420" s="1"/>
  <c r="U419"/>
  <c r="V419" s="1"/>
  <c r="U418"/>
  <c r="V418" s="1"/>
  <c r="U416"/>
  <c r="V416" s="1"/>
  <c r="U414"/>
  <c r="V414" s="1"/>
  <c r="U412"/>
  <c r="V412" s="1"/>
  <c r="U410"/>
  <c r="V410" s="1"/>
  <c r="U409"/>
  <c r="V409" s="1"/>
  <c r="U406"/>
  <c r="V406" s="1"/>
  <c r="U405"/>
  <c r="V405" s="1"/>
  <c r="U404"/>
  <c r="V404" s="1"/>
  <c r="U403"/>
  <c r="V403" s="1"/>
  <c r="U402"/>
  <c r="V402" s="1"/>
  <c r="U401"/>
  <c r="V401" s="1"/>
  <c r="U400"/>
  <c r="V400" s="1"/>
  <c r="U399"/>
  <c r="V399" s="1"/>
  <c r="U398"/>
  <c r="V398" s="1"/>
  <c r="U397"/>
  <c r="V397" s="1"/>
  <c r="U396"/>
  <c r="V396" s="1"/>
  <c r="U395"/>
  <c r="V395" s="1"/>
  <c r="U394"/>
  <c r="V394" s="1"/>
  <c r="U392"/>
  <c r="V392" s="1"/>
  <c r="U390"/>
  <c r="V390" s="1"/>
  <c r="U389"/>
  <c r="V389" s="1"/>
  <c r="U388"/>
  <c r="V388" s="1"/>
  <c r="U386"/>
  <c r="V386" s="1"/>
  <c r="U385"/>
  <c r="V385" s="1"/>
  <c r="U384"/>
  <c r="V384" s="1"/>
  <c r="U382"/>
  <c r="V382" s="1"/>
  <c r="U381"/>
  <c r="V381" s="1"/>
  <c r="U380"/>
  <c r="V380" s="1"/>
  <c r="U379"/>
  <c r="V379" s="1"/>
  <c r="U378"/>
  <c r="V378" s="1"/>
  <c r="U377"/>
  <c r="V377" s="1"/>
  <c r="U376"/>
  <c r="V376" s="1"/>
  <c r="U375"/>
  <c r="V375" s="1"/>
  <c r="U374"/>
  <c r="V374" s="1"/>
  <c r="U372"/>
  <c r="V372" s="1"/>
  <c r="U370"/>
  <c r="V370" s="1"/>
  <c r="U369"/>
  <c r="V369" s="1"/>
  <c r="U368"/>
  <c r="V368" s="1"/>
  <c r="U367"/>
  <c r="V367" s="1"/>
  <c r="U366"/>
  <c r="V366" s="1"/>
  <c r="U363"/>
  <c r="V363" s="1"/>
  <c r="U362"/>
  <c r="V362" s="1"/>
  <c r="U361"/>
  <c r="V361" s="1"/>
  <c r="U360"/>
  <c r="V360" s="1"/>
  <c r="U359"/>
  <c r="V359" s="1"/>
  <c r="AE547"/>
  <c r="AC547"/>
  <c r="AE546"/>
  <c r="AC546"/>
  <c r="AE545"/>
  <c r="AC545"/>
  <c r="AE544"/>
  <c r="AC544"/>
  <c r="AE543"/>
  <c r="AC543"/>
  <c r="AE542"/>
  <c r="AC542"/>
  <c r="AE541"/>
  <c r="AC541"/>
  <c r="AE540"/>
  <c r="AC540"/>
  <c r="AE539"/>
  <c r="X538" a="1"/>
  <c r="X538" s="1"/>
  <c r="Y538" a="1"/>
  <c r="Y538" s="1"/>
  <c r="AE538"/>
  <c r="X537" a="1"/>
  <c r="X537" s="1"/>
  <c r="Y537" a="1"/>
  <c r="Y537" s="1"/>
  <c r="AE537"/>
  <c r="X536" a="1"/>
  <c r="X536" s="1"/>
  <c r="Y536" a="1"/>
  <c r="Y536" s="1"/>
  <c r="AE536"/>
  <c r="X535" a="1"/>
  <c r="X535" s="1"/>
  <c r="Y535" a="1"/>
  <c r="Y535" s="1"/>
  <c r="AE535"/>
  <c r="X534" a="1"/>
  <c r="X534" s="1"/>
  <c r="Y534" a="1"/>
  <c r="Y534" s="1"/>
  <c r="AE534"/>
  <c r="X533" a="1"/>
  <c r="X533" s="1"/>
  <c r="Y533" a="1"/>
  <c r="Y533" s="1"/>
  <c r="AE533"/>
  <c r="X532" a="1"/>
  <c r="X532" s="1"/>
  <c r="Y532" a="1"/>
  <c r="Y532" s="1"/>
  <c r="AE532"/>
  <c r="X531" a="1"/>
  <c r="X531" s="1"/>
  <c r="Y531" a="1"/>
  <c r="Y531" s="1"/>
  <c r="AE531"/>
  <c r="AE530"/>
  <c r="AC530"/>
  <c r="X529" a="1"/>
  <c r="X529" s="1"/>
  <c r="Y529" a="1"/>
  <c r="Y529" s="1"/>
  <c r="AE529"/>
  <c r="AE528"/>
  <c r="AC528"/>
  <c r="AE527"/>
  <c r="AC527"/>
  <c r="AE526"/>
  <c r="AC526"/>
  <c r="AE525"/>
  <c r="AC525"/>
  <c r="AE524"/>
  <c r="AC524"/>
  <c r="AE523"/>
  <c r="AC523"/>
  <c r="AE522"/>
  <c r="AC522"/>
  <c r="AE521"/>
  <c r="AC521"/>
  <c r="AE520"/>
  <c r="X519" a="1"/>
  <c r="X519" s="1"/>
  <c r="Y519" a="1"/>
  <c r="Y519" s="1"/>
  <c r="AE519"/>
  <c r="X518" a="1"/>
  <c r="X518" s="1"/>
  <c r="Y518" a="1"/>
  <c r="Y518" s="1"/>
  <c r="AE518"/>
  <c r="AE517"/>
  <c r="AC517"/>
  <c r="AE516"/>
  <c r="AC516"/>
  <c r="AE515"/>
  <c r="AC515"/>
  <c r="AE514"/>
  <c r="AC514"/>
  <c r="AE513"/>
  <c r="AC513"/>
  <c r="AE512"/>
  <c r="AC512"/>
  <c r="AE511"/>
  <c r="AC511"/>
  <c r="AE510"/>
  <c r="AC510"/>
  <c r="X509" a="1"/>
  <c r="X509" s="1"/>
  <c r="Y509" a="1"/>
  <c r="Y509" s="1"/>
  <c r="AE509"/>
  <c r="X508" a="1"/>
  <c r="X508" s="1"/>
  <c r="Y508" a="1"/>
  <c r="Y508" s="1"/>
  <c r="AE508"/>
  <c r="AE507"/>
  <c r="AC507"/>
  <c r="AE506"/>
  <c r="AC506"/>
  <c r="AE505"/>
  <c r="AC505"/>
  <c r="AE504"/>
  <c r="AC504"/>
  <c r="AE503"/>
  <c r="AC503"/>
  <c r="AE502"/>
  <c r="AC502"/>
  <c r="AE501"/>
  <c r="AC501"/>
  <c r="AE500"/>
  <c r="AC500"/>
  <c r="AE499"/>
  <c r="AC499"/>
  <c r="AE498"/>
  <c r="AC498"/>
  <c r="AE497"/>
  <c r="AC497"/>
  <c r="AE496"/>
  <c r="AC496"/>
  <c r="AE495"/>
  <c r="AC495"/>
  <c r="AE494"/>
  <c r="AC494"/>
  <c r="AE493"/>
  <c r="AC493"/>
  <c r="X492" a="1"/>
  <c r="X492" s="1"/>
  <c r="Y492" a="1"/>
  <c r="Y492" s="1"/>
  <c r="AE492"/>
  <c r="X491" a="1"/>
  <c r="X491" s="1"/>
  <c r="Y491" a="1"/>
  <c r="Y491" s="1"/>
  <c r="AE491"/>
  <c r="X490" a="1"/>
  <c r="X490" s="1"/>
  <c r="Y490" a="1"/>
  <c r="Y490" s="1"/>
  <c r="AE490"/>
  <c r="X489" a="1"/>
  <c r="X489" s="1"/>
  <c r="Y489" a="1"/>
  <c r="Y489" s="1"/>
  <c r="AE489"/>
  <c r="AE488"/>
  <c r="AC488"/>
  <c r="AE487"/>
  <c r="AC487"/>
  <c r="AE486"/>
  <c r="AC486"/>
  <c r="AE485"/>
  <c r="AC485"/>
  <c r="AE484"/>
  <c r="AC484"/>
  <c r="AE483"/>
  <c r="AC483"/>
  <c r="AE482"/>
  <c r="AC482"/>
  <c r="AE481"/>
  <c r="AC481"/>
  <c r="AE480"/>
  <c r="AC480"/>
  <c r="AE479"/>
  <c r="AC479"/>
  <c r="AE478"/>
  <c r="AC478"/>
  <c r="AE477"/>
  <c r="AC477"/>
  <c r="AE476"/>
  <c r="AC476"/>
  <c r="AE475"/>
  <c r="AC475"/>
  <c r="AE474"/>
  <c r="AC474"/>
  <c r="AE473"/>
  <c r="AC473"/>
  <c r="AE472"/>
  <c r="AC472"/>
  <c r="AE471"/>
  <c r="AC471"/>
  <c r="AE470"/>
  <c r="AC470"/>
  <c r="AE469"/>
  <c r="AC469"/>
  <c r="AE468"/>
  <c r="AC468"/>
  <c r="AE467"/>
  <c r="AC467"/>
  <c r="AE466"/>
  <c r="AC466"/>
  <c r="AE465"/>
  <c r="AC465"/>
  <c r="AE464"/>
  <c r="AC464"/>
  <c r="AE463"/>
  <c r="AC463"/>
  <c r="AE462"/>
  <c r="AC462"/>
  <c r="AE461"/>
  <c r="AC461"/>
  <c r="AE460"/>
  <c r="AC460"/>
  <c r="AE459"/>
  <c r="AC459"/>
  <c r="AE458"/>
  <c r="AC458"/>
  <c r="AE457"/>
  <c r="AC457"/>
  <c r="AE456"/>
  <c r="AC456"/>
  <c r="AE455"/>
  <c r="AC455"/>
  <c r="AE454"/>
  <c r="AC454"/>
  <c r="X453" a="1"/>
  <c r="X453" s="1"/>
  <c r="Y453" a="1"/>
  <c r="Y453" s="1"/>
  <c r="AE453"/>
  <c r="X452" a="1"/>
  <c r="X452" s="1"/>
  <c r="Y452" a="1"/>
  <c r="Y452" s="1"/>
  <c r="AE452"/>
  <c r="X451" a="1"/>
  <c r="X451" s="1"/>
  <c r="Y451" a="1"/>
  <c r="Y451" s="1"/>
  <c r="AE451"/>
  <c r="AE450"/>
  <c r="AC450"/>
  <c r="X449" a="1"/>
  <c r="X449" s="1"/>
  <c r="Y449" a="1"/>
  <c r="Y449" s="1"/>
  <c r="AE449"/>
  <c r="AC449"/>
  <c r="AE448"/>
  <c r="AC448"/>
  <c r="X447" a="1"/>
  <c r="X447" s="1"/>
  <c r="Y447" a="1"/>
  <c r="Y447" s="1"/>
  <c r="AE447"/>
  <c r="AC447"/>
  <c r="AE446"/>
  <c r="AC446"/>
  <c r="X445" a="1"/>
  <c r="X445" s="1"/>
  <c r="Y445" a="1"/>
  <c r="Y445" s="1"/>
  <c r="AE445"/>
  <c r="AC445"/>
  <c r="AE444"/>
  <c r="AC444"/>
  <c r="X443" a="1"/>
  <c r="X443" s="1"/>
  <c r="Y443" a="1"/>
  <c r="Y443" s="1"/>
  <c r="AE443"/>
  <c r="AE442"/>
  <c r="AC442"/>
  <c r="X441" a="1"/>
  <c r="X441" s="1"/>
  <c r="Y441" a="1"/>
  <c r="Y441" s="1"/>
  <c r="AE441"/>
  <c r="AC441"/>
  <c r="AE440"/>
  <c r="AC440"/>
  <c r="X439" a="1"/>
  <c r="X439" s="1"/>
  <c r="Y439" a="1"/>
  <c r="Y439" s="1"/>
  <c r="AE439"/>
  <c r="AE438"/>
  <c r="AC438"/>
  <c r="X437" a="1"/>
  <c r="X437" s="1"/>
  <c r="Y437" a="1"/>
  <c r="Y437" s="1"/>
  <c r="AE437"/>
  <c r="AE436"/>
  <c r="AC436"/>
  <c r="X435" a="1"/>
  <c r="X435" s="1"/>
  <c r="Y435" a="1"/>
  <c r="Y435" s="1"/>
  <c r="AE435"/>
  <c r="AE434"/>
  <c r="AC434"/>
  <c r="X433" a="1"/>
  <c r="X433" s="1"/>
  <c r="Y433" a="1"/>
  <c r="Y433" s="1"/>
  <c r="AE433"/>
  <c r="AE432"/>
  <c r="AC432"/>
  <c r="X431" a="1"/>
  <c r="X431" s="1"/>
  <c r="Y431" a="1"/>
  <c r="Y431" s="1"/>
  <c r="AE431"/>
  <c r="AE430"/>
  <c r="AC430"/>
  <c r="X429" a="1"/>
  <c r="X429" s="1"/>
  <c r="Y429" a="1"/>
  <c r="Y429" s="1"/>
  <c r="AE429"/>
  <c r="AC429"/>
  <c r="AE428"/>
  <c r="AC428"/>
  <c r="X427" a="1"/>
  <c r="X427" s="1"/>
  <c r="Y427" a="1"/>
  <c r="Y427" s="1"/>
  <c r="AE427"/>
  <c r="AC427"/>
  <c r="AE426"/>
  <c r="AC426"/>
  <c r="X425" a="1"/>
  <c r="X425" s="1"/>
  <c r="Y425" a="1"/>
  <c r="Y425" s="1"/>
  <c r="AE425"/>
  <c r="AE424"/>
  <c r="AC424"/>
  <c r="X423" a="1"/>
  <c r="X423" s="1"/>
  <c r="Y423" a="1"/>
  <c r="Y423" s="1"/>
  <c r="AE423"/>
  <c r="AE422"/>
  <c r="AC422"/>
  <c r="X421" a="1"/>
  <c r="X421" s="1"/>
  <c r="Y421" a="1"/>
  <c r="Y421" s="1"/>
  <c r="AE421"/>
  <c r="AE420"/>
  <c r="AC420"/>
  <c r="X419" a="1"/>
  <c r="X419" s="1"/>
  <c r="Y419" a="1"/>
  <c r="Y419" s="1"/>
  <c r="AE419"/>
  <c r="AC419"/>
  <c r="AE418"/>
  <c r="AC418"/>
  <c r="X417" a="1"/>
  <c r="X417" s="1"/>
  <c r="Y417" a="1"/>
  <c r="Y417" s="1"/>
  <c r="AE417"/>
  <c r="AE416"/>
  <c r="AC416"/>
  <c r="X415" a="1"/>
  <c r="X415" s="1"/>
  <c r="Y415" a="1"/>
  <c r="Y415" s="1"/>
  <c r="AE415"/>
  <c r="AE414"/>
  <c r="AC414"/>
  <c r="X413" a="1"/>
  <c r="X413" s="1"/>
  <c r="Y413" a="1"/>
  <c r="Y413" s="1"/>
  <c r="AE413"/>
  <c r="AE412"/>
  <c r="AC412"/>
  <c r="X411" a="1"/>
  <c r="X411" s="1"/>
  <c r="Y411" a="1"/>
  <c r="Y411" s="1"/>
  <c r="AE411"/>
  <c r="AE410"/>
  <c r="AC410"/>
  <c r="X409" a="1"/>
  <c r="X409" s="1"/>
  <c r="Y409" a="1"/>
  <c r="Y409" s="1"/>
  <c r="AE409"/>
  <c r="AC409"/>
  <c r="X408" a="1"/>
  <c r="X408" s="1"/>
  <c r="Y408" a="1"/>
  <c r="Y408" s="1"/>
  <c r="AE408"/>
  <c r="X407" a="1"/>
  <c r="X407" s="1"/>
  <c r="Y407" a="1"/>
  <c r="Y407" s="1"/>
  <c r="AE407"/>
  <c r="AE406"/>
  <c r="AC406"/>
  <c r="X405" a="1"/>
  <c r="X405" s="1"/>
  <c r="Y405" a="1"/>
  <c r="Y405" s="1"/>
  <c r="AE405"/>
  <c r="AC405"/>
  <c r="AE404"/>
  <c r="AC404"/>
  <c r="X403" a="1"/>
  <c r="X403" s="1"/>
  <c r="Y403" a="1"/>
  <c r="Y403" s="1"/>
  <c r="AE403"/>
  <c r="AC403"/>
  <c r="AE402"/>
  <c r="AC402"/>
  <c r="X401" a="1"/>
  <c r="X401" s="1"/>
  <c r="Y401" a="1"/>
  <c r="Y401" s="1"/>
  <c r="AE401"/>
  <c r="AC401"/>
  <c r="AE400"/>
  <c r="AC400"/>
  <c r="X399" a="1"/>
  <c r="X399" s="1"/>
  <c r="Y399" a="1"/>
  <c r="Y399" s="1"/>
  <c r="AE399"/>
  <c r="AC399"/>
  <c r="AE398"/>
  <c r="AC398"/>
  <c r="X397" a="1"/>
  <c r="X397" s="1"/>
  <c r="Y397" a="1"/>
  <c r="Y397" s="1"/>
  <c r="AE397"/>
  <c r="AC397"/>
  <c r="AE396"/>
  <c r="AC396"/>
  <c r="X395" a="1"/>
  <c r="X395" s="1"/>
  <c r="Y395" a="1"/>
  <c r="Y395" s="1"/>
  <c r="AE395"/>
  <c r="AC395"/>
  <c r="AE394"/>
  <c r="AC394"/>
  <c r="X393" a="1"/>
  <c r="X393" s="1"/>
  <c r="Y393" a="1"/>
  <c r="Y393" s="1"/>
  <c r="AE393"/>
  <c r="AE392"/>
  <c r="AC392"/>
  <c r="X391" a="1"/>
  <c r="X391" s="1"/>
  <c r="Y391" a="1"/>
  <c r="Y391" s="1"/>
  <c r="AE391"/>
  <c r="AE390"/>
  <c r="AC390"/>
  <c r="X389" a="1"/>
  <c r="X389" s="1"/>
  <c r="Y389" a="1"/>
  <c r="Y389" s="1"/>
  <c r="AE389"/>
  <c r="AC389"/>
  <c r="AE388"/>
  <c r="AC388"/>
  <c r="X387" a="1"/>
  <c r="X387" s="1"/>
  <c r="Y387" a="1"/>
  <c r="Y387" s="1"/>
  <c r="AE387"/>
  <c r="AE386"/>
  <c r="AC386"/>
  <c r="X385" a="1"/>
  <c r="X385" s="1"/>
  <c r="Y385" a="1"/>
  <c r="Y385" s="1"/>
  <c r="AE385"/>
  <c r="AC385"/>
  <c r="AE384"/>
  <c r="AC384"/>
  <c r="X383" a="1"/>
  <c r="X383" s="1"/>
  <c r="Y383" a="1"/>
  <c r="Y383" s="1"/>
  <c r="AE383"/>
  <c r="AE382"/>
  <c r="AC382"/>
  <c r="X381" a="1"/>
  <c r="X381" s="1"/>
  <c r="Y381" a="1"/>
  <c r="Y381" s="1"/>
  <c r="AE381"/>
  <c r="AC381"/>
  <c r="AE380"/>
  <c r="AC380"/>
  <c r="X379" a="1"/>
  <c r="X379" s="1"/>
  <c r="Y379" a="1"/>
  <c r="Y379" s="1"/>
  <c r="AE379"/>
  <c r="AC379"/>
  <c r="AE378"/>
  <c r="AC378"/>
  <c r="X377" a="1"/>
  <c r="X377" s="1"/>
  <c r="Y377" a="1"/>
  <c r="Y377" s="1"/>
  <c r="AE377"/>
  <c r="AC377"/>
  <c r="AE376"/>
  <c r="AC376"/>
  <c r="X375" a="1"/>
  <c r="X375" s="1"/>
  <c r="Y375" a="1"/>
  <c r="Y375" s="1"/>
  <c r="AE375"/>
  <c r="AC375"/>
  <c r="AE374"/>
  <c r="AC374"/>
  <c r="X373" a="1"/>
  <c r="X373" s="1"/>
  <c r="Y373" a="1"/>
  <c r="Y373" s="1"/>
  <c r="AE373"/>
  <c r="AE372"/>
  <c r="AC372"/>
  <c r="X371" a="1"/>
  <c r="X371" s="1"/>
  <c r="Y371" a="1"/>
  <c r="Y371" s="1"/>
  <c r="AE371"/>
  <c r="AE370"/>
  <c r="AC370"/>
  <c r="X369" a="1"/>
  <c r="X369" s="1"/>
  <c r="Y369" a="1"/>
  <c r="Y369" s="1"/>
  <c r="AE369"/>
  <c r="AC369"/>
  <c r="AE368"/>
  <c r="AC368"/>
  <c r="X367" a="1"/>
  <c r="X367" s="1"/>
  <c r="Y367" a="1"/>
  <c r="Y367" s="1"/>
  <c r="AE367"/>
  <c r="AC367"/>
  <c r="AE366"/>
  <c r="AC366"/>
  <c r="X365" a="1"/>
  <c r="X365" s="1"/>
  <c r="Y365" a="1"/>
  <c r="Y365" s="1"/>
  <c r="AE365"/>
  <c r="X364" a="1"/>
  <c r="X364" s="1"/>
  <c r="Y364" a="1"/>
  <c r="Y364" s="1"/>
  <c r="AE364"/>
  <c r="X363" a="1"/>
  <c r="X363" s="1"/>
  <c r="Y363" a="1"/>
  <c r="Y363" s="1"/>
  <c r="AE363"/>
  <c r="AC363"/>
  <c r="AE362"/>
  <c r="AC362"/>
  <c r="X361" a="1"/>
  <c r="X361" s="1"/>
  <c r="Y361" a="1"/>
  <c r="Y361" s="1"/>
  <c r="AE361"/>
  <c r="AC361"/>
  <c r="AE360"/>
  <c r="AC360"/>
  <c r="X359" a="1"/>
  <c r="X359" s="1"/>
  <c r="Y359" a="1"/>
  <c r="Y359" s="1"/>
  <c r="AE359"/>
  <c r="AC359"/>
  <c r="B12" i="7"/>
  <c r="C12" a="1"/>
  <c r="C12" s="1"/>
  <c r="T547" i="3" a="1"/>
  <c r="T546" a="1"/>
  <c r="T545" a="1"/>
  <c r="T544" a="1"/>
  <c r="T543" a="1"/>
  <c r="T542" a="1"/>
  <c r="T541" a="1"/>
  <c r="T540" a="1"/>
  <c r="T539" a="1"/>
  <c r="T530" a="1"/>
  <c r="T528" a="1"/>
  <c r="T527" a="1"/>
  <c r="T526" a="1"/>
  <c r="T525" a="1"/>
  <c r="T524" a="1"/>
  <c r="T523" a="1"/>
  <c r="T522" a="1"/>
  <c r="T521" a="1"/>
  <c r="T520" a="1"/>
  <c r="T517" a="1"/>
  <c r="T516" a="1"/>
  <c r="T515" a="1"/>
  <c r="T514" a="1"/>
  <c r="T513" a="1"/>
  <c r="T512" a="1"/>
  <c r="T511" a="1"/>
  <c r="T510" a="1"/>
  <c r="T507" a="1"/>
  <c r="T506" a="1"/>
  <c r="T505" a="1"/>
  <c r="T504" a="1"/>
  <c r="T503" a="1"/>
  <c r="T502" a="1"/>
  <c r="T501" a="1"/>
  <c r="T500" a="1"/>
  <c r="T499" a="1"/>
  <c r="T498" a="1"/>
  <c r="T497" a="1"/>
  <c r="T496" a="1"/>
  <c r="T495" a="1"/>
  <c r="T494" a="1"/>
  <c r="T493" a="1"/>
  <c r="T488" a="1"/>
  <c r="T487" a="1"/>
  <c r="T486" a="1"/>
  <c r="T485" a="1"/>
  <c r="T484" a="1"/>
  <c r="T483" a="1"/>
  <c r="T482" a="1"/>
  <c r="T481" a="1"/>
  <c r="T480" a="1"/>
  <c r="T479" a="1"/>
  <c r="T478" a="1"/>
  <c r="T477" a="1"/>
  <c r="T476" a="1"/>
  <c r="T475" a="1"/>
  <c r="T474" a="1"/>
  <c r="T473" a="1"/>
  <c r="T472" a="1"/>
  <c r="T471" a="1"/>
  <c r="T470" a="1"/>
  <c r="T469" a="1"/>
  <c r="T468" a="1"/>
  <c r="T467" a="1"/>
  <c r="T466" a="1"/>
  <c r="T465" a="1"/>
  <c r="T464" a="1"/>
  <c r="T463" a="1"/>
  <c r="T462" a="1"/>
  <c r="T461" a="1"/>
  <c r="T460" a="1"/>
  <c r="T459" a="1"/>
  <c r="T458" a="1"/>
  <c r="T457" a="1"/>
  <c r="T456" a="1"/>
  <c r="T455" a="1"/>
  <c r="T454" a="1"/>
  <c r="T450" a="1"/>
  <c r="T448" a="1"/>
  <c r="T446" a="1"/>
  <c r="T444" a="1"/>
  <c r="T442" a="1"/>
  <c r="T440" a="1"/>
  <c r="T438" a="1"/>
  <c r="T436" a="1"/>
  <c r="T434" a="1"/>
  <c r="T432" a="1"/>
  <c r="T430" a="1"/>
  <c r="T428" a="1"/>
  <c r="T426" a="1"/>
  <c r="T424" a="1"/>
  <c r="T422" a="1"/>
  <c r="T420" a="1"/>
  <c r="T418" a="1"/>
  <c r="T416" a="1"/>
  <c r="T414" a="1"/>
  <c r="T412" a="1"/>
  <c r="T410" a="1"/>
  <c r="T406" a="1"/>
  <c r="T404" a="1"/>
  <c r="T402" a="1"/>
  <c r="T400" a="1"/>
  <c r="T398" a="1"/>
  <c r="T396" a="1"/>
  <c r="T394" a="1"/>
  <c r="T392" a="1"/>
  <c r="T390" a="1"/>
  <c r="T388" a="1"/>
  <c r="T386" a="1"/>
  <c r="T384" a="1"/>
  <c r="T382" a="1"/>
  <c r="T380" a="1"/>
  <c r="T378" a="1"/>
  <c r="T376" a="1"/>
  <c r="T374" a="1"/>
  <c r="T372" a="1"/>
  <c r="T370" a="1"/>
  <c r="T368" a="1"/>
  <c r="T366" a="1"/>
  <c r="T362" a="1"/>
  <c r="T360" a="1"/>
  <c r="X547" a="1"/>
  <c r="Y547" a="1"/>
  <c r="X546" a="1"/>
  <c r="Y546" a="1"/>
  <c r="X545" a="1"/>
  <c r="Y545" a="1"/>
  <c r="X544" a="1"/>
  <c r="Y544" a="1"/>
  <c r="X543" a="1"/>
  <c r="Y543" a="1"/>
  <c r="X542" a="1"/>
  <c r="Y542" a="1"/>
  <c r="X541" a="1"/>
  <c r="Y541" a="1"/>
  <c r="X540" a="1"/>
  <c r="Y540" a="1"/>
  <c r="X539" a="1"/>
  <c r="Y539" a="1"/>
  <c r="X530" a="1"/>
  <c r="Y530" a="1"/>
  <c r="X528" a="1"/>
  <c r="Y528" a="1"/>
  <c r="X527" a="1"/>
  <c r="Y527" a="1"/>
  <c r="X526" a="1"/>
  <c r="Y526" a="1"/>
  <c r="X525" a="1"/>
  <c r="Y525" a="1"/>
  <c r="X524" a="1"/>
  <c r="Y524" a="1"/>
  <c r="X523" a="1"/>
  <c r="Y523" a="1"/>
  <c r="X522" a="1"/>
  <c r="Y522" a="1"/>
  <c r="X521" a="1"/>
  <c r="Y521" a="1"/>
  <c r="X520" a="1"/>
  <c r="Y520" a="1"/>
  <c r="X517" a="1"/>
  <c r="Y517" a="1"/>
  <c r="X516" a="1"/>
  <c r="Y516" a="1"/>
  <c r="X515" a="1"/>
  <c r="Y515" a="1"/>
  <c r="X514" a="1"/>
  <c r="Y514" a="1"/>
  <c r="X513" a="1"/>
  <c r="Y513" a="1"/>
  <c r="X512" a="1"/>
  <c r="Y512" a="1"/>
  <c r="X511" a="1"/>
  <c r="Y511" a="1"/>
  <c r="X510" a="1"/>
  <c r="Y510" a="1"/>
  <c r="X507" a="1"/>
  <c r="Y507" a="1"/>
  <c r="X506" a="1"/>
  <c r="Y506" a="1"/>
  <c r="X505" a="1"/>
  <c r="Y505" a="1"/>
  <c r="X504" a="1"/>
  <c r="Y504" a="1"/>
  <c r="X503" a="1"/>
  <c r="Y503" a="1"/>
  <c r="X502" a="1"/>
  <c r="Y502" a="1"/>
  <c r="X501" a="1"/>
  <c r="Y501" a="1"/>
  <c r="X500" a="1"/>
  <c r="Y500" a="1"/>
  <c r="X499" a="1"/>
  <c r="Y499" a="1"/>
  <c r="X498" a="1"/>
  <c r="Y498" a="1"/>
  <c r="X497" a="1"/>
  <c r="Y497" a="1"/>
  <c r="X496" a="1"/>
  <c r="Y496" a="1"/>
  <c r="X495" a="1"/>
  <c r="Y495" a="1"/>
  <c r="X494" a="1"/>
  <c r="Y494" a="1"/>
  <c r="X493" a="1"/>
  <c r="Y493" a="1"/>
  <c r="X488" a="1"/>
  <c r="Y488" a="1"/>
  <c r="X487" a="1"/>
  <c r="Y487" a="1"/>
  <c r="X486" a="1"/>
  <c r="Y486" a="1"/>
  <c r="X485" a="1"/>
  <c r="Y485" a="1"/>
  <c r="X484" a="1"/>
  <c r="Y484" a="1"/>
  <c r="X483" a="1"/>
  <c r="Y483" a="1"/>
  <c r="X482" a="1"/>
  <c r="Y482" a="1"/>
  <c r="X481" a="1"/>
  <c r="Y481" a="1"/>
  <c r="X480" a="1"/>
  <c r="Y480" a="1"/>
  <c r="X479" a="1"/>
  <c r="Y479" a="1"/>
  <c r="X478" a="1"/>
  <c r="Y478" a="1"/>
  <c r="X477" a="1"/>
  <c r="Y477" a="1"/>
  <c r="X476" a="1"/>
  <c r="Y476" a="1"/>
  <c r="X475" a="1"/>
  <c r="Y475" a="1"/>
  <c r="X474" a="1"/>
  <c r="Y474" a="1"/>
  <c r="X473" a="1"/>
  <c r="Y473" a="1"/>
  <c r="X472" a="1"/>
  <c r="Y472" a="1"/>
  <c r="X471" a="1"/>
  <c r="Y471" a="1"/>
  <c r="X470" a="1"/>
  <c r="Y470" a="1"/>
  <c r="X469" a="1"/>
  <c r="Y469" a="1"/>
  <c r="X468" a="1"/>
  <c r="Y468" a="1"/>
  <c r="X467" a="1"/>
  <c r="Y467" a="1"/>
  <c r="X466" a="1"/>
  <c r="Y466" a="1"/>
  <c r="X465" a="1"/>
  <c r="Y465" a="1"/>
  <c r="X464" a="1"/>
  <c r="Y464" a="1"/>
  <c r="X463" a="1"/>
  <c r="Y463" a="1"/>
  <c r="X462" a="1"/>
  <c r="Y462" a="1"/>
  <c r="X461" a="1"/>
  <c r="Y461" a="1"/>
  <c r="X460" a="1"/>
  <c r="Y460" a="1"/>
  <c r="X459" a="1"/>
  <c r="Y459" a="1"/>
  <c r="X458" a="1"/>
  <c r="Y458" a="1"/>
  <c r="X457" a="1"/>
  <c r="Y457" a="1"/>
  <c r="X456" a="1"/>
  <c r="Y456" a="1"/>
  <c r="X455" a="1"/>
  <c r="Y455" a="1"/>
  <c r="X454" a="1"/>
  <c r="Y454" a="1"/>
  <c r="X450" a="1"/>
  <c r="Y450" a="1"/>
  <c r="X448" a="1"/>
  <c r="Y448" a="1"/>
  <c r="X446" a="1"/>
  <c r="Y446" a="1"/>
  <c r="X444" a="1"/>
  <c r="Y444" a="1"/>
  <c r="X442" a="1"/>
  <c r="Y442" a="1"/>
  <c r="X440" a="1"/>
  <c r="Y440" a="1"/>
  <c r="X438" a="1"/>
  <c r="Y438" a="1"/>
  <c r="X436" a="1"/>
  <c r="Y436" a="1"/>
  <c r="X434" a="1"/>
  <c r="Y434" a="1"/>
  <c r="X432" a="1"/>
  <c r="Y432" a="1"/>
  <c r="X430" a="1"/>
  <c r="Y430" a="1"/>
  <c r="X428" a="1"/>
  <c r="Y428" a="1"/>
  <c r="X426" a="1"/>
  <c r="Y426" a="1"/>
  <c r="X424" a="1"/>
  <c r="Y424" a="1"/>
  <c r="X422" a="1"/>
  <c r="Y422" a="1"/>
  <c r="X420" a="1"/>
  <c r="Y420" a="1"/>
  <c r="X418" a="1"/>
  <c r="Y418" a="1"/>
  <c r="X416" a="1"/>
  <c r="Y416" a="1"/>
  <c r="X414" a="1"/>
  <c r="Y414" a="1"/>
  <c r="X412" a="1"/>
  <c r="Y412" a="1"/>
  <c r="X410" a="1"/>
  <c r="Y410" a="1"/>
  <c r="X406" a="1"/>
  <c r="Y406" a="1"/>
  <c r="X404" a="1"/>
  <c r="Y404" a="1"/>
  <c r="X402" a="1"/>
  <c r="Y402" a="1"/>
  <c r="X400" a="1"/>
  <c r="Y400" a="1"/>
  <c r="X398" a="1"/>
  <c r="Y398" a="1"/>
  <c r="X396" a="1"/>
  <c r="Y396" a="1"/>
  <c r="X394" a="1"/>
  <c r="Y394" a="1"/>
  <c r="X392" a="1"/>
  <c r="Y392" a="1"/>
  <c r="X390" a="1"/>
  <c r="Y390" a="1"/>
  <c r="X388" a="1"/>
  <c r="Y388" a="1"/>
  <c r="X386" a="1"/>
  <c r="Y386" a="1"/>
  <c r="X384" a="1"/>
  <c r="Y384" a="1"/>
  <c r="X382" a="1"/>
  <c r="Y382" a="1"/>
  <c r="X380" a="1"/>
  <c r="Y380" a="1"/>
  <c r="X378" a="1"/>
  <c r="Y378" a="1"/>
  <c r="X376" a="1"/>
  <c r="Y376" a="1"/>
  <c r="X374" a="1"/>
  <c r="Y374" a="1"/>
  <c r="X372" a="1"/>
  <c r="Y372" a="1"/>
  <c r="X370" a="1"/>
  <c r="Y370" a="1"/>
  <c r="X368" a="1"/>
  <c r="Y368" a="1"/>
  <c r="X366" a="1"/>
  <c r="Y366" a="1"/>
  <c r="X362" a="1"/>
  <c r="Y362" a="1"/>
  <c r="X360" a="1"/>
  <c r="Y360" a="1"/>
  <c r="Y360" l="1"/>
  <c r="X360"/>
  <c r="Y362"/>
  <c r="X362"/>
  <c r="Y366"/>
  <c r="X366"/>
  <c r="Y368"/>
  <c r="X368"/>
  <c r="Y370"/>
  <c r="X370"/>
  <c r="Y372"/>
  <c r="X372"/>
  <c r="Y374"/>
  <c r="X374"/>
  <c r="Y376"/>
  <c r="X376"/>
  <c r="Y378"/>
  <c r="X378"/>
  <c r="Y380"/>
  <c r="X380"/>
  <c r="Y382"/>
  <c r="X382"/>
  <c r="Y384"/>
  <c r="X384"/>
  <c r="Y386"/>
  <c r="X386"/>
  <c r="Y388"/>
  <c r="X388"/>
  <c r="Y390"/>
  <c r="X390"/>
  <c r="Y392"/>
  <c r="X392"/>
  <c r="Y394"/>
  <c r="X394"/>
  <c r="Y396"/>
  <c r="X396"/>
  <c r="Y398"/>
  <c r="X398"/>
  <c r="Y400"/>
  <c r="X400"/>
  <c r="Y402"/>
  <c r="X402"/>
  <c r="Y404"/>
  <c r="X404"/>
  <c r="Y406"/>
  <c r="X406"/>
  <c r="Y410"/>
  <c r="X410"/>
  <c r="Y412"/>
  <c r="X412"/>
  <c r="Y414"/>
  <c r="X414"/>
  <c r="Y416"/>
  <c r="X416"/>
  <c r="Y418"/>
  <c r="X418"/>
  <c r="Y420"/>
  <c r="X420"/>
  <c r="Y422"/>
  <c r="X422"/>
  <c r="Y424"/>
  <c r="X424"/>
  <c r="Y426"/>
  <c r="X426"/>
  <c r="Y428"/>
  <c r="X428"/>
  <c r="Y430"/>
  <c r="X430"/>
  <c r="Y432"/>
  <c r="X432"/>
  <c r="Y434"/>
  <c r="X434"/>
  <c r="Y436"/>
  <c r="X436"/>
  <c r="Y438"/>
  <c r="X438"/>
  <c r="Y440"/>
  <c r="X440"/>
  <c r="Y442"/>
  <c r="X442"/>
  <c r="Y444"/>
  <c r="X444"/>
  <c r="Y446"/>
  <c r="X446"/>
  <c r="Y448"/>
  <c r="X448"/>
  <c r="Y450"/>
  <c r="X450"/>
  <c r="Y454"/>
  <c r="X454"/>
  <c r="Y455"/>
  <c r="X455"/>
  <c r="Y456"/>
  <c r="X456"/>
  <c r="Y457"/>
  <c r="X457"/>
  <c r="Y458"/>
  <c r="X458"/>
  <c r="Y459"/>
  <c r="X459"/>
  <c r="Y460"/>
  <c r="X460"/>
  <c r="Y461"/>
  <c r="X461"/>
  <c r="Y462"/>
  <c r="X462"/>
  <c r="Y463"/>
  <c r="X463"/>
  <c r="Y464"/>
  <c r="X464"/>
  <c r="Y465"/>
  <c r="X465"/>
  <c r="Y466"/>
  <c r="X466"/>
  <c r="Y467"/>
  <c r="X467"/>
  <c r="Y468"/>
  <c r="X468"/>
  <c r="Y469"/>
  <c r="X469"/>
  <c r="Y470"/>
  <c r="X470"/>
  <c r="Y471"/>
  <c r="X471"/>
  <c r="Y472"/>
  <c r="X472"/>
  <c r="Y473"/>
  <c r="X473"/>
  <c r="Y474"/>
  <c r="X474"/>
  <c r="Y475"/>
  <c r="X475"/>
  <c r="Y476"/>
  <c r="X476"/>
  <c r="Y477"/>
  <c r="X477"/>
  <c r="Y478"/>
  <c r="X478"/>
  <c r="Y479"/>
  <c r="X479"/>
  <c r="Y480"/>
  <c r="X480"/>
  <c r="Y481"/>
  <c r="X481"/>
  <c r="Y482"/>
  <c r="X482"/>
  <c r="Y483"/>
  <c r="X483"/>
  <c r="Y484"/>
  <c r="X484"/>
  <c r="Y485"/>
  <c r="X485"/>
  <c r="Y486"/>
  <c r="X486"/>
  <c r="Y487"/>
  <c r="X487"/>
  <c r="Y488"/>
  <c r="X488"/>
  <c r="Y493"/>
  <c r="X493"/>
  <c r="Y494"/>
  <c r="X494"/>
  <c r="Y495"/>
  <c r="X495"/>
  <c r="Y496"/>
  <c r="X496"/>
  <c r="Y497"/>
  <c r="X497"/>
  <c r="Y498"/>
  <c r="X498"/>
  <c r="Y499"/>
  <c r="X499"/>
  <c r="Y500"/>
  <c r="X500"/>
  <c r="Y501"/>
  <c r="X501"/>
  <c r="Y502"/>
  <c r="X502"/>
  <c r="Y503"/>
  <c r="X503"/>
  <c r="Y504"/>
  <c r="X504"/>
  <c r="Y505"/>
  <c r="X505"/>
  <c r="Y506"/>
  <c r="X506"/>
  <c r="Y507"/>
  <c r="X507"/>
  <c r="Y510"/>
  <c r="X510"/>
  <c r="Y511"/>
  <c r="X511"/>
  <c r="Y512"/>
  <c r="X512"/>
  <c r="Y513"/>
  <c r="X513"/>
  <c r="Y514"/>
  <c r="X514"/>
  <c r="Y515"/>
  <c r="X515"/>
  <c r="Y516"/>
  <c r="X516"/>
  <c r="Y517"/>
  <c r="X517"/>
  <c r="Y520"/>
  <c r="X520"/>
  <c r="Y521"/>
  <c r="X521"/>
  <c r="Y522"/>
  <c r="X522"/>
  <c r="Y523"/>
  <c r="X523"/>
  <c r="Y524"/>
  <c r="X524"/>
  <c r="Y525"/>
  <c r="X525"/>
  <c r="Y526"/>
  <c r="X526"/>
  <c r="Y527"/>
  <c r="X527"/>
  <c r="Y528"/>
  <c r="X528"/>
  <c r="Y530"/>
  <c r="X530"/>
  <c r="Y539"/>
  <c r="X539"/>
  <c r="Y540"/>
  <c r="X540"/>
  <c r="Y541"/>
  <c r="X541"/>
  <c r="Y542"/>
  <c r="X542"/>
  <c r="Y543"/>
  <c r="X543"/>
  <c r="Y544"/>
  <c r="X544"/>
  <c r="Y545"/>
  <c r="X545"/>
  <c r="Y546"/>
  <c r="X546"/>
  <c r="Y547"/>
  <c r="X547"/>
  <c r="T360"/>
  <c r="Z360" s="1"/>
  <c r="T362"/>
  <c r="Z362" s="1"/>
  <c r="T366"/>
  <c r="Z366" s="1"/>
  <c r="T368"/>
  <c r="Z368" s="1"/>
  <c r="T370"/>
  <c r="Z370" s="1"/>
  <c r="T372"/>
  <c r="Z372" s="1"/>
  <c r="T374"/>
  <c r="Z374" s="1"/>
  <c r="T376"/>
  <c r="Z376" s="1"/>
  <c r="T378"/>
  <c r="Z378" s="1"/>
  <c r="T380"/>
  <c r="Z380" s="1"/>
  <c r="T382"/>
  <c r="Z382" s="1"/>
  <c r="T384"/>
  <c r="Z384" s="1"/>
  <c r="T386"/>
  <c r="Z386" s="1"/>
  <c r="T388"/>
  <c r="Z388" s="1"/>
  <c r="T390"/>
  <c r="Z390" s="1"/>
  <c r="T392"/>
  <c r="Z392" s="1"/>
  <c r="T394"/>
  <c r="Z394" s="1"/>
  <c r="T396"/>
  <c r="Z396" s="1"/>
  <c r="T398"/>
  <c r="Z398" s="1"/>
  <c r="T400"/>
  <c r="Z400" s="1"/>
  <c r="T402"/>
  <c r="Z402" s="1"/>
  <c r="T404"/>
  <c r="Z404" s="1"/>
  <c r="T406"/>
  <c r="Z406" s="1"/>
  <c r="T410"/>
  <c r="Z410" s="1"/>
  <c r="T412"/>
  <c r="Z412" s="1"/>
  <c r="T414"/>
  <c r="Z414" s="1"/>
  <c r="T416"/>
  <c r="Z416" s="1"/>
  <c r="T418"/>
  <c r="Z418" s="1"/>
  <c r="T420"/>
  <c r="Z420" s="1"/>
  <c r="T422"/>
  <c r="Z422" s="1"/>
  <c r="T424"/>
  <c r="Z424" s="1"/>
  <c r="T426"/>
  <c r="Z426" s="1"/>
  <c r="T428"/>
  <c r="Z428" s="1"/>
  <c r="T430"/>
  <c r="Z430" s="1"/>
  <c r="T432"/>
  <c r="Z432" s="1"/>
  <c r="T434"/>
  <c r="Z434" s="1"/>
  <c r="T436"/>
  <c r="Z436" s="1"/>
  <c r="T438"/>
  <c r="Z438" s="1"/>
  <c r="T440"/>
  <c r="Z440" s="1"/>
  <c r="T442"/>
  <c r="Z442" s="1"/>
  <c r="T444"/>
  <c r="Z444" s="1"/>
  <c r="T446"/>
  <c r="Z446" s="1"/>
  <c r="T448"/>
  <c r="Z448" s="1"/>
  <c r="T450"/>
  <c r="Z450" s="1"/>
  <c r="T454"/>
  <c r="Z454" s="1"/>
  <c r="T455"/>
  <c r="Z455" s="1"/>
  <c r="T456"/>
  <c r="Z456" s="1"/>
  <c r="T457"/>
  <c r="Z457" s="1"/>
  <c r="T458"/>
  <c r="Z458" s="1"/>
  <c r="T459"/>
  <c r="Z459" s="1"/>
  <c r="T460"/>
  <c r="Z460" s="1"/>
  <c r="T461"/>
  <c r="Z461" s="1"/>
  <c r="T462"/>
  <c r="Z462" s="1"/>
  <c r="T463"/>
  <c r="Z463" s="1"/>
  <c r="T464"/>
  <c r="Z464" s="1"/>
  <c r="T465"/>
  <c r="Z465" s="1"/>
  <c r="T466"/>
  <c r="Z466" s="1"/>
  <c r="T467"/>
  <c r="Z467" s="1"/>
  <c r="T468"/>
  <c r="Z468" s="1"/>
  <c r="T469"/>
  <c r="Z469" s="1"/>
  <c r="T470"/>
  <c r="Z470" s="1"/>
  <c r="T471"/>
  <c r="Z471" s="1"/>
  <c r="T472"/>
  <c r="Z472" s="1"/>
  <c r="T473"/>
  <c r="Z473" s="1"/>
  <c r="T474"/>
  <c r="Z474" s="1"/>
  <c r="T475"/>
  <c r="Z475" s="1"/>
  <c r="T476"/>
  <c r="Z476" s="1"/>
  <c r="T477"/>
  <c r="Z477" s="1"/>
  <c r="T478"/>
  <c r="Z478" s="1"/>
  <c r="T479"/>
  <c r="Z479" s="1"/>
  <c r="T480"/>
  <c r="Z480" s="1"/>
  <c r="T481"/>
  <c r="Z481" s="1"/>
  <c r="T482"/>
  <c r="Z482" s="1"/>
  <c r="T483"/>
  <c r="Z483" s="1"/>
  <c r="T484"/>
  <c r="Z484" s="1"/>
  <c r="T485"/>
  <c r="Z485" s="1"/>
  <c r="T486"/>
  <c r="Z486" s="1"/>
  <c r="T487"/>
  <c r="Z487" s="1"/>
  <c r="T488"/>
  <c r="Z488" s="1"/>
  <c r="T493"/>
  <c r="Z493" s="1"/>
  <c r="T494"/>
  <c r="Z494" s="1"/>
  <c r="T495"/>
  <c r="Z495" s="1"/>
  <c r="T496"/>
  <c r="Z496" s="1"/>
  <c r="T497"/>
  <c r="Z497" s="1"/>
  <c r="T498"/>
  <c r="Z498" s="1"/>
  <c r="T499"/>
  <c r="Z499" s="1"/>
  <c r="T500"/>
  <c r="Z500" s="1"/>
  <c r="T501"/>
  <c r="Z501" s="1"/>
  <c r="T502"/>
  <c r="Z502" s="1"/>
  <c r="T503"/>
  <c r="Z503" s="1"/>
  <c r="T504"/>
  <c r="Z504" s="1"/>
  <c r="T505"/>
  <c r="Z505" s="1"/>
  <c r="T506"/>
  <c r="Z506" s="1"/>
  <c r="T507"/>
  <c r="Z507" s="1"/>
  <c r="T510"/>
  <c r="Z510" s="1"/>
  <c r="T511"/>
  <c r="Z511" s="1"/>
  <c r="T512"/>
  <c r="Z512" s="1"/>
  <c r="T513"/>
  <c r="Z513" s="1"/>
  <c r="T514"/>
  <c r="Z514" s="1"/>
  <c r="T515"/>
  <c r="Z515" s="1"/>
  <c r="T516"/>
  <c r="Z516" s="1"/>
  <c r="T517"/>
  <c r="Z517" s="1"/>
  <c r="T520"/>
  <c r="Z520" s="1"/>
  <c r="T521"/>
  <c r="Z521" s="1"/>
  <c r="T522"/>
  <c r="Z522" s="1"/>
  <c r="T523"/>
  <c r="Z523" s="1"/>
  <c r="T524"/>
  <c r="Z524" s="1"/>
  <c r="T525"/>
  <c r="Z525" s="1"/>
  <c r="T526"/>
  <c r="Z526" s="1"/>
  <c r="T527"/>
  <c r="Z527" s="1"/>
  <c r="T528"/>
  <c r="Z528" s="1"/>
  <c r="T530"/>
  <c r="Z530" s="1"/>
  <c r="T539"/>
  <c r="Z539" s="1"/>
  <c r="T540"/>
  <c r="Z540" s="1"/>
  <c r="T541"/>
  <c r="Z541" s="1"/>
  <c r="T542"/>
  <c r="Z542" s="1"/>
  <c r="T543"/>
  <c r="Z543" s="1"/>
  <c r="T544"/>
  <c r="Z544" s="1"/>
  <c r="T545"/>
  <c r="Z545" s="1"/>
  <c r="T546"/>
  <c r="Z546" s="1"/>
  <c r="T547"/>
  <c r="Z547" s="1"/>
  <c r="K35" i="24"/>
  <c r="BA35" s="1"/>
  <c r="K34"/>
  <c r="BA34" s="1"/>
  <c r="K29"/>
  <c r="BA29" s="1"/>
  <c r="K30"/>
  <c r="BA30" s="1"/>
  <c r="K33"/>
  <c r="BA33" s="1"/>
  <c r="K36"/>
  <c r="BA36" s="1"/>
  <c r="K39"/>
  <c r="BA39" s="1"/>
  <c r="K38"/>
  <c r="BA38" s="1"/>
  <c r="K32"/>
  <c r="BA32" s="1"/>
  <c r="K28"/>
  <c r="BA28" s="1"/>
  <c r="K26"/>
  <c r="BA26" s="1"/>
  <c r="K24"/>
  <c r="BA24" s="1"/>
  <c r="K22"/>
  <c r="BA22" s="1"/>
  <c r="K20"/>
  <c r="BA20" s="1"/>
  <c r="K18"/>
  <c r="BA18" s="1"/>
  <c r="K16"/>
  <c r="BA16" s="1"/>
  <c r="L14"/>
  <c r="AZ14" s="1"/>
  <c r="L70"/>
  <c r="AZ70" s="1"/>
  <c r="BC70" s="1"/>
  <c r="L69"/>
  <c r="AZ69" s="1"/>
  <c r="BC69" s="1"/>
  <c r="K37"/>
  <c r="BA37" s="1"/>
  <c r="K31"/>
  <c r="BA31" s="1"/>
  <c r="K27"/>
  <c r="BA27" s="1"/>
  <c r="K25"/>
  <c r="BA25" s="1"/>
  <c r="K23"/>
  <c r="BA23" s="1"/>
  <c r="K21"/>
  <c r="BA21" s="1"/>
  <c r="K19"/>
  <c r="BA19" s="1"/>
  <c r="K17"/>
  <c r="BA17" s="1"/>
  <c r="L15"/>
  <c r="AZ15" s="1"/>
  <c r="BC15" s="1"/>
  <c r="L13"/>
  <c r="AZ13" s="1"/>
  <c r="K12" i="25"/>
  <c r="K15"/>
  <c r="K10"/>
  <c r="K9"/>
  <c r="K13"/>
  <c r="K14"/>
  <c r="K7"/>
  <c r="K11"/>
  <c r="K8"/>
  <c r="BD36" i="24" l="1"/>
  <c r="BD33"/>
  <c r="BG33"/>
  <c r="BD30"/>
  <c r="BD29"/>
  <c r="BD34"/>
  <c r="BG34"/>
  <c r="BD35"/>
  <c r="BG35"/>
  <c r="BD15"/>
  <c r="BD14"/>
  <c r="BD18"/>
  <c r="BD13"/>
  <c r="BD17"/>
  <c r="BD21"/>
  <c r="BG21"/>
  <c r="BD16"/>
  <c r="BD20"/>
  <c r="BG20"/>
  <c r="BD19"/>
  <c r="BG19"/>
  <c r="BD23"/>
  <c r="BG23"/>
  <c r="BD27"/>
  <c r="BG27"/>
  <c r="BD37"/>
  <c r="BD69"/>
  <c r="BG69"/>
  <c r="BD22"/>
  <c r="BG22"/>
  <c r="BD26"/>
  <c r="BG26"/>
  <c r="BD32"/>
  <c r="BG32"/>
  <c r="BD38"/>
  <c r="BD25"/>
  <c r="BG25"/>
  <c r="BD31"/>
  <c r="BG31"/>
  <c r="BD70"/>
  <c r="BD24"/>
  <c r="BG24"/>
  <c r="BD28"/>
  <c r="BG28"/>
  <c r="C4" i="3" l="1"/>
  <c r="AC4" s="1"/>
  <c r="T70" i="24"/>
  <c r="T15"/>
  <c r="T69"/>
  <c r="S8" i="3"/>
  <c r="F8"/>
  <c r="O8"/>
  <c r="R8"/>
  <c r="J8" l="1"/>
  <c r="Y8" s="1" a="1"/>
  <c r="Y8" s="1"/>
  <c r="L8"/>
  <c r="T8" s="1" a="1"/>
  <c r="T8" s="1"/>
  <c r="Z8" s="1"/>
  <c r="M8"/>
  <c r="C3"/>
  <c r="AC3" s="1"/>
  <c r="AC13"/>
  <c r="AC17"/>
  <c r="B5" i="9"/>
  <c r="B6" s="1"/>
  <c r="B7" s="1"/>
  <c r="Q8" i="3"/>
  <c r="U8" a="1"/>
  <c r="P8"/>
  <c r="C8" l="1"/>
  <c r="AC8" s="1"/>
  <c r="AE8"/>
  <c r="AC15"/>
  <c r="X8" a="1"/>
  <c r="X8" s="1"/>
  <c r="U8"/>
  <c r="B8" i="9"/>
  <c r="V8" i="3" l="1"/>
  <c r="B9" i="9"/>
  <c r="B10" l="1"/>
  <c r="K546" i="3"/>
  <c r="K542"/>
  <c r="K538"/>
  <c r="K534"/>
  <c r="K530"/>
  <c r="K526"/>
  <c r="K522"/>
  <c r="K518"/>
  <c r="K514"/>
  <c r="K510"/>
  <c r="K506"/>
  <c r="K502"/>
  <c r="K498"/>
  <c r="K494"/>
  <c r="K490"/>
  <c r="K486"/>
  <c r="K482"/>
  <c r="K478"/>
  <c r="K474"/>
  <c r="K470"/>
  <c r="K466"/>
  <c r="K462"/>
  <c r="K458"/>
  <c r="K454"/>
  <c r="K450"/>
  <c r="K446"/>
  <c r="K442"/>
  <c r="K438"/>
  <c r="K434"/>
  <c r="K430"/>
  <c r="K426"/>
  <c r="K422"/>
  <c r="K418"/>
  <c r="K414"/>
  <c r="K410"/>
  <c r="K406"/>
  <c r="K402"/>
  <c r="K398"/>
  <c r="K394"/>
  <c r="K390"/>
  <c r="K386"/>
  <c r="K382"/>
  <c r="K378"/>
  <c r="K374"/>
  <c r="K370"/>
  <c r="K366"/>
  <c r="K362"/>
  <c r="K358"/>
  <c r="K354"/>
  <c r="K350"/>
  <c r="K346"/>
  <c r="K342"/>
  <c r="K338"/>
  <c r="K334"/>
  <c r="K330"/>
  <c r="K326"/>
  <c r="K322"/>
  <c r="K318"/>
  <c r="K314"/>
  <c r="K310"/>
  <c r="K306"/>
  <c r="K302"/>
  <c r="K298"/>
  <c r="K294"/>
  <c r="K290"/>
  <c r="K286"/>
  <c r="K282"/>
  <c r="K278"/>
  <c r="K274"/>
  <c r="K270"/>
  <c r="K266"/>
  <c r="K262"/>
  <c r="K258"/>
  <c r="K254"/>
  <c r="K250"/>
  <c r="K246"/>
  <c r="K242"/>
  <c r="K238"/>
  <c r="K234"/>
  <c r="K230"/>
  <c r="K226"/>
  <c r="K222"/>
  <c r="K218"/>
  <c r="K214"/>
  <c r="K210"/>
  <c r="K206"/>
  <c r="K202"/>
  <c r="K198"/>
  <c r="K194"/>
  <c r="K190"/>
  <c r="K186"/>
  <c r="K182"/>
  <c r="K178"/>
  <c r="K174"/>
  <c r="K170"/>
  <c r="K166"/>
  <c r="K162"/>
  <c r="K158"/>
  <c r="K154"/>
  <c r="K150"/>
  <c r="K146"/>
  <c r="K142"/>
  <c r="K138"/>
  <c r="K134"/>
  <c r="K130"/>
  <c r="K126"/>
  <c r="K122"/>
  <c r="K118"/>
  <c r="K114"/>
  <c r="K110"/>
  <c r="K106"/>
  <c r="K102"/>
  <c r="K98"/>
  <c r="K94"/>
  <c r="K90"/>
  <c r="K86"/>
  <c r="K82"/>
  <c r="K78"/>
  <c r="K74"/>
  <c r="K70"/>
  <c r="K66"/>
  <c r="K62"/>
  <c r="K58"/>
  <c r="K54"/>
  <c r="K50"/>
  <c r="K46"/>
  <c r="K42"/>
  <c r="K38"/>
  <c r="K34"/>
  <c r="K30"/>
  <c r="K26"/>
  <c r="K22"/>
  <c r="K18"/>
  <c r="K14"/>
  <c r="K10"/>
  <c r="K6"/>
  <c r="K2"/>
  <c r="K39"/>
  <c r="K35"/>
  <c r="K19"/>
  <c r="K11"/>
  <c r="K3"/>
  <c r="N19"/>
  <c r="N3"/>
  <c r="K520"/>
  <c r="K512"/>
  <c r="K496"/>
  <c r="K484"/>
  <c r="K472"/>
  <c r="K456"/>
  <c r="K448"/>
  <c r="K432"/>
  <c r="K424"/>
  <c r="K408"/>
  <c r="K400"/>
  <c r="K384"/>
  <c r="K376"/>
  <c r="K360"/>
  <c r="K352"/>
  <c r="K336"/>
  <c r="K320"/>
  <c r="K312"/>
  <c r="K296"/>
  <c r="K280"/>
  <c r="K272"/>
  <c r="K252"/>
  <c r="K236"/>
  <c r="K228"/>
  <c r="K212"/>
  <c r="K196"/>
  <c r="K188"/>
  <c r="K172"/>
  <c r="K156"/>
  <c r="K144"/>
  <c r="K128"/>
  <c r="K112"/>
  <c r="K104"/>
  <c r="K88"/>
  <c r="K80"/>
  <c r="K64"/>
  <c r="K48"/>
  <c r="K40"/>
  <c r="K24"/>
  <c r="K8"/>
  <c r="N540"/>
  <c r="N524"/>
  <c r="N516"/>
  <c r="N500"/>
  <c r="N484"/>
  <c r="N476"/>
  <c r="N460"/>
  <c r="N452"/>
  <c r="N436"/>
  <c r="N428"/>
  <c r="N412"/>
  <c r="N404"/>
  <c r="N388"/>
  <c r="N372"/>
  <c r="N364"/>
  <c r="N348"/>
  <c r="N340"/>
  <c r="N328"/>
  <c r="N320"/>
  <c r="N304"/>
  <c r="N296"/>
  <c r="N280"/>
  <c r="N268"/>
  <c r="N256"/>
  <c r="N244"/>
  <c r="N236"/>
  <c r="N220"/>
  <c r="N208"/>
  <c r="N196"/>
  <c r="N188"/>
  <c r="N172"/>
  <c r="N160"/>
  <c r="N148"/>
  <c r="N132"/>
  <c r="N124"/>
  <c r="N108"/>
  <c r="N92"/>
  <c r="N84"/>
  <c r="N64"/>
  <c r="N48"/>
  <c r="N40"/>
  <c r="N24"/>
  <c r="N16"/>
  <c r="K541"/>
  <c r="K525"/>
  <c r="K509"/>
  <c r="K501"/>
  <c r="K485"/>
  <c r="K477"/>
  <c r="K461"/>
  <c r="K453"/>
  <c r="K437"/>
  <c r="K429"/>
  <c r="K413"/>
  <c r="K405"/>
  <c r="K389"/>
  <c r="K373"/>
  <c r="K365"/>
  <c r="K349"/>
  <c r="K341"/>
  <c r="K325"/>
  <c r="K313"/>
  <c r="K301"/>
  <c r="K285"/>
  <c r="K277"/>
  <c r="K261"/>
  <c r="K245"/>
  <c r="K237"/>
  <c r="K217"/>
  <c r="K201"/>
  <c r="K193"/>
  <c r="K177"/>
  <c r="N546"/>
  <c r="N542"/>
  <c r="N538"/>
  <c r="N534"/>
  <c r="N530"/>
  <c r="N526"/>
  <c r="N522"/>
  <c r="N518"/>
  <c r="N514"/>
  <c r="N510"/>
  <c r="N506"/>
  <c r="N502"/>
  <c r="N498"/>
  <c r="N494"/>
  <c r="N490"/>
  <c r="N486"/>
  <c r="N482"/>
  <c r="N478"/>
  <c r="N474"/>
  <c r="N470"/>
  <c r="N466"/>
  <c r="N462"/>
  <c r="N458"/>
  <c r="N454"/>
  <c r="N450"/>
  <c r="N446"/>
  <c r="N442"/>
  <c r="N438"/>
  <c r="N434"/>
  <c r="N430"/>
  <c r="N426"/>
  <c r="N422"/>
  <c r="N418"/>
  <c r="N414"/>
  <c r="N410"/>
  <c r="N406"/>
  <c r="N402"/>
  <c r="N398"/>
  <c r="N394"/>
  <c r="N390"/>
  <c r="N386"/>
  <c r="N382"/>
  <c r="N378"/>
  <c r="N374"/>
  <c r="N370"/>
  <c r="N366"/>
  <c r="N362"/>
  <c r="N358"/>
  <c r="N354"/>
  <c r="N350"/>
  <c r="N346"/>
  <c r="N342"/>
  <c r="N338"/>
  <c r="N334"/>
  <c r="N330"/>
  <c r="N326"/>
  <c r="N322"/>
  <c r="N318"/>
  <c r="N314"/>
  <c r="N310"/>
  <c r="N306"/>
  <c r="N302"/>
  <c r="N298"/>
  <c r="N294"/>
  <c r="N290"/>
  <c r="N286"/>
  <c r="N282"/>
  <c r="N278"/>
  <c r="N274"/>
  <c r="N270"/>
  <c r="N266"/>
  <c r="N262"/>
  <c r="N258"/>
  <c r="N254"/>
  <c r="N250"/>
  <c r="N246"/>
  <c r="N242"/>
  <c r="N238"/>
  <c r="N234"/>
  <c r="N230"/>
  <c r="N226"/>
  <c r="N222"/>
  <c r="N218"/>
  <c r="N214"/>
  <c r="N210"/>
  <c r="N206"/>
  <c r="N202"/>
  <c r="N198"/>
  <c r="N194"/>
  <c r="N190"/>
  <c r="N186"/>
  <c r="N182"/>
  <c r="N178"/>
  <c r="N174"/>
  <c r="N170"/>
  <c r="N166"/>
  <c r="N162"/>
  <c r="N158"/>
  <c r="N154"/>
  <c r="N150"/>
  <c r="N146"/>
  <c r="N142"/>
  <c r="N138"/>
  <c r="N134"/>
  <c r="N130"/>
  <c r="N126"/>
  <c r="N122"/>
  <c r="N118"/>
  <c r="N114"/>
  <c r="N110"/>
  <c r="N106"/>
  <c r="N102"/>
  <c r="N98"/>
  <c r="N94"/>
  <c r="N90"/>
  <c r="N86"/>
  <c r="N82"/>
  <c r="N78"/>
  <c r="N74"/>
  <c r="N70"/>
  <c r="N66"/>
  <c r="N62"/>
  <c r="N58"/>
  <c r="N54"/>
  <c r="N50"/>
  <c r="N46"/>
  <c r="N42"/>
  <c r="N38"/>
  <c r="N34"/>
  <c r="N30"/>
  <c r="N26"/>
  <c r="N22"/>
  <c r="N18"/>
  <c r="N14"/>
  <c r="N10"/>
  <c r="N6"/>
  <c r="N2"/>
  <c r="K43"/>
  <c r="K31"/>
  <c r="K23"/>
  <c r="K7"/>
  <c r="N31"/>
  <c r="N15"/>
  <c r="N7"/>
  <c r="K516"/>
  <c r="K508"/>
  <c r="K492"/>
  <c r="K476"/>
  <c r="K468"/>
  <c r="K452"/>
  <c r="K444"/>
  <c r="K428"/>
  <c r="K420"/>
  <c r="K404"/>
  <c r="K396"/>
  <c r="K380"/>
  <c r="K372"/>
  <c r="K356"/>
  <c r="K340"/>
  <c r="K332"/>
  <c r="K316"/>
  <c r="K300"/>
  <c r="K292"/>
  <c r="K276"/>
  <c r="K268"/>
  <c r="K256"/>
  <c r="K240"/>
  <c r="K232"/>
  <c r="K216"/>
  <c r="K208"/>
  <c r="K192"/>
  <c r="K180"/>
  <c r="K168"/>
  <c r="K152"/>
  <c r="K148"/>
  <c r="K132"/>
  <c r="K124"/>
  <c r="K108"/>
  <c r="K100"/>
  <c r="K84"/>
  <c r="K76"/>
  <c r="K60"/>
  <c r="K44"/>
  <c r="K36"/>
  <c r="K20"/>
  <c r="K4"/>
  <c r="N544"/>
  <c r="N528"/>
  <c r="N520"/>
  <c r="N504"/>
  <c r="N496"/>
  <c r="N480"/>
  <c r="N464"/>
  <c r="N456"/>
  <c r="N440"/>
  <c r="N432"/>
  <c r="N416"/>
  <c r="N408"/>
  <c r="N392"/>
  <c r="N380"/>
  <c r="N368"/>
  <c r="N352"/>
  <c r="N344"/>
  <c r="N324"/>
  <c r="N312"/>
  <c r="N300"/>
  <c r="N284"/>
  <c r="N276"/>
  <c r="N260"/>
  <c r="N240"/>
  <c r="N232"/>
  <c r="N216"/>
  <c r="N212"/>
  <c r="N192"/>
  <c r="N176"/>
  <c r="N168"/>
  <c r="N152"/>
  <c r="N144"/>
  <c r="N128"/>
  <c r="N112"/>
  <c r="N104"/>
  <c r="N88"/>
  <c r="N80"/>
  <c r="N68"/>
  <c r="N60"/>
  <c r="N44"/>
  <c r="N28"/>
  <c r="N20"/>
  <c r="N8"/>
  <c r="K545"/>
  <c r="K529"/>
  <c r="K521"/>
  <c r="K505"/>
  <c r="K497"/>
  <c r="K481"/>
  <c r="K469"/>
  <c r="K457"/>
  <c r="K441"/>
  <c r="K433"/>
  <c r="K417"/>
  <c r="K409"/>
  <c r="K393"/>
  <c r="K385"/>
  <c r="K369"/>
  <c r="K357"/>
  <c r="K345"/>
  <c r="K329"/>
  <c r="K321"/>
  <c r="K305"/>
  <c r="K289"/>
  <c r="K281"/>
  <c r="K265"/>
  <c r="K257"/>
  <c r="K241"/>
  <c r="K233"/>
  <c r="K221"/>
  <c r="K205"/>
  <c r="K197"/>
  <c r="K181"/>
  <c r="K173"/>
  <c r="K547"/>
  <c r="K543"/>
  <c r="K539"/>
  <c r="K535"/>
  <c r="K531"/>
  <c r="K527"/>
  <c r="K523"/>
  <c r="K519"/>
  <c r="K515"/>
  <c r="K511"/>
  <c r="K507"/>
  <c r="K503"/>
  <c r="K499"/>
  <c r="K495"/>
  <c r="K491"/>
  <c r="K487"/>
  <c r="K483"/>
  <c r="K479"/>
  <c r="K475"/>
  <c r="K471"/>
  <c r="K467"/>
  <c r="K463"/>
  <c r="K459"/>
  <c r="K455"/>
  <c r="K451"/>
  <c r="K447"/>
  <c r="K443"/>
  <c r="K439"/>
  <c r="K435"/>
  <c r="K431"/>
  <c r="K427"/>
  <c r="K423"/>
  <c r="K419"/>
  <c r="K415"/>
  <c r="K411"/>
  <c r="K407"/>
  <c r="K403"/>
  <c r="K399"/>
  <c r="K395"/>
  <c r="K391"/>
  <c r="K387"/>
  <c r="K383"/>
  <c r="K379"/>
  <c r="K375"/>
  <c r="K371"/>
  <c r="K367"/>
  <c r="K363"/>
  <c r="K359"/>
  <c r="K355"/>
  <c r="K351"/>
  <c r="K347"/>
  <c r="K343"/>
  <c r="K339"/>
  <c r="K335"/>
  <c r="K331"/>
  <c r="K327"/>
  <c r="K323"/>
  <c r="K319"/>
  <c r="K315"/>
  <c r="K311"/>
  <c r="K307"/>
  <c r="K303"/>
  <c r="K299"/>
  <c r="K295"/>
  <c r="K291"/>
  <c r="K287"/>
  <c r="K283"/>
  <c r="K279"/>
  <c r="K275"/>
  <c r="K271"/>
  <c r="K267"/>
  <c r="K263"/>
  <c r="K259"/>
  <c r="K255"/>
  <c r="K251"/>
  <c r="K247"/>
  <c r="K243"/>
  <c r="K239"/>
  <c r="K235"/>
  <c r="K231"/>
  <c r="K227"/>
  <c r="K223"/>
  <c r="K219"/>
  <c r="K215"/>
  <c r="K211"/>
  <c r="K207"/>
  <c r="K203"/>
  <c r="K199"/>
  <c r="K195"/>
  <c r="K191"/>
  <c r="K187"/>
  <c r="K183"/>
  <c r="K179"/>
  <c r="K175"/>
  <c r="K171"/>
  <c r="K167"/>
  <c r="K163"/>
  <c r="K159"/>
  <c r="K155"/>
  <c r="K151"/>
  <c r="K147"/>
  <c r="K143"/>
  <c r="K139"/>
  <c r="K135"/>
  <c r="K131"/>
  <c r="K127"/>
  <c r="K123"/>
  <c r="K119"/>
  <c r="K115"/>
  <c r="K111"/>
  <c r="K107"/>
  <c r="K103"/>
  <c r="K99"/>
  <c r="K95"/>
  <c r="K91"/>
  <c r="K87"/>
  <c r="K83"/>
  <c r="K79"/>
  <c r="K75"/>
  <c r="K71"/>
  <c r="K67"/>
  <c r="K63"/>
  <c r="K59"/>
  <c r="K55"/>
  <c r="K51"/>
  <c r="K47"/>
  <c r="K27"/>
  <c r="K15"/>
  <c r="N23"/>
  <c r="K540"/>
  <c r="K532"/>
  <c r="K524"/>
  <c r="K500"/>
  <c r="K480"/>
  <c r="K460"/>
  <c r="K436"/>
  <c r="K412"/>
  <c r="K388"/>
  <c r="K364"/>
  <c r="K344"/>
  <c r="K328"/>
  <c r="K308"/>
  <c r="K288"/>
  <c r="K260"/>
  <c r="K244"/>
  <c r="K220"/>
  <c r="K200"/>
  <c r="K176"/>
  <c r="K160"/>
  <c r="K136"/>
  <c r="K120"/>
  <c r="K92"/>
  <c r="K72"/>
  <c r="K56"/>
  <c r="K32"/>
  <c r="K16"/>
  <c r="N536"/>
  <c r="N508"/>
  <c r="N488"/>
  <c r="N472"/>
  <c r="N448"/>
  <c r="N424"/>
  <c r="N400"/>
  <c r="N384"/>
  <c r="N360"/>
  <c r="N336"/>
  <c r="N316"/>
  <c r="N292"/>
  <c r="N264"/>
  <c r="N248"/>
  <c r="N224"/>
  <c r="N204"/>
  <c r="N184"/>
  <c r="N164"/>
  <c r="N140"/>
  <c r="N120"/>
  <c r="N96"/>
  <c r="N72"/>
  <c r="N56"/>
  <c r="N36"/>
  <c r="N4"/>
  <c r="K537"/>
  <c r="K517"/>
  <c r="K489"/>
  <c r="K473"/>
  <c r="K449"/>
  <c r="K425"/>
  <c r="K401"/>
  <c r="K381"/>
  <c r="K361"/>
  <c r="K337"/>
  <c r="K317"/>
  <c r="K297"/>
  <c r="K273"/>
  <c r="K253"/>
  <c r="K229"/>
  <c r="K213"/>
  <c r="K185"/>
  <c r="K165"/>
  <c r="N547"/>
  <c r="N543"/>
  <c r="N539"/>
  <c r="N535"/>
  <c r="N531"/>
  <c r="N527"/>
  <c r="N523"/>
  <c r="N519"/>
  <c r="N515"/>
  <c r="N511"/>
  <c r="N507"/>
  <c r="N503"/>
  <c r="N499"/>
  <c r="N495"/>
  <c r="N491"/>
  <c r="N487"/>
  <c r="N483"/>
  <c r="N479"/>
  <c r="N475"/>
  <c r="N471"/>
  <c r="N467"/>
  <c r="N463"/>
  <c r="N459"/>
  <c r="N455"/>
  <c r="N451"/>
  <c r="N447"/>
  <c r="N443"/>
  <c r="N439"/>
  <c r="N435"/>
  <c r="N431"/>
  <c r="N427"/>
  <c r="N423"/>
  <c r="N419"/>
  <c r="N415"/>
  <c r="N411"/>
  <c r="N407"/>
  <c r="N403"/>
  <c r="N399"/>
  <c r="N395"/>
  <c r="N391"/>
  <c r="N387"/>
  <c r="N383"/>
  <c r="N379"/>
  <c r="N375"/>
  <c r="N371"/>
  <c r="N367"/>
  <c r="N363"/>
  <c r="N359"/>
  <c r="N355"/>
  <c r="N351"/>
  <c r="N347"/>
  <c r="N343"/>
  <c r="N339"/>
  <c r="N335"/>
  <c r="N331"/>
  <c r="N327"/>
  <c r="N323"/>
  <c r="N319"/>
  <c r="N315"/>
  <c r="N311"/>
  <c r="N307"/>
  <c r="N303"/>
  <c r="N299"/>
  <c r="N295"/>
  <c r="N291"/>
  <c r="N287"/>
  <c r="N283"/>
  <c r="N279"/>
  <c r="N275"/>
  <c r="N271"/>
  <c r="N267"/>
  <c r="N263"/>
  <c r="N259"/>
  <c r="N255"/>
  <c r="N251"/>
  <c r="N247"/>
  <c r="N243"/>
  <c r="N239"/>
  <c r="N235"/>
  <c r="N231"/>
  <c r="N227"/>
  <c r="N223"/>
  <c r="N219"/>
  <c r="N215"/>
  <c r="N211"/>
  <c r="N207"/>
  <c r="N203"/>
  <c r="N199"/>
  <c r="N195"/>
  <c r="N191"/>
  <c r="N187"/>
  <c r="N183"/>
  <c r="N179"/>
  <c r="N175"/>
  <c r="N171"/>
  <c r="N167"/>
  <c r="N163"/>
  <c r="N159"/>
  <c r="N155"/>
  <c r="N151"/>
  <c r="N147"/>
  <c r="N143"/>
  <c r="N139"/>
  <c r="N135"/>
  <c r="N131"/>
  <c r="N127"/>
  <c r="N123"/>
  <c r="N119"/>
  <c r="N115"/>
  <c r="N111"/>
  <c r="N107"/>
  <c r="N103"/>
  <c r="N99"/>
  <c r="N95"/>
  <c r="N91"/>
  <c r="N87"/>
  <c r="N83"/>
  <c r="N79"/>
  <c r="N75"/>
  <c r="N71"/>
  <c r="N67"/>
  <c r="N63"/>
  <c r="N59"/>
  <c r="N55"/>
  <c r="N51"/>
  <c r="N47"/>
  <c r="N43"/>
  <c r="N39"/>
  <c r="N35"/>
  <c r="N27"/>
  <c r="N11"/>
  <c r="K544"/>
  <c r="K536"/>
  <c r="K528"/>
  <c r="K504"/>
  <c r="K488"/>
  <c r="K464"/>
  <c r="K440"/>
  <c r="K416"/>
  <c r="K392"/>
  <c r="K368"/>
  <c r="K348"/>
  <c r="K324"/>
  <c r="K304"/>
  <c r="K284"/>
  <c r="K264"/>
  <c r="K248"/>
  <c r="K224"/>
  <c r="K204"/>
  <c r="K184"/>
  <c r="K164"/>
  <c r="K140"/>
  <c r="K116"/>
  <c r="K96"/>
  <c r="K68"/>
  <c r="K52"/>
  <c r="K28"/>
  <c r="K12"/>
  <c r="N532"/>
  <c r="N512"/>
  <c r="N492"/>
  <c r="N468"/>
  <c r="N444"/>
  <c r="N420"/>
  <c r="N396"/>
  <c r="N376"/>
  <c r="N356"/>
  <c r="N332"/>
  <c r="N308"/>
  <c r="N288"/>
  <c r="N272"/>
  <c r="N252"/>
  <c r="N228"/>
  <c r="N200"/>
  <c r="N180"/>
  <c r="N156"/>
  <c r="N136"/>
  <c r="N116"/>
  <c r="N100"/>
  <c r="N76"/>
  <c r="N52"/>
  <c r="N32"/>
  <c r="N12"/>
  <c r="K533"/>
  <c r="K513"/>
  <c r="K493"/>
  <c r="K465"/>
  <c r="K445"/>
  <c r="K421"/>
  <c r="K397"/>
  <c r="K377"/>
  <c r="K353"/>
  <c r="K333"/>
  <c r="K309"/>
  <c r="K293"/>
  <c r="K269"/>
  <c r="K249"/>
  <c r="K225"/>
  <c r="K209"/>
  <c r="K189"/>
  <c r="K169"/>
  <c r="N533"/>
  <c r="N501"/>
  <c r="N469"/>
  <c r="N437"/>
  <c r="N405"/>
  <c r="N373"/>
  <c r="N341"/>
  <c r="N309"/>
  <c r="N277"/>
  <c r="N245"/>
  <c r="N213"/>
  <c r="N181"/>
  <c r="K157"/>
  <c r="K141"/>
  <c r="K125"/>
  <c r="K109"/>
  <c r="K93"/>
  <c r="N537"/>
  <c r="N505"/>
  <c r="N473"/>
  <c r="N441"/>
  <c r="N409"/>
  <c r="N377"/>
  <c r="N345"/>
  <c r="N313"/>
  <c r="N281"/>
  <c r="N249"/>
  <c r="N217"/>
  <c r="N185"/>
  <c r="N157"/>
  <c r="N141"/>
  <c r="N125"/>
  <c r="N109"/>
  <c r="N93"/>
  <c r="N77"/>
  <c r="N61"/>
  <c r="N45"/>
  <c r="N29"/>
  <c r="N13"/>
  <c r="N221"/>
  <c r="K161"/>
  <c r="K145"/>
  <c r="K113"/>
  <c r="K97"/>
  <c r="K65"/>
  <c r="K49"/>
  <c r="K17"/>
  <c r="N257"/>
  <c r="N161"/>
  <c r="N145"/>
  <c r="N97"/>
  <c r="N81"/>
  <c r="N33"/>
  <c r="N17"/>
  <c r="N293"/>
  <c r="N197"/>
  <c r="K149"/>
  <c r="K101"/>
  <c r="K53"/>
  <c r="K21"/>
  <c r="N265"/>
  <c r="N201"/>
  <c r="N117"/>
  <c r="N69"/>
  <c r="N5"/>
  <c r="N493"/>
  <c r="N365"/>
  <c r="N237"/>
  <c r="N173"/>
  <c r="K89"/>
  <c r="K73"/>
  <c r="N529"/>
  <c r="N465"/>
  <c r="N337"/>
  <c r="N241"/>
  <c r="N153"/>
  <c r="N105"/>
  <c r="N57"/>
  <c r="K77"/>
  <c r="K45"/>
  <c r="N541"/>
  <c r="N509"/>
  <c r="N477"/>
  <c r="N445"/>
  <c r="N413"/>
  <c r="N381"/>
  <c r="N349"/>
  <c r="N317"/>
  <c r="N285"/>
  <c r="N253"/>
  <c r="N189"/>
  <c r="K129"/>
  <c r="K81"/>
  <c r="K33"/>
  <c r="N193"/>
  <c r="N113"/>
  <c r="N49"/>
  <c r="D16" i="7"/>
  <c r="N165" i="3"/>
  <c r="K85"/>
  <c r="K5"/>
  <c r="N169"/>
  <c r="N85"/>
  <c r="N525"/>
  <c r="N333"/>
  <c r="K153"/>
  <c r="K57"/>
  <c r="N369"/>
  <c r="N177"/>
  <c r="N89"/>
  <c r="N9"/>
  <c r="N545"/>
  <c r="N513"/>
  <c r="N481"/>
  <c r="N449"/>
  <c r="N417"/>
  <c r="N385"/>
  <c r="N353"/>
  <c r="N321"/>
  <c r="N289"/>
  <c r="N225"/>
  <c r="N129"/>
  <c r="N65"/>
  <c r="N261"/>
  <c r="K133"/>
  <c r="K69"/>
  <c r="N297"/>
  <c r="N133"/>
  <c r="N37"/>
  <c r="N461"/>
  <c r="N269"/>
  <c r="K121"/>
  <c r="K25"/>
  <c r="N433"/>
  <c r="N273"/>
  <c r="N137"/>
  <c r="N41"/>
  <c r="K29"/>
  <c r="N517"/>
  <c r="N485"/>
  <c r="N453"/>
  <c r="N421"/>
  <c r="N389"/>
  <c r="N357"/>
  <c r="N325"/>
  <c r="N229"/>
  <c r="K117"/>
  <c r="K37"/>
  <c r="N233"/>
  <c r="N101"/>
  <c r="N21"/>
  <c r="N397"/>
  <c r="N205"/>
  <c r="K105"/>
  <c r="K9"/>
  <c r="N497"/>
  <c r="N305"/>
  <c r="N121"/>
  <c r="N25"/>
  <c r="K13"/>
  <c r="N521"/>
  <c r="N489"/>
  <c r="N457"/>
  <c r="N425"/>
  <c r="N393"/>
  <c r="N361"/>
  <c r="N329"/>
  <c r="N149"/>
  <c r="N53"/>
  <c r="N429"/>
  <c r="N301"/>
  <c r="K137"/>
  <c r="K41"/>
  <c r="N401"/>
  <c r="N209"/>
  <c r="N73"/>
  <c r="K61"/>
  <c r="B11" i="9" l="1"/>
  <c r="F61" i="3"/>
  <c r="O73"/>
  <c r="R73"/>
  <c r="S73"/>
  <c r="R209"/>
  <c r="S209"/>
  <c r="O209"/>
  <c r="W401"/>
  <c r="F41"/>
  <c r="F137"/>
  <c r="S301"/>
  <c r="O301"/>
  <c r="R301"/>
  <c r="W429"/>
  <c r="S53"/>
  <c r="O53"/>
  <c r="R53"/>
  <c r="O149"/>
  <c r="R149"/>
  <c r="S149"/>
  <c r="S329"/>
  <c r="O329"/>
  <c r="R329"/>
  <c r="W361"/>
  <c r="W393"/>
  <c r="W425"/>
  <c r="W457"/>
  <c r="W489"/>
  <c r="W521"/>
  <c r="F13"/>
  <c r="O25"/>
  <c r="R25"/>
  <c r="S25"/>
  <c r="S121"/>
  <c r="O121"/>
  <c r="R121"/>
  <c r="S305"/>
  <c r="O305"/>
  <c r="R305"/>
  <c r="W497"/>
  <c r="F9"/>
  <c r="F105"/>
  <c r="O205"/>
  <c r="R205"/>
  <c r="S205"/>
  <c r="W397"/>
  <c r="O21"/>
  <c r="S21"/>
  <c r="R21"/>
  <c r="O101"/>
  <c r="R101"/>
  <c r="S101"/>
  <c r="R233"/>
  <c r="S233"/>
  <c r="O233"/>
  <c r="F37"/>
  <c r="F117"/>
  <c r="O229"/>
  <c r="R229"/>
  <c r="S229"/>
  <c r="S325"/>
  <c r="O325"/>
  <c r="R325"/>
  <c r="S357"/>
  <c r="O357"/>
  <c r="R357"/>
  <c r="W389"/>
  <c r="W421"/>
  <c r="W453"/>
  <c r="W485"/>
  <c r="W517"/>
  <c r="F29"/>
  <c r="R41"/>
  <c r="S41"/>
  <c r="O41"/>
  <c r="O137"/>
  <c r="R137"/>
  <c r="S137"/>
  <c r="W137"/>
  <c r="R273"/>
  <c r="S273"/>
  <c r="O273"/>
  <c r="W433"/>
  <c r="F25"/>
  <c r="F121"/>
  <c r="O269"/>
  <c r="R269"/>
  <c r="S269"/>
  <c r="W461"/>
  <c r="R37"/>
  <c r="S37"/>
  <c r="O37"/>
  <c r="S133"/>
  <c r="O133"/>
  <c r="R133"/>
  <c r="S297"/>
  <c r="O297"/>
  <c r="R297"/>
  <c r="F69"/>
  <c r="F133"/>
  <c r="S261"/>
  <c r="O261"/>
  <c r="R261"/>
  <c r="R65"/>
  <c r="S65"/>
  <c r="W65"/>
  <c r="O65"/>
  <c r="O129"/>
  <c r="S129"/>
  <c r="R129"/>
  <c r="S225"/>
  <c r="O225"/>
  <c r="R225"/>
  <c r="S289"/>
  <c r="O289"/>
  <c r="R289"/>
  <c r="S321"/>
  <c r="O321"/>
  <c r="R321"/>
  <c r="S353"/>
  <c r="O353"/>
  <c r="R353"/>
  <c r="W385"/>
  <c r="W417"/>
  <c r="W449"/>
  <c r="W481"/>
  <c r="W513"/>
  <c r="W545"/>
  <c r="O9"/>
  <c r="S9"/>
  <c r="R9"/>
  <c r="S89"/>
  <c r="O89"/>
  <c r="R89"/>
  <c r="O177"/>
  <c r="R177"/>
  <c r="S177"/>
  <c r="W369"/>
  <c r="F57"/>
  <c r="F153"/>
  <c r="S333"/>
  <c r="O333"/>
  <c r="R333"/>
  <c r="W525"/>
  <c r="S85"/>
  <c r="O85"/>
  <c r="R85"/>
  <c r="W85"/>
  <c r="S169"/>
  <c r="O169"/>
  <c r="R169"/>
  <c r="F5"/>
  <c r="F85"/>
  <c r="S165"/>
  <c r="O165"/>
  <c r="R165"/>
  <c r="S49"/>
  <c r="R49"/>
  <c r="O49"/>
  <c r="R113"/>
  <c r="S113"/>
  <c r="O113"/>
  <c r="S193"/>
  <c r="O193"/>
  <c r="R193"/>
  <c r="F33"/>
  <c r="F81"/>
  <c r="F129"/>
  <c r="S189"/>
  <c r="O189"/>
  <c r="R189"/>
  <c r="O253"/>
  <c r="S253"/>
  <c r="R253"/>
  <c r="S285"/>
  <c r="O285"/>
  <c r="R285"/>
  <c r="S317"/>
  <c r="O317"/>
  <c r="R317"/>
  <c r="S349"/>
  <c r="O349"/>
  <c r="R349"/>
  <c r="W381"/>
  <c r="W413"/>
  <c r="W445"/>
  <c r="W477"/>
  <c r="W509"/>
  <c r="W541"/>
  <c r="F45"/>
  <c r="F77"/>
  <c r="S57"/>
  <c r="O57"/>
  <c r="R57"/>
  <c r="S105"/>
  <c r="O105"/>
  <c r="R105"/>
  <c r="W105"/>
  <c r="W153"/>
  <c r="S153"/>
  <c r="O153"/>
  <c r="R153"/>
  <c r="S241"/>
  <c r="O241"/>
  <c r="R241"/>
  <c r="S337"/>
  <c r="O337"/>
  <c r="R337"/>
  <c r="W465"/>
  <c r="W529"/>
  <c r="F73"/>
  <c r="F89"/>
  <c r="S173"/>
  <c r="O173"/>
  <c r="R173"/>
  <c r="R237"/>
  <c r="S237"/>
  <c r="O237"/>
  <c r="W365"/>
  <c r="W493"/>
  <c r="S5"/>
  <c r="O5"/>
  <c r="R5"/>
  <c r="W69"/>
  <c r="S69"/>
  <c r="O69"/>
  <c r="R69"/>
  <c r="S117"/>
  <c r="O117"/>
  <c r="R117"/>
  <c r="S201"/>
  <c r="O201"/>
  <c r="R201"/>
  <c r="S265"/>
  <c r="O265"/>
  <c r="R265"/>
  <c r="F21"/>
  <c r="F53"/>
  <c r="F101"/>
  <c r="F149"/>
  <c r="S197"/>
  <c r="O197"/>
  <c r="R197"/>
  <c r="R293"/>
  <c r="S293"/>
  <c r="O293"/>
  <c r="O17"/>
  <c r="R17"/>
  <c r="S17"/>
  <c r="O33"/>
  <c r="R33"/>
  <c r="S33"/>
  <c r="O81"/>
  <c r="S81"/>
  <c r="R81"/>
  <c r="O97"/>
  <c r="R97"/>
  <c r="S97"/>
  <c r="O145"/>
  <c r="R145"/>
  <c r="S145"/>
  <c r="W161"/>
  <c r="S161"/>
  <c r="O161"/>
  <c r="R161"/>
  <c r="O257"/>
  <c r="S257"/>
  <c r="R257"/>
  <c r="F17"/>
  <c r="F49"/>
  <c r="F65"/>
  <c r="F97"/>
  <c r="F113"/>
  <c r="F145"/>
  <c r="F161"/>
  <c r="S221"/>
  <c r="O221"/>
  <c r="R221"/>
  <c r="O13"/>
  <c r="R13"/>
  <c r="S13"/>
  <c r="O29"/>
  <c r="R29"/>
  <c r="S29"/>
  <c r="R45"/>
  <c r="S45"/>
  <c r="O45"/>
  <c r="S61"/>
  <c r="O61"/>
  <c r="R61"/>
  <c r="O77"/>
  <c r="S77"/>
  <c r="R77"/>
  <c r="W93"/>
  <c r="S93"/>
  <c r="O93"/>
  <c r="R93"/>
  <c r="R109"/>
  <c r="S109"/>
  <c r="O109"/>
  <c r="O125"/>
  <c r="R125"/>
  <c r="S125"/>
  <c r="W125"/>
  <c r="O141"/>
  <c r="R141"/>
  <c r="S141"/>
  <c r="O157"/>
  <c r="R157"/>
  <c r="W157"/>
  <c r="S157"/>
  <c r="S185"/>
  <c r="O185"/>
  <c r="R185"/>
  <c r="R217"/>
  <c r="S217"/>
  <c r="O217"/>
  <c r="O249"/>
  <c r="R249"/>
  <c r="S249"/>
  <c r="S281"/>
  <c r="O281"/>
  <c r="R281"/>
  <c r="S313"/>
  <c r="O313"/>
  <c r="R313"/>
  <c r="S345"/>
  <c r="O345"/>
  <c r="R345"/>
  <c r="W377"/>
  <c r="W409"/>
  <c r="W441"/>
  <c r="W473"/>
  <c r="W505"/>
  <c r="W537"/>
  <c r="F93"/>
  <c r="F109"/>
  <c r="F125"/>
  <c r="F141"/>
  <c r="F157"/>
  <c r="R181"/>
  <c r="S181"/>
  <c r="O181"/>
  <c r="R213"/>
  <c r="S213"/>
  <c r="O213"/>
  <c r="S245"/>
  <c r="O245"/>
  <c r="R245"/>
  <c r="O277"/>
  <c r="S277"/>
  <c r="R277"/>
  <c r="S309"/>
  <c r="O309"/>
  <c r="R309"/>
  <c r="S341"/>
  <c r="O341"/>
  <c r="R341"/>
  <c r="W373"/>
  <c r="W405"/>
  <c r="W437"/>
  <c r="W469"/>
  <c r="W501"/>
  <c r="W533"/>
  <c r="F169"/>
  <c r="F189"/>
  <c r="F209"/>
  <c r="F225"/>
  <c r="F249"/>
  <c r="F269"/>
  <c r="F293"/>
  <c r="F309"/>
  <c r="F333"/>
  <c r="F353"/>
  <c r="S12"/>
  <c r="O12"/>
  <c r="R12"/>
  <c r="S32"/>
  <c r="O32"/>
  <c r="R32"/>
  <c r="S52"/>
  <c r="O52"/>
  <c r="R52"/>
  <c r="S76"/>
  <c r="O76"/>
  <c r="R76"/>
  <c r="S100"/>
  <c r="O100"/>
  <c r="R100"/>
  <c r="R116"/>
  <c r="S116"/>
  <c r="O116"/>
  <c r="R136"/>
  <c r="W136"/>
  <c r="S136"/>
  <c r="O136"/>
  <c r="R156"/>
  <c r="W156"/>
  <c r="S156"/>
  <c r="O156"/>
  <c r="S180"/>
  <c r="O180"/>
  <c r="R180"/>
  <c r="R200"/>
  <c r="S200"/>
  <c r="O200"/>
  <c r="W200"/>
  <c r="S228"/>
  <c r="O228"/>
  <c r="R228"/>
  <c r="W228"/>
  <c r="S252"/>
  <c r="O252"/>
  <c r="R252"/>
  <c r="W252"/>
  <c r="S272"/>
  <c r="O272"/>
  <c r="R272"/>
  <c r="S288"/>
  <c r="O288"/>
  <c r="R288"/>
  <c r="W288"/>
  <c r="R308"/>
  <c r="S308"/>
  <c r="O308"/>
  <c r="R332"/>
  <c r="S332"/>
  <c r="O332"/>
  <c r="R356"/>
  <c r="S356"/>
  <c r="O356"/>
  <c r="W376"/>
  <c r="W396"/>
  <c r="W420"/>
  <c r="W444"/>
  <c r="W468"/>
  <c r="W492"/>
  <c r="W512"/>
  <c r="W532"/>
  <c r="F12"/>
  <c r="F28"/>
  <c r="F52"/>
  <c r="F68"/>
  <c r="F96"/>
  <c r="F116"/>
  <c r="F140"/>
  <c r="F164"/>
  <c r="F184"/>
  <c r="F204"/>
  <c r="F224"/>
  <c r="F248"/>
  <c r="F264"/>
  <c r="F284"/>
  <c r="F304"/>
  <c r="F324"/>
  <c r="F348"/>
  <c r="O11"/>
  <c r="R11"/>
  <c r="S11"/>
  <c r="O27"/>
  <c r="R27"/>
  <c r="S27"/>
  <c r="R35"/>
  <c r="S35"/>
  <c r="O35"/>
  <c r="R39"/>
  <c r="S39"/>
  <c r="O39"/>
  <c r="R43"/>
  <c r="S43"/>
  <c r="O43"/>
  <c r="O47"/>
  <c r="W47"/>
  <c r="S47"/>
  <c r="R47"/>
  <c r="R51"/>
  <c r="S51"/>
  <c r="O51"/>
  <c r="S55"/>
  <c r="O55"/>
  <c r="R55"/>
  <c r="S59"/>
  <c r="O59"/>
  <c r="R59"/>
  <c r="S63"/>
  <c r="O63"/>
  <c r="R63"/>
  <c r="W63"/>
  <c r="R67"/>
  <c r="W67"/>
  <c r="S67"/>
  <c r="O67"/>
  <c r="S71"/>
  <c r="O71"/>
  <c r="R71"/>
  <c r="W71"/>
  <c r="O75"/>
  <c r="S75"/>
  <c r="R75"/>
  <c r="W75"/>
  <c r="O79"/>
  <c r="S79"/>
  <c r="R79"/>
  <c r="W83"/>
  <c r="S83"/>
  <c r="O83"/>
  <c r="R83"/>
  <c r="S87"/>
  <c r="O87"/>
  <c r="R87"/>
  <c r="S91"/>
  <c r="O91"/>
  <c r="R91"/>
  <c r="O95"/>
  <c r="R95"/>
  <c r="S95"/>
  <c r="W95"/>
  <c r="O99"/>
  <c r="R99"/>
  <c r="S99"/>
  <c r="R103"/>
  <c r="S103"/>
  <c r="W103"/>
  <c r="O103"/>
  <c r="R107"/>
  <c r="S107"/>
  <c r="O107"/>
  <c r="S111"/>
  <c r="R111"/>
  <c r="O111"/>
  <c r="S115"/>
  <c r="O115"/>
  <c r="R115"/>
  <c r="W115"/>
  <c r="S119"/>
  <c r="O119"/>
  <c r="R119"/>
  <c r="W123"/>
  <c r="S123"/>
  <c r="O123"/>
  <c r="R123"/>
  <c r="R127"/>
  <c r="S127"/>
  <c r="W127"/>
  <c r="O127"/>
  <c r="S131"/>
  <c r="O131"/>
  <c r="R131"/>
  <c r="W131"/>
  <c r="W135"/>
  <c r="S135"/>
  <c r="O135"/>
  <c r="R135"/>
  <c r="O139"/>
  <c r="R139"/>
  <c r="S139"/>
  <c r="O143"/>
  <c r="R143"/>
  <c r="S143"/>
  <c r="O147"/>
  <c r="R147"/>
  <c r="S147"/>
  <c r="W151"/>
  <c r="S151"/>
  <c r="O151"/>
  <c r="R151"/>
  <c r="W155"/>
  <c r="S155"/>
  <c r="O155"/>
  <c r="R155"/>
  <c r="O159"/>
  <c r="W159"/>
  <c r="S159"/>
  <c r="R159"/>
  <c r="W163"/>
  <c r="S163"/>
  <c r="O163"/>
  <c r="R163"/>
  <c r="S167"/>
  <c r="O167"/>
  <c r="R167"/>
  <c r="S171"/>
  <c r="O171"/>
  <c r="R171"/>
  <c r="S175"/>
  <c r="O175"/>
  <c r="R175"/>
  <c r="R179"/>
  <c r="S179"/>
  <c r="O179"/>
  <c r="O183"/>
  <c r="S183"/>
  <c r="R183"/>
  <c r="R187"/>
  <c r="S187"/>
  <c r="O187"/>
  <c r="S191"/>
  <c r="O191"/>
  <c r="R191"/>
  <c r="S195"/>
  <c r="O195"/>
  <c r="R195"/>
  <c r="S199"/>
  <c r="O199"/>
  <c r="R199"/>
  <c r="O203"/>
  <c r="R203"/>
  <c r="S203"/>
  <c r="R207"/>
  <c r="S207"/>
  <c r="O207"/>
  <c r="R211"/>
  <c r="S211"/>
  <c r="O211"/>
  <c r="O215"/>
  <c r="S215"/>
  <c r="R215"/>
  <c r="S219"/>
  <c r="O219"/>
  <c r="R219"/>
  <c r="S223"/>
  <c r="O223"/>
  <c r="R223"/>
  <c r="S227"/>
  <c r="O227"/>
  <c r="R227"/>
  <c r="O231"/>
  <c r="R231"/>
  <c r="S231"/>
  <c r="O235"/>
  <c r="S235"/>
  <c r="R235"/>
  <c r="S239"/>
  <c r="O239"/>
  <c r="R239"/>
  <c r="S243"/>
  <c r="O243"/>
  <c r="R243"/>
  <c r="O247"/>
  <c r="R247"/>
  <c r="S247"/>
  <c r="R251"/>
  <c r="S251"/>
  <c r="O251"/>
  <c r="O255"/>
  <c r="S255"/>
  <c r="R255"/>
  <c r="R259"/>
  <c r="S259"/>
  <c r="O259"/>
  <c r="S263"/>
  <c r="O263"/>
  <c r="R263"/>
  <c r="S267"/>
  <c r="O267"/>
  <c r="R267"/>
  <c r="R271"/>
  <c r="S271"/>
  <c r="O271"/>
  <c r="R275"/>
  <c r="S275"/>
  <c r="O275"/>
  <c r="O279"/>
  <c r="S279"/>
  <c r="R279"/>
  <c r="S283"/>
  <c r="O283"/>
  <c r="R283"/>
  <c r="S287"/>
  <c r="O287"/>
  <c r="R287"/>
  <c r="O291"/>
  <c r="R291"/>
  <c r="S291"/>
  <c r="O295"/>
  <c r="S295"/>
  <c r="R295"/>
  <c r="S299"/>
  <c r="O299"/>
  <c r="R299"/>
  <c r="S303"/>
  <c r="O303"/>
  <c r="R303"/>
  <c r="S307"/>
  <c r="O307"/>
  <c r="R307"/>
  <c r="S311"/>
  <c r="O311"/>
  <c r="R311"/>
  <c r="S315"/>
  <c r="O315"/>
  <c r="R315"/>
  <c r="S319"/>
  <c r="O319"/>
  <c r="R319"/>
  <c r="S323"/>
  <c r="O323"/>
  <c r="R323"/>
  <c r="S327"/>
  <c r="O327"/>
  <c r="R327"/>
  <c r="S331"/>
  <c r="O331"/>
  <c r="R331"/>
  <c r="S335"/>
  <c r="O335"/>
  <c r="R335"/>
  <c r="S339"/>
  <c r="O339"/>
  <c r="R339"/>
  <c r="S343"/>
  <c r="O343"/>
  <c r="R343"/>
  <c r="S347"/>
  <c r="O347"/>
  <c r="R347"/>
  <c r="S351"/>
  <c r="O351"/>
  <c r="R351"/>
  <c r="S355"/>
  <c r="O355"/>
  <c r="R355"/>
  <c r="W359"/>
  <c r="W363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511"/>
  <c r="W515"/>
  <c r="W519"/>
  <c r="W523"/>
  <c r="W527"/>
  <c r="W531"/>
  <c r="W535"/>
  <c r="W539"/>
  <c r="W543"/>
  <c r="W547"/>
  <c r="F165"/>
  <c r="F185"/>
  <c r="F213"/>
  <c r="F229"/>
  <c r="F253"/>
  <c r="F273"/>
  <c r="F297"/>
  <c r="F317"/>
  <c r="F337"/>
  <c r="S4"/>
  <c r="R4"/>
  <c r="O4"/>
  <c r="S36"/>
  <c r="O36"/>
  <c r="R36"/>
  <c r="O56"/>
  <c r="R56"/>
  <c r="S56"/>
  <c r="S72"/>
  <c r="O72"/>
  <c r="R72"/>
  <c r="W72"/>
  <c r="S96"/>
  <c r="O96"/>
  <c r="R96"/>
  <c r="R120"/>
  <c r="S120"/>
  <c r="O120"/>
  <c r="S140"/>
  <c r="O140"/>
  <c r="R140"/>
  <c r="R164"/>
  <c r="S164"/>
  <c r="O164"/>
  <c r="W164"/>
  <c r="S184"/>
  <c r="O184"/>
  <c r="R184"/>
  <c r="W184"/>
  <c r="S204"/>
  <c r="O204"/>
  <c r="R204"/>
  <c r="O224"/>
  <c r="S224"/>
  <c r="R224"/>
  <c r="S248"/>
  <c r="O248"/>
  <c r="R248"/>
  <c r="O264"/>
  <c r="S264"/>
  <c r="R264"/>
  <c r="W264"/>
  <c r="S292"/>
  <c r="O292"/>
  <c r="R292"/>
  <c r="W292"/>
  <c r="S316"/>
  <c r="O316"/>
  <c r="R316"/>
  <c r="S336"/>
  <c r="O336"/>
  <c r="R336"/>
  <c r="W360"/>
  <c r="W384"/>
  <c r="W400"/>
  <c r="W424"/>
  <c r="W448"/>
  <c r="W472"/>
  <c r="W488"/>
  <c r="W508"/>
  <c r="W536"/>
  <c r="F16"/>
  <c r="F32"/>
  <c r="F56"/>
  <c r="F72"/>
  <c r="F92"/>
  <c r="F120"/>
  <c r="F136"/>
  <c r="F160"/>
  <c r="F176"/>
  <c r="F200"/>
  <c r="F220"/>
  <c r="F244"/>
  <c r="F260"/>
  <c r="F288"/>
  <c r="F308"/>
  <c r="F328"/>
  <c r="F344"/>
  <c r="O23"/>
  <c r="R23"/>
  <c r="S23"/>
  <c r="F15"/>
  <c r="F27"/>
  <c r="F47"/>
  <c r="F51"/>
  <c r="F55"/>
  <c r="F59"/>
  <c r="F63"/>
  <c r="F67"/>
  <c r="F71"/>
  <c r="F75"/>
  <c r="F79"/>
  <c r="F83"/>
  <c r="F87"/>
  <c r="F91"/>
  <c r="F95"/>
  <c r="F99"/>
  <c r="F103"/>
  <c r="F107"/>
  <c r="F111"/>
  <c r="F115"/>
  <c r="F119"/>
  <c r="F123"/>
  <c r="F127"/>
  <c r="F131"/>
  <c r="F135"/>
  <c r="F139"/>
  <c r="F143"/>
  <c r="F147"/>
  <c r="F151"/>
  <c r="F155"/>
  <c r="F159"/>
  <c r="F163"/>
  <c r="F167"/>
  <c r="F171"/>
  <c r="F175"/>
  <c r="F179"/>
  <c r="F183"/>
  <c r="F187"/>
  <c r="F191"/>
  <c r="F195"/>
  <c r="F199"/>
  <c r="F203"/>
  <c r="F207"/>
  <c r="F211"/>
  <c r="F215"/>
  <c r="F219"/>
  <c r="F223"/>
  <c r="F227"/>
  <c r="F231"/>
  <c r="F235"/>
  <c r="F239"/>
  <c r="F243"/>
  <c r="F247"/>
  <c r="F251"/>
  <c r="F255"/>
  <c r="F259"/>
  <c r="F263"/>
  <c r="F267"/>
  <c r="F271"/>
  <c r="F275"/>
  <c r="F279"/>
  <c r="F283"/>
  <c r="F287"/>
  <c r="F291"/>
  <c r="F295"/>
  <c r="F299"/>
  <c r="F303"/>
  <c r="F307"/>
  <c r="F311"/>
  <c r="F315"/>
  <c r="F319"/>
  <c r="F323"/>
  <c r="F327"/>
  <c r="F331"/>
  <c r="F335"/>
  <c r="F339"/>
  <c r="F343"/>
  <c r="F347"/>
  <c r="F351"/>
  <c r="F355"/>
  <c r="F173"/>
  <c r="F181"/>
  <c r="F197"/>
  <c r="F205"/>
  <c r="F221"/>
  <c r="F233"/>
  <c r="F241"/>
  <c r="F257"/>
  <c r="F265"/>
  <c r="F281"/>
  <c r="F289"/>
  <c r="F305"/>
  <c r="F321"/>
  <c r="F329"/>
  <c r="F345"/>
  <c r="F357"/>
  <c r="W8"/>
  <c r="S20"/>
  <c r="O20"/>
  <c r="R20"/>
  <c r="S28"/>
  <c r="O28"/>
  <c r="R28"/>
  <c r="S44"/>
  <c r="O44"/>
  <c r="R44"/>
  <c r="S60"/>
  <c r="O60"/>
  <c r="R60"/>
  <c r="W60"/>
  <c r="O68"/>
  <c r="R68"/>
  <c r="W68"/>
  <c r="S68"/>
  <c r="S80"/>
  <c r="O80"/>
  <c r="R80"/>
  <c r="R88"/>
  <c r="S88"/>
  <c r="O88"/>
  <c r="W104"/>
  <c r="S104"/>
  <c r="O104"/>
  <c r="R104"/>
  <c r="S112"/>
  <c r="O112"/>
  <c r="R112"/>
  <c r="S128"/>
  <c r="O128"/>
  <c r="R128"/>
  <c r="W128"/>
  <c r="S144"/>
  <c r="O144"/>
  <c r="R144"/>
  <c r="S152"/>
  <c r="O152"/>
  <c r="R152"/>
  <c r="W152"/>
  <c r="R168"/>
  <c r="S168"/>
  <c r="O168"/>
  <c r="S176"/>
  <c r="O176"/>
  <c r="R176"/>
  <c r="W176"/>
  <c r="O192"/>
  <c r="R192"/>
  <c r="S192"/>
  <c r="S212"/>
  <c r="O212"/>
  <c r="R212"/>
  <c r="S216"/>
  <c r="O216"/>
  <c r="R216"/>
  <c r="W216"/>
  <c r="S232"/>
  <c r="O232"/>
  <c r="R232"/>
  <c r="W232"/>
  <c r="R240"/>
  <c r="S240"/>
  <c r="O240"/>
  <c r="W240"/>
  <c r="O260"/>
  <c r="R260"/>
  <c r="S260"/>
  <c r="W260"/>
  <c r="S276"/>
  <c r="O276"/>
  <c r="R276"/>
  <c r="W276"/>
  <c r="R284"/>
  <c r="S284"/>
  <c r="O284"/>
  <c r="W284"/>
  <c r="R300"/>
  <c r="S300"/>
  <c r="O300"/>
  <c r="W300"/>
  <c r="R312"/>
  <c r="S312"/>
  <c r="O312"/>
  <c r="R324"/>
  <c r="S324"/>
  <c r="O324"/>
  <c r="R344"/>
  <c r="S344"/>
  <c r="O344"/>
  <c r="R352"/>
  <c r="S352"/>
  <c r="O352"/>
  <c r="W368"/>
  <c r="W380"/>
  <c r="W392"/>
  <c r="W408"/>
  <c r="W416"/>
  <c r="W432"/>
  <c r="W440"/>
  <c r="W456"/>
  <c r="W464"/>
  <c r="W480"/>
  <c r="W496"/>
  <c r="W504"/>
  <c r="W520"/>
  <c r="W528"/>
  <c r="W544"/>
  <c r="F4"/>
  <c r="F20"/>
  <c r="F36"/>
  <c r="F44"/>
  <c r="F60"/>
  <c r="F76"/>
  <c r="F84"/>
  <c r="F100"/>
  <c r="F108"/>
  <c r="F124"/>
  <c r="F132"/>
  <c r="F148"/>
  <c r="F152"/>
  <c r="F168"/>
  <c r="F180"/>
  <c r="F192"/>
  <c r="F208"/>
  <c r="F216"/>
  <c r="F232"/>
  <c r="F240"/>
  <c r="F256"/>
  <c r="F268"/>
  <c r="F276"/>
  <c r="F292"/>
  <c r="F300"/>
  <c r="F316"/>
  <c r="F332"/>
  <c r="F340"/>
  <c r="F356"/>
  <c r="S7"/>
  <c r="O7"/>
  <c r="R7"/>
  <c r="W7"/>
  <c r="O15"/>
  <c r="S15"/>
  <c r="R15"/>
  <c r="O31"/>
  <c r="R31"/>
  <c r="S31"/>
  <c r="F7"/>
  <c r="F23"/>
  <c r="F31"/>
  <c r="F43"/>
  <c r="R2"/>
  <c r="R6"/>
  <c r="S6"/>
  <c r="O6"/>
  <c r="S10"/>
  <c r="O10"/>
  <c r="R10"/>
  <c r="S14"/>
  <c r="O14"/>
  <c r="R14"/>
  <c r="S18"/>
  <c r="O18"/>
  <c r="R18"/>
  <c r="S22"/>
  <c r="O22"/>
  <c r="R22"/>
  <c r="S26"/>
  <c r="O26"/>
  <c r="R26"/>
  <c r="S30"/>
  <c r="O30"/>
  <c r="R30"/>
  <c r="S34"/>
  <c r="O34"/>
  <c r="R34"/>
  <c r="W34"/>
  <c r="S38"/>
  <c r="O38"/>
  <c r="R38"/>
  <c r="S42"/>
  <c r="O42"/>
  <c r="R42"/>
  <c r="S46"/>
  <c r="O46"/>
  <c r="R46"/>
  <c r="S50"/>
  <c r="O50"/>
  <c r="R50"/>
  <c r="O54"/>
  <c r="R54"/>
  <c r="S54"/>
  <c r="W54"/>
  <c r="R58"/>
  <c r="S58"/>
  <c r="O58"/>
  <c r="W58"/>
  <c r="O62"/>
  <c r="S62"/>
  <c r="R62"/>
  <c r="W66"/>
  <c r="S66"/>
  <c r="O66"/>
  <c r="R66"/>
  <c r="O70"/>
  <c r="W70"/>
  <c r="S70"/>
  <c r="R70"/>
  <c r="W74"/>
  <c r="S74"/>
  <c r="O74"/>
  <c r="R74"/>
  <c r="S78"/>
  <c r="O78"/>
  <c r="R78"/>
  <c r="S82"/>
  <c r="O82"/>
  <c r="R82"/>
  <c r="R86"/>
  <c r="S86"/>
  <c r="O86"/>
  <c r="R90"/>
  <c r="S90"/>
  <c r="O90"/>
  <c r="R94"/>
  <c r="W94"/>
  <c r="S94"/>
  <c r="O94"/>
  <c r="S98"/>
  <c r="O98"/>
  <c r="R98"/>
  <c r="S102"/>
  <c r="O102"/>
  <c r="R102"/>
  <c r="S106"/>
  <c r="O106"/>
  <c r="R106"/>
  <c r="S110"/>
  <c r="O110"/>
  <c r="R110"/>
  <c r="O114"/>
  <c r="R114"/>
  <c r="W114"/>
  <c r="S114"/>
  <c r="R118"/>
  <c r="S118"/>
  <c r="O118"/>
  <c r="R122"/>
  <c r="S122"/>
  <c r="O122"/>
  <c r="S126"/>
  <c r="O126"/>
  <c r="R126"/>
  <c r="S130"/>
  <c r="O130"/>
  <c r="R130"/>
  <c r="W130"/>
  <c r="R134"/>
  <c r="S134"/>
  <c r="W134"/>
  <c r="O134"/>
  <c r="S138"/>
  <c r="O138"/>
  <c r="R138"/>
  <c r="S142"/>
  <c r="O142"/>
  <c r="R142"/>
  <c r="S146"/>
  <c r="O146"/>
  <c r="R146"/>
  <c r="W150"/>
  <c r="S150"/>
  <c r="O150"/>
  <c r="R150"/>
  <c r="R154"/>
  <c r="S154"/>
  <c r="W154"/>
  <c r="O154"/>
  <c r="W158"/>
  <c r="S158"/>
  <c r="O158"/>
  <c r="R158"/>
  <c r="R162"/>
  <c r="S162"/>
  <c r="W162"/>
  <c r="O162"/>
  <c r="S166"/>
  <c r="O166"/>
  <c r="R166"/>
  <c r="S170"/>
  <c r="R170"/>
  <c r="O170"/>
  <c r="S174"/>
  <c r="O174"/>
  <c r="R174"/>
  <c r="S178"/>
  <c r="O178"/>
  <c r="R178"/>
  <c r="W178"/>
  <c r="S182"/>
  <c r="O182"/>
  <c r="R182"/>
  <c r="W182"/>
  <c r="S186"/>
  <c r="O186"/>
  <c r="R186"/>
  <c r="O190"/>
  <c r="R190"/>
  <c r="S190"/>
  <c r="R194"/>
  <c r="S194"/>
  <c r="O194"/>
  <c r="W194"/>
  <c r="S198"/>
  <c r="O198"/>
  <c r="R198"/>
  <c r="W198"/>
  <c r="S202"/>
  <c r="O202"/>
  <c r="R202"/>
  <c r="W202"/>
  <c r="S206"/>
  <c r="O206"/>
  <c r="R206"/>
  <c r="W206"/>
  <c r="S210"/>
  <c r="O210"/>
  <c r="R210"/>
  <c r="S214"/>
  <c r="O214"/>
  <c r="R214"/>
  <c r="W214"/>
  <c r="O218"/>
  <c r="R218"/>
  <c r="S218"/>
  <c r="W218"/>
  <c r="O222"/>
  <c r="S222"/>
  <c r="R222"/>
  <c r="W222"/>
  <c r="R226"/>
  <c r="S226"/>
  <c r="O226"/>
  <c r="W226"/>
  <c r="S230"/>
  <c r="O230"/>
  <c r="R230"/>
  <c r="S234"/>
  <c r="O234"/>
  <c r="R234"/>
  <c r="W234"/>
  <c r="O238"/>
  <c r="R238"/>
  <c r="S238"/>
  <c r="W238"/>
  <c r="S242"/>
  <c r="O242"/>
  <c r="R242"/>
  <c r="W242"/>
  <c r="S246"/>
  <c r="O246"/>
  <c r="R246"/>
  <c r="W246"/>
  <c r="S250"/>
  <c r="O250"/>
  <c r="R250"/>
  <c r="W250"/>
  <c r="S254"/>
  <c r="O254"/>
  <c r="R254"/>
  <c r="S258"/>
  <c r="O258"/>
  <c r="R258"/>
  <c r="W258"/>
  <c r="R262"/>
  <c r="S262"/>
  <c r="O262"/>
  <c r="W262"/>
  <c r="R266"/>
  <c r="S266"/>
  <c r="O266"/>
  <c r="W266"/>
  <c r="S270"/>
  <c r="O270"/>
  <c r="R270"/>
  <c r="W270"/>
  <c r="S274"/>
  <c r="O274"/>
  <c r="R274"/>
  <c r="S278"/>
  <c r="O278"/>
  <c r="R278"/>
  <c r="O282"/>
  <c r="R282"/>
  <c r="S282"/>
  <c r="W282"/>
  <c r="O286"/>
  <c r="S286"/>
  <c r="R286"/>
  <c r="W286"/>
  <c r="S290"/>
  <c r="O290"/>
  <c r="R290"/>
  <c r="W290"/>
  <c r="S294"/>
  <c r="O294"/>
  <c r="R294"/>
  <c r="W294"/>
  <c r="O298"/>
  <c r="R298"/>
  <c r="S298"/>
  <c r="W298"/>
  <c r="O302"/>
  <c r="S302"/>
  <c r="R302"/>
  <c r="W302"/>
  <c r="S306"/>
  <c r="O306"/>
  <c r="R306"/>
  <c r="R310"/>
  <c r="S310"/>
  <c r="O310"/>
  <c r="S314"/>
  <c r="R314"/>
  <c r="O314"/>
  <c r="R318"/>
  <c r="S318"/>
  <c r="O318"/>
  <c r="R322"/>
  <c r="S322"/>
  <c r="O322"/>
  <c r="S326"/>
  <c r="O326"/>
  <c r="R326"/>
  <c r="R330"/>
  <c r="S330"/>
  <c r="O330"/>
  <c r="R334"/>
  <c r="S334"/>
  <c r="O334"/>
  <c r="R338"/>
  <c r="S338"/>
  <c r="O338"/>
  <c r="R342"/>
  <c r="S342"/>
  <c r="O342"/>
  <c r="R346"/>
  <c r="S346"/>
  <c r="O346"/>
  <c r="R350"/>
  <c r="S350"/>
  <c r="O350"/>
  <c r="S354"/>
  <c r="R354"/>
  <c r="O354"/>
  <c r="O358"/>
  <c r="S358"/>
  <c r="R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462"/>
  <c r="W466"/>
  <c r="W470"/>
  <c r="W474"/>
  <c r="W478"/>
  <c r="W482"/>
  <c r="W486"/>
  <c r="W490"/>
  <c r="W494"/>
  <c r="W498"/>
  <c r="W502"/>
  <c r="W506"/>
  <c r="W510"/>
  <c r="W514"/>
  <c r="W518"/>
  <c r="W522"/>
  <c r="W526"/>
  <c r="W530"/>
  <c r="W534"/>
  <c r="W538"/>
  <c r="W542"/>
  <c r="W546"/>
  <c r="F177"/>
  <c r="F193"/>
  <c r="F201"/>
  <c r="F217"/>
  <c r="F237"/>
  <c r="F245"/>
  <c r="F261"/>
  <c r="F277"/>
  <c r="F285"/>
  <c r="F301"/>
  <c r="F313"/>
  <c r="F325"/>
  <c r="F341"/>
  <c r="F349"/>
  <c r="S16"/>
  <c r="O16"/>
  <c r="R16"/>
  <c r="S24"/>
  <c r="O24"/>
  <c r="R24"/>
  <c r="S40"/>
  <c r="O40"/>
  <c r="R40"/>
  <c r="S48"/>
  <c r="O48"/>
  <c r="R48"/>
  <c r="W48"/>
  <c r="W64"/>
  <c r="S64"/>
  <c r="O64"/>
  <c r="R64"/>
  <c r="O84"/>
  <c r="R84"/>
  <c r="W84"/>
  <c r="S84"/>
  <c r="R92"/>
  <c r="S92"/>
  <c r="O92"/>
  <c r="S108"/>
  <c r="O108"/>
  <c r="R108"/>
  <c r="R124"/>
  <c r="W124"/>
  <c r="S124"/>
  <c r="O124"/>
  <c r="O132"/>
  <c r="R132"/>
  <c r="S132"/>
  <c r="S148"/>
  <c r="O148"/>
  <c r="R148"/>
  <c r="S160"/>
  <c r="O160"/>
  <c r="R160"/>
  <c r="W160"/>
  <c r="R172"/>
  <c r="S172"/>
  <c r="O172"/>
  <c r="O188"/>
  <c r="R188"/>
  <c r="S188"/>
  <c r="W188"/>
  <c r="R196"/>
  <c r="S196"/>
  <c r="O196"/>
  <c r="S208"/>
  <c r="O208"/>
  <c r="R208"/>
  <c r="R220"/>
  <c r="S220"/>
  <c r="O220"/>
  <c r="W220"/>
  <c r="S236"/>
  <c r="O236"/>
  <c r="R236"/>
  <c r="W236"/>
  <c r="S244"/>
  <c r="R244"/>
  <c r="O244"/>
  <c r="W244"/>
  <c r="S256"/>
  <c r="O256"/>
  <c r="R256"/>
  <c r="S268"/>
  <c r="O268"/>
  <c r="R268"/>
  <c r="W268"/>
  <c r="S280"/>
  <c r="O280"/>
  <c r="R280"/>
  <c r="W280"/>
  <c r="S296"/>
  <c r="O296"/>
  <c r="R296"/>
  <c r="W296"/>
  <c r="R304"/>
  <c r="S304"/>
  <c r="O304"/>
  <c r="W304"/>
  <c r="R320"/>
  <c r="S320"/>
  <c r="O320"/>
  <c r="S328"/>
  <c r="R328"/>
  <c r="O328"/>
  <c r="S340"/>
  <c r="R340"/>
  <c r="O340"/>
  <c r="S348"/>
  <c r="O348"/>
  <c r="R348"/>
  <c r="W364"/>
  <c r="W372"/>
  <c r="W388"/>
  <c r="W404"/>
  <c r="W412"/>
  <c r="W428"/>
  <c r="W436"/>
  <c r="W452"/>
  <c r="W460"/>
  <c r="W476"/>
  <c r="W484"/>
  <c r="W500"/>
  <c r="W516"/>
  <c r="W524"/>
  <c r="W540"/>
  <c r="F24"/>
  <c r="F40"/>
  <c r="F48"/>
  <c r="F64"/>
  <c r="F80"/>
  <c r="F88"/>
  <c r="F104"/>
  <c r="F112"/>
  <c r="F128"/>
  <c r="F144"/>
  <c r="F156"/>
  <c r="F172"/>
  <c r="F188"/>
  <c r="F196"/>
  <c r="F212"/>
  <c r="F228"/>
  <c r="F236"/>
  <c r="F252"/>
  <c r="F272"/>
  <c r="F280"/>
  <c r="F296"/>
  <c r="F312"/>
  <c r="F320"/>
  <c r="F336"/>
  <c r="F352"/>
  <c r="S3"/>
  <c r="O3"/>
  <c r="R3"/>
  <c r="O19"/>
  <c r="R19"/>
  <c r="S19"/>
  <c r="F3"/>
  <c r="F11"/>
  <c r="F19"/>
  <c r="F35"/>
  <c r="F39"/>
  <c r="F2"/>
  <c r="F6"/>
  <c r="F10"/>
  <c r="F14"/>
  <c r="F18"/>
  <c r="F22"/>
  <c r="F26"/>
  <c r="F30"/>
  <c r="F34"/>
  <c r="F38"/>
  <c r="F42"/>
  <c r="F46"/>
  <c r="F50"/>
  <c r="F54"/>
  <c r="F58"/>
  <c r="F62"/>
  <c r="F66"/>
  <c r="F70"/>
  <c r="F74"/>
  <c r="F78"/>
  <c r="F82"/>
  <c r="F86"/>
  <c r="F90"/>
  <c r="F94"/>
  <c r="F98"/>
  <c r="F102"/>
  <c r="F106"/>
  <c r="F110"/>
  <c r="F114"/>
  <c r="F118"/>
  <c r="F122"/>
  <c r="F126"/>
  <c r="F130"/>
  <c r="F134"/>
  <c r="F138"/>
  <c r="F142"/>
  <c r="F146"/>
  <c r="F150"/>
  <c r="F154"/>
  <c r="F158"/>
  <c r="F162"/>
  <c r="F166"/>
  <c r="F170"/>
  <c r="F174"/>
  <c r="F178"/>
  <c r="F182"/>
  <c r="F186"/>
  <c r="F190"/>
  <c r="F194"/>
  <c r="F198"/>
  <c r="F202"/>
  <c r="F206"/>
  <c r="F210"/>
  <c r="F214"/>
  <c r="F218"/>
  <c r="F222"/>
  <c r="F226"/>
  <c r="F230"/>
  <c r="F234"/>
  <c r="F238"/>
  <c r="F242"/>
  <c r="F246"/>
  <c r="F250"/>
  <c r="F254"/>
  <c r="F258"/>
  <c r="F262"/>
  <c r="F266"/>
  <c r="F270"/>
  <c r="F274"/>
  <c r="F278"/>
  <c r="F282"/>
  <c r="F286"/>
  <c r="F290"/>
  <c r="F294"/>
  <c r="F298"/>
  <c r="F302"/>
  <c r="F306"/>
  <c r="F310"/>
  <c r="F314"/>
  <c r="F318"/>
  <c r="F322"/>
  <c r="F326"/>
  <c r="F330"/>
  <c r="F334"/>
  <c r="F338"/>
  <c r="F342"/>
  <c r="F346"/>
  <c r="F350"/>
  <c r="F354"/>
  <c r="F358"/>
  <c r="J358" l="1"/>
  <c r="J354"/>
  <c r="J350"/>
  <c r="J346"/>
  <c r="J342"/>
  <c r="L342"/>
  <c r="T342" s="1" a="1"/>
  <c r="T342" s="1"/>
  <c r="Z342" s="1"/>
  <c r="M342"/>
  <c r="J338"/>
  <c r="J334"/>
  <c r="J330"/>
  <c r="J326"/>
  <c r="J322"/>
  <c r="J318"/>
  <c r="J314"/>
  <c r="J310"/>
  <c r="J306"/>
  <c r="J302"/>
  <c r="L302"/>
  <c r="T302" s="1" a="1"/>
  <c r="T302" s="1"/>
  <c r="Z302" s="1"/>
  <c r="M302"/>
  <c r="J298"/>
  <c r="M298"/>
  <c r="L298"/>
  <c r="T298" s="1" a="1"/>
  <c r="T298" s="1"/>
  <c r="Z298" s="1"/>
  <c r="J294"/>
  <c r="M294"/>
  <c r="L294"/>
  <c r="T294" s="1" a="1"/>
  <c r="T294" s="1"/>
  <c r="Z294" s="1"/>
  <c r="J290"/>
  <c r="L290"/>
  <c r="T290" s="1" a="1"/>
  <c r="T290" s="1"/>
  <c r="Z290" s="1"/>
  <c r="M290"/>
  <c r="J286"/>
  <c r="L286"/>
  <c r="T286" s="1" a="1"/>
  <c r="T286" s="1"/>
  <c r="Z286" s="1"/>
  <c r="M286"/>
  <c r="J282"/>
  <c r="M282"/>
  <c r="L282"/>
  <c r="T282" s="1" a="1"/>
  <c r="T282" s="1"/>
  <c r="Z282" s="1"/>
  <c r="J278"/>
  <c r="M278"/>
  <c r="L278"/>
  <c r="T278" s="1" a="1"/>
  <c r="T278" s="1"/>
  <c r="Z278" s="1"/>
  <c r="J274"/>
  <c r="M274"/>
  <c r="L274"/>
  <c r="T274" s="1" a="1"/>
  <c r="T274" s="1"/>
  <c r="Z274" s="1"/>
  <c r="J270"/>
  <c r="M270"/>
  <c r="L270"/>
  <c r="T270" s="1" a="1"/>
  <c r="T270" s="1"/>
  <c r="Z270" s="1"/>
  <c r="J266"/>
  <c r="M266"/>
  <c r="L266"/>
  <c r="T266" s="1" a="1"/>
  <c r="T266" s="1"/>
  <c r="Z266" s="1"/>
  <c r="J262"/>
  <c r="M262"/>
  <c r="L262"/>
  <c r="T262" s="1" a="1"/>
  <c r="T262" s="1"/>
  <c r="Z262" s="1"/>
  <c r="J258"/>
  <c r="L258"/>
  <c r="T258" s="1" a="1"/>
  <c r="T258" s="1"/>
  <c r="Z258" s="1"/>
  <c r="M258"/>
  <c r="J254"/>
  <c r="L254"/>
  <c r="T254" s="1" a="1"/>
  <c r="T254" s="1"/>
  <c r="Z254" s="1"/>
  <c r="M254"/>
  <c r="J250"/>
  <c r="M250"/>
  <c r="L250"/>
  <c r="T250" s="1" a="1"/>
  <c r="T250" s="1"/>
  <c r="Z250" s="1"/>
  <c r="J246"/>
  <c r="M246"/>
  <c r="L246"/>
  <c r="T246" s="1" a="1"/>
  <c r="T246" s="1"/>
  <c r="Z246" s="1"/>
  <c r="J242"/>
  <c r="M242"/>
  <c r="L242"/>
  <c r="T242" s="1" a="1"/>
  <c r="T242" s="1"/>
  <c r="Z242" s="1"/>
  <c r="J238"/>
  <c r="M238"/>
  <c r="L238"/>
  <c r="T238" s="1" a="1"/>
  <c r="T238" s="1"/>
  <c r="Z238" s="1"/>
  <c r="J234"/>
  <c r="L234"/>
  <c r="T234" s="1" a="1"/>
  <c r="T234" s="1"/>
  <c r="Z234" s="1"/>
  <c r="M234"/>
  <c r="J230"/>
  <c r="M230"/>
  <c r="L230"/>
  <c r="T230" s="1" a="1"/>
  <c r="T230" s="1"/>
  <c r="Z230" s="1"/>
  <c r="J226"/>
  <c r="L226"/>
  <c r="T226" s="1" a="1"/>
  <c r="T226" s="1"/>
  <c r="Z226" s="1"/>
  <c r="M226"/>
  <c r="J222"/>
  <c r="M222"/>
  <c r="L222"/>
  <c r="T222" s="1" a="1"/>
  <c r="T222" s="1"/>
  <c r="Z222" s="1"/>
  <c r="J218"/>
  <c r="M218"/>
  <c r="L218"/>
  <c r="T218" s="1" a="1"/>
  <c r="T218" s="1"/>
  <c r="Z218" s="1"/>
  <c r="J214"/>
  <c r="L214"/>
  <c r="T214" s="1" a="1"/>
  <c r="T214" s="1"/>
  <c r="Z214" s="1"/>
  <c r="M214"/>
  <c r="J210"/>
  <c r="L210"/>
  <c r="T210" s="1" a="1"/>
  <c r="T210" s="1"/>
  <c r="Z210" s="1"/>
  <c r="M210"/>
  <c r="J206"/>
  <c r="L206"/>
  <c r="T206" s="1" a="1"/>
  <c r="T206" s="1"/>
  <c r="Z206" s="1"/>
  <c r="M206"/>
  <c r="J202"/>
  <c r="M202"/>
  <c r="L202"/>
  <c r="T202" s="1" a="1"/>
  <c r="T202" s="1"/>
  <c r="Z202" s="1"/>
  <c r="J198"/>
  <c r="L198"/>
  <c r="T198" s="1" a="1"/>
  <c r="T198" s="1"/>
  <c r="Z198" s="1"/>
  <c r="M198"/>
  <c r="J194"/>
  <c r="M194"/>
  <c r="L194"/>
  <c r="T194" s="1" a="1"/>
  <c r="T194" s="1"/>
  <c r="Z194" s="1"/>
  <c r="J190"/>
  <c r="L190"/>
  <c r="T190" s="1" a="1"/>
  <c r="T190" s="1"/>
  <c r="Z190" s="1"/>
  <c r="M190"/>
  <c r="J186"/>
  <c r="M186"/>
  <c r="L186"/>
  <c r="T186" s="1" a="1"/>
  <c r="T186" s="1"/>
  <c r="Z186" s="1"/>
  <c r="J182"/>
  <c r="M182"/>
  <c r="L182"/>
  <c r="T182" s="1" a="1"/>
  <c r="T182" s="1"/>
  <c r="Z182" s="1"/>
  <c r="J178"/>
  <c r="M178"/>
  <c r="L178"/>
  <c r="T178" s="1" a="1"/>
  <c r="T178" s="1"/>
  <c r="Z178" s="1"/>
  <c r="J174"/>
  <c r="M174"/>
  <c r="L174"/>
  <c r="T174" s="1" a="1"/>
  <c r="T174" s="1"/>
  <c r="Z174" s="1"/>
  <c r="J170"/>
  <c r="J166"/>
  <c r="L166"/>
  <c r="T166" s="1" a="1"/>
  <c r="T166" s="1"/>
  <c r="Z166" s="1"/>
  <c r="M166"/>
  <c r="J162"/>
  <c r="L162"/>
  <c r="T162" s="1" a="1"/>
  <c r="T162" s="1"/>
  <c r="Z162" s="1"/>
  <c r="M162"/>
  <c r="J158"/>
  <c r="L158"/>
  <c r="T158" s="1" a="1"/>
  <c r="T158" s="1"/>
  <c r="Z158" s="1"/>
  <c r="M158"/>
  <c r="J154"/>
  <c r="L154"/>
  <c r="T154" s="1" a="1"/>
  <c r="T154" s="1"/>
  <c r="Z154" s="1"/>
  <c r="M154"/>
  <c r="J150"/>
  <c r="L150"/>
  <c r="T150" s="1" a="1"/>
  <c r="T150" s="1"/>
  <c r="Z150" s="1"/>
  <c r="M150"/>
  <c r="J146"/>
  <c r="L146"/>
  <c r="T146" s="1" a="1"/>
  <c r="T146" s="1"/>
  <c r="Z146" s="1"/>
  <c r="M146"/>
  <c r="J142"/>
  <c r="L142"/>
  <c r="T142" s="1" a="1"/>
  <c r="T142" s="1"/>
  <c r="Z142" s="1"/>
  <c r="M142"/>
  <c r="J138"/>
  <c r="J134"/>
  <c r="L134"/>
  <c r="T134" s="1" a="1"/>
  <c r="T134" s="1"/>
  <c r="Z134" s="1"/>
  <c r="M134"/>
  <c r="J130"/>
  <c r="L130"/>
  <c r="T130" s="1" a="1"/>
  <c r="T130" s="1"/>
  <c r="Z130" s="1"/>
  <c r="M130"/>
  <c r="J126"/>
  <c r="L126"/>
  <c r="T126" s="1" a="1"/>
  <c r="T126" s="1"/>
  <c r="Z126" s="1"/>
  <c r="M126"/>
  <c r="J122"/>
  <c r="J118"/>
  <c r="J114"/>
  <c r="L114"/>
  <c r="T114" s="1" a="1"/>
  <c r="T114" s="1"/>
  <c r="Z114" s="1"/>
  <c r="M114"/>
  <c r="J110"/>
  <c r="J106"/>
  <c r="J102"/>
  <c r="J98"/>
  <c r="J94"/>
  <c r="L94"/>
  <c r="T94" s="1" a="1"/>
  <c r="T94" s="1"/>
  <c r="Z94" s="1"/>
  <c r="M94"/>
  <c r="J90"/>
  <c r="J86"/>
  <c r="J82"/>
  <c r="J78"/>
  <c r="J74"/>
  <c r="L74"/>
  <c r="T74" s="1" a="1"/>
  <c r="T74" s="1"/>
  <c r="Z74" s="1"/>
  <c r="M74"/>
  <c r="J70"/>
  <c r="L70"/>
  <c r="T70" s="1" a="1"/>
  <c r="T70" s="1"/>
  <c r="Z70" s="1"/>
  <c r="M70"/>
  <c r="J66"/>
  <c r="L66"/>
  <c r="T66" s="1" a="1"/>
  <c r="T66" s="1"/>
  <c r="Z66" s="1"/>
  <c r="M66"/>
  <c r="J62"/>
  <c r="L62"/>
  <c r="T62" s="1" a="1"/>
  <c r="T62" s="1"/>
  <c r="Z62" s="1"/>
  <c r="M62"/>
  <c r="J58"/>
  <c r="M58"/>
  <c r="L58"/>
  <c r="T58" s="1" a="1"/>
  <c r="T58" s="1"/>
  <c r="Z58" s="1"/>
  <c r="J54"/>
  <c r="L54"/>
  <c r="T54" s="1" a="1"/>
  <c r="T54" s="1"/>
  <c r="Z54" s="1"/>
  <c r="M54"/>
  <c r="J50"/>
  <c r="L50"/>
  <c r="T50" s="1" a="1"/>
  <c r="T50" s="1"/>
  <c r="Z50" s="1"/>
  <c r="M50"/>
  <c r="J46"/>
  <c r="J42"/>
  <c r="J38"/>
  <c r="M38"/>
  <c r="L38"/>
  <c r="T38" s="1" a="1"/>
  <c r="T38" s="1"/>
  <c r="Z38" s="1"/>
  <c r="J34"/>
  <c r="M34"/>
  <c r="L34"/>
  <c r="T34" s="1" a="1"/>
  <c r="T34" s="1"/>
  <c r="Z34" s="1"/>
  <c r="J30"/>
  <c r="J26"/>
  <c r="J22"/>
  <c r="J18"/>
  <c r="J14"/>
  <c r="J10"/>
  <c r="M10"/>
  <c r="L10"/>
  <c r="T10" s="1" a="1"/>
  <c r="T10" s="1"/>
  <c r="Z10" s="1"/>
  <c r="J6"/>
  <c r="J39"/>
  <c r="J35"/>
  <c r="J19"/>
  <c r="J11"/>
  <c r="J3"/>
  <c r="L3"/>
  <c r="T3" s="1" a="1"/>
  <c r="T3" s="1"/>
  <c r="Z3" s="1"/>
  <c r="M3"/>
  <c r="C19"/>
  <c r="AC19" s="1"/>
  <c r="J352"/>
  <c r="J336"/>
  <c r="J320"/>
  <c r="J312"/>
  <c r="J296"/>
  <c r="M296"/>
  <c r="L296"/>
  <c r="T296" s="1" a="1"/>
  <c r="T296" s="1"/>
  <c r="Z296" s="1"/>
  <c r="J280"/>
  <c r="M280"/>
  <c r="L280"/>
  <c r="T280" s="1" a="1"/>
  <c r="T280" s="1"/>
  <c r="Z280" s="1"/>
  <c r="J272"/>
  <c r="M272"/>
  <c r="L272"/>
  <c r="T272" s="1" a="1"/>
  <c r="T272" s="1"/>
  <c r="Z272" s="1"/>
  <c r="J252"/>
  <c r="M252"/>
  <c r="L252"/>
  <c r="T252" s="1" a="1"/>
  <c r="T252" s="1"/>
  <c r="Z252" s="1"/>
  <c r="J236"/>
  <c r="M236"/>
  <c r="L236"/>
  <c r="T236" s="1" a="1"/>
  <c r="T236" s="1"/>
  <c r="Z236" s="1"/>
  <c r="J228"/>
  <c r="M228"/>
  <c r="L228"/>
  <c r="T228" s="1" a="1"/>
  <c r="T228" s="1"/>
  <c r="Z228" s="1"/>
  <c r="J212"/>
  <c r="M212"/>
  <c r="L212"/>
  <c r="T212" s="1" a="1"/>
  <c r="T212" s="1"/>
  <c r="Z212" s="1"/>
  <c r="J196"/>
  <c r="M196"/>
  <c r="L196"/>
  <c r="T196" s="1" a="1"/>
  <c r="T196" s="1"/>
  <c r="Z196" s="1"/>
  <c r="J188"/>
  <c r="L188"/>
  <c r="T188" s="1" a="1"/>
  <c r="T188" s="1"/>
  <c r="Z188" s="1"/>
  <c r="M188"/>
  <c r="J172"/>
  <c r="J156"/>
  <c r="L156"/>
  <c r="T156" s="1" a="1"/>
  <c r="T156" s="1"/>
  <c r="Z156" s="1"/>
  <c r="M156"/>
  <c r="J144"/>
  <c r="L144"/>
  <c r="T144" s="1" a="1"/>
  <c r="T144" s="1"/>
  <c r="Z144" s="1"/>
  <c r="M144"/>
  <c r="J128"/>
  <c r="L128"/>
  <c r="T128" s="1" a="1"/>
  <c r="T128" s="1"/>
  <c r="Z128" s="1"/>
  <c r="M128"/>
  <c r="J112"/>
  <c r="J104"/>
  <c r="L104"/>
  <c r="T104" s="1" a="1"/>
  <c r="T104" s="1"/>
  <c r="Z104" s="1"/>
  <c r="M104"/>
  <c r="J88"/>
  <c r="J80"/>
  <c r="J64"/>
  <c r="L64"/>
  <c r="T64" s="1" a="1"/>
  <c r="T64" s="1"/>
  <c r="Z64" s="1"/>
  <c r="M64"/>
  <c r="J48"/>
  <c r="M48"/>
  <c r="L48"/>
  <c r="T48" s="1" a="1"/>
  <c r="T48" s="1"/>
  <c r="Z48" s="1"/>
  <c r="J40"/>
  <c r="L40"/>
  <c r="T40" s="1" a="1"/>
  <c r="T40" s="1"/>
  <c r="Z40" s="1"/>
  <c r="M40"/>
  <c r="J24"/>
  <c r="C340"/>
  <c r="AC340" s="1"/>
  <c r="Q340"/>
  <c r="P340"/>
  <c r="U340" a="1"/>
  <c r="U340" s="1"/>
  <c r="V340" s="1"/>
  <c r="C320"/>
  <c r="AC320" s="1"/>
  <c r="P304"/>
  <c r="U304" a="1"/>
  <c r="U304" s="1"/>
  <c r="V304" s="1"/>
  <c r="Q304"/>
  <c r="C296"/>
  <c r="AC296" s="1"/>
  <c r="U296" a="1"/>
  <c r="U296" s="1"/>
  <c r="V296" s="1"/>
  <c r="P296"/>
  <c r="Q296"/>
  <c r="C280"/>
  <c r="AC280" s="1"/>
  <c r="U280" a="1"/>
  <c r="U280" s="1"/>
  <c r="V280" s="1"/>
  <c r="P280"/>
  <c r="Q280"/>
  <c r="U268" a="1"/>
  <c r="U268" s="1"/>
  <c r="V268" s="1"/>
  <c r="P268"/>
  <c r="Q268"/>
  <c r="U244" a="1"/>
  <c r="U244" s="1"/>
  <c r="V244" s="1"/>
  <c r="P244"/>
  <c r="Q244"/>
  <c r="C236"/>
  <c r="AC236" s="1"/>
  <c r="P236"/>
  <c r="Q236"/>
  <c r="U236" a="1"/>
  <c r="U236" s="1"/>
  <c r="V236" s="1"/>
  <c r="P220"/>
  <c r="Q220"/>
  <c r="U220" a="1"/>
  <c r="U220" s="1"/>
  <c r="V220" s="1"/>
  <c r="C196"/>
  <c r="AC196" s="1"/>
  <c r="P188"/>
  <c r="Q188"/>
  <c r="U188" a="1"/>
  <c r="U188" s="1"/>
  <c r="V188" s="1"/>
  <c r="C188"/>
  <c r="AC188" s="1"/>
  <c r="C172"/>
  <c r="AC172" s="1"/>
  <c r="Q160"/>
  <c r="P160"/>
  <c r="U160" a="1"/>
  <c r="U160" s="1"/>
  <c r="V160" s="1"/>
  <c r="C148"/>
  <c r="AC148" s="1"/>
  <c r="U148" a="1"/>
  <c r="U148" s="1"/>
  <c r="V148" s="1"/>
  <c r="P148"/>
  <c r="Q148"/>
  <c r="Q132"/>
  <c r="P132"/>
  <c r="U132" a="1"/>
  <c r="U132" s="1"/>
  <c r="V132" s="1"/>
  <c r="C132"/>
  <c r="AC132" s="1"/>
  <c r="Q124"/>
  <c r="P124"/>
  <c r="U124" a="1"/>
  <c r="U124" s="1"/>
  <c r="V124" s="1"/>
  <c r="Q84"/>
  <c r="P84"/>
  <c r="U84" a="1"/>
  <c r="U84" s="1"/>
  <c r="V84" s="1"/>
  <c r="C64"/>
  <c r="AC64" s="1"/>
  <c r="Q64"/>
  <c r="P64"/>
  <c r="U64" a="1"/>
  <c r="U64" s="1"/>
  <c r="V64" s="1"/>
  <c r="C48"/>
  <c r="AC48" s="1"/>
  <c r="U48" a="1"/>
  <c r="U48" s="1"/>
  <c r="V48" s="1"/>
  <c r="P48"/>
  <c r="Q48"/>
  <c r="C40"/>
  <c r="AC40" s="1"/>
  <c r="Q40"/>
  <c r="P40"/>
  <c r="U40" a="1"/>
  <c r="U40" s="1"/>
  <c r="V40" s="1"/>
  <c r="C24"/>
  <c r="AC24" s="1"/>
  <c r="J349"/>
  <c r="J341"/>
  <c r="L341"/>
  <c r="T341" s="1" a="1"/>
  <c r="T341" s="1"/>
  <c r="Z341" s="1"/>
  <c r="M341"/>
  <c r="J325"/>
  <c r="J313"/>
  <c r="J301"/>
  <c r="J285"/>
  <c r="J277"/>
  <c r="J261"/>
  <c r="J245"/>
  <c r="J237"/>
  <c r="J217"/>
  <c r="J201"/>
  <c r="J193"/>
  <c r="J177"/>
  <c r="C358"/>
  <c r="AC358" s="1"/>
  <c r="C354"/>
  <c r="AC354" s="1"/>
  <c r="C350"/>
  <c r="AC350" s="1"/>
  <c r="C346"/>
  <c r="AC346" s="1"/>
  <c r="Q342"/>
  <c r="P342"/>
  <c r="U342" a="1"/>
  <c r="U342" s="1"/>
  <c r="V342" s="1"/>
  <c r="C342"/>
  <c r="AC342" s="1"/>
  <c r="C338"/>
  <c r="AC338" s="1"/>
  <c r="C334"/>
  <c r="AC334" s="1"/>
  <c r="C330"/>
  <c r="AC330" s="1"/>
  <c r="C326"/>
  <c r="AC326" s="1"/>
  <c r="C322"/>
  <c r="AC322" s="1"/>
  <c r="C318"/>
  <c r="AC318" s="1"/>
  <c r="C314"/>
  <c r="AC314" s="1"/>
  <c r="C310"/>
  <c r="AC310" s="1"/>
  <c r="C306"/>
  <c r="AC306" s="1"/>
  <c r="C302"/>
  <c r="AC302" s="1"/>
  <c r="Q302"/>
  <c r="P302"/>
  <c r="U302" a="1"/>
  <c r="U302" s="1"/>
  <c r="V302" s="1"/>
  <c r="P298"/>
  <c r="U298" a="1"/>
  <c r="U298" s="1"/>
  <c r="V298" s="1"/>
  <c r="Q298"/>
  <c r="C298"/>
  <c r="AC298" s="1"/>
  <c r="C294"/>
  <c r="AC294" s="1"/>
  <c r="U294" a="1"/>
  <c r="U294" s="1"/>
  <c r="V294" s="1"/>
  <c r="P294"/>
  <c r="Q294"/>
  <c r="C290"/>
  <c r="AC290" s="1"/>
  <c r="U290" a="1"/>
  <c r="U290" s="1"/>
  <c r="V290" s="1"/>
  <c r="P290"/>
  <c r="Q290"/>
  <c r="C286"/>
  <c r="AC286" s="1"/>
  <c r="P286"/>
  <c r="Q286"/>
  <c r="U286" a="1"/>
  <c r="U286" s="1"/>
  <c r="V286" s="1"/>
  <c r="Q282"/>
  <c r="P282"/>
  <c r="U282" a="1"/>
  <c r="U282" s="1"/>
  <c r="V282" s="1"/>
  <c r="C282"/>
  <c r="AC282" s="1"/>
  <c r="C278"/>
  <c r="AC278" s="1"/>
  <c r="C274"/>
  <c r="AC274" s="1"/>
  <c r="C270"/>
  <c r="AC270" s="1"/>
  <c r="Q270"/>
  <c r="P270"/>
  <c r="U270" a="1"/>
  <c r="U270" s="1"/>
  <c r="V270" s="1"/>
  <c r="Q266"/>
  <c r="U266" a="1"/>
  <c r="U266" s="1"/>
  <c r="V266" s="1"/>
  <c r="P266"/>
  <c r="C266"/>
  <c r="AC266" s="1"/>
  <c r="U262" a="1"/>
  <c r="U262" s="1"/>
  <c r="V262" s="1"/>
  <c r="P262"/>
  <c r="Q262"/>
  <c r="C262"/>
  <c r="AC262" s="1"/>
  <c r="C258"/>
  <c r="AC258" s="1"/>
  <c r="Q258"/>
  <c r="P258"/>
  <c r="U258" a="1"/>
  <c r="U258" s="1"/>
  <c r="V258" s="1"/>
  <c r="C254"/>
  <c r="AC254" s="1"/>
  <c r="C250"/>
  <c r="AC250" s="1"/>
  <c r="U250" a="1"/>
  <c r="U250" s="1"/>
  <c r="V250" s="1"/>
  <c r="P250"/>
  <c r="Q250"/>
  <c r="C246"/>
  <c r="AC246" s="1"/>
  <c r="Q246"/>
  <c r="U246" a="1"/>
  <c r="U246" s="1"/>
  <c r="V246" s="1"/>
  <c r="P246"/>
  <c r="C242"/>
  <c r="AC242" s="1"/>
  <c r="U242" a="1"/>
  <c r="U242" s="1"/>
  <c r="V242" s="1"/>
  <c r="P242"/>
  <c r="Q242"/>
  <c r="U238" a="1"/>
  <c r="U238" s="1"/>
  <c r="V238" s="1"/>
  <c r="P238"/>
  <c r="Q238"/>
  <c r="C238"/>
  <c r="AC238" s="1"/>
  <c r="C234"/>
  <c r="AC234" s="1"/>
  <c r="U234" a="1"/>
  <c r="U234" s="1"/>
  <c r="V234" s="1"/>
  <c r="P234"/>
  <c r="Q234"/>
  <c r="C230"/>
  <c r="AC230" s="1"/>
  <c r="U226" a="1"/>
  <c r="U226" s="1"/>
  <c r="V226" s="1"/>
  <c r="P226"/>
  <c r="Q226"/>
  <c r="C226"/>
  <c r="AC226" s="1"/>
  <c r="C222"/>
  <c r="AC222" s="1"/>
  <c r="Q222"/>
  <c r="U222" a="1"/>
  <c r="U222" s="1"/>
  <c r="V222" s="1"/>
  <c r="P222"/>
  <c r="U218" a="1"/>
  <c r="U218" s="1"/>
  <c r="V218" s="1"/>
  <c r="P218"/>
  <c r="Q218"/>
  <c r="C218"/>
  <c r="AC218" s="1"/>
  <c r="C214"/>
  <c r="AC214" s="1"/>
  <c r="Q214"/>
  <c r="P214"/>
  <c r="U214" a="1"/>
  <c r="U214" s="1"/>
  <c r="V214" s="1"/>
  <c r="C210"/>
  <c r="AC210" s="1"/>
  <c r="C206"/>
  <c r="AC206" s="1"/>
  <c r="U206" a="1"/>
  <c r="U206" s="1"/>
  <c r="V206" s="1"/>
  <c r="P206"/>
  <c r="Q206"/>
  <c r="C202"/>
  <c r="AC202" s="1"/>
  <c r="U202" a="1"/>
  <c r="U202" s="1"/>
  <c r="V202" s="1"/>
  <c r="P202"/>
  <c r="Q202"/>
  <c r="C198"/>
  <c r="AC198" s="1"/>
  <c r="U198" a="1"/>
  <c r="U198" s="1"/>
  <c r="V198" s="1"/>
  <c r="P198"/>
  <c r="Q198"/>
  <c r="U194" a="1"/>
  <c r="U194" s="1"/>
  <c r="V194" s="1"/>
  <c r="P194"/>
  <c r="Q194"/>
  <c r="C194"/>
  <c r="AC194" s="1"/>
  <c r="C190"/>
  <c r="AC190" s="1"/>
  <c r="C186"/>
  <c r="AC186" s="1"/>
  <c r="C182"/>
  <c r="AC182" s="1"/>
  <c r="P182"/>
  <c r="Q182"/>
  <c r="U182" a="1"/>
  <c r="U182" s="1"/>
  <c r="V182" s="1"/>
  <c r="C178"/>
  <c r="AC178" s="1"/>
  <c r="U178" a="1"/>
  <c r="U178" s="1"/>
  <c r="V178" s="1"/>
  <c r="P178"/>
  <c r="Q178"/>
  <c r="C174"/>
  <c r="AC174" s="1"/>
  <c r="C170"/>
  <c r="AC170" s="1"/>
  <c r="C166"/>
  <c r="AC166" s="1"/>
  <c r="P166"/>
  <c r="Q166"/>
  <c r="U166" a="1"/>
  <c r="U166" s="1"/>
  <c r="V166" s="1"/>
  <c r="Q162"/>
  <c r="P162"/>
  <c r="U162" a="1"/>
  <c r="U162" s="1"/>
  <c r="V162" s="1"/>
  <c r="C162"/>
  <c r="AC162" s="1"/>
  <c r="C158"/>
  <c r="AC158" s="1"/>
  <c r="Q158"/>
  <c r="P158"/>
  <c r="U158" a="1"/>
  <c r="U158" s="1"/>
  <c r="V158" s="1"/>
  <c r="Q154"/>
  <c r="P154"/>
  <c r="U154" a="1"/>
  <c r="U154" s="1"/>
  <c r="V154" s="1"/>
  <c r="C154"/>
  <c r="AC154" s="1"/>
  <c r="C150"/>
  <c r="AC150" s="1"/>
  <c r="Q150"/>
  <c r="P150"/>
  <c r="U150" a="1"/>
  <c r="U150" s="1"/>
  <c r="V150" s="1"/>
  <c r="C146"/>
  <c r="AC146" s="1"/>
  <c r="C142"/>
  <c r="AC142" s="1"/>
  <c r="U142" a="1"/>
  <c r="U142" s="1"/>
  <c r="V142" s="1"/>
  <c r="P142"/>
  <c r="Q142"/>
  <c r="C138"/>
  <c r="AC138" s="1"/>
  <c r="Q134"/>
  <c r="P134"/>
  <c r="U134" a="1"/>
  <c r="U134" s="1"/>
  <c r="V134" s="1"/>
  <c r="C134"/>
  <c r="AC134" s="1"/>
  <c r="C130"/>
  <c r="AC130" s="1"/>
  <c r="Q130"/>
  <c r="P130"/>
  <c r="U130" a="1"/>
  <c r="U130" s="1"/>
  <c r="V130" s="1"/>
  <c r="C126"/>
  <c r="AC126" s="1"/>
  <c r="Q126"/>
  <c r="P126"/>
  <c r="U126" a="1"/>
  <c r="U126" s="1"/>
  <c r="V126" s="1"/>
  <c r="C122"/>
  <c r="AC122" s="1"/>
  <c r="C118"/>
  <c r="AC118" s="1"/>
  <c r="Q114"/>
  <c r="P114"/>
  <c r="U114" a="1"/>
  <c r="U114" s="1"/>
  <c r="V114" s="1"/>
  <c r="C114"/>
  <c r="AC114" s="1"/>
  <c r="C110"/>
  <c r="AC110" s="1"/>
  <c r="C106"/>
  <c r="AC106" s="1"/>
  <c r="C102"/>
  <c r="AC102" s="1"/>
  <c r="C98"/>
  <c r="AC98" s="1"/>
  <c r="Q94"/>
  <c r="P94"/>
  <c r="U94" a="1"/>
  <c r="U94" s="1"/>
  <c r="V94" s="1"/>
  <c r="C94"/>
  <c r="AC94" s="1"/>
  <c r="C90"/>
  <c r="AC90" s="1"/>
  <c r="C86"/>
  <c r="AC86" s="1"/>
  <c r="C82"/>
  <c r="AC82" s="1"/>
  <c r="C78"/>
  <c r="AC78" s="1"/>
  <c r="C74"/>
  <c r="AC74" s="1"/>
  <c r="Q74"/>
  <c r="P74"/>
  <c r="U74" a="1"/>
  <c r="U74" s="1"/>
  <c r="V74" s="1"/>
  <c r="C70"/>
  <c r="AC70" s="1"/>
  <c r="Q70"/>
  <c r="P70"/>
  <c r="U70" a="1"/>
  <c r="U70" s="1"/>
  <c r="V70" s="1"/>
  <c r="C66"/>
  <c r="AC66" s="1"/>
  <c r="Q66"/>
  <c r="P66"/>
  <c r="U66" a="1"/>
  <c r="U66" s="1"/>
  <c r="V66" s="1"/>
  <c r="C62"/>
  <c r="AC62" s="1"/>
  <c r="Q62"/>
  <c r="P62"/>
  <c r="U62" a="1"/>
  <c r="U62" s="1"/>
  <c r="V62" s="1"/>
  <c r="U58" a="1"/>
  <c r="U58" s="1"/>
  <c r="V58" s="1"/>
  <c r="P58"/>
  <c r="Q58"/>
  <c r="C58"/>
  <c r="AC58" s="1"/>
  <c r="U54" a="1"/>
  <c r="U54" s="1"/>
  <c r="V54" s="1"/>
  <c r="P54"/>
  <c r="Q54"/>
  <c r="C54"/>
  <c r="AC54" s="1"/>
  <c r="C50"/>
  <c r="AC50" s="1"/>
  <c r="P50"/>
  <c r="Q50"/>
  <c r="U50" a="1"/>
  <c r="U50" s="1"/>
  <c r="V50" s="1"/>
  <c r="C46"/>
  <c r="AC46" s="1"/>
  <c r="C42"/>
  <c r="AC42" s="1"/>
  <c r="C38"/>
  <c r="AC38" s="1"/>
  <c r="Q38"/>
  <c r="U38" a="1"/>
  <c r="U38" s="1"/>
  <c r="V38" s="1"/>
  <c r="P38"/>
  <c r="C34"/>
  <c r="AC34" s="1"/>
  <c r="P34"/>
  <c r="Q34"/>
  <c r="U34" a="1"/>
  <c r="U34" s="1"/>
  <c r="V34" s="1"/>
  <c r="C30"/>
  <c r="AC30" s="1"/>
  <c r="C26"/>
  <c r="AC26" s="1"/>
  <c r="C22"/>
  <c r="AC22" s="1"/>
  <c r="C18"/>
  <c r="AC18" s="1"/>
  <c r="C14"/>
  <c r="AC14" s="1"/>
  <c r="C10"/>
  <c r="AC10" s="1"/>
  <c r="C6"/>
  <c r="AC6" s="1"/>
  <c r="J43"/>
  <c r="M43"/>
  <c r="L43"/>
  <c r="T43" s="1" a="1"/>
  <c r="T43" s="1"/>
  <c r="Z43" s="1"/>
  <c r="J31"/>
  <c r="J23"/>
  <c r="J7"/>
  <c r="L7"/>
  <c r="T7" s="1" a="1"/>
  <c r="T7" s="1"/>
  <c r="Z7" s="1"/>
  <c r="M7"/>
  <c r="C31"/>
  <c r="AC31" s="1"/>
  <c r="C7"/>
  <c r="AC7" s="1"/>
  <c r="Q7"/>
  <c r="P7"/>
  <c r="U7" a="1"/>
  <c r="U7" s="1"/>
  <c r="V7" s="1"/>
  <c r="J356"/>
  <c r="J340"/>
  <c r="L340"/>
  <c r="T340" s="1" a="1"/>
  <c r="T340" s="1"/>
  <c r="Z340" s="1"/>
  <c r="M340"/>
  <c r="J332"/>
  <c r="J316"/>
  <c r="J300"/>
  <c r="M300"/>
  <c r="L300"/>
  <c r="T300" s="1" a="1"/>
  <c r="T300" s="1"/>
  <c r="Z300" s="1"/>
  <c r="J292"/>
  <c r="M292"/>
  <c r="L292"/>
  <c r="T292" s="1" a="1"/>
  <c r="T292" s="1"/>
  <c r="Z292" s="1"/>
  <c r="J276"/>
  <c r="M276"/>
  <c r="L276"/>
  <c r="T276" s="1" a="1"/>
  <c r="T276" s="1"/>
  <c r="Z276" s="1"/>
  <c r="J268"/>
  <c r="L268"/>
  <c r="T268" s="1" a="1"/>
  <c r="T268" s="1"/>
  <c r="Z268" s="1"/>
  <c r="M268"/>
  <c r="J256"/>
  <c r="M256"/>
  <c r="L256"/>
  <c r="T256" s="1" a="1"/>
  <c r="T256" s="1"/>
  <c r="Z256" s="1"/>
  <c r="J240"/>
  <c r="L240"/>
  <c r="T240" s="1" a="1"/>
  <c r="T240" s="1"/>
  <c r="Z240" s="1"/>
  <c r="M240"/>
  <c r="J232"/>
  <c r="M232"/>
  <c r="L232"/>
  <c r="T232" s="1" a="1"/>
  <c r="T232" s="1"/>
  <c r="Z232" s="1"/>
  <c r="J216"/>
  <c r="M216"/>
  <c r="L216"/>
  <c r="T216" s="1" a="1"/>
  <c r="T216" s="1"/>
  <c r="Z216" s="1"/>
  <c r="J208"/>
  <c r="M208"/>
  <c r="L208"/>
  <c r="T208" s="1" a="1"/>
  <c r="T208" s="1"/>
  <c r="Z208" s="1"/>
  <c r="J192"/>
  <c r="L192"/>
  <c r="T192" s="1" a="1"/>
  <c r="T192" s="1"/>
  <c r="Z192" s="1"/>
  <c r="M192"/>
  <c r="J180"/>
  <c r="L180"/>
  <c r="T180" s="1" a="1"/>
  <c r="T180" s="1"/>
  <c r="Z180" s="1"/>
  <c r="M180"/>
  <c r="J168"/>
  <c r="L168"/>
  <c r="T168" s="1" a="1"/>
  <c r="T168" s="1"/>
  <c r="Z168" s="1"/>
  <c r="M168"/>
  <c r="J152"/>
  <c r="L152"/>
  <c r="T152" s="1" a="1"/>
  <c r="T152" s="1"/>
  <c r="Z152" s="1"/>
  <c r="M152"/>
  <c r="J148"/>
  <c r="L148"/>
  <c r="T148" s="1" a="1"/>
  <c r="T148" s="1"/>
  <c r="Z148" s="1"/>
  <c r="M148"/>
  <c r="J132"/>
  <c r="L132"/>
  <c r="T132" s="1" a="1"/>
  <c r="T132" s="1"/>
  <c r="Z132" s="1"/>
  <c r="M132"/>
  <c r="J124"/>
  <c r="L124"/>
  <c r="T124" s="1" a="1"/>
  <c r="T124" s="1"/>
  <c r="Z124" s="1"/>
  <c r="M124"/>
  <c r="J108"/>
  <c r="J100"/>
  <c r="J84"/>
  <c r="L84"/>
  <c r="T84" s="1" a="1"/>
  <c r="T84" s="1"/>
  <c r="Z84" s="1"/>
  <c r="M84"/>
  <c r="J76"/>
  <c r="J60"/>
  <c r="L60"/>
  <c r="T60" s="1" a="1"/>
  <c r="T60" s="1"/>
  <c r="Z60" s="1"/>
  <c r="M60"/>
  <c r="J44"/>
  <c r="J36"/>
  <c r="J20"/>
  <c r="J4"/>
  <c r="L4"/>
  <c r="T4" s="1" a="1"/>
  <c r="T4" s="1"/>
  <c r="Z4" s="1"/>
  <c r="M4"/>
  <c r="C352"/>
  <c r="AC352" s="1"/>
  <c r="C312"/>
  <c r="AC312" s="1"/>
  <c r="U300" a="1"/>
  <c r="U300" s="1"/>
  <c r="V300" s="1"/>
  <c r="P300"/>
  <c r="Q300"/>
  <c r="C300"/>
  <c r="AC300" s="1"/>
  <c r="U284" a="1"/>
  <c r="U284" s="1"/>
  <c r="V284" s="1"/>
  <c r="P284"/>
  <c r="Q284"/>
  <c r="C276"/>
  <c r="AC276" s="1"/>
  <c r="U276" a="1"/>
  <c r="U276" s="1"/>
  <c r="V276" s="1"/>
  <c r="P276"/>
  <c r="Q276"/>
  <c r="P260"/>
  <c r="Q260"/>
  <c r="U260" a="1"/>
  <c r="U260" s="1"/>
  <c r="V260" s="1"/>
  <c r="P240"/>
  <c r="Q240"/>
  <c r="U240" a="1"/>
  <c r="U240" s="1"/>
  <c r="V240" s="1"/>
  <c r="C240"/>
  <c r="AC240" s="1"/>
  <c r="C232"/>
  <c r="AC232" s="1"/>
  <c r="U232" a="1"/>
  <c r="U232" s="1"/>
  <c r="V232" s="1"/>
  <c r="P232"/>
  <c r="Q232"/>
  <c r="C216"/>
  <c r="AC216" s="1"/>
  <c r="P216"/>
  <c r="U216" a="1"/>
  <c r="U216" s="1"/>
  <c r="V216" s="1"/>
  <c r="Q216"/>
  <c r="C212"/>
  <c r="AC212" s="1"/>
  <c r="C192"/>
  <c r="AC192" s="1"/>
  <c r="U176" a="1"/>
  <c r="U176" s="1"/>
  <c r="V176" s="1"/>
  <c r="P176"/>
  <c r="Q176"/>
  <c r="C168"/>
  <c r="AC168" s="1"/>
  <c r="C152"/>
  <c r="AC152" s="1"/>
  <c r="Q152"/>
  <c r="P152"/>
  <c r="U152" a="1"/>
  <c r="U152" s="1"/>
  <c r="V152" s="1"/>
  <c r="C144"/>
  <c r="AC144" s="1"/>
  <c r="Q144"/>
  <c r="P144"/>
  <c r="U144" a="1"/>
  <c r="U144" s="1"/>
  <c r="V144" s="1"/>
  <c r="C128"/>
  <c r="AC128" s="1"/>
  <c r="Q128"/>
  <c r="P128"/>
  <c r="U128" a="1"/>
  <c r="U128" s="1"/>
  <c r="V128" s="1"/>
  <c r="C112"/>
  <c r="AC112" s="1"/>
  <c r="C104"/>
  <c r="AC104" s="1"/>
  <c r="Q104"/>
  <c r="P104"/>
  <c r="U104" a="1"/>
  <c r="U104" s="1"/>
  <c r="V104" s="1"/>
  <c r="C88"/>
  <c r="AC88" s="1"/>
  <c r="C80"/>
  <c r="AC80" s="1"/>
  <c r="Q68"/>
  <c r="P68"/>
  <c r="U68" a="1"/>
  <c r="U68" s="1"/>
  <c r="V68" s="1"/>
  <c r="C60"/>
  <c r="AC60" s="1"/>
  <c r="U60" a="1"/>
  <c r="U60" s="1"/>
  <c r="V60" s="1"/>
  <c r="P60"/>
  <c r="Q60"/>
  <c r="C44"/>
  <c r="AC44" s="1"/>
  <c r="C20"/>
  <c r="AC20" s="1"/>
  <c r="J357"/>
  <c r="J345"/>
  <c r="J329"/>
  <c r="J321"/>
  <c r="J305"/>
  <c r="J289"/>
  <c r="J281"/>
  <c r="J265"/>
  <c r="J257"/>
  <c r="J241"/>
  <c r="J233"/>
  <c r="J221"/>
  <c r="J205"/>
  <c r="J197"/>
  <c r="J181"/>
  <c r="J173"/>
  <c r="J355"/>
  <c r="J351"/>
  <c r="J347"/>
  <c r="J343"/>
  <c r="M343"/>
  <c r="L343"/>
  <c r="T343" s="1" a="1"/>
  <c r="T343" s="1"/>
  <c r="Z343" s="1"/>
  <c r="J339"/>
  <c r="J335"/>
  <c r="J331"/>
  <c r="J327"/>
  <c r="J323"/>
  <c r="J319"/>
  <c r="J315"/>
  <c r="J311"/>
  <c r="J307"/>
  <c r="J303"/>
  <c r="L303"/>
  <c r="T303" s="1" a="1"/>
  <c r="T303" s="1"/>
  <c r="Z303" s="1"/>
  <c r="M303"/>
  <c r="J299"/>
  <c r="J295"/>
  <c r="J291"/>
  <c r="J287"/>
  <c r="J283"/>
  <c r="J279"/>
  <c r="J275"/>
  <c r="J271"/>
  <c r="J267"/>
  <c r="J263"/>
  <c r="J259"/>
  <c r="L259"/>
  <c r="T259" s="1" a="1"/>
  <c r="T259" s="1"/>
  <c r="Z259" s="1"/>
  <c r="M259"/>
  <c r="J255"/>
  <c r="J251"/>
  <c r="J247"/>
  <c r="J243"/>
  <c r="J239"/>
  <c r="J235"/>
  <c r="J231"/>
  <c r="J227"/>
  <c r="J223"/>
  <c r="J219"/>
  <c r="J215"/>
  <c r="L215"/>
  <c r="T215" s="1" a="1"/>
  <c r="T215" s="1"/>
  <c r="Z215" s="1"/>
  <c r="M215"/>
  <c r="J211"/>
  <c r="J207"/>
  <c r="J203"/>
  <c r="J199"/>
  <c r="J195"/>
  <c r="J191"/>
  <c r="J187"/>
  <c r="J183"/>
  <c r="J179"/>
  <c r="J175"/>
  <c r="J171"/>
  <c r="J167"/>
  <c r="J163"/>
  <c r="L163"/>
  <c r="T163" s="1" a="1"/>
  <c r="T163" s="1"/>
  <c r="Z163" s="1"/>
  <c r="M163"/>
  <c r="J159"/>
  <c r="L159"/>
  <c r="T159" s="1" a="1"/>
  <c r="T159" s="1"/>
  <c r="Z159" s="1"/>
  <c r="M159"/>
  <c r="J155"/>
  <c r="L155"/>
  <c r="T155" s="1" a="1"/>
  <c r="T155" s="1"/>
  <c r="Z155" s="1"/>
  <c r="M155"/>
  <c r="J151"/>
  <c r="L151"/>
  <c r="T151" s="1" a="1"/>
  <c r="T151" s="1"/>
  <c r="Z151" s="1"/>
  <c r="M151"/>
  <c r="J147"/>
  <c r="L147"/>
  <c r="T147" s="1" a="1"/>
  <c r="T147" s="1"/>
  <c r="Z147" s="1"/>
  <c r="M147"/>
  <c r="J143"/>
  <c r="L143"/>
  <c r="T143" s="1" a="1"/>
  <c r="T143" s="1"/>
  <c r="Z143" s="1"/>
  <c r="M143"/>
  <c r="J139"/>
  <c r="L139"/>
  <c r="T139" s="1" a="1"/>
  <c r="T139" s="1"/>
  <c r="Z139" s="1"/>
  <c r="M139"/>
  <c r="J135"/>
  <c r="L135"/>
  <c r="T135" s="1" a="1"/>
  <c r="T135" s="1"/>
  <c r="Z135" s="1"/>
  <c r="M135"/>
  <c r="J131"/>
  <c r="L131"/>
  <c r="T131" s="1" a="1"/>
  <c r="T131" s="1"/>
  <c r="Z131" s="1"/>
  <c r="M131"/>
  <c r="J127"/>
  <c r="L127"/>
  <c r="T127" s="1" a="1"/>
  <c r="T127" s="1"/>
  <c r="Z127" s="1"/>
  <c r="M127"/>
  <c r="J123"/>
  <c r="L123"/>
  <c r="T123" s="1" a="1"/>
  <c r="T123" s="1"/>
  <c r="Z123" s="1"/>
  <c r="M123"/>
  <c r="J119"/>
  <c r="J115"/>
  <c r="M115"/>
  <c r="L115"/>
  <c r="T115" s="1" a="1"/>
  <c r="T115" s="1"/>
  <c r="Z115" s="1"/>
  <c r="J111"/>
  <c r="J107"/>
  <c r="J103"/>
  <c r="L103"/>
  <c r="T103" s="1" a="1"/>
  <c r="T103" s="1"/>
  <c r="Z103" s="1"/>
  <c r="M103"/>
  <c r="J99"/>
  <c r="J95"/>
  <c r="M95"/>
  <c r="L95"/>
  <c r="T95" s="1" a="1"/>
  <c r="T95" s="1"/>
  <c r="Z95" s="1"/>
  <c r="J91"/>
  <c r="J87"/>
  <c r="J83"/>
  <c r="L83"/>
  <c r="T83" s="1" a="1"/>
  <c r="T83" s="1"/>
  <c r="Z83" s="1"/>
  <c r="M83"/>
  <c r="J79"/>
  <c r="J75"/>
  <c r="M75"/>
  <c r="L75"/>
  <c r="T75" s="1" a="1"/>
  <c r="T75" s="1"/>
  <c r="Z75" s="1"/>
  <c r="J71"/>
  <c r="L71"/>
  <c r="T71" s="1" a="1"/>
  <c r="T71" s="1"/>
  <c r="Z71" s="1"/>
  <c r="M71"/>
  <c r="J67"/>
  <c r="L67"/>
  <c r="T67" s="1" a="1"/>
  <c r="T67" s="1"/>
  <c r="Z67" s="1"/>
  <c r="M67"/>
  <c r="J63"/>
  <c r="L63"/>
  <c r="T63" s="1" a="1"/>
  <c r="T63" s="1"/>
  <c r="Z63" s="1"/>
  <c r="M63"/>
  <c r="J59"/>
  <c r="J55"/>
  <c r="J51"/>
  <c r="J47"/>
  <c r="L47"/>
  <c r="T47" s="1" a="1"/>
  <c r="T47" s="1"/>
  <c r="Z47" s="1"/>
  <c r="M47"/>
  <c r="J27"/>
  <c r="J15"/>
  <c r="C23"/>
  <c r="AC23" s="1"/>
  <c r="J344"/>
  <c r="J328"/>
  <c r="J308"/>
  <c r="J288"/>
  <c r="M288"/>
  <c r="L288"/>
  <c r="T288" s="1" a="1"/>
  <c r="T288" s="1"/>
  <c r="Z288" s="1"/>
  <c r="J260"/>
  <c r="M260"/>
  <c r="L260"/>
  <c r="T260" s="1" a="1"/>
  <c r="T260" s="1"/>
  <c r="Z260" s="1"/>
  <c r="J244"/>
  <c r="C244" s="1"/>
  <c r="AC244" s="1"/>
  <c r="L244"/>
  <c r="T244" s="1" a="1"/>
  <c r="T244" s="1"/>
  <c r="Z244" s="1"/>
  <c r="M244"/>
  <c r="J220"/>
  <c r="L220"/>
  <c r="T220" s="1" a="1"/>
  <c r="T220" s="1"/>
  <c r="Z220" s="1"/>
  <c r="M220"/>
  <c r="J200"/>
  <c r="M200"/>
  <c r="L200"/>
  <c r="T200" s="1" a="1"/>
  <c r="T200" s="1"/>
  <c r="Z200" s="1"/>
  <c r="J176"/>
  <c r="M176"/>
  <c r="L176"/>
  <c r="T176" s="1" a="1"/>
  <c r="T176" s="1"/>
  <c r="Z176" s="1"/>
  <c r="J160"/>
  <c r="L160"/>
  <c r="T160" s="1" a="1"/>
  <c r="T160" s="1"/>
  <c r="Z160" s="1"/>
  <c r="M160"/>
  <c r="J136"/>
  <c r="L136"/>
  <c r="T136" s="1" a="1"/>
  <c r="T136" s="1"/>
  <c r="Z136" s="1"/>
  <c r="M136"/>
  <c r="J120"/>
  <c r="J92"/>
  <c r="J72"/>
  <c r="M72"/>
  <c r="L72"/>
  <c r="T72" s="1" a="1"/>
  <c r="T72" s="1"/>
  <c r="Z72" s="1"/>
  <c r="J56"/>
  <c r="M56"/>
  <c r="L56"/>
  <c r="T56" s="1" a="1"/>
  <c r="T56" s="1"/>
  <c r="Z56" s="1"/>
  <c r="J32"/>
  <c r="J16"/>
  <c r="C336"/>
  <c r="AC336" s="1"/>
  <c r="C316"/>
  <c r="AC316" s="1"/>
  <c r="C292"/>
  <c r="AC292" s="1"/>
  <c r="Q292"/>
  <c r="U292" a="1"/>
  <c r="U292" s="1"/>
  <c r="V292" s="1"/>
  <c r="P292"/>
  <c r="P264"/>
  <c r="U264" a="1"/>
  <c r="U264" s="1"/>
  <c r="V264" s="1"/>
  <c r="Q264"/>
  <c r="U184" a="1"/>
  <c r="U184" s="1"/>
  <c r="V184" s="1"/>
  <c r="P184"/>
  <c r="Q184"/>
  <c r="Q164"/>
  <c r="P164"/>
  <c r="U164" a="1"/>
  <c r="U164" s="1"/>
  <c r="V164" s="1"/>
  <c r="C120"/>
  <c r="AC120" s="1"/>
  <c r="C72"/>
  <c r="AC72" s="1"/>
  <c r="P72"/>
  <c r="Q72"/>
  <c r="U72" a="1"/>
  <c r="U72" s="1"/>
  <c r="V72" s="1"/>
  <c r="Q56"/>
  <c r="U56" a="1"/>
  <c r="U56" s="1"/>
  <c r="V56" s="1"/>
  <c r="P56"/>
  <c r="C56"/>
  <c r="AC56" s="1"/>
  <c r="C36"/>
  <c r="AC36" s="1"/>
  <c r="Q4"/>
  <c r="P4"/>
  <c r="U4" a="1"/>
  <c r="U4" s="1"/>
  <c r="V4" s="1"/>
  <c r="J337"/>
  <c r="J317"/>
  <c r="J297"/>
  <c r="J273"/>
  <c r="J253"/>
  <c r="J229"/>
  <c r="J213"/>
  <c r="J185"/>
  <c r="J165"/>
  <c r="L165"/>
  <c r="T165" s="1" a="1"/>
  <c r="T165" s="1"/>
  <c r="Z165" s="1"/>
  <c r="M165"/>
  <c r="C355"/>
  <c r="AC355" s="1"/>
  <c r="C351"/>
  <c r="AC351" s="1"/>
  <c r="C347"/>
  <c r="AC347" s="1"/>
  <c r="C343"/>
  <c r="AC343" s="1"/>
  <c r="Q343"/>
  <c r="U343" a="1"/>
  <c r="U343" s="1"/>
  <c r="V343" s="1"/>
  <c r="P343"/>
  <c r="C339"/>
  <c r="AC339" s="1"/>
  <c r="C335"/>
  <c r="AC335" s="1"/>
  <c r="C331"/>
  <c r="AC331" s="1"/>
  <c r="C327"/>
  <c r="AC327" s="1"/>
  <c r="C323"/>
  <c r="AC323" s="1"/>
  <c r="C319"/>
  <c r="AC319" s="1"/>
  <c r="C315"/>
  <c r="AC315" s="1"/>
  <c r="C311"/>
  <c r="AC311" s="1"/>
  <c r="C307"/>
  <c r="AC307" s="1"/>
  <c r="C303"/>
  <c r="AC303" s="1"/>
  <c r="Q303"/>
  <c r="P303"/>
  <c r="U303" a="1"/>
  <c r="U303" s="1"/>
  <c r="V303" s="1"/>
  <c r="C299"/>
  <c r="AC299" s="1"/>
  <c r="C295"/>
  <c r="AC295" s="1"/>
  <c r="C291"/>
  <c r="AC291" s="1"/>
  <c r="C287"/>
  <c r="AC287" s="1"/>
  <c r="C283"/>
  <c r="AC283" s="1"/>
  <c r="C279"/>
  <c r="AC279" s="1"/>
  <c r="C275"/>
  <c r="AC275" s="1"/>
  <c r="C271"/>
  <c r="AC271" s="1"/>
  <c r="C267"/>
  <c r="AC267" s="1"/>
  <c r="C263"/>
  <c r="AC263" s="1"/>
  <c r="Q259"/>
  <c r="P259"/>
  <c r="U259" a="1"/>
  <c r="U259" s="1"/>
  <c r="V259" s="1"/>
  <c r="C259"/>
  <c r="AC259" s="1"/>
  <c r="C255"/>
  <c r="AC255" s="1"/>
  <c r="C251"/>
  <c r="AC251" s="1"/>
  <c r="C247"/>
  <c r="AC247" s="1"/>
  <c r="C243"/>
  <c r="AC243" s="1"/>
  <c r="C239"/>
  <c r="AC239" s="1"/>
  <c r="C235"/>
  <c r="AC235" s="1"/>
  <c r="C231"/>
  <c r="AC231" s="1"/>
  <c r="C227"/>
  <c r="AC227" s="1"/>
  <c r="C223"/>
  <c r="AC223" s="1"/>
  <c r="C219"/>
  <c r="AC219" s="1"/>
  <c r="C215"/>
  <c r="AC215" s="1"/>
  <c r="Q215"/>
  <c r="P215"/>
  <c r="U215" a="1"/>
  <c r="U215" s="1"/>
  <c r="V215" s="1"/>
  <c r="C211"/>
  <c r="AC211" s="1"/>
  <c r="C207"/>
  <c r="AC207" s="1"/>
  <c r="C203"/>
  <c r="AC203" s="1"/>
  <c r="C199"/>
  <c r="AC199" s="1"/>
  <c r="C195"/>
  <c r="AC195" s="1"/>
  <c r="C191"/>
  <c r="AC191" s="1"/>
  <c r="C187"/>
  <c r="AC187" s="1"/>
  <c r="C183"/>
  <c r="AC183" s="1"/>
  <c r="C179"/>
  <c r="AC179" s="1"/>
  <c r="C175"/>
  <c r="AC175" s="1"/>
  <c r="C171"/>
  <c r="AC171" s="1"/>
  <c r="C167"/>
  <c r="AC167" s="1"/>
  <c r="C163"/>
  <c r="AC163" s="1"/>
  <c r="Q163"/>
  <c r="P163"/>
  <c r="U163" a="1"/>
  <c r="U163" s="1"/>
  <c r="V163" s="1"/>
  <c r="C159"/>
  <c r="AC159" s="1"/>
  <c r="Q159"/>
  <c r="P159"/>
  <c r="U159" a="1"/>
  <c r="U159" s="1"/>
  <c r="V159" s="1"/>
  <c r="C155"/>
  <c r="AC155" s="1"/>
  <c r="Q155"/>
  <c r="P155"/>
  <c r="U155" a="1"/>
  <c r="U155" s="1"/>
  <c r="V155" s="1"/>
  <c r="C151"/>
  <c r="AC151" s="1"/>
  <c r="Q151"/>
  <c r="P151"/>
  <c r="U151" a="1"/>
  <c r="U151" s="1"/>
  <c r="V151" s="1"/>
  <c r="Q147"/>
  <c r="P147"/>
  <c r="U147" a="1"/>
  <c r="U147" s="1"/>
  <c r="V147" s="1"/>
  <c r="C147"/>
  <c r="AC147" s="1"/>
  <c r="C143"/>
  <c r="AC143" s="1"/>
  <c r="Q139"/>
  <c r="U139" a="1"/>
  <c r="U139" s="1"/>
  <c r="V139" s="1"/>
  <c r="P139"/>
  <c r="C139"/>
  <c r="AC139" s="1"/>
  <c r="C135"/>
  <c r="AC135" s="1"/>
  <c r="Q135"/>
  <c r="P135"/>
  <c r="U135" a="1"/>
  <c r="U135" s="1"/>
  <c r="V135" s="1"/>
  <c r="C131"/>
  <c r="AC131" s="1"/>
  <c r="Q131"/>
  <c r="P131"/>
  <c r="U131" a="1"/>
  <c r="U131" s="1"/>
  <c r="V131" s="1"/>
  <c r="Q127"/>
  <c r="P127"/>
  <c r="U127" a="1"/>
  <c r="U127" s="1"/>
  <c r="V127" s="1"/>
  <c r="C127"/>
  <c r="AC127" s="1"/>
  <c r="C123"/>
  <c r="AC123" s="1"/>
  <c r="Q123"/>
  <c r="P123"/>
  <c r="U123" a="1"/>
  <c r="U123" s="1"/>
  <c r="V123" s="1"/>
  <c r="C119"/>
  <c r="AC119" s="1"/>
  <c r="C115"/>
  <c r="AC115" s="1"/>
  <c r="Q115"/>
  <c r="U115" a="1"/>
  <c r="U115" s="1"/>
  <c r="V115" s="1"/>
  <c r="P115"/>
  <c r="C111"/>
  <c r="AC111" s="1"/>
  <c r="C107"/>
  <c r="AC107" s="1"/>
  <c r="Q103"/>
  <c r="P103"/>
  <c r="U103" a="1"/>
  <c r="U103" s="1"/>
  <c r="V103" s="1"/>
  <c r="C103"/>
  <c r="AC103" s="1"/>
  <c r="C99"/>
  <c r="AC99" s="1"/>
  <c r="U95" a="1"/>
  <c r="U95" s="1"/>
  <c r="V95" s="1"/>
  <c r="P95"/>
  <c r="Q95"/>
  <c r="C95"/>
  <c r="AC95" s="1"/>
  <c r="C91"/>
  <c r="AC91" s="1"/>
  <c r="C87"/>
  <c r="AC87" s="1"/>
  <c r="C83"/>
  <c r="AC83" s="1"/>
  <c r="Q83"/>
  <c r="P83"/>
  <c r="U83" a="1"/>
  <c r="U83" s="1"/>
  <c r="V83" s="1"/>
  <c r="C79"/>
  <c r="AC79" s="1"/>
  <c r="C75"/>
  <c r="AC75" s="1"/>
  <c r="U75" a="1"/>
  <c r="U75" s="1"/>
  <c r="V75" s="1"/>
  <c r="P75"/>
  <c r="Q75"/>
  <c r="C71"/>
  <c r="AC71" s="1"/>
  <c r="Q71"/>
  <c r="P71"/>
  <c r="U71" a="1"/>
  <c r="U71" s="1"/>
  <c r="V71" s="1"/>
  <c r="Q67"/>
  <c r="P67"/>
  <c r="U67" a="1"/>
  <c r="U67" s="1"/>
  <c r="V67" s="1"/>
  <c r="C67"/>
  <c r="AC67" s="1"/>
  <c r="C63"/>
  <c r="AC63" s="1"/>
  <c r="Q63"/>
  <c r="P63"/>
  <c r="U63" a="1"/>
  <c r="U63" s="1"/>
  <c r="V63" s="1"/>
  <c r="C59"/>
  <c r="AC59" s="1"/>
  <c r="C55"/>
  <c r="AC55" s="1"/>
  <c r="C51"/>
  <c r="AC51" s="1"/>
  <c r="C47"/>
  <c r="AC47" s="1"/>
  <c r="Q47"/>
  <c r="P47"/>
  <c r="U47" a="1"/>
  <c r="U47" s="1"/>
  <c r="V47" s="1"/>
  <c r="U43" a="1"/>
  <c r="U43" s="1"/>
  <c r="V43" s="1"/>
  <c r="P43"/>
  <c r="Q43"/>
  <c r="C43"/>
  <c r="AC43" s="1"/>
  <c r="C39"/>
  <c r="AC39" s="1"/>
  <c r="C35"/>
  <c r="AC35" s="1"/>
  <c r="C27"/>
  <c r="AC27" s="1"/>
  <c r="C11"/>
  <c r="AC11" s="1"/>
  <c r="J348"/>
  <c r="J324"/>
  <c r="J304"/>
  <c r="M304"/>
  <c r="L304"/>
  <c r="T304" s="1" a="1"/>
  <c r="T304" s="1"/>
  <c r="Z304" s="1"/>
  <c r="J284"/>
  <c r="M284"/>
  <c r="L284"/>
  <c r="T284" s="1" a="1"/>
  <c r="T284" s="1"/>
  <c r="Z284" s="1"/>
  <c r="J264"/>
  <c r="M264"/>
  <c r="L264"/>
  <c r="T264" s="1" a="1"/>
  <c r="T264" s="1"/>
  <c r="Z264" s="1"/>
  <c r="J248"/>
  <c r="M248"/>
  <c r="L248"/>
  <c r="T248" s="1" a="1"/>
  <c r="T248" s="1"/>
  <c r="Z248" s="1"/>
  <c r="J224"/>
  <c r="M224"/>
  <c r="L224"/>
  <c r="T224" s="1" a="1"/>
  <c r="T224" s="1"/>
  <c r="Z224" s="1"/>
  <c r="J204"/>
  <c r="M204"/>
  <c r="L204"/>
  <c r="T204" s="1" a="1"/>
  <c r="T204" s="1"/>
  <c r="Z204" s="1"/>
  <c r="J184"/>
  <c r="M184"/>
  <c r="L184"/>
  <c r="T184" s="1" a="1"/>
  <c r="T184" s="1"/>
  <c r="Z184" s="1"/>
  <c r="J164"/>
  <c r="L164"/>
  <c r="T164" s="1" a="1"/>
  <c r="T164" s="1"/>
  <c r="Z164" s="1"/>
  <c r="M164"/>
  <c r="J140"/>
  <c r="L140"/>
  <c r="T140" s="1" a="1"/>
  <c r="T140" s="1"/>
  <c r="Z140" s="1"/>
  <c r="M140"/>
  <c r="J116"/>
  <c r="J96"/>
  <c r="J68"/>
  <c r="L68"/>
  <c r="T68" s="1" a="1"/>
  <c r="T68" s="1"/>
  <c r="Z68" s="1"/>
  <c r="M68"/>
  <c r="J52"/>
  <c r="M52"/>
  <c r="L52"/>
  <c r="T52" s="1" a="1"/>
  <c r="T52" s="1"/>
  <c r="Z52" s="1"/>
  <c r="J28"/>
  <c r="J12"/>
  <c r="C356"/>
  <c r="AC356" s="1"/>
  <c r="C332"/>
  <c r="AC332" s="1"/>
  <c r="C308"/>
  <c r="AC308" s="1"/>
  <c r="C288"/>
  <c r="AC288" s="1"/>
  <c r="Q288"/>
  <c r="U288" a="1"/>
  <c r="U288" s="1"/>
  <c r="V288" s="1"/>
  <c r="P288"/>
  <c r="C272"/>
  <c r="AC272" s="1"/>
  <c r="C252"/>
  <c r="AC252" s="1"/>
  <c r="U252" a="1"/>
  <c r="U252" s="1"/>
  <c r="V252" s="1"/>
  <c r="P252"/>
  <c r="Q252"/>
  <c r="C228"/>
  <c r="AC228" s="1"/>
  <c r="Q228"/>
  <c r="P228"/>
  <c r="U228" a="1"/>
  <c r="U228" s="1"/>
  <c r="V228" s="1"/>
  <c r="Q200"/>
  <c r="P200"/>
  <c r="U200" a="1"/>
  <c r="U200" s="1"/>
  <c r="V200" s="1"/>
  <c r="C200"/>
  <c r="AC200" s="1"/>
  <c r="C180"/>
  <c r="AC180" s="1"/>
  <c r="Q156"/>
  <c r="P156"/>
  <c r="U156" a="1"/>
  <c r="U156" s="1"/>
  <c r="V156" s="1"/>
  <c r="C156"/>
  <c r="AC156" s="1"/>
  <c r="Q136"/>
  <c r="P136"/>
  <c r="U136" a="1"/>
  <c r="U136" s="1"/>
  <c r="V136" s="1"/>
  <c r="C136"/>
  <c r="AC136" s="1"/>
  <c r="C116"/>
  <c r="AC116" s="1"/>
  <c r="C100"/>
  <c r="AC100" s="1"/>
  <c r="C76"/>
  <c r="AC76" s="1"/>
  <c r="C52"/>
  <c r="AC52" s="1"/>
  <c r="Q52"/>
  <c r="U52" a="1"/>
  <c r="U52" s="1"/>
  <c r="V52" s="1"/>
  <c r="P52"/>
  <c r="C32"/>
  <c r="AC32" s="1"/>
  <c r="C12"/>
  <c r="AC12" s="1"/>
  <c r="J353"/>
  <c r="J333"/>
  <c r="J309"/>
  <c r="J293"/>
  <c r="J269"/>
  <c r="J249"/>
  <c r="J225"/>
  <c r="J209"/>
  <c r="J189"/>
  <c r="J169"/>
  <c r="L169"/>
  <c r="T169" s="1" a="1"/>
  <c r="T169" s="1"/>
  <c r="Z169" s="1"/>
  <c r="M169"/>
  <c r="C341"/>
  <c r="AC341" s="1"/>
  <c r="Q341"/>
  <c r="P341"/>
  <c r="U341" a="1"/>
  <c r="U341" s="1"/>
  <c r="V341" s="1"/>
  <c r="C309"/>
  <c r="AC309" s="1"/>
  <c r="C277"/>
  <c r="AC277" s="1"/>
  <c r="C245"/>
  <c r="AC245" s="1"/>
  <c r="C213"/>
  <c r="AC213" s="1"/>
  <c r="C181"/>
  <c r="AC181" s="1"/>
  <c r="J157"/>
  <c r="L157"/>
  <c r="T157" s="1" a="1"/>
  <c r="T157" s="1"/>
  <c r="Z157" s="1"/>
  <c r="M157"/>
  <c r="J141"/>
  <c r="J125"/>
  <c r="L125"/>
  <c r="T125" s="1" a="1"/>
  <c r="T125" s="1"/>
  <c r="Z125" s="1"/>
  <c r="M125"/>
  <c r="J109"/>
  <c r="J93"/>
  <c r="L93"/>
  <c r="T93" s="1" a="1"/>
  <c r="T93" s="1"/>
  <c r="Z93" s="1"/>
  <c r="M93"/>
  <c r="C345"/>
  <c r="AC345" s="1"/>
  <c r="C313"/>
  <c r="AC313" s="1"/>
  <c r="C281"/>
  <c r="AC281" s="1"/>
  <c r="C249"/>
  <c r="AC249" s="1"/>
  <c r="C217"/>
  <c r="AC217" s="1"/>
  <c r="C185"/>
  <c r="AC185" s="1"/>
  <c r="Q157"/>
  <c r="P157"/>
  <c r="U157" a="1"/>
  <c r="U157" s="1"/>
  <c r="V157" s="1"/>
  <c r="C157"/>
  <c r="AC157" s="1"/>
  <c r="C141"/>
  <c r="AC141" s="1"/>
  <c r="Q125"/>
  <c r="P125"/>
  <c r="U125" a="1"/>
  <c r="U125" s="1"/>
  <c r="V125" s="1"/>
  <c r="C125"/>
  <c r="AC125" s="1"/>
  <c r="C109"/>
  <c r="AC109" s="1"/>
  <c r="C93"/>
  <c r="AC93" s="1"/>
  <c r="Q93"/>
  <c r="P93"/>
  <c r="U93" a="1"/>
  <c r="U93" s="1"/>
  <c r="V93" s="1"/>
  <c r="Q45"/>
  <c r="P45"/>
  <c r="U45" a="1"/>
  <c r="U45" s="1"/>
  <c r="V45" s="1"/>
  <c r="C45"/>
  <c r="AC45" s="1"/>
  <c r="C221"/>
  <c r="AC221" s="1"/>
  <c r="J161"/>
  <c r="L161"/>
  <c r="T161" s="1" a="1"/>
  <c r="T161" s="1"/>
  <c r="Z161" s="1"/>
  <c r="M161"/>
  <c r="J145"/>
  <c r="L145"/>
  <c r="T145" s="1" a="1"/>
  <c r="T145" s="1"/>
  <c r="Z145" s="1"/>
  <c r="M145"/>
  <c r="J113"/>
  <c r="L113"/>
  <c r="T113" s="1" a="1"/>
  <c r="T113" s="1"/>
  <c r="Z113" s="1"/>
  <c r="M113"/>
  <c r="J97"/>
  <c r="J65"/>
  <c r="L65"/>
  <c r="T65" s="1" a="1"/>
  <c r="T65" s="1"/>
  <c r="Z65" s="1"/>
  <c r="M65"/>
  <c r="J49"/>
  <c r="J17"/>
  <c r="C257"/>
  <c r="AC257" s="1"/>
  <c r="C161"/>
  <c r="AC161" s="1"/>
  <c r="Q161"/>
  <c r="P161"/>
  <c r="U161" a="1"/>
  <c r="U161" s="1"/>
  <c r="V161" s="1"/>
  <c r="P145"/>
  <c r="Q145"/>
  <c r="U145" a="1"/>
  <c r="U145" s="1"/>
  <c r="V145" s="1"/>
  <c r="C145"/>
  <c r="AC145" s="1"/>
  <c r="C97"/>
  <c r="AC97" s="1"/>
  <c r="C293"/>
  <c r="AC293" s="1"/>
  <c r="C197"/>
  <c r="AC197" s="1"/>
  <c r="J149"/>
  <c r="L149"/>
  <c r="T149" s="1" a="1"/>
  <c r="T149" s="1"/>
  <c r="Z149" s="1"/>
  <c r="M149"/>
  <c r="J101"/>
  <c r="J53"/>
  <c r="J21"/>
  <c r="C265"/>
  <c r="AC265" s="1"/>
  <c r="C201"/>
  <c r="AC201" s="1"/>
  <c r="Q69"/>
  <c r="P69"/>
  <c r="U69" a="1"/>
  <c r="U69" s="1"/>
  <c r="V69" s="1"/>
  <c r="C5"/>
  <c r="AC5" s="1"/>
  <c r="Q5"/>
  <c r="P5"/>
  <c r="U5" a="1"/>
  <c r="U5" s="1"/>
  <c r="V5" s="1"/>
  <c r="C237"/>
  <c r="AC237" s="1"/>
  <c r="C173"/>
  <c r="AC173" s="1"/>
  <c r="J89"/>
  <c r="J73"/>
  <c r="C337"/>
  <c r="AC337" s="1"/>
  <c r="C241"/>
  <c r="AC241" s="1"/>
  <c r="Q153"/>
  <c r="P153"/>
  <c r="U153" a="1"/>
  <c r="U153" s="1"/>
  <c r="V153" s="1"/>
  <c r="U105" a="1"/>
  <c r="U105" s="1"/>
  <c r="V105" s="1"/>
  <c r="P105"/>
  <c r="Q105"/>
  <c r="J77"/>
  <c r="J45"/>
  <c r="M45"/>
  <c r="L45"/>
  <c r="T45" s="1" a="1"/>
  <c r="T45" s="1"/>
  <c r="Z45" s="1"/>
  <c r="C349"/>
  <c r="AC349" s="1"/>
  <c r="C317"/>
  <c r="AC317" s="1"/>
  <c r="C285"/>
  <c r="AC285" s="1"/>
  <c r="C253"/>
  <c r="AC253" s="1"/>
  <c r="C189"/>
  <c r="AC189" s="1"/>
  <c r="J129"/>
  <c r="L129"/>
  <c r="T129" s="1" a="1"/>
  <c r="T129" s="1"/>
  <c r="Z129" s="1"/>
  <c r="M129"/>
  <c r="J81"/>
  <c r="J33"/>
  <c r="C33" s="1"/>
  <c r="AC33" s="1"/>
  <c r="C193"/>
  <c r="AC193" s="1"/>
  <c r="Q113"/>
  <c r="P113"/>
  <c r="U113" a="1"/>
  <c r="U113" s="1"/>
  <c r="V113" s="1"/>
  <c r="C113"/>
  <c r="AC113" s="1"/>
  <c r="C49"/>
  <c r="AC49" s="1"/>
  <c r="C165"/>
  <c r="AC165" s="1"/>
  <c r="Q165"/>
  <c r="P165"/>
  <c r="U165" a="1"/>
  <c r="U165" s="1"/>
  <c r="V165" s="1"/>
  <c r="J85"/>
  <c r="M85"/>
  <c r="L85"/>
  <c r="T85" s="1" a="1"/>
  <c r="T85" s="1"/>
  <c r="Z85" s="1"/>
  <c r="J5"/>
  <c r="L5"/>
  <c r="T5" s="1" a="1"/>
  <c r="T5" s="1"/>
  <c r="Z5" s="1"/>
  <c r="M5"/>
  <c r="C169"/>
  <c r="AC169" s="1"/>
  <c r="P169"/>
  <c r="Q169"/>
  <c r="U169" a="1"/>
  <c r="U169" s="1"/>
  <c r="V169" s="1"/>
  <c r="C85"/>
  <c r="AC85" s="1"/>
  <c r="P85"/>
  <c r="Q85"/>
  <c r="U85" a="1"/>
  <c r="U85" s="1"/>
  <c r="V85" s="1"/>
  <c r="C333"/>
  <c r="AC333" s="1"/>
  <c r="J153"/>
  <c r="L153"/>
  <c r="T153" s="1" a="1"/>
  <c r="T153" s="1"/>
  <c r="Z153" s="1"/>
  <c r="M153"/>
  <c r="J57"/>
  <c r="C177"/>
  <c r="AC177" s="1"/>
  <c r="C89"/>
  <c r="AC89" s="1"/>
  <c r="C353"/>
  <c r="AC353" s="1"/>
  <c r="C321"/>
  <c r="AC321" s="1"/>
  <c r="C289"/>
  <c r="AC289" s="1"/>
  <c r="C225"/>
  <c r="AC225" s="1"/>
  <c r="C129"/>
  <c r="AC129" s="1"/>
  <c r="Q129"/>
  <c r="P129"/>
  <c r="U129" a="1"/>
  <c r="U129" s="1"/>
  <c r="V129" s="1"/>
  <c r="Q65"/>
  <c r="P65"/>
  <c r="U65" a="1"/>
  <c r="U65" s="1"/>
  <c r="V65" s="1"/>
  <c r="C65"/>
  <c r="AC65" s="1"/>
  <c r="C261"/>
  <c r="AC261" s="1"/>
  <c r="J133"/>
  <c r="L133"/>
  <c r="T133" s="1" a="1"/>
  <c r="T133" s="1"/>
  <c r="Z133" s="1"/>
  <c r="M133"/>
  <c r="J69"/>
  <c r="L69"/>
  <c r="T69" s="1" a="1"/>
  <c r="T69" s="1"/>
  <c r="Z69" s="1"/>
  <c r="M69"/>
  <c r="C297"/>
  <c r="AC297" s="1"/>
  <c r="C133"/>
  <c r="AC133" s="1"/>
  <c r="Q133"/>
  <c r="P133"/>
  <c r="U133" a="1"/>
  <c r="U133" s="1"/>
  <c r="V133" s="1"/>
  <c r="C269"/>
  <c r="AC269" s="1"/>
  <c r="J121"/>
  <c r="J25"/>
  <c r="C273"/>
  <c r="AC273" s="1"/>
  <c r="U137" a="1"/>
  <c r="U137" s="1"/>
  <c r="V137" s="1"/>
  <c r="P137"/>
  <c r="Q137"/>
  <c r="U41" a="1"/>
  <c r="U41" s="1"/>
  <c r="V41" s="1"/>
  <c r="P41"/>
  <c r="Q41"/>
  <c r="J29"/>
  <c r="C357"/>
  <c r="AC357" s="1"/>
  <c r="C325"/>
  <c r="AC325" s="1"/>
  <c r="C229"/>
  <c r="AC229" s="1"/>
  <c r="J117"/>
  <c r="J37"/>
  <c r="C37" s="1"/>
  <c r="AC37" s="1"/>
  <c r="C233"/>
  <c r="AC233" s="1"/>
  <c r="C101"/>
  <c r="AC101" s="1"/>
  <c r="C21"/>
  <c r="AC21" s="1"/>
  <c r="C205"/>
  <c r="AC205" s="1"/>
  <c r="J105"/>
  <c r="M105"/>
  <c r="L105"/>
  <c r="T105" s="1" a="1"/>
  <c r="T105" s="1"/>
  <c r="Z105" s="1"/>
  <c r="J9"/>
  <c r="L9"/>
  <c r="T9" s="1" a="1"/>
  <c r="T9" s="1"/>
  <c r="Z9" s="1"/>
  <c r="M9"/>
  <c r="C305"/>
  <c r="AC305" s="1"/>
  <c r="C121"/>
  <c r="AC121" s="1"/>
  <c r="C25"/>
  <c r="AC25" s="1"/>
  <c r="J13"/>
  <c r="C329"/>
  <c r="AC329" s="1"/>
  <c r="C149"/>
  <c r="AC149" s="1"/>
  <c r="C53"/>
  <c r="AC53" s="1"/>
  <c r="C301"/>
  <c r="AC301" s="1"/>
  <c r="J137"/>
  <c r="L137"/>
  <c r="T137" s="1" a="1"/>
  <c r="T137" s="1"/>
  <c r="Z137" s="1"/>
  <c r="M137"/>
  <c r="J41"/>
  <c r="M41"/>
  <c r="L41"/>
  <c r="T41" s="1" a="1"/>
  <c r="T41" s="1"/>
  <c r="Z41" s="1"/>
  <c r="C209"/>
  <c r="AC209" s="1"/>
  <c r="C73"/>
  <c r="AC73" s="1"/>
  <c r="J61"/>
  <c r="AE37"/>
  <c r="AE117"/>
  <c r="AE57"/>
  <c r="AE33"/>
  <c r="Y129" a="1"/>
  <c r="Y129" s="1"/>
  <c r="AE129"/>
  <c r="X129" a="1"/>
  <c r="X129" s="1"/>
  <c r="AE73"/>
  <c r="AE53"/>
  <c r="X65" a="1"/>
  <c r="X65" s="1"/>
  <c r="Y65" a="1"/>
  <c r="Y65" s="1"/>
  <c r="AE65"/>
  <c r="Y161" a="1"/>
  <c r="Y161" s="1"/>
  <c r="AE161"/>
  <c r="X161" a="1"/>
  <c r="X161" s="1"/>
  <c r="X157" a="1"/>
  <c r="X157" s="1"/>
  <c r="AE157"/>
  <c r="Y157" a="1"/>
  <c r="Y157" s="1"/>
  <c r="AE225"/>
  <c r="AE293"/>
  <c r="AE309"/>
  <c r="Y68" a="1"/>
  <c r="Y68" s="1"/>
  <c r="AE68"/>
  <c r="X68" a="1"/>
  <c r="X68" s="1"/>
  <c r="AE164"/>
  <c r="X164" a="1"/>
  <c r="X164" s="1"/>
  <c r="Y164" a="1"/>
  <c r="Y164" s="1"/>
  <c r="AE284"/>
  <c r="X284" a="1"/>
  <c r="X284" s="1"/>
  <c r="Y284" a="1"/>
  <c r="Y284" s="1"/>
  <c r="AE324"/>
  <c r="AE348"/>
  <c r="X165" a="1"/>
  <c r="X165" s="1"/>
  <c r="Y165" a="1"/>
  <c r="Y165" s="1"/>
  <c r="AE165"/>
  <c r="AE185"/>
  <c r="AE229"/>
  <c r="AE273"/>
  <c r="AE297"/>
  <c r="AE317"/>
  <c r="AE136"/>
  <c r="X136" a="1"/>
  <c r="X136" s="1"/>
  <c r="Y136" a="1"/>
  <c r="Y136" s="1"/>
  <c r="AE160"/>
  <c r="X160" a="1"/>
  <c r="X160" s="1"/>
  <c r="Y160" a="1"/>
  <c r="Y160" s="1"/>
  <c r="Y244" a="1"/>
  <c r="Y244" s="1"/>
  <c r="AE244"/>
  <c r="X244" a="1"/>
  <c r="X244" s="1"/>
  <c r="AE308"/>
  <c r="AE15"/>
  <c r="Y47" a="1"/>
  <c r="Y47" s="1"/>
  <c r="AE47"/>
  <c r="X47" a="1"/>
  <c r="X47" s="1"/>
  <c r="AE51"/>
  <c r="Y67" a="1"/>
  <c r="Y67" s="1"/>
  <c r="AE67"/>
  <c r="X67" a="1"/>
  <c r="X67" s="1"/>
  <c r="Y83" a="1"/>
  <c r="Y83" s="1"/>
  <c r="AE83"/>
  <c r="X83" a="1"/>
  <c r="X83" s="1"/>
  <c r="AE99"/>
  <c r="AE127"/>
  <c r="X127" a="1"/>
  <c r="X127" s="1"/>
  <c r="Y127" a="1"/>
  <c r="Y127" s="1"/>
  <c r="AE131"/>
  <c r="X131" a="1"/>
  <c r="X131" s="1"/>
  <c r="Y131" a="1"/>
  <c r="Y131" s="1"/>
  <c r="AE147"/>
  <c r="Y147" a="1"/>
  <c r="Y147" s="1"/>
  <c r="X147" a="1"/>
  <c r="X147" s="1"/>
  <c r="AE167"/>
  <c r="AE171"/>
  <c r="AE179"/>
  <c r="AE191"/>
  <c r="AE207"/>
  <c r="Y215" a="1"/>
  <c r="Y215" s="1"/>
  <c r="AE215"/>
  <c r="X215" a="1"/>
  <c r="X215" s="1"/>
  <c r="AE219"/>
  <c r="AE235"/>
  <c r="AE251"/>
  <c r="AE255"/>
  <c r="Y259" a="1"/>
  <c r="Y259" s="1"/>
  <c r="AE259"/>
  <c r="X259" a="1"/>
  <c r="X259" s="1"/>
  <c r="AE263"/>
  <c r="AE267"/>
  <c r="AE291"/>
  <c r="X303" a="1"/>
  <c r="X303" s="1"/>
  <c r="Y303" a="1"/>
  <c r="Y303" s="1"/>
  <c r="AE303"/>
  <c r="AE339"/>
  <c r="AE197"/>
  <c r="AE233"/>
  <c r="AE241"/>
  <c r="AE281"/>
  <c r="AE357"/>
  <c r="X84" a="1"/>
  <c r="X84" s="1"/>
  <c r="Y84" a="1"/>
  <c r="Y84" s="1"/>
  <c r="AE84"/>
  <c r="AE100"/>
  <c r="Y124" a="1"/>
  <c r="Y124" s="1"/>
  <c r="X124" a="1"/>
  <c r="X124" s="1"/>
  <c r="AE124"/>
  <c r="X152" a="1"/>
  <c r="X152" s="1"/>
  <c r="Y152" a="1"/>
  <c r="Y152" s="1"/>
  <c r="AE152"/>
  <c r="X168" a="1"/>
  <c r="X168" s="1"/>
  <c r="AE168"/>
  <c r="Y168" a="1"/>
  <c r="Y168" s="1"/>
  <c r="AE180"/>
  <c r="Y180" a="1"/>
  <c r="Y180" s="1"/>
  <c r="X180" a="1"/>
  <c r="X180" s="1"/>
  <c r="AE192"/>
  <c r="X192" a="1"/>
  <c r="X192" s="1"/>
  <c r="Y192" a="1"/>
  <c r="Y192" s="1"/>
  <c r="Y268" a="1"/>
  <c r="Y268" s="1"/>
  <c r="AE268"/>
  <c r="X268" a="1"/>
  <c r="X268" s="1"/>
  <c r="AE300"/>
  <c r="X300" a="1"/>
  <c r="X300" s="1"/>
  <c r="Y300" a="1"/>
  <c r="Y300" s="1"/>
  <c r="AE316"/>
  <c r="AE332"/>
  <c r="Y340" a="1"/>
  <c r="Y340" s="1"/>
  <c r="AE340"/>
  <c r="X340" a="1"/>
  <c r="X340" s="1"/>
  <c r="AE356"/>
  <c r="Y7" a="1"/>
  <c r="Y7" s="1"/>
  <c r="AE7"/>
  <c r="X7" a="1"/>
  <c r="X7" s="1"/>
  <c r="AE23"/>
  <c r="AE31"/>
  <c r="AE177"/>
  <c r="AE237"/>
  <c r="AE325"/>
  <c r="X341" a="1"/>
  <c r="X341" s="1"/>
  <c r="Y341" a="1"/>
  <c r="Y341" s="1"/>
  <c r="AE341"/>
  <c r="AE349"/>
  <c r="AE64"/>
  <c r="X64" a="1"/>
  <c r="X64" s="1"/>
  <c r="Y64" a="1"/>
  <c r="Y64" s="1"/>
  <c r="AE104"/>
  <c r="X104" a="1"/>
  <c r="X104" s="1"/>
  <c r="Y104" a="1"/>
  <c r="Y104" s="1"/>
  <c r="AE112"/>
  <c r="Y156" a="1"/>
  <c r="Y156" s="1"/>
  <c r="AE156"/>
  <c r="X156" a="1"/>
  <c r="X156" s="1"/>
  <c r="Y188" a="1"/>
  <c r="Y188" s="1"/>
  <c r="AE188"/>
  <c r="X188" a="1"/>
  <c r="X188" s="1"/>
  <c r="AE212"/>
  <c r="X212" a="1"/>
  <c r="X212" s="1"/>
  <c r="Y212" a="1"/>
  <c r="Y212" s="1"/>
  <c r="AE252"/>
  <c r="Y252" a="1"/>
  <c r="Y252" s="1"/>
  <c r="X252" a="1"/>
  <c r="X252" s="1"/>
  <c r="Y3" a="1"/>
  <c r="Y3" s="1"/>
  <c r="AE3"/>
  <c r="X3" a="1"/>
  <c r="X3" s="1"/>
  <c r="Y34" a="1"/>
  <c r="Y34" s="1"/>
  <c r="AE34"/>
  <c r="X34" a="1"/>
  <c r="X34" s="1"/>
  <c r="Y66" a="1"/>
  <c r="Y66" s="1"/>
  <c r="AE66"/>
  <c r="X66" a="1"/>
  <c r="X66" s="1"/>
  <c r="AE90"/>
  <c r="Y94" a="1"/>
  <c r="Y94" s="1"/>
  <c r="AE94"/>
  <c r="X94" a="1"/>
  <c r="X94" s="1"/>
  <c r="AE122"/>
  <c r="X126" a="1"/>
  <c r="X126" s="1"/>
  <c r="Y126" a="1"/>
  <c r="Y126" s="1"/>
  <c r="AE126"/>
  <c r="AE134"/>
  <c r="X134" a="1"/>
  <c r="X134" s="1"/>
  <c r="Y134" a="1"/>
  <c r="Y134" s="1"/>
  <c r="AE138"/>
  <c r="AE142"/>
  <c r="X142" a="1"/>
  <c r="X142" s="1"/>
  <c r="Y142" a="1"/>
  <c r="Y142" s="1"/>
  <c r="AE146"/>
  <c r="X146" a="1"/>
  <c r="X146" s="1"/>
  <c r="Y146" a="1"/>
  <c r="Y146" s="1"/>
  <c r="AE194"/>
  <c r="X194" a="1"/>
  <c r="X194" s="1"/>
  <c r="Y194" a="1"/>
  <c r="Y194" s="1"/>
  <c r="AE202"/>
  <c r="Y202" a="1"/>
  <c r="Y202" s="1"/>
  <c r="X202" a="1"/>
  <c r="X202" s="1"/>
  <c r="AE214"/>
  <c r="X214" a="1"/>
  <c r="X214" s="1"/>
  <c r="Y214" a="1"/>
  <c r="Y214" s="1"/>
  <c r="Y222" a="1"/>
  <c r="Y222" s="1"/>
  <c r="AE222"/>
  <c r="X222" a="1"/>
  <c r="X222" s="1"/>
  <c r="AE242"/>
  <c r="Y242" a="1"/>
  <c r="Y242" s="1"/>
  <c r="X242" a="1"/>
  <c r="X242" s="1"/>
  <c r="AE270"/>
  <c r="X270" a="1"/>
  <c r="X270" s="1"/>
  <c r="Y270" a="1"/>
  <c r="Y270" s="1"/>
  <c r="AE282"/>
  <c r="Y282" a="1"/>
  <c r="Y282" s="1"/>
  <c r="X282" a="1"/>
  <c r="X282" s="1"/>
  <c r="AE298"/>
  <c r="Y298" a="1"/>
  <c r="Y298" s="1"/>
  <c r="X298" a="1"/>
  <c r="X298" s="1"/>
  <c r="X302" a="1"/>
  <c r="X302" s="1"/>
  <c r="Y302" a="1"/>
  <c r="Y302" s="1"/>
  <c r="AE302"/>
  <c r="AE358"/>
  <c r="C57"/>
  <c r="AC57" s="1"/>
  <c r="C117"/>
  <c r="AC117" s="1"/>
  <c r="C164"/>
  <c r="AC164" s="1"/>
  <c r="C68"/>
  <c r="AC68" s="1"/>
  <c r="C284"/>
  <c r="AC284" s="1"/>
  <c r="C324"/>
  <c r="AC324" s="1"/>
  <c r="C84"/>
  <c r="AC84" s="1"/>
  <c r="C124"/>
  <c r="AC124" s="1"/>
  <c r="C160"/>
  <c r="AC160" s="1"/>
  <c r="C268"/>
  <c r="AC268" s="1"/>
  <c r="C348"/>
  <c r="AC348" s="1"/>
  <c r="B12" i="9"/>
  <c r="L358" i="3"/>
  <c r="M358"/>
  <c r="M354"/>
  <c r="L354"/>
  <c r="L350"/>
  <c r="M350"/>
  <c r="M346"/>
  <c r="L346"/>
  <c r="L338"/>
  <c r="M338"/>
  <c r="M334"/>
  <c r="L334"/>
  <c r="L330"/>
  <c r="M330"/>
  <c r="M326"/>
  <c r="L326"/>
  <c r="L322"/>
  <c r="M322"/>
  <c r="M318"/>
  <c r="L318"/>
  <c r="L314"/>
  <c r="M314"/>
  <c r="M310"/>
  <c r="L310"/>
  <c r="L306"/>
  <c r="M306"/>
  <c r="M170"/>
  <c r="L170"/>
  <c r="L138"/>
  <c r="M138"/>
  <c r="L122"/>
  <c r="M122"/>
  <c r="M118"/>
  <c r="L118"/>
  <c r="M110"/>
  <c r="L110"/>
  <c r="M106"/>
  <c r="L106"/>
  <c r="M102"/>
  <c r="L102"/>
  <c r="M98"/>
  <c r="L98"/>
  <c r="M90"/>
  <c r="L90"/>
  <c r="M86"/>
  <c r="L86"/>
  <c r="M82"/>
  <c r="L82"/>
  <c r="L78"/>
  <c r="M78"/>
  <c r="L46"/>
  <c r="M46"/>
  <c r="L42"/>
  <c r="M42"/>
  <c r="L30"/>
  <c r="M30"/>
  <c r="M26"/>
  <c r="L26"/>
  <c r="L22"/>
  <c r="M22"/>
  <c r="M18"/>
  <c r="L18"/>
  <c r="M14"/>
  <c r="L14"/>
  <c r="L6"/>
  <c r="M6"/>
  <c r="M39"/>
  <c r="L39"/>
  <c r="M35"/>
  <c r="L35"/>
  <c r="L19"/>
  <c r="M19"/>
  <c r="L11"/>
  <c r="M11"/>
  <c r="U19" a="1"/>
  <c r="P19"/>
  <c r="Q19"/>
  <c r="Q3"/>
  <c r="U3" a="1"/>
  <c r="P3"/>
  <c r="M352"/>
  <c r="L352"/>
  <c r="M336"/>
  <c r="L336"/>
  <c r="L320"/>
  <c r="M320"/>
  <c r="L312"/>
  <c r="M312"/>
  <c r="M172"/>
  <c r="L172"/>
  <c r="L112"/>
  <c r="M112"/>
  <c r="M88"/>
  <c r="L88"/>
  <c r="M80"/>
  <c r="L80"/>
  <c r="M24"/>
  <c r="L24"/>
  <c r="P348"/>
  <c r="Q348"/>
  <c r="U348" a="1"/>
  <c r="P328"/>
  <c r="Q328"/>
  <c r="U328" a="1"/>
  <c r="P320"/>
  <c r="Q320"/>
  <c r="U320" a="1"/>
  <c r="U256" a="1"/>
  <c r="P256"/>
  <c r="Q256"/>
  <c r="U208" a="1"/>
  <c r="P208"/>
  <c r="Q208"/>
  <c r="Q196"/>
  <c r="U196" a="1"/>
  <c r="P196"/>
  <c r="Q172"/>
  <c r="U172" a="1"/>
  <c r="P172"/>
  <c r="U108" a="1"/>
  <c r="P108"/>
  <c r="Q108"/>
  <c r="P92"/>
  <c r="U92" a="1"/>
  <c r="Q92"/>
  <c r="U24" a="1"/>
  <c r="P24"/>
  <c r="Q24"/>
  <c r="U16" a="1"/>
  <c r="P16"/>
  <c r="Q16"/>
  <c r="M349"/>
  <c r="L349"/>
  <c r="M325"/>
  <c r="L325"/>
  <c r="M313"/>
  <c r="L313"/>
  <c r="M301"/>
  <c r="L301"/>
  <c r="M285"/>
  <c r="L285"/>
  <c r="L277"/>
  <c r="M277"/>
  <c r="M261"/>
  <c r="L261"/>
  <c r="M245"/>
  <c r="L245"/>
  <c r="M237"/>
  <c r="L237"/>
  <c r="M217"/>
  <c r="L217"/>
  <c r="M201"/>
  <c r="L201"/>
  <c r="M193"/>
  <c r="L193"/>
  <c r="M177"/>
  <c r="L177"/>
  <c r="U358" a="1"/>
  <c r="Q358"/>
  <c r="P358"/>
  <c r="P354"/>
  <c r="Q354"/>
  <c r="U354" a="1"/>
  <c r="U350" a="1"/>
  <c r="P350"/>
  <c r="Q350"/>
  <c r="P346"/>
  <c r="Q346"/>
  <c r="U346" a="1"/>
  <c r="U338" a="1"/>
  <c r="P338"/>
  <c r="Q338"/>
  <c r="P334"/>
  <c r="Q334"/>
  <c r="U334" a="1"/>
  <c r="U330" a="1"/>
  <c r="P330"/>
  <c r="Q330"/>
  <c r="Q326"/>
  <c r="P326"/>
  <c r="U326" a="1"/>
  <c r="U322" a="1"/>
  <c r="P322"/>
  <c r="Q322"/>
  <c r="Q318"/>
  <c r="P318"/>
  <c r="U318" a="1"/>
  <c r="U314" a="1"/>
  <c r="P314"/>
  <c r="Q314"/>
  <c r="Q310"/>
  <c r="P310"/>
  <c r="U310" a="1"/>
  <c r="U306" a="1"/>
  <c r="P306"/>
  <c r="Q306"/>
  <c r="U278" a="1"/>
  <c r="P278"/>
  <c r="Q278"/>
  <c r="Q274"/>
  <c r="U274" a="1"/>
  <c r="P274"/>
  <c r="U254" a="1"/>
  <c r="P254"/>
  <c r="Q254"/>
  <c r="Q230"/>
  <c r="U230" a="1"/>
  <c r="P230"/>
  <c r="U210" a="1"/>
  <c r="P210"/>
  <c r="Q210"/>
  <c r="P190"/>
  <c r="Q190"/>
  <c r="U190" a="1"/>
  <c r="U186" a="1"/>
  <c r="P186"/>
  <c r="Q186"/>
  <c r="Q174"/>
  <c r="P174"/>
  <c r="U174" a="1"/>
  <c r="Q170"/>
  <c r="U170" a="1"/>
  <c r="P170"/>
  <c r="Q146"/>
  <c r="U146" a="1"/>
  <c r="P146"/>
  <c r="U138" a="1"/>
  <c r="P138"/>
  <c r="Q138"/>
  <c r="U122" a="1"/>
  <c r="P122"/>
  <c r="Q122"/>
  <c r="Q118"/>
  <c r="U118" a="1"/>
  <c r="P118"/>
  <c r="U110" a="1"/>
  <c r="Q110"/>
  <c r="P110"/>
  <c r="U106" a="1"/>
  <c r="P106"/>
  <c r="Q106"/>
  <c r="U102" a="1"/>
  <c r="P102"/>
  <c r="Q102"/>
  <c r="P98"/>
  <c r="Q98"/>
  <c r="U98" a="1"/>
  <c r="Q90"/>
  <c r="U90" a="1"/>
  <c r="P90"/>
  <c r="U86" a="1"/>
  <c r="P86"/>
  <c r="Q86"/>
  <c r="P82"/>
  <c r="Q82"/>
  <c r="U82" a="1"/>
  <c r="U78" a="1"/>
  <c r="P78"/>
  <c r="Q78"/>
  <c r="Q46"/>
  <c r="U46" a="1"/>
  <c r="P46"/>
  <c r="P42"/>
  <c r="U42" a="1"/>
  <c r="Q42"/>
  <c r="U30" a="1"/>
  <c r="P30"/>
  <c r="Q30"/>
  <c r="Q26"/>
  <c r="U26" a="1"/>
  <c r="P26"/>
  <c r="U22" a="1"/>
  <c r="P22"/>
  <c r="Q22"/>
  <c r="U18" a="1"/>
  <c r="P18"/>
  <c r="Q18"/>
  <c r="U14" a="1"/>
  <c r="P14"/>
  <c r="Q14"/>
  <c r="U10" a="1"/>
  <c r="P10"/>
  <c r="Q10"/>
  <c r="U6" a="1"/>
  <c r="P6"/>
  <c r="Q6"/>
  <c r="M31"/>
  <c r="L31"/>
  <c r="M23"/>
  <c r="L23"/>
  <c r="P31"/>
  <c r="Q31"/>
  <c r="U31" a="1"/>
  <c r="P15"/>
  <c r="Q15"/>
  <c r="U15" a="1"/>
  <c r="M356"/>
  <c r="L356"/>
  <c r="M332"/>
  <c r="L332"/>
  <c r="M316"/>
  <c r="L316"/>
  <c r="M108"/>
  <c r="L108"/>
  <c r="L100"/>
  <c r="M100"/>
  <c r="L76"/>
  <c r="M76"/>
  <c r="L44"/>
  <c r="M44"/>
  <c r="L36"/>
  <c r="M36"/>
  <c r="M20"/>
  <c r="L20"/>
  <c r="U352" a="1"/>
  <c r="P352"/>
  <c r="Q352"/>
  <c r="U344" a="1"/>
  <c r="P344"/>
  <c r="Q344"/>
  <c r="U324" a="1"/>
  <c r="P324"/>
  <c r="Q324"/>
  <c r="P312"/>
  <c r="Q312"/>
  <c r="U312" a="1"/>
  <c r="U212" a="1"/>
  <c r="P212"/>
  <c r="Q212"/>
  <c r="P192"/>
  <c r="U192" a="1"/>
  <c r="Q192"/>
  <c r="P168"/>
  <c r="U168" a="1"/>
  <c r="Q168"/>
  <c r="P112"/>
  <c r="Q112"/>
  <c r="U112" a="1"/>
  <c r="U88" a="1"/>
  <c r="Q88"/>
  <c r="P88"/>
  <c r="U80" a="1"/>
  <c r="P80"/>
  <c r="Q80"/>
  <c r="P44"/>
  <c r="Q44"/>
  <c r="U44" a="1"/>
  <c r="Q28"/>
  <c r="P28"/>
  <c r="U28" a="1"/>
  <c r="Q20"/>
  <c r="U20" a="1"/>
  <c r="P20"/>
  <c r="M357"/>
  <c r="L357"/>
  <c r="L345"/>
  <c r="M345"/>
  <c r="M329"/>
  <c r="L329"/>
  <c r="M321"/>
  <c r="L321"/>
  <c r="M305"/>
  <c r="L305"/>
  <c r="M289"/>
  <c r="L289"/>
  <c r="M281"/>
  <c r="L281"/>
  <c r="L265"/>
  <c r="M265"/>
  <c r="M257"/>
  <c r="L257"/>
  <c r="M241"/>
  <c r="L241"/>
  <c r="M233"/>
  <c r="L233"/>
  <c r="M221"/>
  <c r="L221"/>
  <c r="M205"/>
  <c r="L205"/>
  <c r="L197"/>
  <c r="M197"/>
  <c r="M181"/>
  <c r="L181"/>
  <c r="M173"/>
  <c r="L173"/>
  <c r="M355"/>
  <c r="L355"/>
  <c r="M351"/>
  <c r="L351"/>
  <c r="M347"/>
  <c r="L347"/>
  <c r="L339"/>
  <c r="M339"/>
  <c r="M335"/>
  <c r="L335"/>
  <c r="M331"/>
  <c r="L331"/>
  <c r="M327"/>
  <c r="L327"/>
  <c r="M323"/>
  <c r="L323"/>
  <c r="M319"/>
  <c r="L319"/>
  <c r="M315"/>
  <c r="L315"/>
  <c r="M311"/>
  <c r="L311"/>
  <c r="M307"/>
  <c r="L307"/>
  <c r="M299"/>
  <c r="L299"/>
  <c r="M295"/>
  <c r="L295"/>
  <c r="M291"/>
  <c r="L291"/>
  <c r="L287"/>
  <c r="M287"/>
  <c r="M283"/>
  <c r="L283"/>
  <c r="L279"/>
  <c r="M279"/>
  <c r="M275"/>
  <c r="L275"/>
  <c r="M271"/>
  <c r="L271"/>
  <c r="M267"/>
  <c r="L267"/>
  <c r="L263"/>
  <c r="M263"/>
  <c r="M255"/>
  <c r="L255"/>
  <c r="M251"/>
  <c r="L251"/>
  <c r="L247"/>
  <c r="M247"/>
  <c r="M243"/>
  <c r="L243"/>
  <c r="M239"/>
  <c r="L239"/>
  <c r="M235"/>
  <c r="L235"/>
  <c r="L231"/>
  <c r="M231"/>
  <c r="L227"/>
  <c r="M227"/>
  <c r="M223"/>
  <c r="L223"/>
  <c r="L219"/>
  <c r="M219"/>
  <c r="L211"/>
  <c r="M211"/>
  <c r="L207"/>
  <c r="M207"/>
  <c r="M203"/>
  <c r="L203"/>
  <c r="L199"/>
  <c r="M199"/>
  <c r="M195"/>
  <c r="L195"/>
  <c r="M191"/>
  <c r="L191"/>
  <c r="M187"/>
  <c r="L187"/>
  <c r="L183"/>
  <c r="M183"/>
  <c r="L179"/>
  <c r="M179"/>
  <c r="L175"/>
  <c r="M175"/>
  <c r="L171"/>
  <c r="M171"/>
  <c r="L167"/>
  <c r="M167"/>
  <c r="M119"/>
  <c r="L119"/>
  <c r="L111"/>
  <c r="M111"/>
  <c r="M107"/>
  <c r="L107"/>
  <c r="M99"/>
  <c r="L99"/>
  <c r="M91"/>
  <c r="L91"/>
  <c r="L87"/>
  <c r="M87"/>
  <c r="M79"/>
  <c r="L79"/>
  <c r="M59"/>
  <c r="L59"/>
  <c r="L55"/>
  <c r="M55"/>
  <c r="M51"/>
  <c r="L51"/>
  <c r="L27"/>
  <c r="M27"/>
  <c r="M15"/>
  <c r="L15"/>
  <c r="P23"/>
  <c r="Q23"/>
  <c r="U23" a="1"/>
  <c r="M344"/>
  <c r="L344"/>
  <c r="L328"/>
  <c r="M328"/>
  <c r="M308"/>
  <c r="L308"/>
  <c r="L120"/>
  <c r="M120"/>
  <c r="M92"/>
  <c r="L92"/>
  <c r="M32"/>
  <c r="L32"/>
  <c r="M16"/>
  <c r="L16"/>
  <c r="P336"/>
  <c r="Q336"/>
  <c r="U336" a="1"/>
  <c r="U316" a="1"/>
  <c r="P316"/>
  <c r="Q316"/>
  <c r="Q248"/>
  <c r="U248" a="1"/>
  <c r="P248"/>
  <c r="U224" a="1"/>
  <c r="P224"/>
  <c r="Q224"/>
  <c r="U204" a="1"/>
  <c r="P204"/>
  <c r="Q204"/>
  <c r="U140" a="1"/>
  <c r="P140"/>
  <c r="Q140"/>
  <c r="P120"/>
  <c r="Q120"/>
  <c r="U120" a="1"/>
  <c r="P96"/>
  <c r="Q96"/>
  <c r="U96" a="1"/>
  <c r="U36" a="1"/>
  <c r="P36"/>
  <c r="Q36"/>
  <c r="M337"/>
  <c r="L337"/>
  <c r="M317"/>
  <c r="L317"/>
  <c r="M297"/>
  <c r="L297"/>
  <c r="M273"/>
  <c r="L273"/>
  <c r="M253"/>
  <c r="L253"/>
  <c r="M229"/>
  <c r="L229"/>
  <c r="M213"/>
  <c r="L213"/>
  <c r="M185"/>
  <c r="L185"/>
  <c r="U355" a="1"/>
  <c r="P355"/>
  <c r="Q355"/>
  <c r="Q351"/>
  <c r="P351"/>
  <c r="U351" a="1"/>
  <c r="U347" a="1"/>
  <c r="P347"/>
  <c r="Q347"/>
  <c r="U339" a="1"/>
  <c r="Q339"/>
  <c r="P339"/>
  <c r="U335" a="1"/>
  <c r="P335"/>
  <c r="Q335"/>
  <c r="Q331"/>
  <c r="U331" a="1"/>
  <c r="P331"/>
  <c r="U327" a="1"/>
  <c r="P327"/>
  <c r="Q327"/>
  <c r="Q323"/>
  <c r="U323" a="1"/>
  <c r="P323"/>
  <c r="U319" a="1"/>
  <c r="P319"/>
  <c r="Q319"/>
  <c r="Q315"/>
  <c r="U315" a="1"/>
  <c r="P315"/>
  <c r="U311" a="1"/>
  <c r="P311"/>
  <c r="Q311"/>
  <c r="Q307"/>
  <c r="U307" a="1"/>
  <c r="P307"/>
  <c r="P299"/>
  <c r="Q299"/>
  <c r="U299" a="1"/>
  <c r="Q295"/>
  <c r="P295"/>
  <c r="U295" a="1"/>
  <c r="U291" a="1"/>
  <c r="P291"/>
  <c r="Q291"/>
  <c r="Q287"/>
  <c r="U287" a="1"/>
  <c r="P287"/>
  <c r="Q283"/>
  <c r="U283" a="1"/>
  <c r="P283"/>
  <c r="Q279"/>
  <c r="U279" a="1"/>
  <c r="P279"/>
  <c r="P275"/>
  <c r="Q275"/>
  <c r="U275" a="1"/>
  <c r="U271" a="1"/>
  <c r="P271"/>
  <c r="Q271"/>
  <c r="U267" a="1"/>
  <c r="P267"/>
  <c r="Q267"/>
  <c r="P263"/>
  <c r="Q263"/>
  <c r="U263" a="1"/>
  <c r="U255" a="1"/>
  <c r="P255"/>
  <c r="Q255"/>
  <c r="U251" a="1"/>
  <c r="P251"/>
  <c r="Q251"/>
  <c r="U247" a="1"/>
  <c r="P247"/>
  <c r="Q247"/>
  <c r="P243"/>
  <c r="U243" a="1"/>
  <c r="Q243"/>
  <c r="Q239"/>
  <c r="U239" a="1"/>
  <c r="P239"/>
  <c r="U235" a="1"/>
  <c r="P235"/>
  <c r="Q235"/>
  <c r="Q231"/>
  <c r="U231" a="1"/>
  <c r="P231"/>
  <c r="P227"/>
  <c r="Q227"/>
  <c r="U227" a="1"/>
  <c r="P223"/>
  <c r="Q223"/>
  <c r="U223" a="1"/>
  <c r="Q219"/>
  <c r="U219" a="1"/>
  <c r="P219"/>
  <c r="U211" a="1"/>
  <c r="P211"/>
  <c r="Q211"/>
  <c r="U207" a="1"/>
  <c r="P207"/>
  <c r="Q207"/>
  <c r="Q203"/>
  <c r="U203" a="1"/>
  <c r="P203"/>
  <c r="Q199"/>
  <c r="U199" a="1"/>
  <c r="P199"/>
  <c r="P195"/>
  <c r="Q195"/>
  <c r="U195" a="1"/>
  <c r="U191" a="1"/>
  <c r="P191"/>
  <c r="Q191"/>
  <c r="P187"/>
  <c r="Q187"/>
  <c r="U187" a="1"/>
  <c r="U183" a="1"/>
  <c r="Q183"/>
  <c r="P183"/>
  <c r="U179" a="1"/>
  <c r="P179"/>
  <c r="Q179"/>
  <c r="U175" a="1"/>
  <c r="P175"/>
  <c r="Q175"/>
  <c r="U171" a="1"/>
  <c r="P171"/>
  <c r="Q171"/>
  <c r="U167" a="1"/>
  <c r="P167"/>
  <c r="Q167"/>
  <c r="U143" a="1"/>
  <c r="Q143"/>
  <c r="P143"/>
  <c r="U119" a="1"/>
  <c r="P119"/>
  <c r="Q119"/>
  <c r="U111" a="1"/>
  <c r="P111"/>
  <c r="Q111"/>
  <c r="Q107"/>
  <c r="U107" a="1"/>
  <c r="P107"/>
  <c r="U99" a="1"/>
  <c r="Q99"/>
  <c r="P99"/>
  <c r="U91" a="1"/>
  <c r="P91"/>
  <c r="Q91"/>
  <c r="P87"/>
  <c r="U87" a="1"/>
  <c r="Q87"/>
  <c r="Q79"/>
  <c r="U79" a="1"/>
  <c r="P79"/>
  <c r="Q59"/>
  <c r="U59" a="1"/>
  <c r="P59"/>
  <c r="P55"/>
  <c r="Q55"/>
  <c r="U55" a="1"/>
  <c r="U51" a="1"/>
  <c r="P51"/>
  <c r="Q51"/>
  <c r="P39"/>
  <c r="Q39"/>
  <c r="U39" a="1"/>
  <c r="Q35"/>
  <c r="U35" a="1"/>
  <c r="P35"/>
  <c r="U27" a="1"/>
  <c r="P27"/>
  <c r="Q27"/>
  <c r="U11" a="1"/>
  <c r="P11"/>
  <c r="Q11"/>
  <c r="L348"/>
  <c r="M348"/>
  <c r="M324"/>
  <c r="L324"/>
  <c r="M116"/>
  <c r="L116"/>
  <c r="M96"/>
  <c r="L96"/>
  <c r="M28"/>
  <c r="L28"/>
  <c r="M12"/>
  <c r="L12"/>
  <c r="P356"/>
  <c r="Q356"/>
  <c r="U356" a="1"/>
  <c r="U332" a="1"/>
  <c r="P332"/>
  <c r="Q332"/>
  <c r="U308" a="1"/>
  <c r="P308"/>
  <c r="Q308"/>
  <c r="Q272"/>
  <c r="U272" a="1"/>
  <c r="P272"/>
  <c r="U180" a="1"/>
  <c r="P180"/>
  <c r="Q180"/>
  <c r="U116" a="1"/>
  <c r="P116"/>
  <c r="Q116"/>
  <c r="U100" a="1"/>
  <c r="P100"/>
  <c r="Q100"/>
  <c r="P76"/>
  <c r="Q76"/>
  <c r="U76" a="1"/>
  <c r="U32" a="1"/>
  <c r="P32"/>
  <c r="Q32"/>
  <c r="Q12"/>
  <c r="U12" a="1"/>
  <c r="P12"/>
  <c r="M353"/>
  <c r="L353"/>
  <c r="L333"/>
  <c r="M333"/>
  <c r="L309"/>
  <c r="M309"/>
  <c r="M293"/>
  <c r="L293"/>
  <c r="M269"/>
  <c r="L269"/>
  <c r="L249"/>
  <c r="M249"/>
  <c r="M225"/>
  <c r="L225"/>
  <c r="M209"/>
  <c r="L209"/>
  <c r="M189"/>
  <c r="L189"/>
  <c r="U309" a="1"/>
  <c r="P309"/>
  <c r="Q309"/>
  <c r="Q277"/>
  <c r="U277" a="1"/>
  <c r="P277"/>
  <c r="U245" a="1"/>
  <c r="P245"/>
  <c r="Q245"/>
  <c r="Q213"/>
  <c r="P213"/>
  <c r="U213" a="1"/>
  <c r="P181"/>
  <c r="U181" a="1"/>
  <c r="Q181"/>
  <c r="L141"/>
  <c r="M141"/>
  <c r="L109"/>
  <c r="M109"/>
  <c r="U345" a="1"/>
  <c r="P345"/>
  <c r="Q345"/>
  <c r="Q313"/>
  <c r="U313" a="1"/>
  <c r="P313"/>
  <c r="P281"/>
  <c r="Q281"/>
  <c r="U281" a="1"/>
  <c r="Q249"/>
  <c r="U249" a="1"/>
  <c r="P249"/>
  <c r="P217"/>
  <c r="Q217"/>
  <c r="U217" a="1"/>
  <c r="P185"/>
  <c r="Q185"/>
  <c r="U185" a="1"/>
  <c r="Q141"/>
  <c r="U141" a="1"/>
  <c r="P141"/>
  <c r="P109"/>
  <c r="Q109"/>
  <c r="U109" a="1"/>
  <c r="Q77"/>
  <c r="U77" a="1"/>
  <c r="P77"/>
  <c r="P61"/>
  <c r="U61" a="1"/>
  <c r="Q61"/>
  <c r="U29" a="1"/>
  <c r="P29"/>
  <c r="Q29"/>
  <c r="U13" a="1"/>
  <c r="P13"/>
  <c r="Q13"/>
  <c r="P221"/>
  <c r="U221" a="1"/>
  <c r="Q221"/>
  <c r="M97"/>
  <c r="L97"/>
  <c r="M49"/>
  <c r="L49"/>
  <c r="L17"/>
  <c r="M17"/>
  <c r="P257"/>
  <c r="Q257"/>
  <c r="U257" a="1"/>
  <c r="U97" a="1"/>
  <c r="P97"/>
  <c r="Q97"/>
  <c r="U81" a="1"/>
  <c r="P81"/>
  <c r="Q81"/>
  <c r="U33" a="1"/>
  <c r="Q33"/>
  <c r="P33"/>
  <c r="P17"/>
  <c r="Q17"/>
  <c r="U17" a="1"/>
  <c r="P293"/>
  <c r="Q293"/>
  <c r="U293" a="1"/>
  <c r="P197"/>
  <c r="Q197"/>
  <c r="U197" a="1"/>
  <c r="M101"/>
  <c r="L101"/>
  <c r="L53"/>
  <c r="M53"/>
  <c r="M21"/>
  <c r="L21"/>
  <c r="Q265"/>
  <c r="U265" a="1"/>
  <c r="P265"/>
  <c r="U201" a="1"/>
  <c r="P201"/>
  <c r="Q201"/>
  <c r="U117" a="1"/>
  <c r="P117"/>
  <c r="Q117"/>
  <c r="P237"/>
  <c r="Q237"/>
  <c r="U237" a="1"/>
  <c r="U173" a="1"/>
  <c r="P173"/>
  <c r="Q173"/>
  <c r="L89"/>
  <c r="M89"/>
  <c r="L73"/>
  <c r="M73"/>
  <c r="Q337"/>
  <c r="U337" a="1"/>
  <c r="P337"/>
  <c r="P241"/>
  <c r="U241" a="1"/>
  <c r="Q241"/>
  <c r="Q57"/>
  <c r="U57" a="1"/>
  <c r="P57"/>
  <c r="M77"/>
  <c r="L77"/>
  <c r="U349" a="1"/>
  <c r="Q349"/>
  <c r="P349"/>
  <c r="U317" a="1"/>
  <c r="P317"/>
  <c r="Q317"/>
  <c r="Q285"/>
  <c r="P285"/>
  <c r="U285" a="1"/>
  <c r="U253" a="1"/>
  <c r="P253"/>
  <c r="Q253"/>
  <c r="U189" a="1"/>
  <c r="P189"/>
  <c r="Q189"/>
  <c r="L81"/>
  <c r="M81"/>
  <c r="M33"/>
  <c r="L33"/>
  <c r="U193" a="1"/>
  <c r="Q193"/>
  <c r="P193"/>
  <c r="U49" a="1"/>
  <c r="P49"/>
  <c r="Q49"/>
  <c r="U333" a="1"/>
  <c r="P333"/>
  <c r="Q333"/>
  <c r="L57"/>
  <c r="M57"/>
  <c r="U177" a="1"/>
  <c r="P177"/>
  <c r="Q177"/>
  <c r="U89" a="1"/>
  <c r="P89"/>
  <c r="Q89"/>
  <c r="P9"/>
  <c r="Q9"/>
  <c r="U9" a="1"/>
  <c r="U353" a="1"/>
  <c r="P353"/>
  <c r="Q353"/>
  <c r="U321" a="1"/>
  <c r="Q321"/>
  <c r="P321"/>
  <c r="U289" a="1"/>
  <c r="P289"/>
  <c r="Q289"/>
  <c r="U225" a="1"/>
  <c r="P225"/>
  <c r="Q225"/>
  <c r="U261" a="1"/>
  <c r="P261"/>
  <c r="Q261"/>
  <c r="U297" a="1"/>
  <c r="P297"/>
  <c r="Q297"/>
  <c r="Q37"/>
  <c r="U37" a="1"/>
  <c r="P37"/>
  <c r="Q269"/>
  <c r="U269" a="1"/>
  <c r="P269"/>
  <c r="M121"/>
  <c r="L121"/>
  <c r="L25"/>
  <c r="M25"/>
  <c r="U273" a="1"/>
  <c r="P273"/>
  <c r="Q273"/>
  <c r="M29"/>
  <c r="L29"/>
  <c r="U357" a="1"/>
  <c r="Q357"/>
  <c r="P357"/>
  <c r="U325" a="1"/>
  <c r="P325"/>
  <c r="Q325"/>
  <c r="U229" a="1"/>
  <c r="P229"/>
  <c r="Q229"/>
  <c r="M117"/>
  <c r="L117"/>
  <c r="L37"/>
  <c r="M37"/>
  <c r="U233" a="1"/>
  <c r="P233"/>
  <c r="Q233"/>
  <c r="Q101"/>
  <c r="U101" a="1"/>
  <c r="P101"/>
  <c r="U21" a="1"/>
  <c r="P21"/>
  <c r="Q21"/>
  <c r="U205" a="1"/>
  <c r="P205"/>
  <c r="Q205"/>
  <c r="Q305"/>
  <c r="U305" a="1"/>
  <c r="P305"/>
  <c r="Q121"/>
  <c r="U121" a="1"/>
  <c r="P121"/>
  <c r="P25"/>
  <c r="U25" a="1"/>
  <c r="Q25"/>
  <c r="M13"/>
  <c r="L13"/>
  <c r="Q329"/>
  <c r="U329" a="1"/>
  <c r="P329"/>
  <c r="Q149"/>
  <c r="U149" a="1"/>
  <c r="P149"/>
  <c r="P53"/>
  <c r="Q53"/>
  <c r="U53" a="1"/>
  <c r="P301"/>
  <c r="U301" a="1"/>
  <c r="Q301"/>
  <c r="U209" a="1"/>
  <c r="P209"/>
  <c r="Q209"/>
  <c r="U73" a="1"/>
  <c r="P73"/>
  <c r="Q73"/>
  <c r="M61"/>
  <c r="L61"/>
  <c r="Y37" a="1"/>
  <c r="X37" a="1"/>
  <c r="X117" a="1"/>
  <c r="Y117" a="1"/>
  <c r="Y57" a="1"/>
  <c r="X57" a="1"/>
  <c r="Y33" a="1"/>
  <c r="X33" a="1"/>
  <c r="W129"/>
  <c r="Y73" a="1"/>
  <c r="X73" a="1"/>
  <c r="X53" a="1"/>
  <c r="Y53" a="1"/>
  <c r="X225" a="1"/>
  <c r="Y225" a="1"/>
  <c r="X293" a="1"/>
  <c r="Y293" a="1"/>
  <c r="X309" a="1"/>
  <c r="Y309" a="1"/>
  <c r="X324" a="1"/>
  <c r="Y324" a="1"/>
  <c r="X348" a="1"/>
  <c r="Y348" a="1"/>
  <c r="W165"/>
  <c r="Y185" a="1"/>
  <c r="X185" a="1"/>
  <c r="Y229" a="1"/>
  <c r="X229" a="1"/>
  <c r="Y273" a="1"/>
  <c r="X273" a="1"/>
  <c r="X297" a="1"/>
  <c r="Y297" a="1"/>
  <c r="X317" a="1"/>
  <c r="Y317" a="1"/>
  <c r="X308" a="1"/>
  <c r="Y308" a="1"/>
  <c r="Y15" a="1"/>
  <c r="X15" a="1"/>
  <c r="Y51" a="1"/>
  <c r="X51" a="1"/>
  <c r="X99" a="1"/>
  <c r="Y99" a="1"/>
  <c r="W147"/>
  <c r="Y167" a="1"/>
  <c r="X167" a="1"/>
  <c r="Y171" a="1"/>
  <c r="X171" a="1"/>
  <c r="Y179" a="1"/>
  <c r="X179" a="1"/>
  <c r="Y191" a="1"/>
  <c r="X191" a="1"/>
  <c r="Y207" a="1"/>
  <c r="X207" a="1"/>
  <c r="W215"/>
  <c r="Y219" a="1"/>
  <c r="X219" a="1"/>
  <c r="Y235" a="1"/>
  <c r="X235" a="1"/>
  <c r="Y251" a="1"/>
  <c r="X251" a="1"/>
  <c r="Y255" a="1"/>
  <c r="X255" a="1"/>
  <c r="W259"/>
  <c r="Y263" a="1"/>
  <c r="X263" a="1"/>
  <c r="Y267" a="1"/>
  <c r="X267" a="1"/>
  <c r="X291" a="1"/>
  <c r="Y291" a="1"/>
  <c r="W303"/>
  <c r="Y339" a="1"/>
  <c r="X339" a="1"/>
  <c r="X197" a="1"/>
  <c r="Y197" a="1"/>
  <c r="X233" a="1"/>
  <c r="Y233" a="1"/>
  <c r="Y241" a="1"/>
  <c r="X241" a="1"/>
  <c r="X281" a="1"/>
  <c r="Y281" a="1"/>
  <c r="Y357" a="1"/>
  <c r="X357" a="1"/>
  <c r="X100" a="1"/>
  <c r="Y100" a="1"/>
  <c r="X316" a="1"/>
  <c r="Y316" a="1"/>
  <c r="X332" a="1"/>
  <c r="Y332" a="1"/>
  <c r="W340"/>
  <c r="X356" a="1"/>
  <c r="Y356" a="1"/>
  <c r="Y23" a="1"/>
  <c r="X23" a="1"/>
  <c r="Y31" a="1"/>
  <c r="X31" a="1"/>
  <c r="Y177" a="1"/>
  <c r="X177" a="1"/>
  <c r="Y237" a="1"/>
  <c r="X237" a="1"/>
  <c r="X325" a="1"/>
  <c r="Y325" a="1"/>
  <c r="W341"/>
  <c r="Y349" a="1"/>
  <c r="X349" a="1"/>
  <c r="Y112" a="1"/>
  <c r="X112" a="1"/>
  <c r="Y90" a="1"/>
  <c r="X90" a="1"/>
  <c r="X122" a="1"/>
  <c r="Y122" a="1"/>
  <c r="W126"/>
  <c r="Y138" a="1"/>
  <c r="X138" a="1"/>
  <c r="W142"/>
  <c r="X358" a="1"/>
  <c r="Y358" a="1"/>
  <c r="U73" l="1"/>
  <c r="V73" s="1"/>
  <c r="U209"/>
  <c r="V209" s="1"/>
  <c r="U301"/>
  <c r="V301" s="1"/>
  <c r="U53"/>
  <c r="V53" s="1"/>
  <c r="U149"/>
  <c r="U329"/>
  <c r="V329" s="1"/>
  <c r="U25"/>
  <c r="V25" s="1"/>
  <c r="U121"/>
  <c r="V121" s="1"/>
  <c r="U305"/>
  <c r="V305" s="1"/>
  <c r="U205"/>
  <c r="V205" s="1"/>
  <c r="U21"/>
  <c r="V21" s="1"/>
  <c r="U101"/>
  <c r="V101" s="1"/>
  <c r="U233"/>
  <c r="V233" s="1"/>
  <c r="U229"/>
  <c r="V229" s="1"/>
  <c r="U325"/>
  <c r="V325" s="1"/>
  <c r="U357"/>
  <c r="V357" s="1"/>
  <c r="U273"/>
  <c r="V273" s="1"/>
  <c r="U269"/>
  <c r="V269" s="1"/>
  <c r="U37"/>
  <c r="V37" s="1"/>
  <c r="U297"/>
  <c r="V297" s="1"/>
  <c r="U261"/>
  <c r="V261" s="1"/>
  <c r="U225"/>
  <c r="V225" s="1"/>
  <c r="U289"/>
  <c r="V289" s="1"/>
  <c r="U321"/>
  <c r="V321" s="1"/>
  <c r="U353"/>
  <c r="V353" s="1"/>
  <c r="U9"/>
  <c r="U89"/>
  <c r="V89" s="1"/>
  <c r="U177"/>
  <c r="V177" s="1"/>
  <c r="U333"/>
  <c r="V333" s="1"/>
  <c r="U49"/>
  <c r="V49" s="1"/>
  <c r="U193"/>
  <c r="V193" s="1"/>
  <c r="U189"/>
  <c r="V189" s="1"/>
  <c r="U253"/>
  <c r="V253" s="1"/>
  <c r="U285"/>
  <c r="V285" s="1"/>
  <c r="U317"/>
  <c r="V317" s="1"/>
  <c r="U349"/>
  <c r="V349" s="1"/>
  <c r="U57"/>
  <c r="V57" s="1"/>
  <c r="U241"/>
  <c r="V241" s="1"/>
  <c r="U337"/>
  <c r="V337" s="1"/>
  <c r="U173"/>
  <c r="V173" s="1"/>
  <c r="U237"/>
  <c r="V237" s="1"/>
  <c r="U117"/>
  <c r="V117" s="1"/>
  <c r="U201"/>
  <c r="V201" s="1"/>
  <c r="U265"/>
  <c r="V265" s="1"/>
  <c r="U197"/>
  <c r="V197" s="1"/>
  <c r="U293"/>
  <c r="V293" s="1"/>
  <c r="U17"/>
  <c r="V17" s="1"/>
  <c r="U33"/>
  <c r="V33" s="1"/>
  <c r="U81"/>
  <c r="V81" s="1"/>
  <c r="U97"/>
  <c r="V97" s="1"/>
  <c r="U257"/>
  <c r="V257" s="1"/>
  <c r="U221"/>
  <c r="V221" s="1"/>
  <c r="U13"/>
  <c r="V13" s="1"/>
  <c r="U29"/>
  <c r="V29" s="1"/>
  <c r="U61"/>
  <c r="V61" s="1"/>
  <c r="U77"/>
  <c r="V77" s="1"/>
  <c r="U109"/>
  <c r="V109" s="1"/>
  <c r="U141"/>
  <c r="V141" s="1"/>
  <c r="U185"/>
  <c r="V185" s="1"/>
  <c r="U217"/>
  <c r="V217" s="1"/>
  <c r="U249"/>
  <c r="V249" s="1"/>
  <c r="U281"/>
  <c r="V281" s="1"/>
  <c r="U313"/>
  <c r="V313" s="1"/>
  <c r="U345"/>
  <c r="V345" s="1"/>
  <c r="U181"/>
  <c r="V181" s="1"/>
  <c r="U213"/>
  <c r="V213" s="1"/>
  <c r="U245"/>
  <c r="V245" s="1"/>
  <c r="U277"/>
  <c r="V277" s="1"/>
  <c r="U309"/>
  <c r="V309" s="1"/>
  <c r="U12"/>
  <c r="V12" s="1"/>
  <c r="U32"/>
  <c r="V32" s="1"/>
  <c r="U76"/>
  <c r="V76" s="1"/>
  <c r="U100"/>
  <c r="V100" s="1"/>
  <c r="U116"/>
  <c r="V116" s="1"/>
  <c r="U180"/>
  <c r="U272"/>
  <c r="U308"/>
  <c r="V308" s="1"/>
  <c r="U332"/>
  <c r="V332" s="1"/>
  <c r="U356"/>
  <c r="V356" s="1"/>
  <c r="U11"/>
  <c r="V11" s="1"/>
  <c r="U27"/>
  <c r="V27" s="1"/>
  <c r="U35"/>
  <c r="V35" s="1"/>
  <c r="U39"/>
  <c r="V39" s="1"/>
  <c r="U51"/>
  <c r="V51" s="1"/>
  <c r="U55"/>
  <c r="V55" s="1"/>
  <c r="U59"/>
  <c r="V59" s="1"/>
  <c r="U79"/>
  <c r="V79" s="1"/>
  <c r="U87"/>
  <c r="V87" s="1"/>
  <c r="U91"/>
  <c r="V91" s="1"/>
  <c r="U99"/>
  <c r="V99" s="1"/>
  <c r="U107"/>
  <c r="V107" s="1"/>
  <c r="U111"/>
  <c r="V111" s="1"/>
  <c r="U119"/>
  <c r="V119" s="1"/>
  <c r="U143"/>
  <c r="U167"/>
  <c r="V167" s="1"/>
  <c r="U171"/>
  <c r="V171" s="1"/>
  <c r="U175"/>
  <c r="V175" s="1"/>
  <c r="U179"/>
  <c r="V179" s="1"/>
  <c r="U183"/>
  <c r="V183" s="1"/>
  <c r="U187"/>
  <c r="V187" s="1"/>
  <c r="U191"/>
  <c r="V191" s="1"/>
  <c r="U195"/>
  <c r="V195" s="1"/>
  <c r="U199"/>
  <c r="V199" s="1"/>
  <c r="U203"/>
  <c r="V203" s="1"/>
  <c r="U207"/>
  <c r="V207" s="1"/>
  <c r="U211"/>
  <c r="V211" s="1"/>
  <c r="U219"/>
  <c r="V219" s="1"/>
  <c r="U223"/>
  <c r="V223" s="1"/>
  <c r="U227"/>
  <c r="V227" s="1"/>
  <c r="U231"/>
  <c r="V231" s="1"/>
  <c r="U235"/>
  <c r="V235" s="1"/>
  <c r="U239"/>
  <c r="V239" s="1"/>
  <c r="U243"/>
  <c r="V243" s="1"/>
  <c r="U247"/>
  <c r="V247" s="1"/>
  <c r="U251"/>
  <c r="V251" s="1"/>
  <c r="U255"/>
  <c r="V255" s="1"/>
  <c r="U263"/>
  <c r="V263" s="1"/>
  <c r="U267"/>
  <c r="V267" s="1"/>
  <c r="U271"/>
  <c r="V271" s="1"/>
  <c r="U275"/>
  <c r="V275" s="1"/>
  <c r="U279"/>
  <c r="V279" s="1"/>
  <c r="U283"/>
  <c r="V283" s="1"/>
  <c r="U287"/>
  <c r="V287" s="1"/>
  <c r="U291"/>
  <c r="V291" s="1"/>
  <c r="U295"/>
  <c r="V295" s="1"/>
  <c r="U299"/>
  <c r="V299" s="1"/>
  <c r="U307"/>
  <c r="V307" s="1"/>
  <c r="U311"/>
  <c r="V311" s="1"/>
  <c r="U315"/>
  <c r="V315" s="1"/>
  <c r="U319"/>
  <c r="V319" s="1"/>
  <c r="U323"/>
  <c r="V323" s="1"/>
  <c r="U327"/>
  <c r="V327" s="1"/>
  <c r="U331"/>
  <c r="V331" s="1"/>
  <c r="U335"/>
  <c r="V335" s="1"/>
  <c r="U339"/>
  <c r="V339" s="1"/>
  <c r="U347"/>
  <c r="V347" s="1"/>
  <c r="U351"/>
  <c r="V351" s="1"/>
  <c r="U355"/>
  <c r="V355" s="1"/>
  <c r="U36"/>
  <c r="V36" s="1"/>
  <c r="U96"/>
  <c r="V96" s="1"/>
  <c r="U120"/>
  <c r="V120" s="1"/>
  <c r="U140"/>
  <c r="U204"/>
  <c r="U224"/>
  <c r="U248"/>
  <c r="U316"/>
  <c r="V316" s="1"/>
  <c r="U336"/>
  <c r="V336" s="1"/>
  <c r="U23"/>
  <c r="V23" s="1"/>
  <c r="U20"/>
  <c r="V20" s="1"/>
  <c r="U28"/>
  <c r="V28" s="1"/>
  <c r="U44"/>
  <c r="V44" s="1"/>
  <c r="U80"/>
  <c r="V80" s="1"/>
  <c r="U88"/>
  <c r="V88" s="1"/>
  <c r="U112"/>
  <c r="V112" s="1"/>
  <c r="U168"/>
  <c r="U192"/>
  <c r="U212"/>
  <c r="U312"/>
  <c r="V312" s="1"/>
  <c r="U324"/>
  <c r="V324" s="1"/>
  <c r="U344"/>
  <c r="V344" s="1"/>
  <c r="U352"/>
  <c r="V352" s="1"/>
  <c r="U15"/>
  <c r="V15" s="1"/>
  <c r="U31"/>
  <c r="V31" s="1"/>
  <c r="U6"/>
  <c r="V6" s="1"/>
  <c r="U10"/>
  <c r="U14"/>
  <c r="V14" s="1"/>
  <c r="U18"/>
  <c r="V18" s="1"/>
  <c r="U22"/>
  <c r="V22" s="1"/>
  <c r="U26"/>
  <c r="V26" s="1"/>
  <c r="U30"/>
  <c r="V30" s="1"/>
  <c r="U42"/>
  <c r="V42" s="1"/>
  <c r="U46"/>
  <c r="V46" s="1"/>
  <c r="U78"/>
  <c r="V78" s="1"/>
  <c r="U82"/>
  <c r="V82" s="1"/>
  <c r="U86"/>
  <c r="V86" s="1"/>
  <c r="U90"/>
  <c r="V90" s="1"/>
  <c r="U98"/>
  <c r="V98" s="1"/>
  <c r="U102"/>
  <c r="V102" s="1"/>
  <c r="U106"/>
  <c r="V106" s="1"/>
  <c r="U110"/>
  <c r="V110" s="1"/>
  <c r="U118"/>
  <c r="V118" s="1"/>
  <c r="U122"/>
  <c r="V122" s="1"/>
  <c r="U138"/>
  <c r="V138" s="1"/>
  <c r="U146"/>
  <c r="U170"/>
  <c r="V170" s="1"/>
  <c r="U174"/>
  <c r="U186"/>
  <c r="U190"/>
  <c r="U210"/>
  <c r="U230"/>
  <c r="U254"/>
  <c r="U274"/>
  <c r="U278"/>
  <c r="U306"/>
  <c r="V306" s="1"/>
  <c r="U310"/>
  <c r="V310" s="1"/>
  <c r="U314"/>
  <c r="V314" s="1"/>
  <c r="U318"/>
  <c r="V318" s="1"/>
  <c r="U322"/>
  <c r="V322" s="1"/>
  <c r="U326"/>
  <c r="V326" s="1"/>
  <c r="U330"/>
  <c r="V330" s="1"/>
  <c r="U334"/>
  <c r="V334" s="1"/>
  <c r="U338"/>
  <c r="V338" s="1"/>
  <c r="U346"/>
  <c r="V346" s="1"/>
  <c r="U350"/>
  <c r="V350" s="1"/>
  <c r="U354"/>
  <c r="V354" s="1"/>
  <c r="U358"/>
  <c r="V358" s="1"/>
  <c r="U16"/>
  <c r="V16" s="1"/>
  <c r="U24"/>
  <c r="V24" s="1"/>
  <c r="U92"/>
  <c r="V92" s="1"/>
  <c r="U108"/>
  <c r="V108" s="1"/>
  <c r="U172"/>
  <c r="V172" s="1"/>
  <c r="U196"/>
  <c r="U208"/>
  <c r="U256"/>
  <c r="U320"/>
  <c r="V320" s="1"/>
  <c r="U328"/>
  <c r="V328" s="1"/>
  <c r="U348"/>
  <c r="V348" s="1"/>
  <c r="U3"/>
  <c r="U19"/>
  <c r="V19" s="1"/>
  <c r="AE61"/>
  <c r="AE41"/>
  <c r="Y41" a="1"/>
  <c r="Y41" s="1"/>
  <c r="X41" a="1"/>
  <c r="X41" s="1"/>
  <c r="AE137"/>
  <c r="Y137" a="1"/>
  <c r="Y137" s="1"/>
  <c r="X137" a="1"/>
  <c r="X137" s="1"/>
  <c r="AE13"/>
  <c r="C9"/>
  <c r="AC9" s="1"/>
  <c r="Y9" a="1"/>
  <c r="Y9" s="1"/>
  <c r="AE9"/>
  <c r="X9" a="1"/>
  <c r="X9" s="1"/>
  <c r="AE105"/>
  <c r="X105" a="1"/>
  <c r="X105" s="1"/>
  <c r="Y105" a="1"/>
  <c r="Y105" s="1"/>
  <c r="AE29"/>
  <c r="AE25"/>
  <c r="AE121"/>
  <c r="AE69"/>
  <c r="X69" a="1"/>
  <c r="X69" s="1"/>
  <c r="Y69" a="1"/>
  <c r="Y69" s="1"/>
  <c r="Y133" a="1"/>
  <c r="Y133" s="1"/>
  <c r="AE133"/>
  <c r="X133" a="1"/>
  <c r="X133" s="1"/>
  <c r="Y153" a="1"/>
  <c r="Y153" s="1"/>
  <c r="X153" a="1"/>
  <c r="X153" s="1"/>
  <c r="AE153"/>
  <c r="X5" a="1"/>
  <c r="X5" s="1"/>
  <c r="Y5" a="1"/>
  <c r="Y5" s="1"/>
  <c r="AE5"/>
  <c r="AE85"/>
  <c r="Y85" a="1"/>
  <c r="Y85" s="1"/>
  <c r="X85" a="1"/>
  <c r="X85" s="1"/>
  <c r="C81"/>
  <c r="AC81" s="1"/>
  <c r="AE81"/>
  <c r="AE45"/>
  <c r="X45" a="1"/>
  <c r="X45" s="1"/>
  <c r="Y45" a="1"/>
  <c r="Y45" s="1"/>
  <c r="AE77"/>
  <c r="AE89"/>
  <c r="AE21"/>
  <c r="AE101"/>
  <c r="X149" a="1"/>
  <c r="X149" s="1"/>
  <c r="Y149" a="1"/>
  <c r="Y149" s="1"/>
  <c r="AE149"/>
  <c r="AE17"/>
  <c r="AE49"/>
  <c r="AE97"/>
  <c r="X113" a="1"/>
  <c r="X113" s="1"/>
  <c r="Y113" a="1"/>
  <c r="Y113" s="1"/>
  <c r="AE113"/>
  <c r="AE145"/>
  <c r="X145" a="1"/>
  <c r="X145" s="1"/>
  <c r="Y145" a="1"/>
  <c r="Y145" s="1"/>
  <c r="AE93"/>
  <c r="X93" a="1"/>
  <c r="X93" s="1"/>
  <c r="Y93" a="1"/>
  <c r="Y93" s="1"/>
  <c r="AE109"/>
  <c r="X125" a="1"/>
  <c r="X125" s="1"/>
  <c r="Y125" a="1"/>
  <c r="Y125" s="1"/>
  <c r="AE125"/>
  <c r="AE141"/>
  <c r="AE169"/>
  <c r="X169" a="1"/>
  <c r="X169" s="1"/>
  <c r="Y169" a="1"/>
  <c r="Y169" s="1"/>
  <c r="AE189"/>
  <c r="AE209"/>
  <c r="AE249"/>
  <c r="AE269"/>
  <c r="AE333"/>
  <c r="AE353"/>
  <c r="AE12"/>
  <c r="AE28"/>
  <c r="AE52"/>
  <c r="X52" a="1"/>
  <c r="X52" s="1"/>
  <c r="Y52" a="1"/>
  <c r="Y52" s="1"/>
  <c r="AE96"/>
  <c r="AE116"/>
  <c r="AE140"/>
  <c r="Y140" a="1"/>
  <c r="Y140" s="1"/>
  <c r="X140" a="1"/>
  <c r="X140" s="1"/>
  <c r="AE184"/>
  <c r="X184" a="1"/>
  <c r="X184" s="1"/>
  <c r="Y184" a="1"/>
  <c r="Y184" s="1"/>
  <c r="AE204"/>
  <c r="Y204" a="1"/>
  <c r="Y204" s="1"/>
  <c r="X204" a="1"/>
  <c r="X204" s="1"/>
  <c r="AE224"/>
  <c r="X224" a="1"/>
  <c r="X224" s="1"/>
  <c r="Y224" a="1"/>
  <c r="Y224" s="1"/>
  <c r="AE248"/>
  <c r="X248" a="1"/>
  <c r="X248" s="1"/>
  <c r="Y248" a="1"/>
  <c r="Y248" s="1"/>
  <c r="AE264"/>
  <c r="X264" a="1"/>
  <c r="X264" s="1"/>
  <c r="Y264" a="1"/>
  <c r="Y264" s="1"/>
  <c r="AE304"/>
  <c r="Y304" a="1"/>
  <c r="Y304" s="1"/>
  <c r="X304" a="1"/>
  <c r="X304" s="1"/>
  <c r="AE213"/>
  <c r="AE253"/>
  <c r="AE337"/>
  <c r="AE16"/>
  <c r="AE32"/>
  <c r="AE56"/>
  <c r="Y56" a="1"/>
  <c r="Y56" s="1"/>
  <c r="X56" a="1"/>
  <c r="X56" s="1"/>
  <c r="AE72"/>
  <c r="Y72" a="1"/>
  <c r="Y72" s="1"/>
  <c r="X72" a="1"/>
  <c r="X72" s="1"/>
  <c r="AE92"/>
  <c r="AE120"/>
  <c r="AE176"/>
  <c r="X176" a="1"/>
  <c r="X176" s="1"/>
  <c r="Y176" a="1"/>
  <c r="Y176" s="1"/>
  <c r="AE200"/>
  <c r="Y200" a="1"/>
  <c r="Y200" s="1"/>
  <c r="X200" a="1"/>
  <c r="X200" s="1"/>
  <c r="AE220"/>
  <c r="Y220" a="1"/>
  <c r="Y220" s="1"/>
  <c r="X220" a="1"/>
  <c r="X220" s="1"/>
  <c r="AE260"/>
  <c r="Y260" a="1"/>
  <c r="Y260" s="1"/>
  <c r="X260" a="1"/>
  <c r="X260" s="1"/>
  <c r="AE288"/>
  <c r="X288" a="1"/>
  <c r="X288" s="1"/>
  <c r="Y288" a="1"/>
  <c r="Y288" s="1"/>
  <c r="AE328"/>
  <c r="AE344"/>
  <c r="AE27"/>
  <c r="AE55"/>
  <c r="AE59"/>
  <c r="AE63"/>
  <c r="X63" a="1"/>
  <c r="X63" s="1"/>
  <c r="Y63" a="1"/>
  <c r="Y63" s="1"/>
  <c r="AE71"/>
  <c r="X71" a="1"/>
  <c r="X71" s="1"/>
  <c r="Y71" a="1"/>
  <c r="Y71" s="1"/>
  <c r="AE75"/>
  <c r="Y75" a="1"/>
  <c r="Y75" s="1"/>
  <c r="X75" a="1"/>
  <c r="X75" s="1"/>
  <c r="AE79"/>
  <c r="AE87"/>
  <c r="AE91"/>
  <c r="AE95"/>
  <c r="Y95" a="1"/>
  <c r="Y95" s="1"/>
  <c r="X95" a="1"/>
  <c r="X95" s="1"/>
  <c r="AE103"/>
  <c r="X103" a="1"/>
  <c r="X103" s="1"/>
  <c r="Y103" a="1"/>
  <c r="Y103" s="1"/>
  <c r="AE107"/>
  <c r="AE111"/>
  <c r="AE115"/>
  <c r="Y115" a="1"/>
  <c r="Y115" s="1"/>
  <c r="X115" a="1"/>
  <c r="X115" s="1"/>
  <c r="AE119"/>
  <c r="AE123"/>
  <c r="Y123" a="1"/>
  <c r="Y123" s="1"/>
  <c r="X123" a="1"/>
  <c r="X123" s="1"/>
  <c r="X135" a="1"/>
  <c r="X135" s="1"/>
  <c r="Y135" a="1"/>
  <c r="Y135" s="1"/>
  <c r="AE135"/>
  <c r="AE139"/>
  <c r="X139" a="1"/>
  <c r="X139" s="1"/>
  <c r="Y139" a="1"/>
  <c r="Y139" s="1"/>
  <c r="X143" a="1"/>
  <c r="X143" s="1"/>
  <c r="Y143" a="1"/>
  <c r="Y143" s="1"/>
  <c r="AE143"/>
  <c r="X151" a="1"/>
  <c r="X151" s="1"/>
  <c r="Y151" a="1"/>
  <c r="Y151" s="1"/>
  <c r="AE151"/>
  <c r="AE155"/>
  <c r="X155" a="1"/>
  <c r="X155" s="1"/>
  <c r="Y155" a="1"/>
  <c r="Y155" s="1"/>
  <c r="AE159"/>
  <c r="X159" a="1"/>
  <c r="X159" s="1"/>
  <c r="Y159" a="1"/>
  <c r="Y159" s="1"/>
  <c r="X163" a="1"/>
  <c r="X163" s="1"/>
  <c r="Y163" a="1"/>
  <c r="Y163" s="1"/>
  <c r="AE163"/>
  <c r="AE175"/>
  <c r="AE183"/>
  <c r="AE187"/>
  <c r="AE195"/>
  <c r="AE199"/>
  <c r="AE203"/>
  <c r="AE211"/>
  <c r="AE223"/>
  <c r="AE227"/>
  <c r="AE231"/>
  <c r="AE239"/>
  <c r="AE243"/>
  <c r="AE247"/>
  <c r="AE271"/>
  <c r="AE275"/>
  <c r="AE279"/>
  <c r="AE283"/>
  <c r="AE287"/>
  <c r="AE295"/>
  <c r="AE299"/>
  <c r="AE307"/>
  <c r="AE311"/>
  <c r="AE315"/>
  <c r="AE319"/>
  <c r="AE323"/>
  <c r="AE327"/>
  <c r="AE331"/>
  <c r="AE335"/>
  <c r="AE343"/>
  <c r="X343" a="1"/>
  <c r="X343" s="1"/>
  <c r="Y343" a="1"/>
  <c r="Y343" s="1"/>
  <c r="AE347"/>
  <c r="AE351"/>
  <c r="AE355"/>
  <c r="AE173"/>
  <c r="AE181"/>
  <c r="AE205"/>
  <c r="AE221"/>
  <c r="AE257"/>
  <c r="AE265"/>
  <c r="AE289"/>
  <c r="AE305"/>
  <c r="AE321"/>
  <c r="AE329"/>
  <c r="AE345"/>
  <c r="AE4"/>
  <c r="X4" a="1"/>
  <c r="X4" s="1"/>
  <c r="Y4" a="1"/>
  <c r="Y4" s="1"/>
  <c r="AE20"/>
  <c r="AE36"/>
  <c r="AE44"/>
  <c r="Y60" a="1"/>
  <c r="Y60" s="1"/>
  <c r="AE60"/>
  <c r="X60" a="1"/>
  <c r="X60" s="1"/>
  <c r="AE76"/>
  <c r="C108"/>
  <c r="AC108" s="1"/>
  <c r="AE108"/>
  <c r="X132" a="1"/>
  <c r="X132" s="1"/>
  <c r="Y132" a="1"/>
  <c r="Y132" s="1"/>
  <c r="AE132"/>
  <c r="X148" a="1"/>
  <c r="X148" s="1"/>
  <c r="Y148" a="1"/>
  <c r="Y148" s="1"/>
  <c r="AE148"/>
  <c r="C208"/>
  <c r="AC208" s="1"/>
  <c r="Y208" a="1"/>
  <c r="Y208" s="1"/>
  <c r="AE208"/>
  <c r="X208" a="1"/>
  <c r="X208" s="1"/>
  <c r="AE216"/>
  <c r="Y216" a="1"/>
  <c r="Y216" s="1"/>
  <c r="X216" a="1"/>
  <c r="X216" s="1"/>
  <c r="AE232"/>
  <c r="Y232" a="1"/>
  <c r="Y232" s="1"/>
  <c r="X232" a="1"/>
  <c r="X232" s="1"/>
  <c r="AE240"/>
  <c r="Y240" a="1"/>
  <c r="Y240" s="1"/>
  <c r="X240" a="1"/>
  <c r="X240" s="1"/>
  <c r="C256"/>
  <c r="AC256" s="1"/>
  <c r="Y256" a="1"/>
  <c r="Y256" s="1"/>
  <c r="AE256"/>
  <c r="X256" a="1"/>
  <c r="X256" s="1"/>
  <c r="AE276"/>
  <c r="Y276" a="1"/>
  <c r="Y276" s="1"/>
  <c r="X276" a="1"/>
  <c r="X276" s="1"/>
  <c r="AE292"/>
  <c r="Y292" a="1"/>
  <c r="Y292" s="1"/>
  <c r="X292" a="1"/>
  <c r="X292" s="1"/>
  <c r="AE43"/>
  <c r="Y43" a="1"/>
  <c r="Y43" s="1"/>
  <c r="X43" a="1"/>
  <c r="X43" s="1"/>
  <c r="AE193"/>
  <c r="AE201"/>
  <c r="AE217"/>
  <c r="AE245"/>
  <c r="AE261"/>
  <c r="AE277"/>
  <c r="AE285"/>
  <c r="AE301"/>
  <c r="AE313"/>
  <c r="AE24"/>
  <c r="AE40"/>
  <c r="X40" a="1"/>
  <c r="X40" s="1"/>
  <c r="Y40" a="1"/>
  <c r="Y40" s="1"/>
  <c r="AE48"/>
  <c r="X48" a="1"/>
  <c r="X48" s="1"/>
  <c r="Y48" a="1"/>
  <c r="Y48" s="1"/>
  <c r="AE80"/>
  <c r="AE88"/>
  <c r="X128" a="1"/>
  <c r="X128" s="1"/>
  <c r="Y128" a="1"/>
  <c r="Y128" s="1"/>
  <c r="AE128"/>
  <c r="X144" a="1"/>
  <c r="X144" s="1"/>
  <c r="Y144" a="1"/>
  <c r="Y144" s="1"/>
  <c r="AE144"/>
  <c r="AE172"/>
  <c r="AE196"/>
  <c r="Y196" a="1"/>
  <c r="Y196" s="1"/>
  <c r="X196" a="1"/>
  <c r="X196" s="1"/>
  <c r="AE228"/>
  <c r="Y228" a="1"/>
  <c r="Y228" s="1"/>
  <c r="X228" a="1"/>
  <c r="X228" s="1"/>
  <c r="AE236"/>
  <c r="Y236" a="1"/>
  <c r="Y236" s="1"/>
  <c r="X236" a="1"/>
  <c r="X236" s="1"/>
  <c r="AE272"/>
  <c r="X272" a="1"/>
  <c r="X272" s="1"/>
  <c r="Y272" a="1"/>
  <c r="Y272" s="1"/>
  <c r="AE280"/>
  <c r="X280" a="1"/>
  <c r="X280" s="1"/>
  <c r="Y280" a="1"/>
  <c r="Y280" s="1"/>
  <c r="AE296"/>
  <c r="X296" a="1"/>
  <c r="X296" s="1"/>
  <c r="Y296" a="1"/>
  <c r="Y296" s="1"/>
  <c r="AE312"/>
  <c r="AE320"/>
  <c r="AE336"/>
  <c r="AE352"/>
  <c r="AE11"/>
  <c r="AE19"/>
  <c r="AE35"/>
  <c r="AE39"/>
  <c r="AE6"/>
  <c r="AE10"/>
  <c r="X10" a="1"/>
  <c r="X10" s="1"/>
  <c r="Y10" a="1"/>
  <c r="Y10" s="1"/>
  <c r="AE14"/>
  <c r="AE18"/>
  <c r="AE22"/>
  <c r="AE26"/>
  <c r="AE30"/>
  <c r="AE38"/>
  <c r="Y38" a="1"/>
  <c r="Y38" s="1"/>
  <c r="X38" a="1"/>
  <c r="X38" s="1"/>
  <c r="AE42"/>
  <c r="AE46"/>
  <c r="AE50"/>
  <c r="Y50" a="1"/>
  <c r="Y50" s="1"/>
  <c r="X50" a="1"/>
  <c r="X50" s="1"/>
  <c r="AE54"/>
  <c r="X54" a="1"/>
  <c r="X54" s="1"/>
  <c r="Y54" a="1"/>
  <c r="Y54" s="1"/>
  <c r="AE58"/>
  <c r="Y58" a="1"/>
  <c r="Y58" s="1"/>
  <c r="X58" a="1"/>
  <c r="X58" s="1"/>
  <c r="AE62"/>
  <c r="X62" a="1"/>
  <c r="X62" s="1"/>
  <c r="Y62" a="1"/>
  <c r="Y62" s="1"/>
  <c r="Y70" a="1"/>
  <c r="Y70" s="1"/>
  <c r="AE70"/>
  <c r="X70" a="1"/>
  <c r="X70" s="1"/>
  <c r="AE74"/>
  <c r="X74" a="1"/>
  <c r="X74" s="1"/>
  <c r="Y74" a="1"/>
  <c r="Y74" s="1"/>
  <c r="AE78"/>
  <c r="AE82"/>
  <c r="AE86"/>
  <c r="AE98"/>
  <c r="AE102"/>
  <c r="AE106"/>
  <c r="AE110"/>
  <c r="X114" a="1"/>
  <c r="X114" s="1"/>
  <c r="Y114" a="1"/>
  <c r="Y114" s="1"/>
  <c r="AE114"/>
  <c r="AE118"/>
  <c r="X130" a="1"/>
  <c r="X130" s="1"/>
  <c r="Y130" a="1"/>
  <c r="Y130" s="1"/>
  <c r="AE130"/>
  <c r="X150" a="1"/>
  <c r="X150" s="1"/>
  <c r="Y150" a="1"/>
  <c r="Y150" s="1"/>
  <c r="AE150"/>
  <c r="AE154"/>
  <c r="X154" a="1"/>
  <c r="X154" s="1"/>
  <c r="Y154" a="1"/>
  <c r="Y154" s="1"/>
  <c r="AE158"/>
  <c r="X158" a="1"/>
  <c r="X158" s="1"/>
  <c r="Y158" a="1"/>
  <c r="Y158" s="1"/>
  <c r="X162" a="1"/>
  <c r="X162" s="1"/>
  <c r="Y162" a="1"/>
  <c r="Y162" s="1"/>
  <c r="AE162"/>
  <c r="AE166"/>
  <c r="Y166" a="1"/>
  <c r="Y166" s="1"/>
  <c r="X166" a="1"/>
  <c r="X166" s="1"/>
  <c r="AE170"/>
  <c r="AE174"/>
  <c r="X174" a="1"/>
  <c r="X174" s="1"/>
  <c r="Y174" a="1"/>
  <c r="Y174" s="1"/>
  <c r="AE178"/>
  <c r="Y178" a="1"/>
  <c r="Y178" s="1"/>
  <c r="X178" a="1"/>
  <c r="X178" s="1"/>
  <c r="AE182"/>
  <c r="X182" a="1"/>
  <c r="X182" s="1"/>
  <c r="Y182" a="1"/>
  <c r="Y182" s="1"/>
  <c r="AE186"/>
  <c r="Y186" a="1"/>
  <c r="Y186" s="1"/>
  <c r="X186" a="1"/>
  <c r="X186" s="1"/>
  <c r="AE190"/>
  <c r="X190" a="1"/>
  <c r="X190" s="1"/>
  <c r="Y190" a="1"/>
  <c r="Y190" s="1"/>
  <c r="AE198"/>
  <c r="X198" a="1"/>
  <c r="X198" s="1"/>
  <c r="Y198" a="1"/>
  <c r="Y198" s="1"/>
  <c r="AE206"/>
  <c r="X206" a="1"/>
  <c r="X206" s="1"/>
  <c r="Y206" a="1"/>
  <c r="Y206" s="1"/>
  <c r="AE210"/>
  <c r="Y210" a="1"/>
  <c r="Y210" s="1"/>
  <c r="X210" a="1"/>
  <c r="X210" s="1"/>
  <c r="AE218"/>
  <c r="Y218" a="1"/>
  <c r="Y218" s="1"/>
  <c r="X218" a="1"/>
  <c r="X218" s="1"/>
  <c r="AE226"/>
  <c r="Y226" a="1"/>
  <c r="Y226" s="1"/>
  <c r="X226" a="1"/>
  <c r="X226" s="1"/>
  <c r="AE230"/>
  <c r="Y230" a="1"/>
  <c r="Y230" s="1"/>
  <c r="X230" a="1"/>
  <c r="X230" s="1"/>
  <c r="AE234"/>
  <c r="Y234" a="1"/>
  <c r="Y234" s="1"/>
  <c r="X234" a="1"/>
  <c r="X234" s="1"/>
  <c r="AE238"/>
  <c r="Y238" a="1"/>
  <c r="Y238" s="1"/>
  <c r="X238" a="1"/>
  <c r="X238" s="1"/>
  <c r="AE246"/>
  <c r="Y246" a="1"/>
  <c r="Y246" s="1"/>
  <c r="X246" a="1"/>
  <c r="X246" s="1"/>
  <c r="AE250"/>
  <c r="Y250" a="1"/>
  <c r="Y250" s="1"/>
  <c r="X250" a="1"/>
  <c r="X250" s="1"/>
  <c r="AE254"/>
  <c r="Y254" a="1"/>
  <c r="Y254" s="1"/>
  <c r="X254" a="1"/>
  <c r="X254" s="1"/>
  <c r="Y258" a="1"/>
  <c r="Y258" s="1"/>
  <c r="AE258"/>
  <c r="X258" a="1"/>
  <c r="X258" s="1"/>
  <c r="AE262"/>
  <c r="Y262" a="1"/>
  <c r="Y262" s="1"/>
  <c r="X262" a="1"/>
  <c r="X262" s="1"/>
  <c r="AE266"/>
  <c r="X266" a="1"/>
  <c r="X266" s="1"/>
  <c r="Y266" a="1"/>
  <c r="Y266" s="1"/>
  <c r="Y274" a="1"/>
  <c r="Y274" s="1"/>
  <c r="AE274"/>
  <c r="X274" a="1"/>
  <c r="X274" s="1"/>
  <c r="AE278"/>
  <c r="Y278" a="1"/>
  <c r="Y278" s="1"/>
  <c r="X278" a="1"/>
  <c r="X278" s="1"/>
  <c r="AE286"/>
  <c r="Y286" a="1"/>
  <c r="Y286" s="1"/>
  <c r="X286" a="1"/>
  <c r="X286" s="1"/>
  <c r="AE290"/>
  <c r="X290" a="1"/>
  <c r="X290" s="1"/>
  <c r="Y290" a="1"/>
  <c r="Y290" s="1"/>
  <c r="AE294"/>
  <c r="Y294" a="1"/>
  <c r="Y294" s="1"/>
  <c r="X294" a="1"/>
  <c r="X294" s="1"/>
  <c r="AE306"/>
  <c r="AE310"/>
  <c r="AE314"/>
  <c r="AE318"/>
  <c r="AE322"/>
  <c r="AE326"/>
  <c r="AE330"/>
  <c r="AE334"/>
  <c r="AE338"/>
  <c r="AE342"/>
  <c r="X342" a="1"/>
  <c r="X342" s="1"/>
  <c r="Y342" a="1"/>
  <c r="Y342" s="1"/>
  <c r="AE346"/>
  <c r="AE350"/>
  <c r="AE354"/>
  <c r="C41"/>
  <c r="AC41" s="1"/>
  <c r="C137"/>
  <c r="AC137" s="1"/>
  <c r="C105"/>
  <c r="AC105" s="1"/>
  <c r="C153"/>
  <c r="AC153" s="1"/>
  <c r="C69"/>
  <c r="AC69" s="1"/>
  <c r="C29"/>
  <c r="AC29" s="1"/>
  <c r="C61"/>
  <c r="AC61" s="1"/>
  <c r="C77"/>
  <c r="AC77" s="1"/>
  <c r="C96"/>
  <c r="AC96" s="1"/>
  <c r="C140"/>
  <c r="AC140" s="1"/>
  <c r="C184"/>
  <c r="AC184" s="1"/>
  <c r="C204"/>
  <c r="AC204" s="1"/>
  <c r="C224"/>
  <c r="AC224" s="1"/>
  <c r="C248"/>
  <c r="AC248" s="1"/>
  <c r="C264"/>
  <c r="AC264" s="1"/>
  <c r="C28"/>
  <c r="AC28" s="1"/>
  <c r="C176"/>
  <c r="AC176" s="1"/>
  <c r="C260"/>
  <c r="AC260" s="1"/>
  <c r="C344"/>
  <c r="AC344" s="1"/>
  <c r="C16"/>
  <c r="AC16" s="1"/>
  <c r="C92"/>
  <c r="AC92" s="1"/>
  <c r="C220"/>
  <c r="AC220" s="1"/>
  <c r="C304"/>
  <c r="AC304" s="1"/>
  <c r="C328"/>
  <c r="AC328" s="1"/>
  <c r="Y358"/>
  <c r="X358"/>
  <c r="X138"/>
  <c r="Y138"/>
  <c r="Y122"/>
  <c r="X122"/>
  <c r="X90"/>
  <c r="Y90"/>
  <c r="X112"/>
  <c r="Y112"/>
  <c r="X349"/>
  <c r="Y349"/>
  <c r="Y325"/>
  <c r="X325"/>
  <c r="X237"/>
  <c r="Y237"/>
  <c r="X177"/>
  <c r="Y177"/>
  <c r="X31"/>
  <c r="Y31"/>
  <c r="X23"/>
  <c r="Y23"/>
  <c r="Y356"/>
  <c r="X356"/>
  <c r="Y332"/>
  <c r="X332"/>
  <c r="Y316"/>
  <c r="X316"/>
  <c r="Y100"/>
  <c r="X100"/>
  <c r="X357"/>
  <c r="Y357"/>
  <c r="Y281"/>
  <c r="X281"/>
  <c r="X241"/>
  <c r="Y241"/>
  <c r="Y233"/>
  <c r="X233"/>
  <c r="Y197"/>
  <c r="X197"/>
  <c r="X339"/>
  <c r="Y339"/>
  <c r="Y291"/>
  <c r="X291"/>
  <c r="X267"/>
  <c r="Y267"/>
  <c r="X263"/>
  <c r="Y263"/>
  <c r="X255"/>
  <c r="Y255"/>
  <c r="X251"/>
  <c r="Y251"/>
  <c r="X235"/>
  <c r="Y235"/>
  <c r="X219"/>
  <c r="Y219"/>
  <c r="X207"/>
  <c r="Y207"/>
  <c r="X191"/>
  <c r="Y191"/>
  <c r="X179"/>
  <c r="Y179"/>
  <c r="X171"/>
  <c r="Y171"/>
  <c r="X167"/>
  <c r="Y167"/>
  <c r="Y99"/>
  <c r="X99"/>
  <c r="X51"/>
  <c r="Y51"/>
  <c r="X15"/>
  <c r="Y15"/>
  <c r="Y308"/>
  <c r="X308"/>
  <c r="Y317"/>
  <c r="X317"/>
  <c r="Y297"/>
  <c r="X297"/>
  <c r="X273"/>
  <c r="Y273"/>
  <c r="X229"/>
  <c r="Y229"/>
  <c r="X185"/>
  <c r="Y185"/>
  <c r="Y348"/>
  <c r="X348"/>
  <c r="Y324"/>
  <c r="X324"/>
  <c r="Y309"/>
  <c r="X309"/>
  <c r="Y293"/>
  <c r="X293"/>
  <c r="Y225"/>
  <c r="X225"/>
  <c r="Y53"/>
  <c r="X53"/>
  <c r="X73"/>
  <c r="Y73"/>
  <c r="X33"/>
  <c r="Y33"/>
  <c r="X57"/>
  <c r="Y57"/>
  <c r="Y117"/>
  <c r="X117"/>
  <c r="X37"/>
  <c r="Y37"/>
  <c r="V256"/>
  <c r="V208"/>
  <c r="V196"/>
  <c r="V278"/>
  <c r="V274"/>
  <c r="V254"/>
  <c r="V230"/>
  <c r="V210"/>
  <c r="V190"/>
  <c r="V186"/>
  <c r="V174"/>
  <c r="V10"/>
  <c r="V248"/>
  <c r="V224"/>
  <c r="V204"/>
  <c r="V140"/>
  <c r="V143"/>
  <c r="V272"/>
  <c r="V9"/>
  <c r="V149"/>
  <c r="B13" i="9"/>
  <c r="W180" i="3"/>
  <c r="W168"/>
  <c r="W192"/>
  <c r="W212"/>
  <c r="W146"/>
  <c r="W3"/>
  <c r="T61" a="1"/>
  <c r="T13" a="1"/>
  <c r="T37" a="1"/>
  <c r="T117" a="1"/>
  <c r="T29" a="1"/>
  <c r="T25" a="1"/>
  <c r="T121" a="1"/>
  <c r="T57" a="1"/>
  <c r="T33" a="1"/>
  <c r="T81" a="1"/>
  <c r="T77" a="1"/>
  <c r="T73" a="1"/>
  <c r="T89" a="1"/>
  <c r="T21" a="1"/>
  <c r="T53" a="1"/>
  <c r="T101" a="1"/>
  <c r="T17" a="1"/>
  <c r="T49" a="1"/>
  <c r="T97" a="1"/>
  <c r="T109" a="1"/>
  <c r="T141" a="1"/>
  <c r="T189" a="1"/>
  <c r="T209" a="1"/>
  <c r="T225" a="1"/>
  <c r="T249" a="1"/>
  <c r="T269" a="1"/>
  <c r="T293" a="1"/>
  <c r="T309" a="1"/>
  <c r="T333" a="1"/>
  <c r="T353" a="1"/>
  <c r="T12" a="1"/>
  <c r="T28" a="1"/>
  <c r="T96" a="1"/>
  <c r="T116" a="1"/>
  <c r="T324" a="1"/>
  <c r="T348" a="1"/>
  <c r="T185" a="1"/>
  <c r="T213" a="1"/>
  <c r="T229" a="1"/>
  <c r="T253" a="1"/>
  <c r="T273" a="1"/>
  <c r="T297" a="1"/>
  <c r="T317" a="1"/>
  <c r="T337" a="1"/>
  <c r="T16" a="1"/>
  <c r="T32" a="1"/>
  <c r="T92" a="1"/>
  <c r="T120" a="1"/>
  <c r="T308" a="1"/>
  <c r="T328" a="1"/>
  <c r="T344" a="1"/>
  <c r="T15" a="1"/>
  <c r="T27" a="1"/>
  <c r="T51" a="1"/>
  <c r="T55" a="1"/>
  <c r="T59" a="1"/>
  <c r="T79" a="1"/>
  <c r="T87" a="1"/>
  <c r="T91" a="1"/>
  <c r="T99" a="1"/>
  <c r="T107" a="1"/>
  <c r="T111" a="1"/>
  <c r="T119" a="1"/>
  <c r="T167" a="1"/>
  <c r="T171" a="1"/>
  <c r="T175" a="1"/>
  <c r="T179" a="1"/>
  <c r="T183" a="1"/>
  <c r="T187" a="1"/>
  <c r="T191" a="1"/>
  <c r="T195" a="1"/>
  <c r="T199" a="1"/>
  <c r="T203" a="1"/>
  <c r="T207" a="1"/>
  <c r="T211" a="1"/>
  <c r="T219" a="1"/>
  <c r="T223" a="1"/>
  <c r="T227" a="1"/>
  <c r="T231" a="1"/>
  <c r="T235" a="1"/>
  <c r="T239" a="1"/>
  <c r="T243" a="1"/>
  <c r="T247" a="1"/>
  <c r="T251" a="1"/>
  <c r="T255" a="1"/>
  <c r="T263" a="1"/>
  <c r="T267" a="1"/>
  <c r="T271" a="1"/>
  <c r="T275" a="1"/>
  <c r="T279" a="1"/>
  <c r="T283" a="1"/>
  <c r="T287" a="1"/>
  <c r="T291" a="1"/>
  <c r="T295" a="1"/>
  <c r="T299" a="1"/>
  <c r="T307" a="1"/>
  <c r="T311" a="1"/>
  <c r="T315" a="1"/>
  <c r="T319" a="1"/>
  <c r="T323" a="1"/>
  <c r="T327" a="1"/>
  <c r="T331" a="1"/>
  <c r="T335" a="1"/>
  <c r="T339" a="1"/>
  <c r="T347" a="1"/>
  <c r="T351" a="1"/>
  <c r="T355" a="1"/>
  <c r="T173" a="1"/>
  <c r="T181" a="1"/>
  <c r="T197" a="1"/>
  <c r="T205" a="1"/>
  <c r="T221" a="1"/>
  <c r="T233" a="1"/>
  <c r="T241" a="1"/>
  <c r="T257" a="1"/>
  <c r="T265" a="1"/>
  <c r="T281" a="1"/>
  <c r="T289" a="1"/>
  <c r="T305" a="1"/>
  <c r="T321" a="1"/>
  <c r="T329" a="1"/>
  <c r="T345" a="1"/>
  <c r="T357" a="1"/>
  <c r="T20" a="1"/>
  <c r="T36" a="1"/>
  <c r="T44" a="1"/>
  <c r="T76" a="1"/>
  <c r="T100" a="1"/>
  <c r="T108" a="1"/>
  <c r="T316" a="1"/>
  <c r="T332" a="1"/>
  <c r="T356" a="1"/>
  <c r="T23" a="1"/>
  <c r="T31" a="1"/>
  <c r="T177" a="1"/>
  <c r="T193" a="1"/>
  <c r="T201" a="1"/>
  <c r="T217" a="1"/>
  <c r="T237" a="1"/>
  <c r="T245" a="1"/>
  <c r="T261" a="1"/>
  <c r="T277" a="1"/>
  <c r="T285" a="1"/>
  <c r="T301" a="1"/>
  <c r="T313" a="1"/>
  <c r="T325" a="1"/>
  <c r="T349" a="1"/>
  <c r="T24" a="1"/>
  <c r="T80" a="1"/>
  <c r="T88" a="1"/>
  <c r="T112" a="1"/>
  <c r="T172" a="1"/>
  <c r="T312" a="1"/>
  <c r="T320" a="1"/>
  <c r="T336" a="1"/>
  <c r="T352" a="1"/>
  <c r="T11" a="1"/>
  <c r="T19" a="1"/>
  <c r="T35" a="1"/>
  <c r="T39" a="1"/>
  <c r="T6" a="1"/>
  <c r="T14" a="1"/>
  <c r="T18" a="1"/>
  <c r="T22" a="1"/>
  <c r="T26" a="1"/>
  <c r="T30" a="1"/>
  <c r="T42" a="1"/>
  <c r="T46" a="1"/>
  <c r="T78" a="1"/>
  <c r="T82" a="1"/>
  <c r="T86" a="1"/>
  <c r="T90" a="1"/>
  <c r="T98" a="1"/>
  <c r="T102" a="1"/>
  <c r="T106" a="1"/>
  <c r="T110" a="1"/>
  <c r="T118" a="1"/>
  <c r="T122" a="1"/>
  <c r="T138" a="1"/>
  <c r="T170" a="1"/>
  <c r="T306" a="1"/>
  <c r="T310" a="1"/>
  <c r="T314" a="1"/>
  <c r="T318" a="1"/>
  <c r="T322" a="1"/>
  <c r="T326" a="1"/>
  <c r="T330" a="1"/>
  <c r="T334" a="1"/>
  <c r="T338" a="1"/>
  <c r="T346" a="1"/>
  <c r="T350" a="1"/>
  <c r="T354" a="1"/>
  <c r="T358" a="1"/>
  <c r="Y61" a="1"/>
  <c r="X61" a="1"/>
  <c r="W41"/>
  <c r="Y13" a="1"/>
  <c r="X13" a="1"/>
  <c r="W9"/>
  <c r="Y29" a="1"/>
  <c r="X29" a="1"/>
  <c r="Y25" a="1"/>
  <c r="X25" a="1"/>
  <c r="Y121" a="1"/>
  <c r="X121" a="1"/>
  <c r="W133"/>
  <c r="W5"/>
  <c r="Y81" a="1"/>
  <c r="X81" a="1"/>
  <c r="W45"/>
  <c r="X77" a="1"/>
  <c r="Y77" a="1"/>
  <c r="Y89" a="1"/>
  <c r="X89" a="1"/>
  <c r="Y21" a="1"/>
  <c r="X21" a="1"/>
  <c r="Y101" a="1"/>
  <c r="X101" a="1"/>
  <c r="W149"/>
  <c r="Y17" a="1"/>
  <c r="X17" a="1"/>
  <c r="X49" a="1"/>
  <c r="Y49" a="1"/>
  <c r="Y97" a="1"/>
  <c r="X97" a="1"/>
  <c r="W113"/>
  <c r="W145"/>
  <c r="Y109" a="1"/>
  <c r="X109" a="1"/>
  <c r="Y141" a="1"/>
  <c r="X141" a="1"/>
  <c r="W169"/>
  <c r="Y189" a="1"/>
  <c r="X189" a="1"/>
  <c r="X209" a="1"/>
  <c r="Y209" a="1"/>
  <c r="X249" a="1"/>
  <c r="Y249" a="1"/>
  <c r="Y269" a="1"/>
  <c r="X269" a="1"/>
  <c r="X333" a="1"/>
  <c r="Y333" a="1"/>
  <c r="Y353" a="1"/>
  <c r="X353" a="1"/>
  <c r="Y12" a="1"/>
  <c r="X12" a="1"/>
  <c r="Y28" a="1"/>
  <c r="X28" a="1"/>
  <c r="W52"/>
  <c r="Y96" a="1"/>
  <c r="X96" a="1"/>
  <c r="Y116" a="1"/>
  <c r="X116" a="1"/>
  <c r="W140"/>
  <c r="W204"/>
  <c r="W224"/>
  <c r="W248"/>
  <c r="X213" a="1"/>
  <c r="Y213" a="1"/>
  <c r="Y253" a="1"/>
  <c r="X253" a="1"/>
  <c r="Y337" a="1"/>
  <c r="X337" a="1"/>
  <c r="Y16" a="1"/>
  <c r="X16" a="1"/>
  <c r="Y32" a="1"/>
  <c r="X32" a="1"/>
  <c r="W56"/>
  <c r="Y92" a="1"/>
  <c r="X92" a="1"/>
  <c r="Y120" a="1"/>
  <c r="X120" a="1"/>
  <c r="Y328" a="1"/>
  <c r="X328" a="1"/>
  <c r="Y344" a="1"/>
  <c r="X344" a="1"/>
  <c r="Y27" a="1"/>
  <c r="X27" a="1"/>
  <c r="X55" a="1"/>
  <c r="Y55" a="1"/>
  <c r="X59" a="1"/>
  <c r="Y59" a="1"/>
  <c r="Y79" a="1"/>
  <c r="X79" a="1"/>
  <c r="X87" a="1"/>
  <c r="Y87" a="1"/>
  <c r="Y91" a="1"/>
  <c r="X91" a="1"/>
  <c r="Y107" a="1"/>
  <c r="X107" a="1"/>
  <c r="Y111" a="1"/>
  <c r="X111" a="1"/>
  <c r="Y119" a="1"/>
  <c r="X119" a="1"/>
  <c r="W139"/>
  <c r="W143"/>
  <c r="Y175" a="1"/>
  <c r="X175" a="1"/>
  <c r="Y183" a="1"/>
  <c r="X183" a="1"/>
  <c r="Y187" a="1"/>
  <c r="X187" a="1"/>
  <c r="X195" a="1"/>
  <c r="Y195" a="1"/>
  <c r="X199" a="1"/>
  <c r="Y199" a="1"/>
  <c r="X203" a="1"/>
  <c r="Y203" a="1"/>
  <c r="X211" a="1"/>
  <c r="Y211" a="1"/>
  <c r="Y223" a="1"/>
  <c r="X223" a="1"/>
  <c r="Y227" a="1"/>
  <c r="X227" a="1"/>
  <c r="Y231" a="1"/>
  <c r="X231" a="1"/>
  <c r="Y239" a="1"/>
  <c r="X239" a="1"/>
  <c r="X243" a="1"/>
  <c r="Y243" a="1"/>
  <c r="X247" a="1"/>
  <c r="Y247" a="1"/>
  <c r="Y271" a="1"/>
  <c r="X271" a="1"/>
  <c r="Y275" a="1"/>
  <c r="X275" a="1"/>
  <c r="X279" a="1"/>
  <c r="Y279" a="1"/>
  <c r="X283" a="1"/>
  <c r="Y283" a="1"/>
  <c r="Y287" a="1"/>
  <c r="X287" a="1"/>
  <c r="X295" a="1"/>
  <c r="Y295" a="1"/>
  <c r="Y299" a="1"/>
  <c r="X299" a="1"/>
  <c r="Y307" a="1"/>
  <c r="X307" a="1"/>
  <c r="Y311" a="1"/>
  <c r="X311" a="1"/>
  <c r="Y315" a="1"/>
  <c r="X315" a="1"/>
  <c r="Y319" a="1"/>
  <c r="X319" a="1"/>
  <c r="Y323" a="1"/>
  <c r="X323" a="1"/>
  <c r="Y327" a="1"/>
  <c r="X327" a="1"/>
  <c r="Y331" a="1"/>
  <c r="X331" a="1"/>
  <c r="Y335" a="1"/>
  <c r="X335" a="1"/>
  <c r="W343"/>
  <c r="Y347" a="1"/>
  <c r="X347" a="1"/>
  <c r="Y351" a="1"/>
  <c r="X351" a="1"/>
  <c r="Y355" a="1"/>
  <c r="X355" a="1"/>
  <c r="X173" a="1"/>
  <c r="Y173" a="1"/>
  <c r="X181" a="1"/>
  <c r="Y181" a="1"/>
  <c r="Y205" a="1"/>
  <c r="X205" a="1"/>
  <c r="Y221" a="1"/>
  <c r="X221" a="1"/>
  <c r="X257" a="1"/>
  <c r="Y257" a="1"/>
  <c r="Y265" a="1"/>
  <c r="X265" a="1"/>
  <c r="Y289" a="1"/>
  <c r="X289" a="1"/>
  <c r="X305" a="1"/>
  <c r="Y305" a="1"/>
  <c r="Y321" a="1"/>
  <c r="X321" a="1"/>
  <c r="X329" a="1"/>
  <c r="Y329" a="1"/>
  <c r="Y345" a="1"/>
  <c r="X345" a="1"/>
  <c r="W4"/>
  <c r="Y20" a="1"/>
  <c r="X20" a="1"/>
  <c r="Y36" a="1"/>
  <c r="X36" a="1"/>
  <c r="Y44" a="1"/>
  <c r="X44" a="1"/>
  <c r="X76" a="1"/>
  <c r="Y76" a="1"/>
  <c r="X108" a="1"/>
  <c r="Y108" a="1"/>
  <c r="W132"/>
  <c r="W148"/>
  <c r="W208"/>
  <c r="W256"/>
  <c r="W43"/>
  <c r="Y193" a="1"/>
  <c r="X193" a="1"/>
  <c r="Y201" a="1"/>
  <c r="X201" a="1"/>
  <c r="Y217" a="1"/>
  <c r="X217" a="1"/>
  <c r="Y245" a="1"/>
  <c r="X245" a="1"/>
  <c r="X261" a="1"/>
  <c r="Y261" a="1"/>
  <c r="X277" a="1"/>
  <c r="Y277" a="1"/>
  <c r="Y285" a="1"/>
  <c r="X285" a="1"/>
  <c r="Y301" a="1"/>
  <c r="X301" a="1"/>
  <c r="Y313" a="1"/>
  <c r="X313" a="1"/>
  <c r="Y24" a="1"/>
  <c r="X24" a="1"/>
  <c r="W40"/>
  <c r="X80" a="1"/>
  <c r="Y80" a="1"/>
  <c r="X88" a="1"/>
  <c r="Y88" a="1"/>
  <c r="W144"/>
  <c r="Y172" a="1"/>
  <c r="X172" a="1"/>
  <c r="W196"/>
  <c r="W272"/>
  <c r="Y312" a="1"/>
  <c r="X312" a="1"/>
  <c r="Y320" a="1"/>
  <c r="X320" a="1"/>
  <c r="Y336" a="1"/>
  <c r="X336" a="1"/>
  <c r="Y352" a="1"/>
  <c r="X352" a="1"/>
  <c r="Y11" a="1"/>
  <c r="X11" a="1"/>
  <c r="Y19" a="1"/>
  <c r="X19" a="1"/>
  <c r="X35" a="1"/>
  <c r="Y35" a="1"/>
  <c r="Y39" a="1"/>
  <c r="X39" a="1"/>
  <c r="Y6" a="1"/>
  <c r="X6" a="1"/>
  <c r="W10"/>
  <c r="X14" a="1"/>
  <c r="Y14" a="1"/>
  <c r="X18" a="1"/>
  <c r="Y18" a="1"/>
  <c r="Y22" a="1"/>
  <c r="X22" a="1"/>
  <c r="Y26" a="1"/>
  <c r="X26" a="1"/>
  <c r="Y30" a="1"/>
  <c r="X30" a="1"/>
  <c r="W38"/>
  <c r="X42" a="1"/>
  <c r="Y42" a="1"/>
  <c r="Y46" a="1"/>
  <c r="X46" a="1"/>
  <c r="W50"/>
  <c r="W62"/>
  <c r="Y78" a="1"/>
  <c r="X78" a="1"/>
  <c r="Y82" a="1"/>
  <c r="X82" a="1"/>
  <c r="Y86" a="1"/>
  <c r="X86" a="1"/>
  <c r="X98" a="1"/>
  <c r="Y98" a="1"/>
  <c r="Y102" a="1"/>
  <c r="X102" a="1"/>
  <c r="X106" a="1"/>
  <c r="Y106" a="1"/>
  <c r="X110" a="1"/>
  <c r="Y110" a="1"/>
  <c r="Y118" a="1"/>
  <c r="X118" a="1"/>
  <c r="W166"/>
  <c r="Y170" a="1"/>
  <c r="X170" a="1"/>
  <c r="W174"/>
  <c r="W186"/>
  <c r="W190"/>
  <c r="W210"/>
  <c r="W230"/>
  <c r="W254"/>
  <c r="W274"/>
  <c r="W278"/>
  <c r="Y306" a="1"/>
  <c r="X306" a="1"/>
  <c r="Y310" a="1"/>
  <c r="X310" a="1"/>
  <c r="Y314" a="1"/>
  <c r="X314" a="1"/>
  <c r="Y318" a="1"/>
  <c r="X318" a="1"/>
  <c r="Y322" a="1"/>
  <c r="X322" a="1"/>
  <c r="Y326" a="1"/>
  <c r="X326" a="1"/>
  <c r="Y330" a="1"/>
  <c r="X330" a="1"/>
  <c r="Y334" a="1"/>
  <c r="X334" a="1"/>
  <c r="Y338" a="1"/>
  <c r="X338" a="1"/>
  <c r="W342"/>
  <c r="Y346" a="1"/>
  <c r="X346" a="1"/>
  <c r="Y350" a="1"/>
  <c r="X350" a="1"/>
  <c r="Y354" a="1"/>
  <c r="X354" a="1"/>
  <c r="X354" l="1"/>
  <c r="Y354"/>
  <c r="X350"/>
  <c r="Y350"/>
  <c r="X346"/>
  <c r="Y346"/>
  <c r="X338"/>
  <c r="Y338"/>
  <c r="X334"/>
  <c r="Y334"/>
  <c r="X330"/>
  <c r="Y330"/>
  <c r="X326"/>
  <c r="Y326"/>
  <c r="X322"/>
  <c r="Y322"/>
  <c r="X318"/>
  <c r="Y318"/>
  <c r="X314"/>
  <c r="Y314"/>
  <c r="X310"/>
  <c r="Y310"/>
  <c r="X306"/>
  <c r="Y306"/>
  <c r="X170"/>
  <c r="Y170"/>
  <c r="X118"/>
  <c r="Y118"/>
  <c r="Y110"/>
  <c r="X110"/>
  <c r="Y106"/>
  <c r="X106"/>
  <c r="X102"/>
  <c r="Y102"/>
  <c r="Y98"/>
  <c r="X98"/>
  <c r="X86"/>
  <c r="Y86"/>
  <c r="X82"/>
  <c r="Y82"/>
  <c r="X78"/>
  <c r="Y78"/>
  <c r="X46"/>
  <c r="Y46"/>
  <c r="Y42"/>
  <c r="X42"/>
  <c r="X30"/>
  <c r="Y30"/>
  <c r="X26"/>
  <c r="Y26"/>
  <c r="X22"/>
  <c r="Y22"/>
  <c r="Y18"/>
  <c r="X18"/>
  <c r="Y14"/>
  <c r="X14"/>
  <c r="X6"/>
  <c r="Y6"/>
  <c r="X39"/>
  <c r="Y39"/>
  <c r="Y35"/>
  <c r="X35"/>
  <c r="X19"/>
  <c r="Y19"/>
  <c r="X11"/>
  <c r="Y11"/>
  <c r="X352"/>
  <c r="Y352"/>
  <c r="X336"/>
  <c r="Y336"/>
  <c r="X320"/>
  <c r="Y320"/>
  <c r="X312"/>
  <c r="Y312"/>
  <c r="X172"/>
  <c r="Y172"/>
  <c r="Y88"/>
  <c r="X88"/>
  <c r="Y80"/>
  <c r="X80"/>
  <c r="X24"/>
  <c r="Y24"/>
  <c r="X313"/>
  <c r="Y313"/>
  <c r="X301"/>
  <c r="Y301"/>
  <c r="X285"/>
  <c r="Y285"/>
  <c r="Y277"/>
  <c r="X277"/>
  <c r="Y261"/>
  <c r="X261"/>
  <c r="X245"/>
  <c r="Y245"/>
  <c r="X217"/>
  <c r="Y217"/>
  <c r="X201"/>
  <c r="Y201"/>
  <c r="X193"/>
  <c r="Y193"/>
  <c r="Y108"/>
  <c r="X108"/>
  <c r="Y76"/>
  <c r="X76"/>
  <c r="X44"/>
  <c r="Y44"/>
  <c r="X36"/>
  <c r="Y36"/>
  <c r="X20"/>
  <c r="Y20"/>
  <c r="X345"/>
  <c r="Y345"/>
  <c r="Y329"/>
  <c r="X329"/>
  <c r="X321"/>
  <c r="Y321"/>
  <c r="Y305"/>
  <c r="X305"/>
  <c r="X289"/>
  <c r="Y289"/>
  <c r="X265"/>
  <c r="Y265"/>
  <c r="Y257"/>
  <c r="X257"/>
  <c r="X221"/>
  <c r="Y221"/>
  <c r="X205"/>
  <c r="Y205"/>
  <c r="Y181"/>
  <c r="X181"/>
  <c r="Y173"/>
  <c r="X173"/>
  <c r="X355"/>
  <c r="Y355"/>
  <c r="X351"/>
  <c r="Y351"/>
  <c r="X347"/>
  <c r="Y347"/>
  <c r="X335"/>
  <c r="Y335"/>
  <c r="X331"/>
  <c r="Y331"/>
  <c r="X327"/>
  <c r="Y327"/>
  <c r="X323"/>
  <c r="Y323"/>
  <c r="X319"/>
  <c r="Y319"/>
  <c r="X315"/>
  <c r="Y315"/>
  <c r="X311"/>
  <c r="Y311"/>
  <c r="X307"/>
  <c r="Y307"/>
  <c r="X299"/>
  <c r="Y299"/>
  <c r="Y295"/>
  <c r="X295"/>
  <c r="X287"/>
  <c r="Y287"/>
  <c r="Y283"/>
  <c r="X283"/>
  <c r="Y279"/>
  <c r="X279"/>
  <c r="X275"/>
  <c r="Y275"/>
  <c r="X271"/>
  <c r="Y271"/>
  <c r="Y247"/>
  <c r="X247"/>
  <c r="Y243"/>
  <c r="X243"/>
  <c r="X239"/>
  <c r="Y239"/>
  <c r="X231"/>
  <c r="Y231"/>
  <c r="X227"/>
  <c r="Y227"/>
  <c r="X223"/>
  <c r="Y223"/>
  <c r="Y211"/>
  <c r="X211"/>
  <c r="Y203"/>
  <c r="X203"/>
  <c r="Y199"/>
  <c r="X199"/>
  <c r="Y195"/>
  <c r="X195"/>
  <c r="X187"/>
  <c r="Y187"/>
  <c r="X183"/>
  <c r="Y183"/>
  <c r="X175"/>
  <c r="Y175"/>
  <c r="X119"/>
  <c r="Y119"/>
  <c r="X111"/>
  <c r="Y111"/>
  <c r="X107"/>
  <c r="Y107"/>
  <c r="X91"/>
  <c r="Y91"/>
  <c r="Y87"/>
  <c r="X87"/>
  <c r="X79"/>
  <c r="Y79"/>
  <c r="Y59"/>
  <c r="X59"/>
  <c r="Y55"/>
  <c r="X55"/>
  <c r="X27"/>
  <c r="Y27"/>
  <c r="X344"/>
  <c r="Y344"/>
  <c r="X328"/>
  <c r="Y328"/>
  <c r="X120"/>
  <c r="Y120"/>
  <c r="X92"/>
  <c r="Y92"/>
  <c r="X32"/>
  <c r="Y32"/>
  <c r="X16"/>
  <c r="Y16"/>
  <c r="X337"/>
  <c r="Y337"/>
  <c r="X253"/>
  <c r="Y253"/>
  <c r="Y213"/>
  <c r="X213"/>
  <c r="X116"/>
  <c r="Y116"/>
  <c r="X96"/>
  <c r="Y96"/>
  <c r="X28"/>
  <c r="Y28"/>
  <c r="X12"/>
  <c r="Y12"/>
  <c r="X353"/>
  <c r="Y353"/>
  <c r="Y333"/>
  <c r="X333"/>
  <c r="X269"/>
  <c r="Y269"/>
  <c r="Y249"/>
  <c r="X249"/>
  <c r="Y209"/>
  <c r="X209"/>
  <c r="X189"/>
  <c r="Y189"/>
  <c r="X141"/>
  <c r="Y141"/>
  <c r="X109"/>
  <c r="Y109"/>
  <c r="X97"/>
  <c r="Y97"/>
  <c r="Y49"/>
  <c r="X49"/>
  <c r="X17"/>
  <c r="Y17"/>
  <c r="X101"/>
  <c r="Y101"/>
  <c r="X21"/>
  <c r="Y21"/>
  <c r="X89"/>
  <c r="Y89"/>
  <c r="Y77"/>
  <c r="X77"/>
  <c r="X81"/>
  <c r="Y81"/>
  <c r="X121"/>
  <c r="Y121"/>
  <c r="X25"/>
  <c r="Y25"/>
  <c r="X29"/>
  <c r="Y29"/>
  <c r="X13"/>
  <c r="Y13"/>
  <c r="X61"/>
  <c r="Y61"/>
  <c r="T358"/>
  <c r="Z358" s="1"/>
  <c r="T354"/>
  <c r="Z354" s="1"/>
  <c r="T350"/>
  <c r="Z350" s="1"/>
  <c r="T346"/>
  <c r="Z346" s="1"/>
  <c r="T338"/>
  <c r="Z338" s="1"/>
  <c r="T334"/>
  <c r="Z334" s="1"/>
  <c r="T330"/>
  <c r="Z330" s="1"/>
  <c r="T326"/>
  <c r="Z326" s="1"/>
  <c r="T322"/>
  <c r="Z322" s="1"/>
  <c r="T318"/>
  <c r="Z318" s="1"/>
  <c r="T314"/>
  <c r="Z314" s="1"/>
  <c r="T310"/>
  <c r="Z310" s="1"/>
  <c r="T306"/>
  <c r="Z306" s="1"/>
  <c r="T170"/>
  <c r="Z170" s="1"/>
  <c r="T138"/>
  <c r="Z138" s="1"/>
  <c r="T122"/>
  <c r="Z122" s="1"/>
  <c r="T118"/>
  <c r="Z118" s="1"/>
  <c r="T110"/>
  <c r="Z110" s="1"/>
  <c r="T106"/>
  <c r="Z106" s="1"/>
  <c r="T102"/>
  <c r="Z102" s="1"/>
  <c r="T98"/>
  <c r="Z98" s="1"/>
  <c r="T90"/>
  <c r="Z90" s="1"/>
  <c r="T86"/>
  <c r="Z86" s="1"/>
  <c r="T82"/>
  <c r="Z82" s="1"/>
  <c r="T78"/>
  <c r="Z78" s="1"/>
  <c r="T46"/>
  <c r="Z46" s="1"/>
  <c r="T42"/>
  <c r="Z42" s="1"/>
  <c r="T30"/>
  <c r="Z30" s="1"/>
  <c r="T26"/>
  <c r="Z26" s="1"/>
  <c r="T22"/>
  <c r="Z22" s="1"/>
  <c r="T18"/>
  <c r="Z18" s="1"/>
  <c r="T14"/>
  <c r="Z14" s="1"/>
  <c r="T6"/>
  <c r="Z6" s="1"/>
  <c r="T39"/>
  <c r="Z39" s="1"/>
  <c r="T35"/>
  <c r="Z35" s="1"/>
  <c r="T19"/>
  <c r="Z19" s="1"/>
  <c r="T11"/>
  <c r="Z11" s="1"/>
  <c r="T352"/>
  <c r="Z352" s="1"/>
  <c r="T336"/>
  <c r="Z336" s="1"/>
  <c r="T320"/>
  <c r="Z320" s="1"/>
  <c r="T312"/>
  <c r="Z312" s="1"/>
  <c r="T172"/>
  <c r="Z172" s="1"/>
  <c r="T112"/>
  <c r="Z112" s="1"/>
  <c r="T88"/>
  <c r="Z88" s="1"/>
  <c r="T80"/>
  <c r="Z80" s="1"/>
  <c r="T24"/>
  <c r="Z24" s="1"/>
  <c r="T349"/>
  <c r="Z349" s="1"/>
  <c r="T325"/>
  <c r="Z325" s="1"/>
  <c r="T313"/>
  <c r="Z313" s="1"/>
  <c r="T301"/>
  <c r="Z301" s="1"/>
  <c r="T285"/>
  <c r="Z285" s="1"/>
  <c r="T277"/>
  <c r="Z277" s="1"/>
  <c r="T261"/>
  <c r="Z261" s="1"/>
  <c r="T245"/>
  <c r="Z245" s="1"/>
  <c r="T237"/>
  <c r="Z237" s="1"/>
  <c r="T217"/>
  <c r="Z217" s="1"/>
  <c r="T201"/>
  <c r="Z201" s="1"/>
  <c r="T193"/>
  <c r="Z193" s="1"/>
  <c r="T177"/>
  <c r="Z177" s="1"/>
  <c r="T31"/>
  <c r="Z31" s="1"/>
  <c r="T23"/>
  <c r="Z23" s="1"/>
  <c r="T356"/>
  <c r="Z356" s="1"/>
  <c r="T332"/>
  <c r="Z332" s="1"/>
  <c r="T316"/>
  <c r="Z316" s="1"/>
  <c r="T108"/>
  <c r="Z108" s="1"/>
  <c r="T100"/>
  <c r="Z100" s="1"/>
  <c r="T76"/>
  <c r="Z76" s="1"/>
  <c r="T44"/>
  <c r="Z44" s="1"/>
  <c r="T36"/>
  <c r="Z36" s="1"/>
  <c r="T20"/>
  <c r="Z20" s="1"/>
  <c r="T357"/>
  <c r="Z357" s="1"/>
  <c r="T345"/>
  <c r="Z345" s="1"/>
  <c r="T329"/>
  <c r="Z329" s="1"/>
  <c r="T321"/>
  <c r="Z321" s="1"/>
  <c r="T305"/>
  <c r="Z305" s="1"/>
  <c r="T289"/>
  <c r="Z289" s="1"/>
  <c r="T281"/>
  <c r="Z281" s="1"/>
  <c r="T265"/>
  <c r="Z265" s="1"/>
  <c r="T257"/>
  <c r="Z257" s="1"/>
  <c r="T241"/>
  <c r="Z241" s="1"/>
  <c r="T233"/>
  <c r="Z233" s="1"/>
  <c r="T221"/>
  <c r="Z221" s="1"/>
  <c r="T205"/>
  <c r="Z205" s="1"/>
  <c r="T197"/>
  <c r="Z197" s="1"/>
  <c r="T181"/>
  <c r="Z181" s="1"/>
  <c r="T173"/>
  <c r="Z173" s="1"/>
  <c r="T355"/>
  <c r="Z355" s="1"/>
  <c r="T351"/>
  <c r="Z351" s="1"/>
  <c r="T347"/>
  <c r="Z347" s="1"/>
  <c r="T339"/>
  <c r="Z339" s="1"/>
  <c r="T335"/>
  <c r="Z335" s="1"/>
  <c r="T331"/>
  <c r="Z331" s="1"/>
  <c r="T327"/>
  <c r="Z327" s="1"/>
  <c r="T323"/>
  <c r="Z323" s="1"/>
  <c r="T319"/>
  <c r="Z319" s="1"/>
  <c r="T315"/>
  <c r="Z315" s="1"/>
  <c r="T311"/>
  <c r="Z311" s="1"/>
  <c r="T307"/>
  <c r="Z307" s="1"/>
  <c r="T299"/>
  <c r="Z299" s="1"/>
  <c r="T295"/>
  <c r="Z295" s="1"/>
  <c r="T291"/>
  <c r="Z291" s="1"/>
  <c r="T287"/>
  <c r="Z287" s="1"/>
  <c r="T283"/>
  <c r="Z283" s="1"/>
  <c r="T279"/>
  <c r="Z279" s="1"/>
  <c r="T275"/>
  <c r="Z275" s="1"/>
  <c r="T271"/>
  <c r="Z271" s="1"/>
  <c r="T267"/>
  <c r="Z267" s="1"/>
  <c r="T263"/>
  <c r="Z263" s="1"/>
  <c r="T255"/>
  <c r="Z255" s="1"/>
  <c r="T251"/>
  <c r="Z251" s="1"/>
  <c r="T247"/>
  <c r="Z247" s="1"/>
  <c r="T243"/>
  <c r="Z243" s="1"/>
  <c r="T239"/>
  <c r="Z239" s="1"/>
  <c r="T235"/>
  <c r="Z235" s="1"/>
  <c r="T231"/>
  <c r="Z231" s="1"/>
  <c r="T227"/>
  <c r="Z227" s="1"/>
  <c r="T223"/>
  <c r="Z223" s="1"/>
  <c r="T219"/>
  <c r="Z219" s="1"/>
  <c r="T211"/>
  <c r="Z211" s="1"/>
  <c r="T207"/>
  <c r="Z207" s="1"/>
  <c r="T203"/>
  <c r="Z203" s="1"/>
  <c r="T199"/>
  <c r="Z199" s="1"/>
  <c r="T195"/>
  <c r="Z195" s="1"/>
  <c r="T191"/>
  <c r="Z191" s="1"/>
  <c r="T187"/>
  <c r="Z187" s="1"/>
  <c r="T183"/>
  <c r="Z183" s="1"/>
  <c r="T179"/>
  <c r="Z179" s="1"/>
  <c r="T175"/>
  <c r="Z175" s="1"/>
  <c r="T171"/>
  <c r="Z171" s="1"/>
  <c r="T167"/>
  <c r="Z167" s="1"/>
  <c r="T119"/>
  <c r="Z119" s="1"/>
  <c r="T111"/>
  <c r="Z111" s="1"/>
  <c r="T107"/>
  <c r="Z107" s="1"/>
  <c r="T99"/>
  <c r="Z99" s="1"/>
  <c r="T91"/>
  <c r="Z91" s="1"/>
  <c r="T87"/>
  <c r="Z87" s="1"/>
  <c r="T79"/>
  <c r="Z79" s="1"/>
  <c r="T59"/>
  <c r="Z59" s="1"/>
  <c r="T55"/>
  <c r="Z55" s="1"/>
  <c r="T51"/>
  <c r="Z51" s="1"/>
  <c r="T27"/>
  <c r="Z27" s="1"/>
  <c r="T15"/>
  <c r="Z15" s="1"/>
  <c r="T344"/>
  <c r="Z344" s="1"/>
  <c r="T328"/>
  <c r="Z328" s="1"/>
  <c r="T308"/>
  <c r="Z308" s="1"/>
  <c r="T120"/>
  <c r="Z120" s="1"/>
  <c r="T92"/>
  <c r="Z92" s="1"/>
  <c r="T32"/>
  <c r="Z32" s="1"/>
  <c r="T16"/>
  <c r="Z16" s="1"/>
  <c r="T337"/>
  <c r="Z337" s="1"/>
  <c r="T317"/>
  <c r="Z317" s="1"/>
  <c r="T297"/>
  <c r="Z297" s="1"/>
  <c r="T273"/>
  <c r="Z273" s="1"/>
  <c r="T253"/>
  <c r="Z253" s="1"/>
  <c r="T229"/>
  <c r="Z229" s="1"/>
  <c r="T213"/>
  <c r="Z213" s="1"/>
  <c r="T185"/>
  <c r="Z185" s="1"/>
  <c r="T348"/>
  <c r="Z348" s="1"/>
  <c r="T324"/>
  <c r="Z324" s="1"/>
  <c r="T116"/>
  <c r="Z116" s="1"/>
  <c r="T96"/>
  <c r="Z96" s="1"/>
  <c r="T28"/>
  <c r="Z28" s="1"/>
  <c r="T12"/>
  <c r="Z12" s="1"/>
  <c r="T353"/>
  <c r="Z353" s="1"/>
  <c r="T333"/>
  <c r="Z333" s="1"/>
  <c r="T309"/>
  <c r="Z309" s="1"/>
  <c r="T293"/>
  <c r="Z293" s="1"/>
  <c r="T269"/>
  <c r="Z269" s="1"/>
  <c r="T249"/>
  <c r="Z249" s="1"/>
  <c r="T225"/>
  <c r="Z225" s="1"/>
  <c r="T209"/>
  <c r="Z209" s="1"/>
  <c r="T189"/>
  <c r="Z189" s="1"/>
  <c r="T141"/>
  <c r="Z141" s="1"/>
  <c r="T109"/>
  <c r="Z109" s="1"/>
  <c r="T97"/>
  <c r="Z97" s="1"/>
  <c r="T49"/>
  <c r="Z49" s="1"/>
  <c r="T17"/>
  <c r="Z17" s="1"/>
  <c r="T101"/>
  <c r="Z101" s="1"/>
  <c r="T53"/>
  <c r="Z53" s="1"/>
  <c r="T21"/>
  <c r="Z21" s="1"/>
  <c r="T89"/>
  <c r="Z89" s="1"/>
  <c r="T73"/>
  <c r="Z73" s="1"/>
  <c r="T77"/>
  <c r="Z77" s="1"/>
  <c r="T81"/>
  <c r="Z81" s="1"/>
  <c r="T33"/>
  <c r="Z33" s="1"/>
  <c r="T57"/>
  <c r="Z57" s="1"/>
  <c r="T121"/>
  <c r="Z121" s="1"/>
  <c r="T25"/>
  <c r="Z25" s="1"/>
  <c r="T29"/>
  <c r="Z29" s="1"/>
  <c r="T117"/>
  <c r="Z117" s="1"/>
  <c r="T37"/>
  <c r="Z37" s="1"/>
  <c r="T13"/>
  <c r="Z13" s="1"/>
  <c r="T61"/>
  <c r="Z61" s="1"/>
  <c r="V3"/>
  <c r="V146"/>
  <c r="V212"/>
  <c r="V192"/>
  <c r="V168"/>
  <c r="V180"/>
  <c r="B14" i="9"/>
  <c r="W354" i="3"/>
  <c r="W350"/>
  <c r="W346"/>
  <c r="W338"/>
  <c r="W334"/>
  <c r="W330"/>
  <c r="W326"/>
  <c r="W322"/>
  <c r="W318"/>
  <c r="W314"/>
  <c r="W310"/>
  <c r="W306"/>
  <c r="W170"/>
  <c r="W118"/>
  <c r="W110"/>
  <c r="W106"/>
  <c r="W102"/>
  <c r="W98"/>
  <c r="W86"/>
  <c r="W82"/>
  <c r="W78"/>
  <c r="W46"/>
  <c r="W42"/>
  <c r="W30"/>
  <c r="W26"/>
  <c r="W22"/>
  <c r="W18"/>
  <c r="W14"/>
  <c r="W6"/>
  <c r="W39"/>
  <c r="W35"/>
  <c r="W19"/>
  <c r="W11"/>
  <c r="W352"/>
  <c r="W336"/>
  <c r="W320"/>
  <c r="W312"/>
  <c r="W172"/>
  <c r="W88"/>
  <c r="W80"/>
  <c r="W24"/>
  <c r="W313"/>
  <c r="W301"/>
  <c r="W285"/>
  <c r="W277"/>
  <c r="W261"/>
  <c r="W245"/>
  <c r="W217"/>
  <c r="W201"/>
  <c r="W193"/>
  <c r="W108"/>
  <c r="W76"/>
  <c r="W44"/>
  <c r="W36"/>
  <c r="W20"/>
  <c r="W345"/>
  <c r="W329"/>
  <c r="W321"/>
  <c r="W305"/>
  <c r="W289"/>
  <c r="W265"/>
  <c r="W257"/>
  <c r="W221"/>
  <c r="W205"/>
  <c r="W181"/>
  <c r="W173"/>
  <c r="W355"/>
  <c r="W351"/>
  <c r="W347"/>
  <c r="W335"/>
  <c r="W331"/>
  <c r="W327"/>
  <c r="W323"/>
  <c r="W319"/>
  <c r="W315"/>
  <c r="W311"/>
  <c r="W307"/>
  <c r="W299"/>
  <c r="W295"/>
  <c r="W287"/>
  <c r="W283"/>
  <c r="W279"/>
  <c r="W275"/>
  <c r="W271"/>
  <c r="W247"/>
  <c r="W243"/>
  <c r="W239"/>
  <c r="W231"/>
  <c r="W227"/>
  <c r="W223"/>
  <c r="W211"/>
  <c r="W203"/>
  <c r="W199"/>
  <c r="W195"/>
  <c r="W187"/>
  <c r="W183"/>
  <c r="W175"/>
  <c r="W119"/>
  <c r="W111"/>
  <c r="W107"/>
  <c r="W91"/>
  <c r="W87"/>
  <c r="W79"/>
  <c r="W59"/>
  <c r="W55"/>
  <c r="W27"/>
  <c r="W344"/>
  <c r="W328"/>
  <c r="W120"/>
  <c r="W92"/>
  <c r="W32"/>
  <c r="W16"/>
  <c r="W337"/>
  <c r="W253"/>
  <c r="W213"/>
  <c r="W116"/>
  <c r="W96"/>
  <c r="W28"/>
  <c r="W12"/>
  <c r="W353"/>
  <c r="W333"/>
  <c r="W269"/>
  <c r="W249"/>
  <c r="W209"/>
  <c r="W189"/>
  <c r="W141"/>
  <c r="W109"/>
  <c r="W97"/>
  <c r="W49"/>
  <c r="W17"/>
  <c r="W101"/>
  <c r="W21"/>
  <c r="W89"/>
  <c r="W77"/>
  <c r="W81"/>
  <c r="W121"/>
  <c r="W25"/>
  <c r="W29"/>
  <c r="W13"/>
  <c r="W61"/>
  <c r="W358"/>
  <c r="W138"/>
  <c r="W122"/>
  <c r="W90"/>
  <c r="W112"/>
  <c r="W349"/>
  <c r="W325"/>
  <c r="W237"/>
  <c r="W177"/>
  <c r="W31"/>
  <c r="W23"/>
  <c r="W356"/>
  <c r="W332"/>
  <c r="W316"/>
  <c r="W100"/>
  <c r="W357"/>
  <c r="W281"/>
  <c r="W241"/>
  <c r="W233"/>
  <c r="W197"/>
  <c r="W339"/>
  <c r="W291"/>
  <c r="W267"/>
  <c r="W263"/>
  <c r="W255"/>
  <c r="W251"/>
  <c r="W235"/>
  <c r="W219"/>
  <c r="W207"/>
  <c r="W191"/>
  <c r="W179"/>
  <c r="W171"/>
  <c r="W167"/>
  <c r="W99"/>
  <c r="W51"/>
  <c r="W15"/>
  <c r="W308"/>
  <c r="W317"/>
  <c r="W297"/>
  <c r="W273"/>
  <c r="W229"/>
  <c r="W185"/>
  <c r="W348"/>
  <c r="W324"/>
  <c r="W309"/>
  <c r="W293"/>
  <c r="W225"/>
  <c r="W53"/>
  <c r="W73"/>
  <c r="W33"/>
  <c r="W57"/>
  <c r="W117"/>
  <c r="W37"/>
  <c r="B15" i="9" l="1"/>
  <c r="B16" l="1"/>
  <c r="B17" l="1"/>
  <c r="BC36" i="24"/>
  <c r="BC37"/>
  <c r="BC19"/>
  <c r="BC30"/>
  <c r="BC34"/>
  <c r="BC26"/>
  <c r="BC31"/>
  <c r="BC14"/>
  <c r="BC33"/>
  <c r="BC22"/>
  <c r="BC32"/>
  <c r="BC20"/>
  <c r="BC29"/>
  <c r="BC13"/>
  <c r="BC21"/>
  <c r="BC38"/>
  <c r="BC27"/>
  <c r="BC23"/>
  <c r="BC28"/>
  <c r="BC25"/>
  <c r="BC18"/>
  <c r="BC24"/>
  <c r="BC16"/>
  <c r="BC17"/>
  <c r="BC35"/>
  <c r="T19" l="1"/>
  <c r="T34"/>
  <c r="C23" i="25" s="1"/>
  <c r="T31" i="24"/>
  <c r="T16"/>
  <c r="T23"/>
  <c r="T25"/>
  <c r="C9" i="25" s="1"/>
  <c r="T18" i="24"/>
  <c r="T20"/>
  <c r="C7" i="25" s="1"/>
  <c r="T13" i="24"/>
  <c r="C15" i="25" s="1"/>
  <c r="T37" i="24"/>
  <c r="T30"/>
  <c r="T38"/>
  <c r="T14"/>
  <c r="C13" i="25" s="1"/>
  <c r="T33" i="24"/>
  <c r="C21" i="25" s="1"/>
  <c r="T22" i="24"/>
  <c r="T24"/>
  <c r="T29"/>
  <c r="T36"/>
  <c r="T21"/>
  <c r="T26"/>
  <c r="C11" i="25" s="1"/>
  <c r="T17" i="24"/>
  <c r="T27"/>
  <c r="C17" i="25" s="1"/>
  <c r="T28" i="24"/>
  <c r="C19" i="25" s="1"/>
  <c r="T35" i="24"/>
  <c r="C25" i="25" s="1"/>
  <c r="T32" i="24"/>
  <c r="B18" i="9"/>
  <c r="I547" i="3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4"/>
  <c r="I3"/>
  <c r="I358"/>
  <c r="H538"/>
  <c r="H514"/>
  <c r="H490"/>
  <c r="H474"/>
  <c r="H458"/>
  <c r="H434"/>
  <c r="H418"/>
  <c r="H402"/>
  <c r="H378"/>
  <c r="H354"/>
  <c r="H330"/>
  <c r="H306"/>
  <c r="H298"/>
  <c r="H274"/>
  <c r="H258"/>
  <c r="H234"/>
  <c r="H210"/>
  <c r="H186"/>
  <c r="H178"/>
  <c r="H154"/>
  <c r="H130"/>
  <c r="H122"/>
  <c r="H98"/>
  <c r="H82"/>
  <c r="H66"/>
  <c r="H42"/>
  <c r="H18"/>
  <c r="BH30" i="24" a="1"/>
  <c r="H547" i="3"/>
  <c r="H531"/>
  <c r="H507"/>
  <c r="H483"/>
  <c r="H467"/>
  <c r="H451"/>
  <c r="H427"/>
  <c r="H419"/>
  <c r="H395"/>
  <c r="H371"/>
  <c r="H363"/>
  <c r="H339"/>
  <c r="H315"/>
  <c r="H307"/>
  <c r="H283"/>
  <c r="H275"/>
  <c r="H251"/>
  <c r="H227"/>
  <c r="H219"/>
  <c r="H195"/>
  <c r="H171"/>
  <c r="H163"/>
  <c r="H139"/>
  <c r="H115"/>
  <c r="H107"/>
  <c r="H83"/>
  <c r="H59"/>
  <c r="H51"/>
  <c r="H27"/>
  <c r="H19"/>
  <c r="H540"/>
  <c r="H516"/>
  <c r="H492"/>
  <c r="H484"/>
  <c r="H460"/>
  <c r="H444"/>
  <c r="H428"/>
  <c r="H404"/>
  <c r="H380"/>
  <c r="H372"/>
  <c r="H348"/>
  <c r="H324"/>
  <c r="H316"/>
  <c r="H292"/>
  <c r="H284"/>
  <c r="H260"/>
  <c r="H236"/>
  <c r="H212"/>
  <c r="H204"/>
  <c r="H180"/>
  <c r="H156"/>
  <c r="H148"/>
  <c r="H124"/>
  <c r="H108"/>
  <c r="H92"/>
  <c r="H68"/>
  <c r="H52"/>
  <c r="H36"/>
  <c r="H12"/>
  <c r="H541"/>
  <c r="H517"/>
  <c r="H501"/>
  <c r="H485"/>
  <c r="H461"/>
  <c r="H437"/>
  <c r="H421"/>
  <c r="H405"/>
  <c r="H381"/>
  <c r="H357"/>
  <c r="H349"/>
  <c r="H325"/>
  <c r="H317"/>
  <c r="H293"/>
  <c r="H269"/>
  <c r="H245"/>
  <c r="H237"/>
  <c r="H213"/>
  <c r="H205"/>
  <c r="H181"/>
  <c r="H173"/>
  <c r="H149"/>
  <c r="H125"/>
  <c r="H117"/>
  <c r="H93"/>
  <c r="H85"/>
  <c r="H61"/>
  <c r="H37"/>
  <c r="H29"/>
  <c r="H5"/>
  <c r="I335"/>
  <c r="I319"/>
  <c r="I303"/>
  <c r="I279"/>
  <c r="I271"/>
  <c r="I247"/>
  <c r="I239"/>
  <c r="I215"/>
  <c r="I191"/>
  <c r="I183"/>
  <c r="I159"/>
  <c r="I143"/>
  <c r="I127"/>
  <c r="I111"/>
  <c r="I95"/>
  <c r="I79"/>
  <c r="I63"/>
  <c r="I47"/>
  <c r="I23"/>
  <c r="H542"/>
  <c r="H534"/>
  <c r="H510"/>
  <c r="H486"/>
  <c r="H478"/>
  <c r="H454"/>
  <c r="H430"/>
  <c r="H414"/>
  <c r="H398"/>
  <c r="H374"/>
  <c r="H358"/>
  <c r="H342"/>
  <c r="H318"/>
  <c r="H294"/>
  <c r="H270"/>
  <c r="H262"/>
  <c r="H238"/>
  <c r="H230"/>
  <c r="H206"/>
  <c r="H198"/>
  <c r="H174"/>
  <c r="H166"/>
  <c r="H142"/>
  <c r="H126"/>
  <c r="H110"/>
  <c r="H86"/>
  <c r="H78"/>
  <c r="H54"/>
  <c r="H46"/>
  <c r="H22"/>
  <c r="H14"/>
  <c r="BH36" i="24" a="1"/>
  <c r="H530" i="3"/>
  <c r="H506"/>
  <c r="H482"/>
  <c r="H450"/>
  <c r="H426"/>
  <c r="H394"/>
  <c r="H370"/>
  <c r="H346"/>
  <c r="H314"/>
  <c r="H290"/>
  <c r="H250"/>
  <c r="H226"/>
  <c r="H202"/>
  <c r="H170"/>
  <c r="H146"/>
  <c r="H114"/>
  <c r="H74"/>
  <c r="H50"/>
  <c r="H26"/>
  <c r="H523"/>
  <c r="H499"/>
  <c r="H475"/>
  <c r="H443"/>
  <c r="H403"/>
  <c r="H379"/>
  <c r="H347"/>
  <c r="H331"/>
  <c r="H299"/>
  <c r="H259"/>
  <c r="H235"/>
  <c r="H203"/>
  <c r="H179"/>
  <c r="H147"/>
  <c r="H123"/>
  <c r="H91"/>
  <c r="H67"/>
  <c r="H43"/>
  <c r="H11"/>
  <c r="H524"/>
  <c r="H500"/>
  <c r="H468"/>
  <c r="H436"/>
  <c r="H412"/>
  <c r="H388"/>
  <c r="H356"/>
  <c r="H340"/>
  <c r="H300"/>
  <c r="H268"/>
  <c r="H244"/>
  <c r="H220"/>
  <c r="H188"/>
  <c r="H164"/>
  <c r="H132"/>
  <c r="H100"/>
  <c r="H76"/>
  <c r="H44"/>
  <c r="H20"/>
  <c r="H533"/>
  <c r="H509"/>
  <c r="H477"/>
  <c r="H453"/>
  <c r="H429"/>
  <c r="H397"/>
  <c r="H373"/>
  <c r="H341"/>
  <c r="H301"/>
  <c r="H277"/>
  <c r="H253"/>
  <c r="H221"/>
  <c r="H197"/>
  <c r="H165"/>
  <c r="H141"/>
  <c r="H109"/>
  <c r="H77"/>
  <c r="H45"/>
  <c r="H21"/>
  <c r="I343"/>
  <c r="I327"/>
  <c r="I295"/>
  <c r="I255"/>
  <c r="I223"/>
  <c r="I207"/>
  <c r="I175"/>
  <c r="I151"/>
  <c r="I119"/>
  <c r="I87"/>
  <c r="I55"/>
  <c r="I31"/>
  <c r="I15"/>
  <c r="H526"/>
  <c r="H502"/>
  <c r="H462"/>
  <c r="H438"/>
  <c r="H406"/>
  <c r="H382"/>
  <c r="H350"/>
  <c r="H326"/>
  <c r="H302"/>
  <c r="H278"/>
  <c r="H254"/>
  <c r="H222"/>
  <c r="H190"/>
  <c r="H158"/>
  <c r="H134"/>
  <c r="H102"/>
  <c r="H62"/>
  <c r="H30"/>
  <c r="BH29" i="24" a="1"/>
  <c r="H546" i="3"/>
  <c r="H522"/>
  <c r="H498"/>
  <c r="H466"/>
  <c r="H442"/>
  <c r="H410"/>
  <c r="H386"/>
  <c r="H362"/>
  <c r="H338"/>
  <c r="H322"/>
  <c r="H282"/>
  <c r="H266"/>
  <c r="H242"/>
  <c r="H218"/>
  <c r="H194"/>
  <c r="H162"/>
  <c r="H138"/>
  <c r="H106"/>
  <c r="H90"/>
  <c r="H58"/>
  <c r="H34"/>
  <c r="H10"/>
  <c r="H539"/>
  <c r="H515"/>
  <c r="H491"/>
  <c r="H459"/>
  <c r="H435"/>
  <c r="H411"/>
  <c r="H387"/>
  <c r="H355"/>
  <c r="H323"/>
  <c r="H291"/>
  <c r="H267"/>
  <c r="H243"/>
  <c r="H211"/>
  <c r="H187"/>
  <c r="H155"/>
  <c r="H131"/>
  <c r="H99"/>
  <c r="H75"/>
  <c r="H35"/>
  <c r="H3"/>
  <c r="H532"/>
  <c r="H508"/>
  <c r="H476"/>
  <c r="H452"/>
  <c r="H420"/>
  <c r="H396"/>
  <c r="H364"/>
  <c r="H332"/>
  <c r="H308"/>
  <c r="H276"/>
  <c r="H252"/>
  <c r="H228"/>
  <c r="H196"/>
  <c r="H172"/>
  <c r="H140"/>
  <c r="H116"/>
  <c r="H84"/>
  <c r="H60"/>
  <c r="H28"/>
  <c r="H4"/>
  <c r="H525"/>
  <c r="H493"/>
  <c r="H469"/>
  <c r="H445"/>
  <c r="H413"/>
  <c r="H389"/>
  <c r="H365"/>
  <c r="H333"/>
  <c r="H309"/>
  <c r="H285"/>
  <c r="H261"/>
  <c r="H229"/>
  <c r="H189"/>
  <c r="H157"/>
  <c r="H133"/>
  <c r="H101"/>
  <c r="H69"/>
  <c r="H53"/>
  <c r="H13"/>
  <c r="I351"/>
  <c r="I311"/>
  <c r="I287"/>
  <c r="I263"/>
  <c r="I231"/>
  <c r="I199"/>
  <c r="I167"/>
  <c r="I135"/>
  <c r="I103"/>
  <c r="I71"/>
  <c r="I39"/>
  <c r="I7"/>
  <c r="H518"/>
  <c r="H494"/>
  <c r="H470"/>
  <c r="H446"/>
  <c r="H422"/>
  <c r="H390"/>
  <c r="H366"/>
  <c r="H334"/>
  <c r="H310"/>
  <c r="H286"/>
  <c r="H246"/>
  <c r="H214"/>
  <c r="H182"/>
  <c r="H150"/>
  <c r="H118"/>
  <c r="H94"/>
  <c r="H70"/>
  <c r="H38"/>
  <c r="H6"/>
  <c r="H543"/>
  <c r="I352"/>
  <c r="D3" l="1"/>
  <c r="D4"/>
  <c r="D5"/>
  <c r="D6"/>
  <c r="D10"/>
  <c r="D11"/>
  <c r="D12"/>
  <c r="D13"/>
  <c r="D14"/>
  <c r="D18"/>
  <c r="D19"/>
  <c r="D20"/>
  <c r="D21"/>
  <c r="D22"/>
  <c r="D26"/>
  <c r="D27"/>
  <c r="D28"/>
  <c r="D29"/>
  <c r="D30"/>
  <c r="D34"/>
  <c r="D35"/>
  <c r="D36"/>
  <c r="D37"/>
  <c r="D38"/>
  <c r="D42"/>
  <c r="D43"/>
  <c r="D44"/>
  <c r="D45"/>
  <c r="D46"/>
  <c r="D50"/>
  <c r="D51"/>
  <c r="D52"/>
  <c r="D53"/>
  <c r="D54"/>
  <c r="D58"/>
  <c r="D59"/>
  <c r="D60"/>
  <c r="D61"/>
  <c r="D62"/>
  <c r="D66"/>
  <c r="D67"/>
  <c r="D68"/>
  <c r="D69"/>
  <c r="D70"/>
  <c r="D74"/>
  <c r="D75"/>
  <c r="D76"/>
  <c r="D77"/>
  <c r="D78"/>
  <c r="D82"/>
  <c r="D83"/>
  <c r="D84"/>
  <c r="D85"/>
  <c r="D86"/>
  <c r="D90"/>
  <c r="D91"/>
  <c r="D92"/>
  <c r="D93"/>
  <c r="D94"/>
  <c r="D98"/>
  <c r="D99"/>
  <c r="D100"/>
  <c r="D101"/>
  <c r="D102"/>
  <c r="D106"/>
  <c r="D107"/>
  <c r="D108"/>
  <c r="D109"/>
  <c r="D110"/>
  <c r="D114"/>
  <c r="D115"/>
  <c r="D116"/>
  <c r="D117"/>
  <c r="D118"/>
  <c r="D122"/>
  <c r="D123"/>
  <c r="D124"/>
  <c r="D125"/>
  <c r="D126"/>
  <c r="D130"/>
  <c r="D131"/>
  <c r="D132"/>
  <c r="D133"/>
  <c r="D134"/>
  <c r="D138"/>
  <c r="D139"/>
  <c r="D140"/>
  <c r="D141"/>
  <c r="D142"/>
  <c r="D146"/>
  <c r="D147"/>
  <c r="D148"/>
  <c r="D149"/>
  <c r="D150"/>
  <c r="D154"/>
  <c r="D155"/>
  <c r="D156"/>
  <c r="D157"/>
  <c r="D158"/>
  <c r="D162"/>
  <c r="D163"/>
  <c r="D164"/>
  <c r="D165"/>
  <c r="D166"/>
  <c r="D170"/>
  <c r="D171"/>
  <c r="D172"/>
  <c r="D173"/>
  <c r="D174"/>
  <c r="D178"/>
  <c r="D179"/>
  <c r="D180"/>
  <c r="D181"/>
  <c r="D182"/>
  <c r="D186"/>
  <c r="D187"/>
  <c r="D188"/>
  <c r="D189"/>
  <c r="D190"/>
  <c r="D194"/>
  <c r="D195"/>
  <c r="D196"/>
  <c r="D197"/>
  <c r="D198"/>
  <c r="D202"/>
  <c r="D203"/>
  <c r="D204"/>
  <c r="D205"/>
  <c r="D206"/>
  <c r="D210"/>
  <c r="D211"/>
  <c r="D212"/>
  <c r="D213"/>
  <c r="D214"/>
  <c r="D218"/>
  <c r="D219"/>
  <c r="D220"/>
  <c r="D221"/>
  <c r="D222"/>
  <c r="D226"/>
  <c r="D227"/>
  <c r="D228"/>
  <c r="D229"/>
  <c r="D230"/>
  <c r="D234"/>
  <c r="D235"/>
  <c r="D236"/>
  <c r="D237"/>
  <c r="D238"/>
  <c r="D242"/>
  <c r="D243"/>
  <c r="D244"/>
  <c r="D245"/>
  <c r="D246"/>
  <c r="D250"/>
  <c r="D251"/>
  <c r="D252"/>
  <c r="D253"/>
  <c r="D254"/>
  <c r="D258"/>
  <c r="D259"/>
  <c r="D260"/>
  <c r="D261"/>
  <c r="D262"/>
  <c r="D266"/>
  <c r="D267"/>
  <c r="D268"/>
  <c r="D269"/>
  <c r="D270"/>
  <c r="D274"/>
  <c r="D275"/>
  <c r="D276"/>
  <c r="D277"/>
  <c r="D278"/>
  <c r="D282"/>
  <c r="D283"/>
  <c r="D284"/>
  <c r="D285"/>
  <c r="D286"/>
  <c r="D290"/>
  <c r="D291"/>
  <c r="D292"/>
  <c r="D293"/>
  <c r="D294"/>
  <c r="D298"/>
  <c r="D299"/>
  <c r="D300"/>
  <c r="D301"/>
  <c r="D302"/>
  <c r="D306"/>
  <c r="D307"/>
  <c r="D308"/>
  <c r="D309"/>
  <c r="D310"/>
  <c r="D314"/>
  <c r="D315"/>
  <c r="D316"/>
  <c r="D317"/>
  <c r="D318"/>
  <c r="D322"/>
  <c r="D323"/>
  <c r="D324"/>
  <c r="D325"/>
  <c r="D326"/>
  <c r="D330"/>
  <c r="D331"/>
  <c r="D332"/>
  <c r="D333"/>
  <c r="D334"/>
  <c r="D338"/>
  <c r="D339"/>
  <c r="D340"/>
  <c r="D341"/>
  <c r="D342"/>
  <c r="D346"/>
  <c r="D347"/>
  <c r="D348"/>
  <c r="D349"/>
  <c r="D350"/>
  <c r="D354"/>
  <c r="D355"/>
  <c r="D356"/>
  <c r="D357"/>
  <c r="D358"/>
  <c r="D362"/>
  <c r="D363"/>
  <c r="D364"/>
  <c r="D365"/>
  <c r="D366"/>
  <c r="D370"/>
  <c r="D371"/>
  <c r="D372"/>
  <c r="D373"/>
  <c r="D374"/>
  <c r="D378"/>
  <c r="D379"/>
  <c r="D380"/>
  <c r="D381"/>
  <c r="D382"/>
  <c r="D386"/>
  <c r="D387"/>
  <c r="D388"/>
  <c r="D389"/>
  <c r="D390"/>
  <c r="D394"/>
  <c r="D395"/>
  <c r="D396"/>
  <c r="D397"/>
  <c r="D398"/>
  <c r="D402"/>
  <c r="D403"/>
  <c r="D404"/>
  <c r="D405"/>
  <c r="D406"/>
  <c r="D410"/>
  <c r="D411"/>
  <c r="D412"/>
  <c r="D413"/>
  <c r="D414"/>
  <c r="D418"/>
  <c r="D419"/>
  <c r="D420"/>
  <c r="D421"/>
  <c r="D422"/>
  <c r="D426"/>
  <c r="D427"/>
  <c r="D428"/>
  <c r="D429"/>
  <c r="D430"/>
  <c r="D434"/>
  <c r="D435"/>
  <c r="D436"/>
  <c r="D437"/>
  <c r="D438"/>
  <c r="D442"/>
  <c r="D443"/>
  <c r="D444"/>
  <c r="D445"/>
  <c r="D446"/>
  <c r="D450"/>
  <c r="D451"/>
  <c r="D452"/>
  <c r="D453"/>
  <c r="D454"/>
  <c r="D458"/>
  <c r="D459"/>
  <c r="D460"/>
  <c r="D461"/>
  <c r="D462"/>
  <c r="D466"/>
  <c r="D467"/>
  <c r="D468"/>
  <c r="D469"/>
  <c r="D470"/>
  <c r="D474"/>
  <c r="D475"/>
  <c r="D476"/>
  <c r="D477"/>
  <c r="D478"/>
  <c r="D482"/>
  <c r="D483"/>
  <c r="D484"/>
  <c r="D485"/>
  <c r="D486"/>
  <c r="D490"/>
  <c r="D491"/>
  <c r="D492"/>
  <c r="D493"/>
  <c r="D494"/>
  <c r="D498"/>
  <c r="D499"/>
  <c r="D500"/>
  <c r="D501"/>
  <c r="D502"/>
  <c r="D506"/>
  <c r="D507"/>
  <c r="D508"/>
  <c r="D509"/>
  <c r="D510"/>
  <c r="D514"/>
  <c r="D515"/>
  <c r="D516"/>
  <c r="D517"/>
  <c r="D518"/>
  <c r="D522"/>
  <c r="D523"/>
  <c r="D524"/>
  <c r="D525"/>
  <c r="D526"/>
  <c r="D530"/>
  <c r="D531"/>
  <c r="D532"/>
  <c r="D533"/>
  <c r="D534"/>
  <c r="D538"/>
  <c r="D539"/>
  <c r="D540"/>
  <c r="D541"/>
  <c r="D542"/>
  <c r="D543"/>
  <c r="D546"/>
  <c r="D547"/>
  <c r="BH36" i="24"/>
  <c r="BH29"/>
  <c r="BH30"/>
  <c r="B19" i="9"/>
  <c r="I8" i="3"/>
  <c r="I174"/>
  <c r="I45"/>
  <c r="I269"/>
  <c r="I156"/>
  <c r="I35"/>
  <c r="I275"/>
  <c r="H41"/>
  <c r="H105"/>
  <c r="H169"/>
  <c r="H233"/>
  <c r="H297"/>
  <c r="H361"/>
  <c r="H425"/>
  <c r="H489"/>
  <c r="I10"/>
  <c r="I74"/>
  <c r="I138"/>
  <c r="I202"/>
  <c r="I266"/>
  <c r="I330"/>
  <c r="I158"/>
  <c r="I29"/>
  <c r="I253"/>
  <c r="I132"/>
  <c r="I11"/>
  <c r="I235"/>
  <c r="H32"/>
  <c r="H96"/>
  <c r="H160"/>
  <c r="H224"/>
  <c r="H288"/>
  <c r="H352"/>
  <c r="H416"/>
  <c r="H480"/>
  <c r="H544"/>
  <c r="I65"/>
  <c r="I129"/>
  <c r="I193"/>
  <c r="I257"/>
  <c r="I321"/>
  <c r="I78"/>
  <c r="I222"/>
  <c r="I21"/>
  <c r="I165"/>
  <c r="I317"/>
  <c r="I108"/>
  <c r="I252"/>
  <c r="I27"/>
  <c r="I171"/>
  <c r="I315"/>
  <c r="H55"/>
  <c r="H119"/>
  <c r="H183"/>
  <c r="H247"/>
  <c r="H311"/>
  <c r="H375"/>
  <c r="H439"/>
  <c r="H503"/>
  <c r="I32"/>
  <c r="I96"/>
  <c r="I160"/>
  <c r="I224"/>
  <c r="I288"/>
  <c r="I256"/>
  <c r="I357"/>
  <c r="I162"/>
  <c r="I246"/>
  <c r="I91"/>
  <c r="H184"/>
  <c r="H440"/>
  <c r="I153"/>
  <c r="I134"/>
  <c r="I20"/>
  <c r="I227"/>
  <c r="H271"/>
  <c r="H527"/>
  <c r="I312"/>
  <c r="I101"/>
  <c r="H57"/>
  <c r="H249"/>
  <c r="H505"/>
  <c r="I218"/>
  <c r="I85"/>
  <c r="I67"/>
  <c r="H176"/>
  <c r="H368"/>
  <c r="I17"/>
  <c r="I337"/>
  <c r="I349"/>
  <c r="I219"/>
  <c r="H263"/>
  <c r="H519"/>
  <c r="I240"/>
  <c r="I206"/>
  <c r="I75"/>
  <c r="H241"/>
  <c r="H497"/>
  <c r="I210"/>
  <c r="I61"/>
  <c r="I259"/>
  <c r="H424"/>
  <c r="I201"/>
  <c r="I238"/>
  <c r="I333"/>
  <c r="I195"/>
  <c r="H191"/>
  <c r="H511"/>
  <c r="I232"/>
  <c r="I150"/>
  <c r="I13"/>
  <c r="I245"/>
  <c r="I124"/>
  <c r="I356"/>
  <c r="I243"/>
  <c r="H33"/>
  <c r="H97"/>
  <c r="H161"/>
  <c r="H225"/>
  <c r="H289"/>
  <c r="H353"/>
  <c r="H417"/>
  <c r="H481"/>
  <c r="H545"/>
  <c r="I66"/>
  <c r="I130"/>
  <c r="I194"/>
  <c r="I258"/>
  <c r="I322"/>
  <c r="I126"/>
  <c r="I5"/>
  <c r="I229"/>
  <c r="I92"/>
  <c r="I332"/>
  <c r="I203"/>
  <c r="H24"/>
  <c r="H88"/>
  <c r="H152"/>
  <c r="H216"/>
  <c r="H280"/>
  <c r="H344"/>
  <c r="H408"/>
  <c r="H472"/>
  <c r="H536"/>
  <c r="I57"/>
  <c r="I121"/>
  <c r="I185"/>
  <c r="I249"/>
  <c r="I313"/>
  <c r="I54"/>
  <c r="I198"/>
  <c r="I350"/>
  <c r="I149"/>
  <c r="I293"/>
  <c r="I84"/>
  <c r="I228"/>
  <c r="I19"/>
  <c r="I155"/>
  <c r="I307"/>
  <c r="H47"/>
  <c r="H111"/>
  <c r="H175"/>
  <c r="H239"/>
  <c r="H303"/>
  <c r="H367"/>
  <c r="H431"/>
  <c r="H495"/>
  <c r="I24"/>
  <c r="I88"/>
  <c r="I152"/>
  <c r="I216"/>
  <c r="I280"/>
  <c r="I344"/>
  <c r="I46"/>
  <c r="H513"/>
  <c r="I354"/>
  <c r="I212"/>
  <c r="H120"/>
  <c r="H376"/>
  <c r="I89"/>
  <c r="I345"/>
  <c r="I221"/>
  <c r="I83"/>
  <c r="H143"/>
  <c r="H399"/>
  <c r="I120"/>
  <c r="I325"/>
  <c r="I99"/>
  <c r="H185"/>
  <c r="H377"/>
  <c r="I90"/>
  <c r="I346"/>
  <c r="I180"/>
  <c r="H112"/>
  <c r="H304"/>
  <c r="H496"/>
  <c r="I209"/>
  <c r="I254"/>
  <c r="I205"/>
  <c r="I59"/>
  <c r="H135"/>
  <c r="H455"/>
  <c r="I176"/>
  <c r="I69"/>
  <c r="I188"/>
  <c r="H177"/>
  <c r="H433"/>
  <c r="I146"/>
  <c r="I190"/>
  <c r="I43"/>
  <c r="H168"/>
  <c r="H360"/>
  <c r="I73"/>
  <c r="I329"/>
  <c r="I181"/>
  <c r="I51"/>
  <c r="H127"/>
  <c r="H383"/>
  <c r="I104"/>
  <c r="I118"/>
  <c r="I334"/>
  <c r="I213"/>
  <c r="I100"/>
  <c r="I324"/>
  <c r="I211"/>
  <c r="H25"/>
  <c r="H89"/>
  <c r="H153"/>
  <c r="H217"/>
  <c r="H281"/>
  <c r="H345"/>
  <c r="H409"/>
  <c r="H473"/>
  <c r="H537"/>
  <c r="I58"/>
  <c r="I122"/>
  <c r="I186"/>
  <c r="I250"/>
  <c r="I314"/>
  <c r="I86"/>
  <c r="I326"/>
  <c r="I197"/>
  <c r="I68"/>
  <c r="I300"/>
  <c r="I187"/>
  <c r="H16"/>
  <c r="H80"/>
  <c r="H144"/>
  <c r="H208"/>
  <c r="H272"/>
  <c r="H336"/>
  <c r="H400"/>
  <c r="H464"/>
  <c r="H528"/>
  <c r="I49"/>
  <c r="I113"/>
  <c r="I177"/>
  <c r="I241"/>
  <c r="I305"/>
  <c r="I38"/>
  <c r="I182"/>
  <c r="I342"/>
  <c r="I133"/>
  <c r="I277"/>
  <c r="I76"/>
  <c r="I220"/>
  <c r="I348"/>
  <c r="I139"/>
  <c r="I283"/>
  <c r="H39"/>
  <c r="H103"/>
  <c r="H167"/>
  <c r="H231"/>
  <c r="H295"/>
  <c r="H359"/>
  <c r="H423"/>
  <c r="H487"/>
  <c r="I16"/>
  <c r="I80"/>
  <c r="I144"/>
  <c r="I208"/>
  <c r="I272"/>
  <c r="I336"/>
  <c r="I286"/>
  <c r="I28"/>
  <c r="I268"/>
  <c r="H9"/>
  <c r="H137"/>
  <c r="H265"/>
  <c r="H393"/>
  <c r="H521"/>
  <c r="I106"/>
  <c r="I234"/>
  <c r="I298"/>
  <c r="I270"/>
  <c r="I12"/>
  <c r="I355"/>
  <c r="H128"/>
  <c r="H256"/>
  <c r="H384"/>
  <c r="H512"/>
  <c r="I97"/>
  <c r="I225"/>
  <c r="I353"/>
  <c r="I294"/>
  <c r="I237"/>
  <c r="I172"/>
  <c r="I107"/>
  <c r="H23"/>
  <c r="H151"/>
  <c r="H215"/>
  <c r="H343"/>
  <c r="H471"/>
  <c r="I64"/>
  <c r="I192"/>
  <c r="I262"/>
  <c r="I236"/>
  <c r="I339"/>
  <c r="H193"/>
  <c r="H321"/>
  <c r="H449"/>
  <c r="I98"/>
  <c r="I290"/>
  <c r="I341"/>
  <c r="H56"/>
  <c r="H312"/>
  <c r="I25"/>
  <c r="I281"/>
  <c r="I278"/>
  <c r="I164"/>
  <c r="H15"/>
  <c r="H207"/>
  <c r="H463"/>
  <c r="I184"/>
  <c r="I230"/>
  <c r="I204"/>
  <c r="H121"/>
  <c r="H441"/>
  <c r="I154"/>
  <c r="I214"/>
  <c r="I299"/>
  <c r="H432"/>
  <c r="I145"/>
  <c r="I273"/>
  <c r="I53"/>
  <c r="I284"/>
  <c r="H71"/>
  <c r="H327"/>
  <c r="I48"/>
  <c r="I304"/>
  <c r="I6"/>
  <c r="I291"/>
  <c r="H305"/>
  <c r="I18"/>
  <c r="I274"/>
  <c r="I285"/>
  <c r="H40"/>
  <c r="H232"/>
  <c r="H488"/>
  <c r="I137"/>
  <c r="I102"/>
  <c r="I116"/>
  <c r="I347"/>
  <c r="H319"/>
  <c r="I40"/>
  <c r="I296"/>
  <c r="I94"/>
  <c r="I310"/>
  <c r="I189"/>
  <c r="I60"/>
  <c r="I308"/>
  <c r="I179"/>
  <c r="H17"/>
  <c r="H81"/>
  <c r="H145"/>
  <c r="H209"/>
  <c r="H273"/>
  <c r="H337"/>
  <c r="H401"/>
  <c r="H465"/>
  <c r="H529"/>
  <c r="I50"/>
  <c r="I114"/>
  <c r="I178"/>
  <c r="I242"/>
  <c r="I306"/>
  <c r="I62"/>
  <c r="I302"/>
  <c r="I173"/>
  <c r="I36"/>
  <c r="I276"/>
  <c r="I163"/>
  <c r="H8"/>
  <c r="H72"/>
  <c r="H136"/>
  <c r="H200"/>
  <c r="H264"/>
  <c r="H328"/>
  <c r="H392"/>
  <c r="H456"/>
  <c r="H520"/>
  <c r="I41"/>
  <c r="I105"/>
  <c r="I169"/>
  <c r="I233"/>
  <c r="I297"/>
  <c r="I14"/>
  <c r="I166"/>
  <c r="I318"/>
  <c r="I109"/>
  <c r="I261"/>
  <c r="I52"/>
  <c r="I196"/>
  <c r="I340"/>
  <c r="I115"/>
  <c r="I267"/>
  <c r="H31"/>
  <c r="H95"/>
  <c r="H159"/>
  <c r="H223"/>
  <c r="H287"/>
  <c r="H351"/>
  <c r="H415"/>
  <c r="H479"/>
  <c r="I72"/>
  <c r="I136"/>
  <c r="I200"/>
  <c r="I264"/>
  <c r="I328"/>
  <c r="I70"/>
  <c r="I157"/>
  <c r="I147"/>
  <c r="H73"/>
  <c r="H201"/>
  <c r="H329"/>
  <c r="H457"/>
  <c r="I42"/>
  <c r="I170"/>
  <c r="I22"/>
  <c r="I141"/>
  <c r="I244"/>
  <c r="I131"/>
  <c r="H64"/>
  <c r="H192"/>
  <c r="H320"/>
  <c r="H448"/>
  <c r="I33"/>
  <c r="I161"/>
  <c r="I289"/>
  <c r="I142"/>
  <c r="I93"/>
  <c r="I44"/>
  <c r="I316"/>
  <c r="I251"/>
  <c r="H87"/>
  <c r="H279"/>
  <c r="H407"/>
  <c r="H535"/>
  <c r="I128"/>
  <c r="I320"/>
  <c r="I125"/>
  <c r="I123"/>
  <c r="H65"/>
  <c r="H129"/>
  <c r="H257"/>
  <c r="H385"/>
  <c r="I34"/>
  <c r="I226"/>
  <c r="I117"/>
  <c r="I331"/>
  <c r="H248"/>
  <c r="H504"/>
  <c r="I217"/>
  <c r="I77"/>
  <c r="I292"/>
  <c r="H79"/>
  <c r="H335"/>
  <c r="I56"/>
  <c r="I248"/>
  <c r="I30"/>
  <c r="I323"/>
  <c r="H313"/>
  <c r="I26"/>
  <c r="I282"/>
  <c r="I309"/>
  <c r="H48"/>
  <c r="H240"/>
  <c r="I81"/>
  <c r="I110"/>
  <c r="I140"/>
  <c r="H7"/>
  <c r="H199"/>
  <c r="H391"/>
  <c r="I112"/>
  <c r="I301"/>
  <c r="H49"/>
  <c r="H113"/>
  <c r="H369"/>
  <c r="I82"/>
  <c r="I338"/>
  <c r="I148"/>
  <c r="H104"/>
  <c r="H296"/>
  <c r="I9"/>
  <c r="I265"/>
  <c r="I37"/>
  <c r="I260"/>
  <c r="H63"/>
  <c r="H255"/>
  <c r="H447"/>
  <c r="I168"/>
  <c r="D447" l="1"/>
  <c r="D255"/>
  <c r="D63"/>
  <c r="D296"/>
  <c r="D104"/>
  <c r="D369"/>
  <c r="D113"/>
  <c r="D49"/>
  <c r="D391"/>
  <c r="D199"/>
  <c r="D7"/>
  <c r="D240"/>
  <c r="D48"/>
  <c r="D313"/>
  <c r="D335"/>
  <c r="D79"/>
  <c r="D504"/>
  <c r="D248"/>
  <c r="D385"/>
  <c r="D257"/>
  <c r="D129"/>
  <c r="D65"/>
  <c r="D535"/>
  <c r="D407"/>
  <c r="D279"/>
  <c r="D87"/>
  <c r="D448"/>
  <c r="D320"/>
  <c r="D192"/>
  <c r="D64"/>
  <c r="D457"/>
  <c r="D329"/>
  <c r="D201"/>
  <c r="D73"/>
  <c r="D479"/>
  <c r="D415"/>
  <c r="D351"/>
  <c r="D287"/>
  <c r="D223"/>
  <c r="D159"/>
  <c r="D95"/>
  <c r="D31"/>
  <c r="D520"/>
  <c r="D456"/>
  <c r="D392"/>
  <c r="D328"/>
  <c r="D264"/>
  <c r="D200"/>
  <c r="D136"/>
  <c r="D72"/>
  <c r="D8"/>
  <c r="D529"/>
  <c r="D465"/>
  <c r="D401"/>
  <c r="D337"/>
  <c r="D273"/>
  <c r="D209"/>
  <c r="D145"/>
  <c r="D81"/>
  <c r="D17"/>
  <c r="D319"/>
  <c r="D488"/>
  <c r="D232"/>
  <c r="D40"/>
  <c r="D305"/>
  <c r="D327"/>
  <c r="D71"/>
  <c r="D432"/>
  <c r="D441"/>
  <c r="D121"/>
  <c r="D463"/>
  <c r="D207"/>
  <c r="D15"/>
  <c r="D312"/>
  <c r="D56"/>
  <c r="D449"/>
  <c r="D321"/>
  <c r="D193"/>
  <c r="D471"/>
  <c r="D343"/>
  <c r="D215"/>
  <c r="D151"/>
  <c r="D23"/>
  <c r="D512"/>
  <c r="D384"/>
  <c r="D256"/>
  <c r="D128"/>
  <c r="D521"/>
  <c r="D393"/>
  <c r="D265"/>
  <c r="D137"/>
  <c r="D9"/>
  <c r="D487"/>
  <c r="D423"/>
  <c r="D359"/>
  <c r="D295"/>
  <c r="D231"/>
  <c r="D167"/>
  <c r="D103"/>
  <c r="D39"/>
  <c r="D528"/>
  <c r="D464"/>
  <c r="D400"/>
  <c r="D336"/>
  <c r="D272"/>
  <c r="D208"/>
  <c r="D144"/>
  <c r="D80"/>
  <c r="D16"/>
  <c r="D537"/>
  <c r="D473"/>
  <c r="D409"/>
  <c r="D345"/>
  <c r="D281"/>
  <c r="D217"/>
  <c r="D153"/>
  <c r="D89"/>
  <c r="D25"/>
  <c r="D383"/>
  <c r="D127"/>
  <c r="D360"/>
  <c r="D168"/>
  <c r="D433"/>
  <c r="D177"/>
  <c r="D455"/>
  <c r="D135"/>
  <c r="D496"/>
  <c r="D304"/>
  <c r="D112"/>
  <c r="D377"/>
  <c r="D185"/>
  <c r="D399"/>
  <c r="D143"/>
  <c r="D376"/>
  <c r="D120"/>
  <c r="D513"/>
  <c r="D495"/>
  <c r="D431"/>
  <c r="D367"/>
  <c r="D303"/>
  <c r="D239"/>
  <c r="D175"/>
  <c r="D111"/>
  <c r="D47"/>
  <c r="D536"/>
  <c r="D472"/>
  <c r="D408"/>
  <c r="D344"/>
  <c r="D280"/>
  <c r="D216"/>
  <c r="D152"/>
  <c r="D88"/>
  <c r="D24"/>
  <c r="D545"/>
  <c r="D481"/>
  <c r="D417"/>
  <c r="D353"/>
  <c r="D289"/>
  <c r="D225"/>
  <c r="D161"/>
  <c r="D97"/>
  <c r="D33"/>
  <c r="D511"/>
  <c r="D191"/>
  <c r="D424"/>
  <c r="D497"/>
  <c r="D241"/>
  <c r="D519"/>
  <c r="D263"/>
  <c r="D368"/>
  <c r="D176"/>
  <c r="D505"/>
  <c r="D249"/>
  <c r="D57"/>
  <c r="D527"/>
  <c r="D271"/>
  <c r="D440"/>
  <c r="D184"/>
  <c r="D503"/>
  <c r="D439"/>
  <c r="D375"/>
  <c r="D311"/>
  <c r="D247"/>
  <c r="D183"/>
  <c r="D119"/>
  <c r="D55"/>
  <c r="D544"/>
  <c r="D480"/>
  <c r="D416"/>
  <c r="D352"/>
  <c r="D288"/>
  <c r="D224"/>
  <c r="D160"/>
  <c r="D96"/>
  <c r="D32"/>
  <c r="D489"/>
  <c r="D425"/>
  <c r="D361"/>
  <c r="D297"/>
  <c r="D233"/>
  <c r="D169"/>
  <c r="D105"/>
  <c r="D41"/>
  <c r="B20" i="9"/>
  <c r="B21" l="1"/>
  <c r="B22" l="1"/>
  <c r="B23" l="1"/>
  <c r="B24" l="1"/>
  <c r="B25" l="1"/>
  <c r="BH70" i="24" a="1"/>
  <c r="BH15" a="1"/>
  <c r="CB32"/>
  <c r="CB62"/>
  <c r="CB17"/>
  <c r="CB44"/>
  <c r="BH45" a="1"/>
  <c r="BH14" a="1"/>
  <c r="BF63"/>
  <c r="BF62"/>
  <c r="BH38" a="1"/>
  <c r="BH51" a="1"/>
  <c r="CB45"/>
  <c r="CB63"/>
  <c r="G11" i="25"/>
  <c r="BF32" i="24"/>
  <c r="BH62" a="1"/>
  <c r="BH44" a="1"/>
  <c r="BH13" a="1"/>
  <c r="CB51"/>
  <c r="BH63" a="1"/>
  <c r="BH68" a="1"/>
  <c r="CB68"/>
  <c r="BF68"/>
  <c r="BH13" l="1"/>
  <c r="BH14"/>
  <c r="BZ32"/>
  <c r="BH15"/>
  <c r="BH38"/>
  <c r="BH70"/>
  <c r="BZ68"/>
  <c r="BQ68" s="1"/>
  <c r="BR68" s="1"/>
  <c r="BS68" s="1"/>
  <c r="BH68"/>
  <c r="O39"/>
  <c r="L39"/>
  <c r="AZ39" s="1"/>
  <c r="BH62"/>
  <c r="BH45"/>
  <c r="BQ51"/>
  <c r="BR51" s="1"/>
  <c r="BS51" s="1"/>
  <c r="BQ45"/>
  <c r="BR45" s="1"/>
  <c r="BS45" s="1"/>
  <c r="BH63"/>
  <c r="BQ44"/>
  <c r="BH44"/>
  <c r="BZ63"/>
  <c r="BQ63" s="1"/>
  <c r="BR63" s="1"/>
  <c r="BS63" s="1"/>
  <c r="BZ62"/>
  <c r="BQ62" s="1"/>
  <c r="BR62" s="1"/>
  <c r="BS62" s="1"/>
  <c r="BH51"/>
  <c r="B26" i="9"/>
  <c r="DQ21" i="24"/>
  <c r="DO39"/>
  <c r="DQ22"/>
  <c r="DO17"/>
  <c r="DQ26"/>
  <c r="BF19"/>
  <c r="DQ29"/>
  <c r="DO37"/>
  <c r="DQ31"/>
  <c r="DQ23"/>
  <c r="DO13"/>
  <c r="DQ34"/>
  <c r="DQ32"/>
  <c r="DQ35"/>
  <c r="DQ33"/>
  <c r="DQ19"/>
  <c r="DO38"/>
  <c r="DQ27"/>
  <c r="DQ20"/>
  <c r="DQ36"/>
  <c r="DO14"/>
  <c r="DQ25"/>
  <c r="DO18"/>
  <c r="DQ30"/>
  <c r="DQ24"/>
  <c r="DQ28"/>
  <c r="M2" i="3" l="1"/>
  <c r="L2"/>
  <c r="T2" s="1" a="1"/>
  <c r="T2" s="1"/>
  <c r="Z2" s="1"/>
  <c r="BZ19" i="24"/>
  <c r="J2" i="3"/>
  <c r="AC2"/>
  <c r="CU20" i="24"/>
  <c r="DE20"/>
  <c r="CS39"/>
  <c r="DC39"/>
  <c r="DB39" s="1"/>
  <c r="CE39" s="1"/>
  <c r="DE27"/>
  <c r="CU27"/>
  <c r="CS38"/>
  <c r="DC38"/>
  <c r="DB38" s="1"/>
  <c r="CE38" s="1"/>
  <c r="DE24"/>
  <c r="CU24"/>
  <c r="CS13"/>
  <c r="DC13"/>
  <c r="DB13" s="1"/>
  <c r="CE13" s="1"/>
  <c r="CU21"/>
  <c r="DE21"/>
  <c r="CU23"/>
  <c r="DE23"/>
  <c r="CU28"/>
  <c r="DE28"/>
  <c r="DC14"/>
  <c r="DB14" s="1"/>
  <c r="CE14" s="1"/>
  <c r="CS14"/>
  <c r="CU26"/>
  <c r="DE26"/>
  <c r="CS18"/>
  <c r="DC18"/>
  <c r="DB18" s="1"/>
  <c r="CE18" s="1"/>
  <c r="CU22"/>
  <c r="DE22"/>
  <c r="CU25"/>
  <c r="DE25"/>
  <c r="DC17"/>
  <c r="DB17" s="1"/>
  <c r="CE17" s="1"/>
  <c r="CS17"/>
  <c r="DE31"/>
  <c r="CU31"/>
  <c r="CU32"/>
  <c r="DE32"/>
  <c r="DE19"/>
  <c r="CU19"/>
  <c r="CS37"/>
  <c r="DC37"/>
  <c r="DB37" s="1"/>
  <c r="CE37" s="1"/>
  <c r="CU36"/>
  <c r="DE36"/>
  <c r="CU33"/>
  <c r="DE33"/>
  <c r="CU30"/>
  <c r="DE30"/>
  <c r="CU29"/>
  <c r="DE29"/>
  <c r="CU34"/>
  <c r="DE34"/>
  <c r="CU35"/>
  <c r="DE35"/>
  <c r="U62"/>
  <c r="BT62"/>
  <c r="B62" s="1"/>
  <c r="BT63"/>
  <c r="B63" s="1"/>
  <c r="U63"/>
  <c r="BS44"/>
  <c r="BR44"/>
  <c r="U45"/>
  <c r="BT45"/>
  <c r="B45" s="1"/>
  <c r="B51"/>
  <c r="BT51"/>
  <c r="U51"/>
  <c r="BD39"/>
  <c r="U68"/>
  <c r="BT68"/>
  <c r="B68" s="1"/>
  <c r="B27" i="9"/>
  <c r="BC39" i="24"/>
  <c r="CB20"/>
  <c r="CB22"/>
  <c r="I2" i="3"/>
  <c r="BF20" i="24"/>
  <c r="BF22"/>
  <c r="CB33"/>
  <c r="CB21"/>
  <c r="CB19"/>
  <c r="CB18"/>
  <c r="BF21"/>
  <c r="BQ38" l="1"/>
  <c r="BR38" s="1"/>
  <c r="BS38" s="1"/>
  <c r="U38" s="1"/>
  <c r="BQ13"/>
  <c r="BR13" s="1"/>
  <c r="BS13" s="1"/>
  <c r="U13" s="1"/>
  <c r="BQ39"/>
  <c r="BR39" s="1"/>
  <c r="BS39" s="1"/>
  <c r="BT39" s="1"/>
  <c r="B39" s="1"/>
  <c r="BZ22"/>
  <c r="T39"/>
  <c r="BZ21"/>
  <c r="BQ18"/>
  <c r="BZ20"/>
  <c r="U44"/>
  <c r="BT44"/>
  <c r="B44" s="1"/>
  <c r="Y2" i="3" a="1"/>
  <c r="Y2" s="1"/>
  <c r="X2" a="1"/>
  <c r="X2" s="1"/>
  <c r="AE2"/>
  <c r="BQ17" i="24"/>
  <c r="BR17" s="1"/>
  <c r="BS17" s="1"/>
  <c r="BQ14"/>
  <c r="BR14" s="1"/>
  <c r="BS14" s="1"/>
  <c r="B28" i="9"/>
  <c r="DQ16" i="24"/>
  <c r="BH39" a="1"/>
  <c r="DR16"/>
  <c r="CB37"/>
  <c r="DP16"/>
  <c r="BT13" l="1"/>
  <c r="B13" s="1"/>
  <c r="BT38"/>
  <c r="B38" s="1"/>
  <c r="U39"/>
  <c r="DD16"/>
  <c r="CT16"/>
  <c r="BQ37"/>
  <c r="BH39"/>
  <c r="CU16"/>
  <c r="DE16"/>
  <c r="DF16"/>
  <c r="CV16"/>
  <c r="BT14"/>
  <c r="B14" s="1"/>
  <c r="U14"/>
  <c r="U17"/>
  <c r="BT17"/>
  <c r="B17" s="1"/>
  <c r="BR18"/>
  <c r="BS18" s="1"/>
  <c r="B29" i="9"/>
  <c r="BF33" i="24"/>
  <c r="DB16" l="1"/>
  <c r="CE16" s="1"/>
  <c r="BQ16" s="1"/>
  <c r="BR16" s="1"/>
  <c r="BS16" s="1"/>
  <c r="BZ33"/>
  <c r="BT18"/>
  <c r="B18" s="1"/>
  <c r="U18"/>
  <c r="BR37"/>
  <c r="BS37" s="1"/>
  <c r="B30" i="9"/>
  <c r="DO22" i="24"/>
  <c r="DO34"/>
  <c r="DO33"/>
  <c r="DO25"/>
  <c r="DO26"/>
  <c r="DO30"/>
  <c r="DO20"/>
  <c r="DO24"/>
  <c r="DO35"/>
  <c r="DO19"/>
  <c r="DO27"/>
  <c r="DO31"/>
  <c r="DO32"/>
  <c r="DO23"/>
  <c r="DO21"/>
  <c r="DO29"/>
  <c r="DO36"/>
  <c r="DO28"/>
  <c r="BT16" l="1"/>
  <c r="B16" s="1"/>
  <c r="U16"/>
  <c r="CS35"/>
  <c r="DC35"/>
  <c r="DB35" s="1"/>
  <c r="CE35" s="1"/>
  <c r="CS31"/>
  <c r="DC31"/>
  <c r="DB31" s="1"/>
  <c r="CE31" s="1"/>
  <c r="DC23"/>
  <c r="DB23" s="1"/>
  <c r="CE23" s="1"/>
  <c r="CS23"/>
  <c r="CS34"/>
  <c r="DC34"/>
  <c r="DB34" s="1"/>
  <c r="CE34" s="1"/>
  <c r="DC25"/>
  <c r="DB25" s="1"/>
  <c r="CE25" s="1"/>
  <c r="CS25"/>
  <c r="CS29"/>
  <c r="DC29"/>
  <c r="DB29" s="1"/>
  <c r="CE29" s="1"/>
  <c r="DC28"/>
  <c r="DB28" s="1"/>
  <c r="CE28" s="1"/>
  <c r="CS28"/>
  <c r="CS30"/>
  <c r="DC30"/>
  <c r="DB30" s="1"/>
  <c r="CE30" s="1"/>
  <c r="CS24"/>
  <c r="DC24"/>
  <c r="DB24" s="1"/>
  <c r="CE24" s="1"/>
  <c r="CS27"/>
  <c r="DC27"/>
  <c r="DB27" s="1"/>
  <c r="CE27" s="1"/>
  <c r="CS32"/>
  <c r="DC32"/>
  <c r="DB32" s="1"/>
  <c r="CE32" s="1"/>
  <c r="DC22"/>
  <c r="DB22" s="1"/>
  <c r="CE22" s="1"/>
  <c r="CS22"/>
  <c r="CS33"/>
  <c r="DC33"/>
  <c r="DB33" s="1"/>
  <c r="CE33" s="1"/>
  <c r="DC21"/>
  <c r="DB21" s="1"/>
  <c r="CE21" s="1"/>
  <c r="CS21"/>
  <c r="DC36"/>
  <c r="DB36" s="1"/>
  <c r="CE36" s="1"/>
  <c r="CS36"/>
  <c r="DC26"/>
  <c r="DB26" s="1"/>
  <c r="CE26" s="1"/>
  <c r="CS26"/>
  <c r="DC20"/>
  <c r="DB20" s="1"/>
  <c r="CE20" s="1"/>
  <c r="CS20"/>
  <c r="DC19"/>
  <c r="DB19" s="1"/>
  <c r="CE19" s="1"/>
  <c r="CS19"/>
  <c r="BT37"/>
  <c r="U37"/>
  <c r="B37"/>
  <c r="B31" i="9"/>
  <c r="BQ30" i="24" l="1"/>
  <c r="BR30" s="1"/>
  <c r="BQ29"/>
  <c r="BR29" s="1"/>
  <c r="BQ20"/>
  <c r="BR20" s="1"/>
  <c r="BS20" s="1"/>
  <c r="U20" s="1"/>
  <c r="BQ21"/>
  <c r="BR21" s="1"/>
  <c r="BS21" s="1"/>
  <c r="BQ33"/>
  <c r="BQ32"/>
  <c r="BR32" s="1"/>
  <c r="BS32" s="1"/>
  <c r="BT32" s="1"/>
  <c r="B32" s="1"/>
  <c r="BQ22"/>
  <c r="BR22" s="1"/>
  <c r="BS22" s="1"/>
  <c r="BQ19"/>
  <c r="BQ36"/>
  <c r="BR33"/>
  <c r="BS33" s="1"/>
  <c r="BT22"/>
  <c r="B22" s="1"/>
  <c r="U22"/>
  <c r="B32" i="9"/>
  <c r="BS29" i="24" l="1"/>
  <c r="BT29" s="1"/>
  <c r="B29" s="1"/>
  <c r="U32"/>
  <c r="BS30"/>
  <c r="BT20"/>
  <c r="B20" s="1"/>
  <c r="BT21"/>
  <c r="B21" s="1"/>
  <c r="U21"/>
  <c r="BR36"/>
  <c r="BS36" s="1"/>
  <c r="BR19"/>
  <c r="BS19" s="1"/>
  <c r="U33"/>
  <c r="BT33"/>
  <c r="B33" s="1"/>
  <c r="B33" i="9"/>
  <c r="BT30" i="24" l="1"/>
  <c r="B30" s="1"/>
  <c r="U30"/>
  <c r="U29"/>
  <c r="BT19"/>
  <c r="B19" s="1"/>
  <c r="U19"/>
  <c r="U36"/>
  <c r="BT36"/>
  <c r="B36" s="1"/>
  <c r="B34" i="9"/>
  <c r="B35" l="1"/>
  <c r="B36" l="1"/>
  <c r="B37" l="1"/>
  <c r="B38" l="1"/>
  <c r="B39" l="1"/>
  <c r="B40" l="1"/>
  <c r="B41" l="1"/>
  <c r="B42" l="1"/>
  <c r="B43" l="1"/>
  <c r="B44" l="1"/>
  <c r="B45" l="1"/>
  <c r="B46" l="1"/>
  <c r="B47" l="1"/>
  <c r="B48" l="1"/>
  <c r="B49" l="1"/>
  <c r="B50" l="1"/>
  <c r="B51" l="1"/>
  <c r="B52" l="1"/>
  <c r="B53" l="1"/>
  <c r="BF69" i="24" l="1"/>
  <c r="CB64"/>
  <c r="BH64" a="1"/>
  <c r="BF64"/>
  <c r="CB69"/>
  <c r="BH64" l="1"/>
  <c r="BZ64"/>
  <c r="BQ64" s="1"/>
  <c r="BR64" s="1"/>
  <c r="BS64" s="1"/>
  <c r="BZ69"/>
  <c r="BQ69" s="1"/>
  <c r="BT64" l="1"/>
  <c r="B64" s="1"/>
  <c r="U64"/>
  <c r="BR69"/>
  <c r="BS69" s="1"/>
  <c r="CB23"/>
  <c r="BF23"/>
  <c r="BZ23" l="1"/>
  <c r="BQ23" s="1"/>
  <c r="BR23" s="1"/>
  <c r="BS23" s="1"/>
  <c r="BT69"/>
  <c r="B69" s="1"/>
  <c r="U69"/>
  <c r="U23" l="1"/>
  <c r="BT23"/>
  <c r="B23" s="1"/>
  <c r="O2" i="3"/>
  <c r="S2"/>
  <c r="C16" i="7" l="1"/>
  <c r="F47" i="9" s="1"/>
  <c r="U2" i="3" a="1"/>
  <c r="BF31" i="24"/>
  <c r="BH67" a="1"/>
  <c r="Q2" i="3"/>
  <c r="P2"/>
  <c r="BF24" i="24"/>
  <c r="CB31"/>
  <c r="CB67"/>
  <c r="BF67"/>
  <c r="CB24"/>
  <c r="F46" i="9" l="1"/>
  <c r="F30"/>
  <c r="F22"/>
  <c r="F38"/>
  <c r="F21"/>
  <c r="F37"/>
  <c r="F45"/>
  <c r="F28"/>
  <c r="F44"/>
  <c r="F27"/>
  <c r="F35"/>
  <c r="F34"/>
  <c r="F24"/>
  <c r="F32"/>
  <c r="F40"/>
  <c r="F48"/>
  <c r="F29"/>
  <c r="F53"/>
  <c r="F20"/>
  <c r="F36"/>
  <c r="F52"/>
  <c r="F19"/>
  <c r="F43"/>
  <c r="F51"/>
  <c r="F18"/>
  <c r="F26"/>
  <c r="F42"/>
  <c r="F50"/>
  <c r="F17"/>
  <c r="F25"/>
  <c r="F33"/>
  <c r="F41"/>
  <c r="F49"/>
  <c r="F23"/>
  <c r="F31"/>
  <c r="F39"/>
  <c r="U2" i="3"/>
  <c r="BZ24" i="24"/>
  <c r="BQ24" s="1"/>
  <c r="BR24" s="1"/>
  <c r="BS24" s="1"/>
  <c r="BZ31"/>
  <c r="BQ31" s="1"/>
  <c r="BR31" s="1"/>
  <c r="BS31" s="1"/>
  <c r="BZ67"/>
  <c r="BQ67" s="1"/>
  <c r="BH67"/>
  <c r="K61"/>
  <c r="BA61" s="1"/>
  <c r="BC61" s="1"/>
  <c r="K59"/>
  <c r="BA59" s="1"/>
  <c r="BC59" s="1"/>
  <c r="K54"/>
  <c r="BA54" s="1"/>
  <c r="BC54" s="1"/>
  <c r="K53"/>
  <c r="BA53" s="1"/>
  <c r="K60"/>
  <c r="BA60" s="1"/>
  <c r="BC60" s="1"/>
  <c r="K58"/>
  <c r="BA58" s="1"/>
  <c r="D41" i="9"/>
  <c r="D35"/>
  <c r="D26"/>
  <c r="E24"/>
  <c r="E45"/>
  <c r="E19"/>
  <c r="D53"/>
  <c r="D42"/>
  <c r="D19"/>
  <c r="D51"/>
  <c r="E40"/>
  <c r="E29"/>
  <c r="D32"/>
  <c r="E30"/>
  <c r="E51"/>
  <c r="E31"/>
  <c r="D20"/>
  <c r="D34"/>
  <c r="D50"/>
  <c r="D27"/>
  <c r="D43"/>
  <c r="E32"/>
  <c r="E48"/>
  <c r="E21"/>
  <c r="E37"/>
  <c r="E53"/>
  <c r="D48"/>
  <c r="D25"/>
  <c r="E46"/>
  <c r="E35"/>
  <c r="D44"/>
  <c r="D21"/>
  <c r="E42"/>
  <c r="E39"/>
  <c r="D45"/>
  <c r="D22"/>
  <c r="D30"/>
  <c r="D38"/>
  <c r="D46"/>
  <c r="D23"/>
  <c r="D31"/>
  <c r="D39"/>
  <c r="D47"/>
  <c r="E20"/>
  <c r="E28"/>
  <c r="E36"/>
  <c r="E44"/>
  <c r="E52"/>
  <c r="E25"/>
  <c r="E33"/>
  <c r="E41"/>
  <c r="E49"/>
  <c r="D24"/>
  <c r="D40"/>
  <c r="D33"/>
  <c r="D49"/>
  <c r="E22"/>
  <c r="E38"/>
  <c r="E27"/>
  <c r="E43"/>
  <c r="D28"/>
  <c r="D37"/>
  <c r="E26"/>
  <c r="E47"/>
  <c r="D52"/>
  <c r="D29"/>
  <c r="E50"/>
  <c r="D36"/>
  <c r="E34"/>
  <c r="E23"/>
  <c r="E18"/>
  <c r="D18"/>
  <c r="F11"/>
  <c r="F12"/>
  <c r="F13"/>
  <c r="F14"/>
  <c r="F15"/>
  <c r="F16"/>
  <c r="E13"/>
  <c r="D12"/>
  <c r="D11"/>
  <c r="E16"/>
  <c r="D16"/>
  <c r="E14"/>
  <c r="D13"/>
  <c r="D14"/>
  <c r="D15"/>
  <c r="E12"/>
  <c r="E17"/>
  <c r="D17"/>
  <c r="E11"/>
  <c r="E15"/>
  <c r="F5"/>
  <c r="F6"/>
  <c r="F7"/>
  <c r="F8"/>
  <c r="F9"/>
  <c r="F10"/>
  <c r="F4"/>
  <c r="BC58" i="24"/>
  <c r="CB25"/>
  <c r="B16" i="7"/>
  <c r="BF25" i="24"/>
  <c r="CB26"/>
  <c r="CB66"/>
  <c r="W2" i="3"/>
  <c r="BF66" i="24"/>
  <c r="BH66" a="1"/>
  <c r="BF26"/>
  <c r="BZ66" l="1"/>
  <c r="BQ66" s="1"/>
  <c r="BR66" s="1"/>
  <c r="BS66" s="1"/>
  <c r="BH66"/>
  <c r="V2" i="3"/>
  <c r="BZ25" i="24"/>
  <c r="BQ25" s="1"/>
  <c r="BR25" s="1"/>
  <c r="BS25" s="1"/>
  <c r="BZ26"/>
  <c r="BQ26" s="1"/>
  <c r="BR26" s="1"/>
  <c r="BS26" s="1"/>
  <c r="BT31"/>
  <c r="B31" s="1"/>
  <c r="U31"/>
  <c r="BT24"/>
  <c r="B24" s="1"/>
  <c r="U24"/>
  <c r="BD58"/>
  <c r="BD59"/>
  <c r="BR67"/>
  <c r="BS67" s="1"/>
  <c r="BD60"/>
  <c r="BD54"/>
  <c r="BD61"/>
  <c r="CB34"/>
  <c r="BF35"/>
  <c r="BF34"/>
  <c r="CB35"/>
  <c r="U66" l="1"/>
  <c r="BT66"/>
  <c r="B66" s="1"/>
  <c r="BZ34"/>
  <c r="BQ34" s="1"/>
  <c r="BZ35"/>
  <c r="BQ35" s="1"/>
  <c r="T61"/>
  <c r="T54"/>
  <c r="T60"/>
  <c r="T59"/>
  <c r="T58"/>
  <c r="BT25"/>
  <c r="B25" s="1"/>
  <c r="U25"/>
  <c r="U26"/>
  <c r="BT26"/>
  <c r="B26" s="1"/>
  <c r="BT67"/>
  <c r="U67"/>
  <c r="B67"/>
  <c r="BH59" a="1"/>
  <c r="BH61" a="1"/>
  <c r="BH58" a="1"/>
  <c r="BH60" a="1"/>
  <c r="BH54" a="1"/>
  <c r="BR34" l="1"/>
  <c r="BS34" s="1"/>
  <c r="BR35"/>
  <c r="BS35" s="1"/>
  <c r="BH60"/>
  <c r="BH54"/>
  <c r="BH61"/>
  <c r="BH58"/>
  <c r="BH59"/>
  <c r="H2" i="3"/>
  <c r="BT34" i="24" l="1"/>
  <c r="B34" s="1"/>
  <c r="U34"/>
  <c r="U35"/>
  <c r="BT35"/>
  <c r="B35" s="1"/>
  <c r="D2" i="3"/>
  <c r="CB28" i="24"/>
  <c r="BH16" a="1"/>
  <c r="BH17" a="1"/>
  <c r="BF27"/>
  <c r="BF28"/>
  <c r="CB27"/>
  <c r="BH16" l="1"/>
  <c r="BH17"/>
  <c r="BZ27"/>
  <c r="BQ27" s="1"/>
  <c r="BR27" s="1"/>
  <c r="BS27" s="1"/>
  <c r="BZ28"/>
  <c r="BQ28" s="1"/>
  <c r="BR28" s="1"/>
  <c r="BS28" s="1"/>
  <c r="BT28" l="1"/>
  <c r="B28" s="1"/>
  <c r="U28"/>
  <c r="BT27"/>
  <c r="B27" s="1"/>
  <c r="U27"/>
  <c r="BQ5"/>
  <c r="V2" l="1"/>
  <c r="BQ7"/>
  <c r="BQ11"/>
  <c r="BQ9"/>
  <c r="AV34" l="1"/>
  <c r="AV35"/>
  <c r="AV29"/>
  <c r="AV30"/>
  <c r="AV33"/>
  <c r="AV36"/>
  <c r="AV71"/>
  <c r="BR7"/>
  <c r="W2" s="1"/>
  <c r="AV23"/>
  <c r="AV49"/>
  <c r="AV68"/>
  <c r="AV16"/>
  <c r="AV61"/>
  <c r="AV42"/>
  <c r="AV25"/>
  <c r="AV44"/>
  <c r="AV51"/>
  <c r="AV18"/>
  <c r="AV37"/>
  <c r="AV41"/>
  <c r="AV60"/>
  <c r="AV24"/>
  <c r="AV50"/>
  <c r="AV17"/>
  <c r="AV38"/>
  <c r="AV63"/>
  <c r="AV19"/>
  <c r="AV27"/>
  <c r="AV45"/>
  <c r="AV53"/>
  <c r="AV64"/>
  <c r="AV20"/>
  <c r="AV28"/>
  <c r="AV46"/>
  <c r="AV54"/>
  <c r="AV65"/>
  <c r="AV21"/>
  <c r="AV43"/>
  <c r="AV62"/>
  <c r="AV26"/>
  <c r="AV52"/>
  <c r="AV31"/>
  <c r="AV47"/>
  <c r="AV58"/>
  <c r="AV66"/>
  <c r="AV22"/>
  <c r="AV32"/>
  <c r="AV39"/>
  <c r="AV48"/>
  <c r="AV59"/>
  <c r="AV67"/>
  <c r="BH69" l="1" a="1"/>
  <c r="D10" i="9"/>
  <c r="E10"/>
  <c r="D9"/>
  <c r="E9"/>
  <c r="E8"/>
  <c r="E7"/>
  <c r="D7"/>
  <c r="D8"/>
  <c r="D6"/>
  <c r="E6"/>
  <c r="E4"/>
  <c r="D5"/>
  <c r="E5"/>
  <c r="D4"/>
  <c r="BH32" i="24" a="1"/>
  <c r="BH37" a="1"/>
  <c r="BH26" a="1"/>
  <c r="BH31" a="1"/>
  <c r="BH28" a="1"/>
  <c r="BH21" a="1"/>
  <c r="BH23" a="1"/>
  <c r="BH18" a="1"/>
  <c r="BH22" a="1"/>
  <c r="BH19" a="1"/>
  <c r="BH25" a="1"/>
  <c r="BH24" a="1"/>
  <c r="BH27" a="1"/>
  <c r="BH20" a="1"/>
  <c r="L53" l="1"/>
  <c r="AZ53" s="1"/>
  <c r="BH18"/>
  <c r="BH19"/>
  <c r="BH20"/>
  <c r="BH21"/>
  <c r="BH22"/>
  <c r="BH23"/>
  <c r="BH24"/>
  <c r="BH25"/>
  <c r="BH26"/>
  <c r="BH27"/>
  <c r="BH28"/>
  <c r="BH31"/>
  <c r="BH32"/>
  <c r="BH37"/>
  <c r="BH69"/>
  <c r="BH33" a="1"/>
  <c r="BH35" a="1"/>
  <c r="BH34" a="1"/>
  <c r="BD53" l="1"/>
  <c r="BH35"/>
  <c r="BH34"/>
  <c r="BH33"/>
  <c r="BC53"/>
  <c r="T53" l="1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<sst xmlns="http://schemas.openxmlformats.org/spreadsheetml/2006/main" count="2265" uniqueCount="1190">
  <si>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</si>
  <si>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</si>
  <si>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</si>
  <si>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</si>
  <si>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</si>
  <si>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</si>
  <si>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</si>
  <si>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</si>
  <si>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</si>
  <si>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</si>
  <si>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</si>
  <si>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</si>
  <si>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</si>
  <si>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</si>
  <si>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</si>
  <si>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</si>
  <si>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</si>
  <si>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</si>
  <si>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</si>
  <si>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</si>
  <si>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</si>
  <si>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</si>
  <si>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</si>
  <si>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</si>
  <si>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</si>
  <si>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</si>
  <si>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</si>
  <si>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</si>
  <si>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Zakres wartości</t>
  </si>
  <si>
    <t>Min</t>
  </si>
  <si>
    <t>Max</t>
  </si>
  <si>
    <t>zakres istnienia etykiet</t>
  </si>
  <si>
    <t>min</t>
  </si>
  <si>
    <t>max</t>
  </si>
  <si>
    <t>Skrócona nazwa grupy</t>
  </si>
  <si>
    <t>Kod błędu nazwy SPSS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</si>
  <si>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</si>
  <si>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</si>
  <si>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</si>
  <si>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</si>
  <si>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</si>
  <si>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</si>
  <si>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</si>
  <si>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</si>
  <si>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</si>
  <si>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</si>
  <si>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</si>
  <si>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</si>
  <si>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</si>
  <si>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</si>
  <si>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</si>
  <si>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</si>
  <si>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</si>
  <si>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</si>
  <si>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</si>
  <si>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</si>
  <si>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</si>
  <si>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</si>
  <si>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</si>
  <si>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</si>
  <si>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</si>
  <si>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</si>
  <si>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</si>
  <si>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</si>
  <si>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</si>
  <si>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</si>
  <si>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</si>
  <si>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</si>
  <si>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</si>
  <si>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</si>
  <si>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</si>
  <si>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</si>
  <si>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</si>
  <si>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</si>
  <si>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</si>
  <si>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</si>
  <si>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</si>
  <si>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</si>
  <si>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</si>
  <si>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</si>
  <si>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</si>
  <si>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</si>
  <si>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</si>
  <si>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</si>
  <si>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</si>
  <si>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</si>
  <si>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</si>
  <si>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</si>
  <si>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</si>
  <si>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</si>
  <si>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</si>
  <si>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</si>
  <si>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</si>
  <si>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</si>
  <si>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</si>
  <si>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</si>
  <si>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</si>
  <si>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SaEtykiety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</si>
  <si>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</si>
  <si>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</si>
  <si>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</si>
  <si>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</si>
  <si>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</si>
  <si>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</si>
  <si>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</si>
  <si>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</si>
  <si>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</si>
  <si>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</si>
  <si>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</si>
  <si>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</si>
  <si>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</si>
  <si>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</si>
  <si>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</si>
  <si>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</si>
  <si>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</si>
  <si>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</si>
  <si>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</si>
  <si>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</si>
  <si>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</si>
  <si>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</si>
  <si>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</si>
  <si>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</si>
  <si>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</si>
  <si>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</si>
  <si>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</si>
  <si>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</si>
  <si>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</si>
  <si>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</si>
  <si>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</si>
  <si>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</si>
  <si>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</si>
  <si>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</si>
  <si>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</si>
  <si>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</si>
  <si>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</si>
  <si>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</si>
  <si>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</si>
  <si>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</si>
  <si>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</si>
  <si>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</si>
  <si>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</si>
  <si>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</si>
  <si>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</si>
  <si>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</si>
  <si>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</si>
  <si>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</si>
  <si>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</si>
  <si>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</si>
  <si>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</si>
  <si>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</si>
  <si>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</si>
  <si>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</si>
  <si>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</si>
  <si>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</si>
  <si>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</si>
  <si>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</si>
  <si>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</si>
  <si>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</si>
  <si>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</si>
  <si>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</si>
  <si>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</si>
  <si>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</si>
  <si>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</si>
  <si>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</si>
  <si>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</si>
  <si>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</si>
  <si>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</si>
  <si>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</si>
  <si>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</si>
  <si>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</si>
  <si>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</si>
  <si>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</si>
  <si>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</si>
  <si>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</si>
  <si>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</si>
  <si>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</si>
  <si>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</si>
  <si>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</si>
  <si>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</si>
  <si>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</si>
  <si>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</si>
  <si>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</si>
  <si>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</si>
  <si>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</si>
  <si>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</si>
  <si>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</si>
  <si>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</si>
  <si>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</si>
  <si>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</si>
  <si>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</si>
  <si>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</si>
  <si>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</si>
  <si>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</si>
  <si>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</si>
  <si>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</si>
  <si>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</si>
  <si>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</si>
  <si>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</si>
  <si>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</si>
  <si>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</si>
  <si>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</si>
  <si>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</si>
  <si>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</si>
  <si>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</si>
  <si>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</si>
  <si>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</si>
  <si>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</si>
  <si>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</si>
  <si>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</si>
  <si>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</si>
  <si>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</si>
  <si>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</si>
  <si>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</si>
  <si>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</si>
  <si>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</si>
  <si>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</si>
  <si>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</si>
  <si>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</si>
  <si>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</si>
  <si>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</si>
  <si>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</si>
  <si>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</si>
  <si>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</si>
  <si>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</si>
  <si>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</si>
  <si>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</si>
  <si>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</si>
  <si>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</si>
  <si>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</si>
  <si>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</si>
  <si>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</si>
  <si>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</si>
  <si>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</si>
  <si>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</si>
  <si>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</si>
  <si>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</si>
  <si>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</si>
  <si>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</si>
  <si>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</si>
  <si>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</si>
  <si>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</si>
  <si>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</si>
  <si>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</si>
  <si>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</si>
  <si>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</si>
  <si>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</si>
  <si>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</si>
  <si>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</si>
  <si>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</si>
  <si>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</si>
  <si>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</si>
  <si>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</si>
  <si>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</si>
  <si>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</si>
  <si>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</si>
  <si>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</si>
  <si>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</si>
  <si>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</si>
  <si>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</si>
  <si>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</si>
  <si>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Zakladka zmienne RW</t>
  </si>
  <si>
    <t>Zakladka zmienne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</si>
  <si>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</si>
  <si>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</si>
  <si>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</si>
  <si>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</si>
  <si>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</si>
  <si>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</si>
  <si>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</si>
  <si>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</si>
  <si>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</si>
  <si>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</si>
  <si>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</si>
  <si>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</si>
  <si>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</si>
  <si>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</si>
  <si>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</si>
  <si>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Ile etykiet niecałkowitych?</t>
  </si>
  <si>
    <t>Czy ma być dyskretna?</t>
  </si>
  <si>
    <t>Zmienne CzyDyskretna</t>
  </si>
  <si>
    <t>Zmienne UstawDyskretna</t>
  </si>
  <si>
    <t>Zmienne UstawMinTeoret</t>
  </si>
  <si>
    <t>Zmienne UstawMaxTeoret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</si>
  <si>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</si>
  <si>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</si>
  <si>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</si>
  <si>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</si>
  <si>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</si>
  <si>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</si>
  <si>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Typ błędu wartości</t>
  </si>
  <si>
    <t>Label count</t>
  </si>
  <si>
    <t>Arkusz zmiennych</t>
  </si>
  <si>
    <t>Maks. zakres wartości etykiet</t>
  </si>
  <si>
    <t>Nr kolumny błędu nazwy SPSS</t>
  </si>
  <si>
    <t>Nr kolumny błędu nazwy długiej</t>
  </si>
  <si>
    <t>Czy musi być dyskretna?</t>
  </si>
  <si>
    <t>Typ zmiennej liczbowy</t>
  </si>
  <si>
    <t>Czy character</t>
  </si>
  <si>
    <t>Nr kolumny czy character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</si>
  <si>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</si>
  <si>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</si>
  <si>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</si>
  <si>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</si>
  <si>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</si>
  <si>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</si>
  <si>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</si>
  <si>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</si>
  <si>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</si>
  <si>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</si>
  <si>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</si>
  <si>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</si>
  <si>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</si>
  <si>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</si>
  <si>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</si>
  <si>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</si>
  <si>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</si>
  <si>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</si>
  <si>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</si>
  <si>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</si>
  <si>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</si>
  <si>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</si>
  <si>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</si>
  <si>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</si>
  <si>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</si>
  <si>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</si>
  <si>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</si>
  <si>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</si>
  <si>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</si>
  <si>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</si>
  <si>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</si>
  <si>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</si>
  <si>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</si>
  <si>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lp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</si>
  <si>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</si>
  <si>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</si>
  <si>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</si>
  <si>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</si>
  <si>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</si>
  <si>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</si>
  <si>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</si>
  <si>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</si>
  <si>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</si>
  <si>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</si>
  <si>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</si>
  <si>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</si>
  <si>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</si>
  <si>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</si>
  <si>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</si>
  <si>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</si>
  <si>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</si>
  <si>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</si>
  <si>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</si>
  <si>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</si>
  <si>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</si>
  <si>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</si>
  <si>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No</t>
  </si>
  <si>
    <t>Yes</t>
  </si>
  <si>
    <t>NA</t>
  </si>
  <si>
    <t>colon cancer</t>
  </si>
  <si>
    <t>1\2</t>
  </si>
  <si>
    <t>1\1</t>
  </si>
  <si>
    <t>6\7</t>
  </si>
  <si>
    <t>secretary</t>
  </si>
  <si>
    <t>sister</t>
  </si>
  <si>
    <t>AD</t>
  </si>
  <si>
    <t>retired</t>
  </si>
  <si>
    <t>cardiac disease</t>
  </si>
  <si>
    <t>prostate cancer</t>
  </si>
  <si>
    <t>1\5</t>
  </si>
  <si>
    <t>2\5</t>
  </si>
  <si>
    <t>1\3</t>
  </si>
  <si>
    <t>3\4</t>
  </si>
  <si>
    <t>merchant</t>
  </si>
  <si>
    <t>diabetes</t>
  </si>
  <si>
    <t>economist</t>
  </si>
  <si>
    <t>1\4</t>
  </si>
  <si>
    <t>heart attack</t>
  </si>
  <si>
    <t>6\6</t>
  </si>
  <si>
    <t>3\7</t>
  </si>
  <si>
    <t>2\2</t>
  </si>
  <si>
    <t>stroke</t>
  </si>
  <si>
    <t>3\6</t>
  </si>
  <si>
    <t>accident</t>
  </si>
  <si>
    <t>teacher</t>
  </si>
  <si>
    <t>3\3</t>
  </si>
  <si>
    <t>banker</t>
  </si>
  <si>
    <t>2\4</t>
  </si>
  <si>
    <t>2\3</t>
  </si>
  <si>
    <t>natural death</t>
  </si>
  <si>
    <t>sudden death</t>
  </si>
  <si>
    <t>unknown</t>
  </si>
  <si>
    <t>benzodiazepine</t>
  </si>
  <si>
    <t>pancreatic cancer</t>
  </si>
  <si>
    <t>lung cancer</t>
  </si>
  <si>
    <t>4\5</t>
  </si>
  <si>
    <t>4\4</t>
  </si>
  <si>
    <t>myocardial infarction</t>
  </si>
  <si>
    <t>heart failure</t>
  </si>
  <si>
    <t>locksmith</t>
  </si>
  <si>
    <t>7\7</t>
  </si>
  <si>
    <t>1\7</t>
  </si>
  <si>
    <t>4\6</t>
  </si>
  <si>
    <t>psychologist</t>
  </si>
  <si>
    <t>breast cancer</t>
  </si>
  <si>
    <t>electrician</t>
  </si>
  <si>
    <t>pneumonia</t>
  </si>
  <si>
    <t>3\8</t>
  </si>
  <si>
    <t>liver cancer</t>
  </si>
  <si>
    <t>2\8</t>
  </si>
  <si>
    <t>suicide</t>
  </si>
  <si>
    <t>leukemia</t>
  </si>
  <si>
    <t>Steroids</t>
  </si>
  <si>
    <t>dementia</t>
  </si>
  <si>
    <t>cook</t>
  </si>
  <si>
    <t>renal insufficiency</t>
  </si>
  <si>
    <t>migraine</t>
  </si>
  <si>
    <t>aunt</t>
  </si>
  <si>
    <t>rosuvastatin</t>
  </si>
  <si>
    <t>Leukemia</t>
  </si>
  <si>
    <t>escitalopram</t>
  </si>
  <si>
    <t>FTD</t>
  </si>
  <si>
    <t>sales</t>
  </si>
  <si>
    <t>fluoxetin</t>
  </si>
  <si>
    <t>manager</t>
  </si>
  <si>
    <t>5\9</t>
  </si>
  <si>
    <t>car painter</t>
  </si>
  <si>
    <t>house wife</t>
  </si>
  <si>
    <t>Stroke</t>
  </si>
  <si>
    <t>engineer</t>
  </si>
  <si>
    <t>2\1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</si>
  <si>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</si>
  <si>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</si>
  <si>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</si>
  <si>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</si>
  <si>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</si>
  <si>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</si>
  <si>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</si>
  <si>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</si>
  <si>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</si>
  <si>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</si>
  <si>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</si>
  <si>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</si>
  <si>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</si>
  <si>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</si>
  <si>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</si>
  <si>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</si>
  <si>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</si>
  <si>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</si>
  <si>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</si>
  <si>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q_17</t>
  </si>
  <si>
    <t>q_19</t>
  </si>
  <si>
    <t>q_20</t>
  </si>
  <si>
    <t>q_21</t>
  </si>
  <si>
    <t>q_22</t>
  </si>
  <si>
    <t>q_24a</t>
  </si>
  <si>
    <t>q_24b</t>
  </si>
  <si>
    <t>q_25a</t>
  </si>
  <si>
    <t>q_25b</t>
  </si>
  <si>
    <t>q_26a</t>
  </si>
  <si>
    <t>q_26b</t>
  </si>
  <si>
    <t>q_26c</t>
  </si>
  <si>
    <t>q_27a</t>
  </si>
  <si>
    <t>q_27b</t>
  </si>
  <si>
    <t>q_28a</t>
  </si>
  <si>
    <t>q_28b</t>
  </si>
  <si>
    <t>q_29a</t>
  </si>
  <si>
    <t>q_29b</t>
  </si>
  <si>
    <t>q_29c</t>
  </si>
  <si>
    <t>q_30a</t>
  </si>
  <si>
    <t>q_46</t>
  </si>
  <si>
    <t>q_48a</t>
  </si>
  <si>
    <t>q_48b</t>
  </si>
  <si>
    <t>q_48c</t>
  </si>
  <si>
    <t>q_48d</t>
  </si>
  <si>
    <t>q_49</t>
  </si>
  <si>
    <t>q_55a</t>
  </si>
  <si>
    <t>q_55b</t>
  </si>
  <si>
    <t>q_55c</t>
  </si>
  <si>
    <t>q_56a</t>
  </si>
  <si>
    <t>q_56b</t>
  </si>
  <si>
    <t>q_56c</t>
  </si>
  <si>
    <t>q_57a</t>
  </si>
  <si>
    <t>q_57b</t>
  </si>
  <si>
    <t>q_57c</t>
  </si>
  <si>
    <t>q_58a</t>
  </si>
  <si>
    <t>q_58b</t>
  </si>
  <si>
    <t>q_58c</t>
  </si>
  <si>
    <t>q_59a</t>
  </si>
  <si>
    <t>q_59b</t>
  </si>
  <si>
    <t>q_61</t>
  </si>
  <si>
    <t>q_62</t>
  </si>
  <si>
    <t>q_63</t>
  </si>
  <si>
    <t>q_64</t>
  </si>
  <si>
    <t>q_66</t>
  </si>
  <si>
    <t>q_67</t>
  </si>
  <si>
    <t>q_68</t>
  </si>
  <si>
    <t>q_69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</si>
  <si>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</si>
  <si>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</si>
  <si>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</si>
  <si>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</si>
  <si>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</si>
  <si>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</si>
  <si>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</si>
  <si>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</si>
  <si>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</si>
  <si>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</si>
  <si>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</si>
  <si>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</si>
  <si>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</si>
  <si>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</si>
  <si>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</si>
  <si>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id</t>
  </si>
  <si>
    <t>Date of consultation</t>
  </si>
  <si>
    <t>Date of birth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</si>
  <si>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</si>
  <si>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</si>
  <si>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</si>
  <si>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</si>
  <si>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</si>
  <si>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</si>
  <si>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</si>
  <si>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</si>
  <si>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</si>
  <si>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</si>
  <si>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</si>
  <si>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</si>
  <si>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</si>
  <si>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</si>
  <si>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</si>
  <si>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</si>
  <si>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Heart – ischemia</t>
  </si>
  <si>
    <t>Heart – arrhytmia</t>
  </si>
  <si>
    <t>Heart – insufficiency</t>
  </si>
  <si>
    <t>Primary cancer</t>
  </si>
  <si>
    <t>Metastasis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</si>
  <si>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</si>
  <si>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</si>
  <si>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</si>
  <si>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</si>
  <si>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</si>
  <si>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Date of initiation of smoking (year)</t>
  </si>
  <si>
    <t>Stopped smoking</t>
  </si>
  <si>
    <t xml:space="preserve">Date of interruption of smoking (year) 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</si>
  <si>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</si>
  <si>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</si>
  <si>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</si>
  <si>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</si>
  <si>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</si>
  <si>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</si>
  <si>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</si>
  <si>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</si>
  <si>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</si>
  <si>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</si>
  <si>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</si>
  <si>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</si>
  <si>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</si>
  <si>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</si>
  <si>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</si>
  <si>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</si>
  <si>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</si>
  <si>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</si>
  <si>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</si>
  <si>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</si>
  <si>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genes</t>
  </si>
  <si>
    <t>Other gene 1</t>
  </si>
  <si>
    <t>Gene 1 result</t>
  </si>
  <si>
    <t>Other gene 2</t>
  </si>
  <si>
    <t>Gene 2 result</t>
  </si>
  <si>
    <t>Other gene 3</t>
  </si>
  <si>
    <t>Gene 3 result</t>
  </si>
  <si>
    <t>Other gene 4</t>
  </si>
  <si>
    <t>Gene 4 result</t>
  </si>
  <si>
    <t>Other gene 5</t>
  </si>
  <si>
    <t>Was the patient included in other genomic studies</t>
  </si>
  <si>
    <t>Genomic study name 1</t>
  </si>
  <si>
    <t>Genomic study name 2</t>
  </si>
  <si>
    <t>Was there ALS in the family</t>
  </si>
  <si>
    <t>Mother</t>
  </si>
  <si>
    <t>Father</t>
  </si>
  <si>
    <t>Heterozygous twin brother</t>
  </si>
  <si>
    <t>homozygous twin brother</t>
  </si>
  <si>
    <t>heterozygous twin sister</t>
  </si>
  <si>
    <t>homozygous twin sister</t>
  </si>
  <si>
    <t>Other family member 1</t>
  </si>
  <si>
    <t>Other family member 2</t>
  </si>
  <si>
    <t>Other family member 3</t>
  </si>
  <si>
    <t>Was there FTD in the family</t>
  </si>
  <si>
    <t>Was there AD in the family</t>
  </si>
  <si>
    <t>Was there PD in the family</t>
  </si>
  <si>
    <t>Was there MS in the family</t>
  </si>
  <si>
    <t>Other severe disease 1 of mother</t>
  </si>
  <si>
    <t>Other severe disease 2 of mother</t>
  </si>
  <si>
    <t>Other severe disease 3 of mother</t>
  </si>
  <si>
    <t>Other severe disease 1 of father</t>
  </si>
  <si>
    <t>Other severe disease 2 of father</t>
  </si>
  <si>
    <t>Other severe disease 3 of father</t>
  </si>
  <si>
    <t>Other severe disease 1 of other family members</t>
  </si>
  <si>
    <t>Other severe disease 2 of other family members</t>
  </si>
  <si>
    <t>Other severe disease 3 of other family members</t>
  </si>
  <si>
    <t>Other severe disease 4 of other family members</t>
  </si>
  <si>
    <t>Other severe disease 5 of other family members</t>
  </si>
  <si>
    <t>Other severe disease 6 of other family members</t>
  </si>
  <si>
    <t>Mother alive</t>
  </si>
  <si>
    <t>Mother's cause of death</t>
  </si>
  <si>
    <t>Mother's age at death</t>
  </si>
  <si>
    <t>Father alive</t>
  </si>
  <si>
    <t>Father's cause of death</t>
  </si>
  <si>
    <t>Father's age at death</t>
  </si>
  <si>
    <t>Other family member 1, who died</t>
  </si>
  <si>
    <t>Family member 1 cause of death</t>
  </si>
  <si>
    <t>Family member 1 age at death</t>
  </si>
  <si>
    <t>Other family member 2, who died</t>
  </si>
  <si>
    <t>Family member 2 cause of death</t>
  </si>
  <si>
    <t>Family member 2 age at death</t>
  </si>
  <si>
    <t>Other family member 3, who died</t>
  </si>
  <si>
    <t>Family member 3 cause of death</t>
  </si>
  <si>
    <t>Family member 3 age at death</t>
  </si>
  <si>
    <t>Other family member 4, who died</t>
  </si>
  <si>
    <t>Family member 4 cause of death</t>
  </si>
  <si>
    <t>Family member 4 age at death</t>
  </si>
  <si>
    <t>Other family member 5, who died</t>
  </si>
  <si>
    <t>Family member 5 cause of death</t>
  </si>
  <si>
    <t>Family member 5 age at death</t>
  </si>
  <si>
    <t>Other family member 6, who died</t>
  </si>
  <si>
    <t>Family member 6 cause of death</t>
  </si>
  <si>
    <t>Family member 6 age at death</t>
  </si>
  <si>
    <t>Other family member 7, who died</t>
  </si>
  <si>
    <t>Family member 7 cause of death</t>
  </si>
  <si>
    <t>Family member 7 age at death</t>
  </si>
  <si>
    <t>Mother´s number of siblings and birth order</t>
  </si>
  <si>
    <t>Father´s number of siblings and birth order</t>
  </si>
  <si>
    <t>Consanguinity of parents</t>
  </si>
  <si>
    <t>Number of children</t>
  </si>
  <si>
    <t>Number of siblings and birth order</t>
  </si>
  <si>
    <t>With a monozygous twin</t>
  </si>
  <si>
    <t>With a dizygous twin</t>
  </si>
  <si>
    <t>Regular physical exercise</t>
  </si>
  <si>
    <t>Moderate Basketball activity</t>
  </si>
  <si>
    <t>How long Basketball activity</t>
  </si>
  <si>
    <t>Moderate Boxing activity</t>
  </si>
  <si>
    <t>How long Boxing activity</t>
  </si>
  <si>
    <t>Moderate Climbing activity</t>
  </si>
  <si>
    <t>How long Climbing activity</t>
  </si>
  <si>
    <t>Moderate Cycling activity</t>
  </si>
  <si>
    <t>How long Cycling activity</t>
  </si>
  <si>
    <t>Moderate Dancing activity</t>
  </si>
  <si>
    <t>How long Dancing activity</t>
  </si>
  <si>
    <t>Moderate Diving activity</t>
  </si>
  <si>
    <t>How long Diving activity</t>
  </si>
  <si>
    <t>Moderate Fast walking activity</t>
  </si>
  <si>
    <t>How long Fast walking activity</t>
  </si>
  <si>
    <t>Moderate Fencing activity</t>
  </si>
  <si>
    <t>How long Fencing activity</t>
  </si>
  <si>
    <t>Moderate Fitness activity</t>
  </si>
  <si>
    <t>How long Fitness activity</t>
  </si>
  <si>
    <t>Moderate Football activity</t>
  </si>
  <si>
    <t>How long Football activity</t>
  </si>
  <si>
    <t>Moderate Golf activity</t>
  </si>
  <si>
    <t>How long Golf activity</t>
  </si>
  <si>
    <t>Moderate Handball activity</t>
  </si>
  <si>
    <t>How long Handball activity</t>
  </si>
  <si>
    <t>Moderate Hockey activity</t>
  </si>
  <si>
    <t>How long Hockey activity</t>
  </si>
  <si>
    <t>Moderate Rowing activity</t>
  </si>
  <si>
    <t>How long Rowing activity</t>
  </si>
  <si>
    <t>Moderate Rugby activity</t>
  </si>
  <si>
    <t>How long Rugby activity</t>
  </si>
  <si>
    <t>Moderate Running activity</t>
  </si>
  <si>
    <t>How long Running activity</t>
  </si>
  <si>
    <t>Moderate Skiing activity</t>
  </si>
  <si>
    <t>How long Skiing activity</t>
  </si>
  <si>
    <t>Moderate Swimming activity</t>
  </si>
  <si>
    <t>How long Swimming activity</t>
  </si>
  <si>
    <t>Moderate Tennis activity</t>
  </si>
  <si>
    <t>How long Tennis activity</t>
  </si>
  <si>
    <t>Moderate Volleyball activity</t>
  </si>
  <si>
    <t>How long Volleyball activity</t>
  </si>
  <si>
    <t>Moderate Weightlifting activity</t>
  </si>
  <si>
    <t>How long Weightlifting activity</t>
  </si>
  <si>
    <t>Other moderate activity</t>
  </si>
  <si>
    <t>How long other moderate activity</t>
  </si>
  <si>
    <t>vigorous Basketball activity</t>
  </si>
  <si>
    <t>vigorous Boxing activity</t>
  </si>
  <si>
    <t>vigorous Climbing activity</t>
  </si>
  <si>
    <t>vigorous Cycling activity</t>
  </si>
  <si>
    <t>vigorous Dancing activity</t>
  </si>
  <si>
    <t>vigorous Diving activity</t>
  </si>
  <si>
    <t>vigorous Fast walking activity</t>
  </si>
  <si>
    <t>vigorous Fencing activity</t>
  </si>
  <si>
    <t>vigorous Fitness activity</t>
  </si>
  <si>
    <t>vigorous Football activity</t>
  </si>
  <si>
    <t>vigorous Golf activity</t>
  </si>
  <si>
    <t>vigorous Handball activity</t>
  </si>
  <si>
    <t>vigorous Hockey activity</t>
  </si>
  <si>
    <t>vigorous Rowing activity</t>
  </si>
  <si>
    <t>vigorous Rugby activity</t>
  </si>
  <si>
    <t>vigorous Running activity</t>
  </si>
  <si>
    <t>vigorous Skiing activity</t>
  </si>
  <si>
    <t>vigorous Swimming activity</t>
  </si>
  <si>
    <t>vigorous Tennis activity</t>
  </si>
  <si>
    <t>vigorous Volleyball activity</t>
  </si>
  <si>
    <t>vigorous Weightlifting activity</t>
  </si>
  <si>
    <t>Other vigorous activity</t>
  </si>
  <si>
    <t>How long other vigorous activity</t>
  </si>
  <si>
    <t>Mild Basketball activity</t>
  </si>
  <si>
    <t>How long mild Basketball activity</t>
  </si>
  <si>
    <t>Mild Boxing activity</t>
  </si>
  <si>
    <t>How long mild Boxing activity</t>
  </si>
  <si>
    <t>Mild Climbing activity</t>
  </si>
  <si>
    <t>How long mild Climbing activity</t>
  </si>
  <si>
    <t>Mild Cycling activity</t>
  </si>
  <si>
    <t>How long mild Cycling activity</t>
  </si>
  <si>
    <t>Mild Dancing activity</t>
  </si>
  <si>
    <t>How long mild Dancing activity</t>
  </si>
  <si>
    <t>Mild Diving activity</t>
  </si>
  <si>
    <t>How long mild Diving activity</t>
  </si>
  <si>
    <t>Mild Fast walking activity</t>
  </si>
  <si>
    <t>How long mild Fast walking activity</t>
  </si>
  <si>
    <t>Mild Fencing activity</t>
  </si>
  <si>
    <t>How long mild Fencing activity</t>
  </si>
  <si>
    <t>Mild Fitness activity</t>
  </si>
  <si>
    <t>How long mild Fitness activity</t>
  </si>
  <si>
    <t>Mild Football activity</t>
  </si>
  <si>
    <t>How long mild Football activity</t>
  </si>
  <si>
    <t>Mild Golf activity</t>
  </si>
  <si>
    <t>How long mild Golf activity</t>
  </si>
  <si>
    <t>Mild Handball activity</t>
  </si>
  <si>
    <t>How long mild Handball activity</t>
  </si>
  <si>
    <t>Mild Hockey activity</t>
  </si>
  <si>
    <t>How long mild Hockey activity</t>
  </si>
  <si>
    <t>Mild Rowing activity</t>
  </si>
  <si>
    <t>How long mild Rowing activity</t>
  </si>
  <si>
    <t>Mild Rugby activity</t>
  </si>
  <si>
    <t>How long mild Rugby activity</t>
  </si>
  <si>
    <t>Mild Running activity</t>
  </si>
  <si>
    <t>How long mild Running activity</t>
  </si>
  <si>
    <t>Mild Skiing activity</t>
  </si>
  <si>
    <t>How long mild Skiing activity</t>
  </si>
  <si>
    <t>Mild Swimming activity</t>
  </si>
  <si>
    <t>How long mild Swimming activity</t>
  </si>
  <si>
    <t>Mild Tennis activity</t>
  </si>
  <si>
    <t>How long mild Tennis activity</t>
  </si>
  <si>
    <t>Mild Volleyball activity</t>
  </si>
  <si>
    <t>How long mild Volleyball activity</t>
  </si>
  <si>
    <t>Mild Weightlifting activity</t>
  </si>
  <si>
    <t>How long mild Weightlifting activity</t>
  </si>
  <si>
    <t>Other mild activity</t>
  </si>
  <si>
    <t>How long other mild activity</t>
  </si>
  <si>
    <t>Regular specific diet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</si>
  <si>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</si>
  <si>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</si>
  <si>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</si>
  <si>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</si>
  <si>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</si>
  <si>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</si>
  <si>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</si>
  <si>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</si>
  <si>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</si>
  <si>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</si>
  <si>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</si>
  <si>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</si>
  <si>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</si>
  <si>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</si>
  <si>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</si>
  <si>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</si>
  <si>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</si>
  <si>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</si>
  <si>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</si>
  <si>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</si>
  <si>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</si>
  <si>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</si>
  <si>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</si>
  <si>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</si>
  <si>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</si>
  <si>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</si>
  <si>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</si>
  <si>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</si>
  <si>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</si>
  <si>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</si>
  <si>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</si>
  <si>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</si>
  <si>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</si>
  <si>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</si>
  <si>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</si>
  <si>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</si>
  <si>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</si>
  <si>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</si>
  <si>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</si>
  <si>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</si>
  <si>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</si>
  <si>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</si>
  <si>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</si>
  <si>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</si>
  <si>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</si>
  <si>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Relative</t>
  </si>
  <si>
    <t>Female</t>
  </si>
  <si>
    <t>Caucasian</t>
  </si>
  <si>
    <t>Village - &lt; 1000 inhabitants</t>
  </si>
  <si>
    <t>Rural Area</t>
  </si>
  <si>
    <t>ischemic</t>
  </si>
  <si>
    <t>Smokes</t>
  </si>
  <si>
    <t>Rural area</t>
  </si>
  <si>
    <t>Spouse</t>
  </si>
  <si>
    <t>Male</t>
  </si>
  <si>
    <t>African</t>
  </si>
  <si>
    <t xml:space="preserve">Country towns– 1000-5 000 </t>
  </si>
  <si>
    <t>Urban Area</t>
  </si>
  <si>
    <t>hemorrhagic</t>
  </si>
  <si>
    <t>Brain</t>
  </si>
  <si>
    <t>Mediterranean</t>
  </si>
  <si>
    <t>Urban area</t>
  </si>
  <si>
    <t>Not related</t>
  </si>
  <si>
    <t>Asian</t>
  </si>
  <si>
    <t>Small town– 5 000-20 000</t>
  </si>
  <si>
    <t>Neck</t>
  </si>
  <si>
    <t>Vegetarian</t>
  </si>
  <si>
    <t>Not feasible</t>
  </si>
  <si>
    <t>Middle town– 20 000 – 100 000</t>
  </si>
  <si>
    <t>Breast</t>
  </si>
  <si>
    <t>Vegan</t>
  </si>
  <si>
    <t xml:space="preserve">Large town– &gt; 100 000 </t>
  </si>
  <si>
    <t>Lung</t>
  </si>
  <si>
    <t>Gluten-free</t>
  </si>
  <si>
    <t>other Thoracic</t>
  </si>
  <si>
    <t>High protein</t>
  </si>
  <si>
    <t>Gastric</t>
  </si>
  <si>
    <t>Low carbohydrate</t>
  </si>
  <si>
    <t>Colon</t>
  </si>
  <si>
    <t>Paleo (High- protein, high-fat low-carbohydrate)</t>
  </si>
  <si>
    <t>Rectum</t>
  </si>
  <si>
    <t>other Abdominal</t>
  </si>
  <si>
    <t>Prostate</t>
  </si>
  <si>
    <t>Uterus</t>
  </si>
  <si>
    <t>other Pelvic</t>
  </si>
  <si>
    <t>Spine</t>
  </si>
  <si>
    <t>UL bone &amp; sarcomas</t>
  </si>
  <si>
    <t>LL bone &amp; sarcomas</t>
  </si>
  <si>
    <t>Skin</t>
  </si>
  <si>
    <t>Lymphoma</t>
  </si>
  <si>
    <t>other blood</t>
  </si>
  <si>
    <t>Relation to patient</t>
  </si>
  <si>
    <t>Patient code</t>
  </si>
  <si>
    <t>q_16</t>
  </si>
  <si>
    <t>q_18</t>
  </si>
  <si>
    <t>q_23a</t>
  </si>
  <si>
    <t>q_23b</t>
  </si>
  <si>
    <t>q_26d</t>
  </si>
  <si>
    <t>q_26e</t>
  </si>
  <si>
    <t>q_30b</t>
  </si>
  <si>
    <t>q_31a</t>
  </si>
  <si>
    <t>q_31b</t>
  </si>
  <si>
    <t>q_32a</t>
  </si>
  <si>
    <t>q_32b</t>
  </si>
  <si>
    <t>q_33a</t>
  </si>
  <si>
    <t>q_33b</t>
  </si>
  <si>
    <t>q_34a</t>
  </si>
  <si>
    <t>q_34b</t>
  </si>
  <si>
    <t>q_35a</t>
  </si>
  <si>
    <t>q_35b</t>
  </si>
  <si>
    <t>q_36</t>
  </si>
  <si>
    <t>q_37.1</t>
  </si>
  <si>
    <t>q_37.1a</t>
  </si>
  <si>
    <t>q_37.1b</t>
  </si>
  <si>
    <t>q_37.1c</t>
  </si>
  <si>
    <t>q_37.1d</t>
  </si>
  <si>
    <t>q_37.1e</t>
  </si>
  <si>
    <t>q_37.1f</t>
  </si>
  <si>
    <t>q_37.1g</t>
  </si>
  <si>
    <t>q_37.1h</t>
  </si>
  <si>
    <t>q_37.1i</t>
  </si>
  <si>
    <t>q_37.1j</t>
  </si>
  <si>
    <t>q_37.2a</t>
  </si>
  <si>
    <t>q_37.2b</t>
  </si>
  <si>
    <t>q_37.2c</t>
  </si>
  <si>
    <t>q_38a</t>
  </si>
  <si>
    <t>q_38b</t>
  </si>
  <si>
    <t>q_38c</t>
  </si>
  <si>
    <t>q_38d</t>
  </si>
  <si>
    <t>q_38e</t>
  </si>
  <si>
    <t>q_38f</t>
  </si>
  <si>
    <t>q_38g</t>
  </si>
  <si>
    <t>q_38h</t>
  </si>
  <si>
    <t>q_38i</t>
  </si>
  <si>
    <t>q_38j</t>
  </si>
  <si>
    <t>q_39a</t>
  </si>
  <si>
    <t>q_39b</t>
  </si>
  <si>
    <t>q_39c</t>
  </si>
  <si>
    <t>q_39d</t>
  </si>
  <si>
    <t>q_39e</t>
  </si>
  <si>
    <t>q_39f</t>
  </si>
  <si>
    <t>q_39g</t>
  </si>
  <si>
    <t>q_39h</t>
  </si>
  <si>
    <t>q_39i</t>
  </si>
  <si>
    <t>q_39j</t>
  </si>
  <si>
    <t>q_40a</t>
  </si>
  <si>
    <t>q_40b</t>
  </si>
  <si>
    <t>q_40c</t>
  </si>
  <si>
    <t>q_40d</t>
  </si>
  <si>
    <t>q_40e</t>
  </si>
  <si>
    <t>q_40f</t>
  </si>
  <si>
    <t>q_40g</t>
  </si>
  <si>
    <t>q_40h</t>
  </si>
  <si>
    <t>q_40i</t>
  </si>
  <si>
    <t>q_40j</t>
  </si>
  <si>
    <t>q_41a</t>
  </si>
  <si>
    <t>q_41b</t>
  </si>
  <si>
    <t>q_41c</t>
  </si>
  <si>
    <t>q_41d</t>
  </si>
  <si>
    <t>q_41e</t>
  </si>
  <si>
    <t>q_41f</t>
  </si>
  <si>
    <t>q_41g</t>
  </si>
  <si>
    <t>q_41h</t>
  </si>
  <si>
    <t>q_41i</t>
  </si>
  <si>
    <t>q_41j</t>
  </si>
  <si>
    <t>q_42a</t>
  </si>
  <si>
    <t>q_42b</t>
  </si>
  <si>
    <t>q_42c</t>
  </si>
  <si>
    <t>q_42d</t>
  </si>
  <si>
    <t>q_42e</t>
  </si>
  <si>
    <t>q_42f</t>
  </si>
  <si>
    <t>q_42g</t>
  </si>
  <si>
    <t>q_42h</t>
  </si>
  <si>
    <t>q_42i</t>
  </si>
  <si>
    <t>q_42j</t>
  </si>
  <si>
    <t>q_43a</t>
  </si>
  <si>
    <t>q_43b</t>
  </si>
  <si>
    <t>q_43c</t>
  </si>
  <si>
    <t>q_43d</t>
  </si>
  <si>
    <t>q_43e</t>
  </si>
  <si>
    <t>q_43f</t>
  </si>
  <si>
    <t>q_43g</t>
  </si>
  <si>
    <t>q_43h</t>
  </si>
  <si>
    <t>q_43i</t>
  </si>
  <si>
    <t>q_43j</t>
  </si>
  <si>
    <t>q_43k</t>
  </si>
  <si>
    <t>q_43l</t>
  </si>
  <si>
    <t>q_44.1a</t>
  </si>
  <si>
    <t>q_44.1b</t>
  </si>
  <si>
    <t>q_44.1c</t>
  </si>
  <si>
    <t>q_44.2a</t>
  </si>
  <si>
    <t>q_44.2b</t>
  </si>
  <si>
    <t>q_44.2c</t>
  </si>
  <si>
    <t>q_44.3a</t>
  </si>
  <si>
    <t>q_44.3b</t>
  </si>
  <si>
    <t>q_44.3c</t>
  </si>
  <si>
    <t>q_44.4a</t>
  </si>
  <si>
    <t>q_44.4b</t>
  </si>
  <si>
    <t>q_44.4c</t>
  </si>
  <si>
    <t>q_44.5a</t>
  </si>
  <si>
    <t>q_44.5b</t>
  </si>
  <si>
    <t>q_44.5c</t>
  </si>
  <si>
    <t>q_44.6a</t>
  </si>
  <si>
    <t>q_44.6b</t>
  </si>
  <si>
    <t>q_44.6c</t>
  </si>
  <si>
    <t>q_44.7a</t>
  </si>
  <si>
    <t>q_44.7b</t>
  </si>
  <si>
    <t>q_44.7c</t>
  </si>
  <si>
    <t>q_44.8a</t>
  </si>
  <si>
    <t>q_44.8b</t>
  </si>
  <si>
    <t>q_44.8c</t>
  </si>
  <si>
    <t>q_44.9a</t>
  </si>
  <si>
    <t>q_44.9b</t>
  </si>
  <si>
    <t>q_44.9c</t>
  </si>
  <si>
    <t>q_45</t>
  </si>
  <si>
    <t>q_47</t>
  </si>
  <si>
    <t>q_50a.1</t>
  </si>
  <si>
    <t>q_50a.2</t>
  </si>
  <si>
    <t>q_50b.1</t>
  </si>
  <si>
    <t>q_50b.2</t>
  </si>
  <si>
    <t>q_50c.1</t>
  </si>
  <si>
    <t>q_50c.2</t>
  </si>
  <si>
    <t>q_50d.1</t>
  </si>
  <si>
    <t>q_50d.2</t>
  </si>
  <si>
    <t>q_50e.1</t>
  </si>
  <si>
    <t>q_50e.2</t>
  </si>
  <si>
    <t>q_50f.1</t>
  </si>
  <si>
    <t>q_50f.2</t>
  </si>
  <si>
    <t>q_50g.1</t>
  </si>
  <si>
    <t>q_50g.2</t>
  </si>
  <si>
    <t>q_50h.1</t>
  </si>
  <si>
    <t>q_50h.2</t>
  </si>
  <si>
    <t>q_50i.1</t>
  </si>
  <si>
    <t>q_50i.2</t>
  </si>
  <si>
    <t>q_50j.1</t>
  </si>
  <si>
    <t>q_50j.2</t>
  </si>
  <si>
    <t>q_50k.1</t>
  </si>
  <si>
    <t>q_50k.2</t>
  </si>
  <si>
    <t>q_50l.1</t>
  </si>
  <si>
    <t>q_50l.2</t>
  </si>
  <si>
    <t>q_50m.1</t>
  </si>
  <si>
    <t>q_50m.2</t>
  </si>
  <si>
    <t>q_50n.1</t>
  </si>
  <si>
    <t>q_50n.2</t>
  </si>
  <si>
    <t>q_50o.1</t>
  </si>
  <si>
    <t>q_50o.2</t>
  </si>
  <si>
    <t>q_50p.1</t>
  </si>
  <si>
    <t>q_50p.2</t>
  </si>
  <si>
    <t>q_50q.1</t>
  </si>
  <si>
    <t>q_50q.2</t>
  </si>
  <si>
    <t>q_50r.1</t>
  </si>
  <si>
    <t>q_50r.2</t>
  </si>
  <si>
    <t>q_50s.1</t>
  </si>
  <si>
    <t>q_50s.2</t>
  </si>
  <si>
    <t>q_50t.1</t>
  </si>
  <si>
    <t>q_50t.2</t>
  </si>
  <si>
    <t>q_50u.1</t>
  </si>
  <si>
    <t>q_50u.2</t>
  </si>
  <si>
    <t>q_50v.1</t>
  </si>
  <si>
    <t>q_50v.2</t>
  </si>
  <si>
    <t>q_50a.3</t>
  </si>
  <si>
    <t>q_50a.4</t>
  </si>
  <si>
    <t>q_50b.3</t>
  </si>
  <si>
    <t>q_50b.4</t>
  </si>
  <si>
    <t>q_50c.3</t>
  </si>
  <si>
    <t>q_50c.4</t>
  </si>
  <si>
    <t>q_50d.3</t>
  </si>
  <si>
    <t>q_50d.4</t>
  </si>
  <si>
    <t>q_50e.3</t>
  </si>
  <si>
    <t>q_50e.4</t>
  </si>
  <si>
    <t>q_50f.3</t>
  </si>
  <si>
    <t>q_50f.4</t>
  </si>
  <si>
    <t>q_50g.3</t>
  </si>
  <si>
    <t>q_50g.4</t>
  </si>
  <si>
    <t>q_50h.3</t>
  </si>
  <si>
    <t>q_50h.4</t>
  </si>
  <si>
    <t>q_50i.3</t>
  </si>
  <si>
    <t>q_50i.4</t>
  </si>
  <si>
    <t>q_50j.3</t>
  </si>
  <si>
    <t>q_50j.4</t>
  </si>
  <si>
    <t>q_50k.3</t>
  </si>
  <si>
    <t>q_50k.4</t>
  </si>
  <si>
    <t>q_50l.3</t>
  </si>
  <si>
    <t>q_50l.4</t>
  </si>
  <si>
    <t>q_50m.3</t>
  </si>
  <si>
    <t>q_50m.4</t>
  </si>
  <si>
    <t>q_50n.3</t>
  </si>
  <si>
    <t>q_50n.4</t>
  </si>
  <si>
    <t>q_50o.3</t>
  </si>
  <si>
    <t>q_50o.4</t>
  </si>
  <si>
    <t>q_50p.3</t>
  </si>
  <si>
    <t>q_50p.4</t>
  </si>
  <si>
    <t>q_50q.3</t>
  </si>
  <si>
    <t>q_50q.4</t>
  </si>
  <si>
    <t>q_50r.3</t>
  </si>
  <si>
    <t>q_50r.4</t>
  </si>
  <si>
    <t>q_50s.3</t>
  </si>
  <si>
    <t>q_50s.4</t>
  </si>
  <si>
    <t>q_50t.3</t>
  </si>
  <si>
    <t>q_50t.4</t>
  </si>
  <si>
    <t>q_50u.3</t>
  </si>
  <si>
    <t>q_50u.4</t>
  </si>
  <si>
    <t>q_50v.3</t>
  </si>
  <si>
    <t>q_50v.4</t>
  </si>
  <si>
    <t>q_51a.1</t>
  </si>
  <si>
    <t>q_51a.2</t>
  </si>
  <si>
    <t>q_51b.1</t>
  </si>
  <si>
    <t>q_51b.2</t>
  </si>
  <si>
    <t>q_51c.1</t>
  </si>
  <si>
    <t>q_51c.2</t>
  </si>
  <si>
    <t>q_51d.1</t>
  </si>
  <si>
    <t>q_51d.2</t>
  </si>
  <si>
    <t>q_51e.1</t>
  </si>
  <si>
    <t>q_51e.2</t>
  </si>
  <si>
    <t>q_51f.1</t>
  </si>
  <si>
    <t>q_51f.2</t>
  </si>
  <si>
    <t>q_51g.1</t>
  </si>
  <si>
    <t>q_51g.2</t>
  </si>
  <si>
    <t>q_51h.1</t>
  </si>
  <si>
    <t>q_51h.2</t>
  </si>
  <si>
    <t>q_51i.1</t>
  </si>
  <si>
    <t>q_51i.2</t>
  </si>
  <si>
    <t>q_51j.1</t>
  </si>
  <si>
    <t>q_51j.2</t>
  </si>
  <si>
    <t>q_51k.1</t>
  </si>
  <si>
    <t>q_51k.2</t>
  </si>
  <si>
    <t>q_51l.1</t>
  </si>
  <si>
    <t>q_51l.2</t>
  </si>
  <si>
    <t>q_51m.1</t>
  </si>
  <si>
    <t>q_51m.2</t>
  </si>
  <si>
    <t>q_51n.1</t>
  </si>
  <si>
    <t>q_51n.2</t>
  </si>
  <si>
    <t>q_51o.1</t>
  </si>
  <si>
    <t>q_51o.2</t>
  </si>
  <si>
    <t>q_51p.1</t>
  </si>
  <si>
    <t>q_51p.2</t>
  </si>
  <si>
    <t>q_51q.1</t>
  </si>
  <si>
    <t>q_51q.2</t>
  </si>
  <si>
    <t>q_51r.1</t>
  </si>
  <si>
    <t>q_51r.2</t>
  </si>
  <si>
    <t>q_51s.1</t>
  </si>
  <si>
    <t>q_51s.2</t>
  </si>
  <si>
    <t>q_51t.1</t>
  </si>
  <si>
    <t>q_51t.2</t>
  </si>
  <si>
    <t>q_51u.1</t>
  </si>
  <si>
    <t>q_51u.2</t>
  </si>
  <si>
    <t>q_51v.1</t>
  </si>
  <si>
    <t>q_51v.2</t>
  </si>
  <si>
    <t>q_52</t>
  </si>
  <si>
    <t>q_53</t>
  </si>
  <si>
    <t>q_54</t>
  </si>
  <si>
    <t>q_60a</t>
  </si>
  <si>
    <t>q_60b</t>
  </si>
  <si>
    <t>q_65</t>
  </si>
  <si>
    <t>q_81a</t>
  </si>
  <si>
    <t>q_81b</t>
  </si>
  <si>
    <t>q_81c</t>
  </si>
  <si>
    <t>q_81d</t>
  </si>
  <si>
    <t>q_81e</t>
  </si>
  <si>
    <t>q_82a</t>
  </si>
  <si>
    <t>q_82b</t>
  </si>
  <si>
    <t>q_82c</t>
  </si>
  <si>
    <t>q_82d</t>
  </si>
  <si>
    <t>q_82e</t>
  </si>
  <si>
    <t>q_85</t>
  </si>
  <si>
    <t>LISB (2-Control)_Marta.xlsm</t>
  </si>
  <si>
    <t>LISB9001</t>
  </si>
  <si>
    <t>ADT</t>
  </si>
  <si>
    <t>Gabapentin</t>
  </si>
  <si>
    <t>great-uncle</t>
  </si>
  <si>
    <t>Architect</t>
  </si>
  <si>
    <t>LISB9002</t>
  </si>
  <si>
    <t>folic acid</t>
  </si>
  <si>
    <t>researcher</t>
  </si>
  <si>
    <t>LISB9003</t>
  </si>
  <si>
    <t>vitamins</t>
  </si>
  <si>
    <t>12\14</t>
  </si>
  <si>
    <t xml:space="preserve">medical laboratory </t>
  </si>
  <si>
    <t>LISB9004</t>
  </si>
  <si>
    <t>medical laboratory</t>
  </si>
  <si>
    <t>LISB9005</t>
  </si>
  <si>
    <t>olanzapin</t>
  </si>
  <si>
    <t>marfan syndrome</t>
  </si>
  <si>
    <t>LISB9006</t>
  </si>
  <si>
    <t>prednisone</t>
  </si>
  <si>
    <t>LISB9007</t>
  </si>
  <si>
    <t>security</t>
  </si>
  <si>
    <t>LISB9008</t>
  </si>
  <si>
    <t>srtoke</t>
  </si>
  <si>
    <t>LISB9009</t>
  </si>
  <si>
    <t>bowel cancer</t>
  </si>
  <si>
    <t>LISB9010</t>
  </si>
  <si>
    <t>agronomist</t>
  </si>
  <si>
    <t>LISB9011</t>
  </si>
  <si>
    <t>LISB9012</t>
  </si>
  <si>
    <t>diabetes type 2</t>
  </si>
  <si>
    <t>LISB9013</t>
  </si>
  <si>
    <t>enginner</t>
  </si>
  <si>
    <t>LISB9014</t>
  </si>
  <si>
    <t>LISB9015</t>
  </si>
  <si>
    <t>LISB9016</t>
  </si>
  <si>
    <t>rural work</t>
  </si>
  <si>
    <t>LISB9017</t>
  </si>
  <si>
    <t>pharmaceutical lab production</t>
  </si>
  <si>
    <t>LISB9018</t>
  </si>
  <si>
    <t>heart infart</t>
  </si>
  <si>
    <t>LISB9019</t>
  </si>
  <si>
    <t>LISB9020</t>
  </si>
  <si>
    <t>9\10</t>
  </si>
  <si>
    <t>LISB9021</t>
  </si>
  <si>
    <t>LISB9022</t>
  </si>
  <si>
    <t>lung emphysema</t>
  </si>
  <si>
    <t>LISB9023</t>
  </si>
  <si>
    <t>hotel manager</t>
  </si>
  <si>
    <t>LISB9024</t>
  </si>
  <si>
    <t>clonazepan, duloxetin</t>
  </si>
  <si>
    <t>sister - colon cancer</t>
  </si>
  <si>
    <t>Electrical Engineer</t>
  </si>
  <si>
    <t>LISB9025</t>
  </si>
  <si>
    <t>diazepan</t>
  </si>
  <si>
    <t>pregabalin</t>
  </si>
  <si>
    <t>heart ischemia</t>
  </si>
  <si>
    <t>LISB9026</t>
  </si>
  <si>
    <t>LISB9027</t>
  </si>
  <si>
    <t>laboratory technician</t>
  </si>
  <si>
    <t>LISB9028</t>
  </si>
  <si>
    <t>LISB9029</t>
  </si>
  <si>
    <t>duloxetine, amytriptiline</t>
  </si>
  <si>
    <t>LISB9030</t>
  </si>
  <si>
    <t>gullet cancer</t>
  </si>
  <si>
    <t>sister- breast cancer</t>
  </si>
  <si>
    <t>LISB9031</t>
  </si>
  <si>
    <t>sister: breast cancer</t>
  </si>
  <si>
    <t>8\8</t>
  </si>
  <si>
    <t>LISB9032</t>
  </si>
  <si>
    <t>informatics technician</t>
  </si>
  <si>
    <t>dfcontrol</t>
  </si>
  <si>
    <t>How many strings</t>
  </si>
  <si>
    <t>O</t>
  </si>
  <si>
    <t>day</t>
  </si>
</sst>
</file>

<file path=xl/styles.xml><?xml version="1.0" encoding="utf-8"?>
<styleSheet xmlns="http://schemas.openxmlformats.org/spreadsheetml/2006/main">
  <numFmts count="2">
    <numFmt numFmtId="43" formatCode="_-* #,##0.00\ _z_ł_-;\-* #,##0.00\ _z_ł_-;_-* &quot;-&quot;??\ _z_ł_-;_-@_-"/>
    <numFmt numFmtId="164" formatCode="0.0%"/>
  </numFmts>
  <fonts count="11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</cellStyleXfs>
  <cellXfs count="36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5" borderId="0" xfId="0" applyNumberFormat="1" applyFill="1"/>
    <xf numFmtId="11" fontId="0" fillId="5" borderId="0" xfId="0" applyNumberFormat="1" applyFill="1"/>
    <xf numFmtId="0" fontId="0" fillId="5" borderId="0" xfId="0" applyNumberFormat="1" applyFill="1" applyAlignment="1">
      <alignment wrapText="1"/>
    </xf>
    <xf numFmtId="17" fontId="0" fillId="5" borderId="0" xfId="0" applyNumberFormat="1" applyFill="1"/>
    <xf numFmtId="16" fontId="0" fillId="5" borderId="0" xfId="0" applyNumberFormat="1" applyFill="1"/>
  </cellXfs>
  <cellStyles count="4">
    <cellStyle name="Dziesiętny" xfId="1" builtinId="3"/>
    <cellStyle name="Normalny" xfId="0" builtinId="0"/>
    <cellStyle name="Normalny 3" xfId="3"/>
    <cellStyle name="Normalny_Arkusz1" xfId="2"/>
  </cellStyles>
  <dxfs count="89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ill>
        <patternFill patternType="solid">
          <fgColor auto="1"/>
          <bgColor indexed="26"/>
        </patternFill>
      </fill>
    </dxf>
    <dxf>
      <fill>
        <patternFill patternType="solid">
          <fgColor auto="1"/>
          <bgColor theme="9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99"/>
        </patternFill>
      </fill>
    </dxf>
    <dxf>
      <font>
        <b val="0"/>
        <i/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darkUp">
          <fgColor theme="0" tint="-0.14996795556505021"/>
          <bgColor theme="0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 val="0"/>
        <i/>
      </font>
      <fill>
        <patternFill>
          <bgColor rgb="FFEAFFEA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lightUp">
          <fgColor theme="0"/>
          <bgColor rgb="FFFF0000"/>
        </patternFill>
      </fill>
    </dxf>
    <dxf>
      <fill>
        <patternFill patternType="lightUp">
          <fgColor theme="0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AFFEA"/>
      <color rgb="FFCCFFCC"/>
      <color rgb="FFFFFFCC"/>
      <color rgb="FFFF9966"/>
      <color rgb="FFFFD9D9"/>
      <color rgb="FFFFFF66"/>
      <color rgb="FFFF0066"/>
      <color rgb="FF33CC33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topLeftCell="B1" workbookViewId="0">
      <selection activeCell="AA1" sqref="AA1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219</v>
      </c>
      <c r="B1" s="15" t="s">
        <v>40</v>
      </c>
      <c r="C1" s="15" t="s">
        <v>41</v>
      </c>
      <c r="D1" s="15" t="s">
        <v>240</v>
      </c>
      <c r="E1" s="15" t="s">
        <v>241</v>
      </c>
      <c r="F1" s="15" t="s">
        <v>242</v>
      </c>
      <c r="G1" s="15" t="s">
        <v>42</v>
      </c>
      <c r="H1" s="15" t="s">
        <v>27</v>
      </c>
      <c r="I1" s="16" t="s">
        <v>143</v>
      </c>
      <c r="J1" s="28" t="s">
        <v>144</v>
      </c>
      <c r="K1" s="16" t="s">
        <v>145</v>
      </c>
      <c r="L1" s="16" t="s">
        <v>146</v>
      </c>
      <c r="M1" s="16"/>
      <c r="N1" s="16"/>
      <c r="O1" s="16" t="s">
        <v>142</v>
      </c>
      <c r="P1" s="16"/>
      <c r="Q1" s="16"/>
      <c r="R1" s="16"/>
      <c r="S1" s="16" t="s">
        <v>142</v>
      </c>
      <c r="T1" s="15" t="s">
        <v>147</v>
      </c>
      <c r="U1" s="15" t="s">
        <v>147</v>
      </c>
      <c r="V1" s="15" t="s">
        <v>263</v>
      </c>
      <c r="W1" s="15" t="s">
        <v>264</v>
      </c>
      <c r="X1" s="15" t="s">
        <v>309</v>
      </c>
      <c r="AK1" s="27"/>
    </row>
    <row r="2" spans="1:126">
      <c r="B2" s="9" t="s">
        <v>43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surowe2c.xlsm</v>
      </c>
      <c r="I2" s="14">
        <f ca="1">FIND("[",O2)</f>
        <v>2</v>
      </c>
      <c r="J2" s="20">
        <f ca="1">FIND("]",O2)</f>
        <v>21</v>
      </c>
      <c r="K2" s="14" t="b">
        <f ca="1">MID(O2,1,1)="'"</f>
        <v>1</v>
      </c>
      <c r="L2" s="15" t="s">
        <v>272</v>
      </c>
      <c r="M2" s="15"/>
      <c r="O2" s="14" t="str">
        <f ca="1">CELL(_CELL_ADDRESS_NAME,INDIRECT(L2))</f>
        <v>'[dane surowe2c.xlsm]ster'!$A$1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surowe2c.xlsm]</v>
      </c>
      <c r="U2" s="15" t="str">
        <f ca="1">MID(O2,1,J2)</f>
        <v>'[dane surowe2c.xlsm]</v>
      </c>
      <c r="V2" s="15" t="e">
        <f ca="1">NOT(BQ5)</f>
        <v>#REF!</v>
      </c>
      <c r="W2" s="15" t="e">
        <f ca="1">BR7</f>
        <v>#REF!</v>
      </c>
      <c r="X2" s="15" t="s">
        <v>311</v>
      </c>
      <c r="Y2" s="15" t="s">
        <v>311</v>
      </c>
      <c r="Z2" s="15" t="s">
        <v>321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310</v>
      </c>
      <c r="Z3" s="15" t="s">
        <v>321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surowe2c.xlsm]NewZal'!D13:D71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surowe2c.xlsm]NewZal'!T13:T71</v>
      </c>
      <c r="X4" s="15" t="b">
        <f ca="1">NOT(ISERR(CELL(Y4,wew!$A$1)))</f>
        <v>0</v>
      </c>
      <c r="Y4" s="15" t="s">
        <v>312</v>
      </c>
      <c r="Z4" s="15" t="s">
        <v>328</v>
      </c>
      <c r="AK4" s="27"/>
      <c r="BH4" s="15" t="str">
        <f ca="1">ADDRESS(ROW(BH12)+1,COLUMN(BH12),4,,$T$2 &amp; $G$2) &amp; ":" &amp; ADDRESS(ROW(BH12)+$C$2,COLUMN(BH12),4)</f>
        <v>'[dane surowe2c.xlsm]NewZal'!BH13:BH71</v>
      </c>
      <c r="BK4" s="15" t="str">
        <f ca="1">ADDRESS(ROW(BK12)+1,COLUMN(BK12),4,,$T$2 &amp; $G$2) &amp; ":" &amp; ADDRESS(ROW(BK12)+$C$2,COLUMN(BK12),4)</f>
        <v>'[dane surowe2c.xlsm]NewZal'!BK13:BK71</v>
      </c>
      <c r="BQ4" s="15" t="str">
        <f ca="1">ADDRESS(ROW(BQ12)+1,COLUMN(BQ12),4,,$T$2 &amp; $G$2) &amp; ":" &amp; ADDRESS(ROW(BQ12)+$C$2,COLUMN(BQ12),4)</f>
        <v>'[dane surowe2c.xlsm]NewZal'!BQ13:BQ71</v>
      </c>
      <c r="BS4" s="15" t="str">
        <f ca="1">ADDRESS(ROW(BS12)+1,COLUMN(BS12),4,,$T$2 &amp; $G$2) &amp; ":" &amp; ADDRESS(ROW(BS12)+$C$2,COLUMN(BS12),4)</f>
        <v>'[dane surowe2c.xlsm]NewZal'!BS13:BS71</v>
      </c>
      <c r="BT4" s="15" t="str">
        <f ca="1">ADDRESS(ROW(BT12)+1,COLUMN(BT12),4,,$T$2 &amp; $G$2) &amp; ":" &amp; ADDRESS(ROW(BT12)+$C$2,COLUMN(BT12),4)</f>
        <v>'[dane surowe2c.xlsm]NewZal'!BT13:BT71</v>
      </c>
    </row>
    <row r="5" spans="1:126">
      <c r="M5" s="15"/>
      <c r="X5" s="15" t="b">
        <f ca="1">NOT(ISERR(CELL(Y5,wew!$A$1)))</f>
        <v>0</v>
      </c>
      <c r="Y5" s="15" t="s">
        <v>313</v>
      </c>
      <c r="Z5" s="15" t="s">
        <v>314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315</v>
      </c>
      <c r="Z6" s="15" t="s">
        <v>316</v>
      </c>
      <c r="AK6" s="27"/>
      <c r="BQ6" s="15" t="s">
        <v>265</v>
      </c>
      <c r="BR6" s="15" t="s">
        <v>266</v>
      </c>
    </row>
    <row r="7" spans="1:126">
      <c r="X7" s="15" t="b">
        <f ca="1">NOT(ISERR(CELL(Y7,wew!$A$1)))</f>
        <v>0</v>
      </c>
      <c r="Y7" s="15" t="s">
        <v>317</v>
      </c>
      <c r="Z7" s="15" t="s">
        <v>318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319</v>
      </c>
      <c r="Z8" s="15" t="s">
        <v>320</v>
      </c>
      <c r="BQ8" s="15" t="s">
        <v>264</v>
      </c>
    </row>
    <row r="9" spans="1:126">
      <c r="X9" s="15" t="b">
        <f ca="1">NOT(ISERR(CELL(Y9,wew!$A$1)))</f>
        <v>0</v>
      </c>
      <c r="Y9" s="15" t="s">
        <v>322</v>
      </c>
      <c r="Z9" s="15" t="s">
        <v>323</v>
      </c>
      <c r="AK9" s="27"/>
      <c r="BQ9" s="15" t="e">
        <f ca="1">IF(BQ5,INDEX(INDIRECT(BT4),BQ7),"")</f>
        <v>#REF!</v>
      </c>
      <c r="BV9" s="15" t="s">
        <v>47</v>
      </c>
      <c r="BW9" s="15" t="s">
        <v>47</v>
      </c>
      <c r="BX9" s="15" t="s">
        <v>47</v>
      </c>
      <c r="BY9" s="15" t="s">
        <v>47</v>
      </c>
      <c r="BZ9" s="15" t="s">
        <v>47</v>
      </c>
      <c r="CA9" s="15" t="s">
        <v>47</v>
      </c>
      <c r="CB9" s="16" t="s">
        <v>47</v>
      </c>
      <c r="CC9" s="16" t="s">
        <v>47</v>
      </c>
      <c r="CD9" s="16" t="s">
        <v>47</v>
      </c>
      <c r="CF9" s="16" t="s">
        <v>47</v>
      </c>
      <c r="CG9" s="15" t="s">
        <v>47</v>
      </c>
      <c r="CH9" s="15" t="s">
        <v>47</v>
      </c>
      <c r="CI9" s="15" t="s">
        <v>47</v>
      </c>
      <c r="CJ9" s="15" t="s">
        <v>47</v>
      </c>
      <c r="CK9" s="15" t="s">
        <v>47</v>
      </c>
      <c r="CL9" s="15" t="s">
        <v>47</v>
      </c>
      <c r="CM9" s="15" t="s">
        <v>47</v>
      </c>
      <c r="CN9" s="15" t="s">
        <v>47</v>
      </c>
      <c r="CO9" s="15" t="s">
        <v>47</v>
      </c>
      <c r="CP9" s="15" t="s">
        <v>47</v>
      </c>
      <c r="CQ9" s="15" t="s">
        <v>47</v>
      </c>
      <c r="CR9" s="21" t="s">
        <v>47</v>
      </c>
      <c r="CS9" s="22" t="s">
        <v>47</v>
      </c>
    </row>
    <row r="10" spans="1:126">
      <c r="A10" s="15" t="s">
        <v>44</v>
      </c>
      <c r="C10" s="15" t="s">
        <v>45</v>
      </c>
      <c r="H10" s="15" t="s">
        <v>46</v>
      </c>
      <c r="I10" s="15" t="s">
        <v>46</v>
      </c>
      <c r="X10" s="15" t="b">
        <f ca="1">NOT(ISERR(CELL(Y10,wew!$A$1)))</f>
        <v>0</v>
      </c>
      <c r="Y10" s="15" t="s">
        <v>324</v>
      </c>
      <c r="Z10" s="15" t="s">
        <v>325</v>
      </c>
      <c r="AK10" s="27"/>
      <c r="AR10" s="15" t="s">
        <v>48</v>
      </c>
      <c r="BI10" s="15" t="s">
        <v>49</v>
      </c>
      <c r="BQ10" s="15" t="s">
        <v>267</v>
      </c>
      <c r="BU10" s="15" t="s">
        <v>176</v>
      </c>
      <c r="BV10" s="15" t="s">
        <v>50</v>
      </c>
      <c r="BW10" s="15" t="s">
        <v>51</v>
      </c>
      <c r="BX10" s="15" t="s">
        <v>52</v>
      </c>
      <c r="BY10" s="15" t="s">
        <v>53</v>
      </c>
      <c r="BZ10" s="15" t="s">
        <v>159</v>
      </c>
      <c r="CA10" s="15" t="s">
        <v>152</v>
      </c>
      <c r="CB10" s="15" t="s">
        <v>153</v>
      </c>
      <c r="CC10" s="15" t="s">
        <v>167</v>
      </c>
      <c r="CD10" s="15" t="s">
        <v>168</v>
      </c>
      <c r="CE10" s="15" t="s">
        <v>220</v>
      </c>
      <c r="CF10" s="15" t="s">
        <v>169</v>
      </c>
      <c r="CG10" s="15" t="s">
        <v>180</v>
      </c>
      <c r="CH10" s="15" t="s">
        <v>54</v>
      </c>
      <c r="CI10" s="15" t="s">
        <v>212</v>
      </c>
      <c r="CJ10" s="15" t="s">
        <v>213</v>
      </c>
      <c r="CK10" s="15" t="s">
        <v>55</v>
      </c>
      <c r="CL10" s="15" t="s">
        <v>55</v>
      </c>
      <c r="CM10" s="15" t="s">
        <v>55</v>
      </c>
      <c r="CN10" s="15" t="s">
        <v>55</v>
      </c>
      <c r="CO10" s="15" t="s">
        <v>55</v>
      </c>
      <c r="CP10" s="15" t="s">
        <v>55</v>
      </c>
      <c r="CQ10" s="15" t="s">
        <v>55</v>
      </c>
      <c r="CR10" s="21" t="s">
        <v>55</v>
      </c>
      <c r="CS10" s="22" t="s">
        <v>177</v>
      </c>
      <c r="CT10" s="22" t="s">
        <v>177</v>
      </c>
      <c r="CU10" s="22" t="s">
        <v>177</v>
      </c>
      <c r="CV10" s="22" t="s">
        <v>177</v>
      </c>
      <c r="CW10" s="22" t="s">
        <v>177</v>
      </c>
      <c r="CX10" s="22" t="s">
        <v>177</v>
      </c>
      <c r="CY10" s="22" t="s">
        <v>177</v>
      </c>
      <c r="CZ10" s="21" t="s">
        <v>177</v>
      </c>
      <c r="DC10" s="22" t="s">
        <v>216</v>
      </c>
      <c r="DD10" s="22" t="s">
        <v>216</v>
      </c>
      <c r="DE10" s="22" t="s">
        <v>216</v>
      </c>
      <c r="DF10" s="22" t="s">
        <v>216</v>
      </c>
      <c r="DG10" s="22" t="s">
        <v>216</v>
      </c>
      <c r="DH10" s="22" t="s">
        <v>216</v>
      </c>
      <c r="DI10" s="22" t="s">
        <v>216</v>
      </c>
      <c r="DJ10" s="22" t="s">
        <v>216</v>
      </c>
    </row>
    <row r="11" spans="1:126">
      <c r="B11" s="15" t="s">
        <v>243</v>
      </c>
      <c r="C11" s="15" t="s">
        <v>244</v>
      </c>
      <c r="D11" s="15" t="s">
        <v>245</v>
      </c>
      <c r="E11" s="15" t="s">
        <v>246</v>
      </c>
      <c r="F11" s="15" t="s">
        <v>13</v>
      </c>
      <c r="H11" s="15" t="s">
        <v>247</v>
      </c>
      <c r="I11" s="15" t="s">
        <v>248</v>
      </c>
      <c r="K11" s="15" t="s">
        <v>249</v>
      </c>
      <c r="L11" s="15" t="s">
        <v>250</v>
      </c>
      <c r="N11" s="15" t="s">
        <v>251</v>
      </c>
      <c r="O11" s="15" t="s">
        <v>252</v>
      </c>
      <c r="P11" s="15" t="s">
        <v>253</v>
      </c>
      <c r="T11" s="15" t="s">
        <v>254</v>
      </c>
      <c r="U11" s="15" t="s">
        <v>255</v>
      </c>
      <c r="V11" s="15" t="s">
        <v>256</v>
      </c>
      <c r="X11" s="15" t="b">
        <f ca="1">NOT(ISERR(CELL(Y11,wew!$A$1)))</f>
        <v>0</v>
      </c>
      <c r="Y11" s="15" t="s">
        <v>326</v>
      </c>
      <c r="Z11" s="15" t="s">
        <v>327</v>
      </c>
      <c r="AK11" s="27"/>
      <c r="BL11" s="15" t="s">
        <v>257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56</v>
      </c>
      <c r="C12" s="15" t="s">
        <v>57</v>
      </c>
      <c r="D12" s="15" t="s">
        <v>58</v>
      </c>
      <c r="E12" s="15" t="s">
        <v>157</v>
      </c>
      <c r="F12" s="15" t="s">
        <v>13</v>
      </c>
      <c r="G12" s="15" t="s">
        <v>59</v>
      </c>
      <c r="H12" s="15" t="s">
        <v>60</v>
      </c>
      <c r="I12" s="15" t="s">
        <v>61</v>
      </c>
      <c r="J12" s="19" t="s">
        <v>154</v>
      </c>
      <c r="K12" s="15" t="s">
        <v>23</v>
      </c>
      <c r="L12" s="15" t="s">
        <v>24</v>
      </c>
      <c r="M12" s="15" t="s">
        <v>268</v>
      </c>
      <c r="N12" s="15" t="s">
        <v>221</v>
      </c>
      <c r="O12" s="15" t="s">
        <v>222</v>
      </c>
      <c r="P12" s="15" t="s">
        <v>62</v>
      </c>
      <c r="Q12" s="15" t="s">
        <v>163</v>
      </c>
      <c r="R12" s="15" t="s">
        <v>269</v>
      </c>
      <c r="S12" s="15" t="s">
        <v>158</v>
      </c>
      <c r="T12" s="15" t="s">
        <v>63</v>
      </c>
      <c r="U12" s="15" t="s">
        <v>166</v>
      </c>
      <c r="V12" s="15" t="s">
        <v>64</v>
      </c>
      <c r="AD12" s="16" t="s">
        <v>5</v>
      </c>
      <c r="AE12" s="16" t="s">
        <v>65</v>
      </c>
      <c r="AF12" s="15" t="s">
        <v>66</v>
      </c>
      <c r="AG12" s="15" t="s">
        <v>67</v>
      </c>
      <c r="AH12" s="15" t="s">
        <v>68</v>
      </c>
      <c r="AI12" s="15" t="s">
        <v>69</v>
      </c>
      <c r="AJ12" s="15" t="s">
        <v>70</v>
      </c>
      <c r="AK12" s="16" t="s">
        <v>71</v>
      </c>
      <c r="AL12" s="15" t="s">
        <v>72</v>
      </c>
      <c r="AM12" s="15" t="s">
        <v>73</v>
      </c>
      <c r="AN12" s="15" t="s">
        <v>74</v>
      </c>
      <c r="AO12" s="15" t="s">
        <v>273</v>
      </c>
      <c r="AP12" s="15" t="s">
        <v>173</v>
      </c>
      <c r="AQ12" s="16" t="s">
        <v>179</v>
      </c>
      <c r="AR12" s="15" t="s">
        <v>75</v>
      </c>
      <c r="AS12" s="16" t="s">
        <v>142</v>
      </c>
      <c r="AT12" s="16" t="s">
        <v>145</v>
      </c>
      <c r="AU12" s="16" t="s">
        <v>144</v>
      </c>
      <c r="AV12" s="15" t="s">
        <v>148</v>
      </c>
      <c r="AW12" s="15" t="s">
        <v>48</v>
      </c>
      <c r="AX12" s="16" t="s">
        <v>149</v>
      </c>
      <c r="AY12" s="16" t="s">
        <v>151</v>
      </c>
      <c r="AZ12" s="15" t="s">
        <v>76</v>
      </c>
      <c r="BA12" s="15" t="s">
        <v>77</v>
      </c>
      <c r="BB12" s="15" t="s">
        <v>78</v>
      </c>
      <c r="BC12" s="15" t="s">
        <v>155</v>
      </c>
      <c r="BD12" s="15" t="s">
        <v>79</v>
      </c>
      <c r="BE12" s="15" t="s">
        <v>162</v>
      </c>
      <c r="BF12" s="15" t="s">
        <v>80</v>
      </c>
      <c r="BG12" s="15" t="s">
        <v>161</v>
      </c>
      <c r="BH12" s="15" t="s">
        <v>164</v>
      </c>
      <c r="BI12" s="15" t="s">
        <v>74</v>
      </c>
      <c r="BJ12" s="15" t="s">
        <v>81</v>
      </c>
      <c r="BK12" s="15" t="s">
        <v>82</v>
      </c>
      <c r="BL12" s="15" t="s">
        <v>82</v>
      </c>
      <c r="BP12" s="15" t="s">
        <v>270</v>
      </c>
      <c r="BQ12" s="15" t="s">
        <v>271</v>
      </c>
      <c r="BR12" s="15" t="s">
        <v>174</v>
      </c>
      <c r="BS12" s="15" t="s">
        <v>175</v>
      </c>
      <c r="BV12" s="15" t="s">
        <v>83</v>
      </c>
      <c r="BW12" s="15" t="s">
        <v>84</v>
      </c>
      <c r="BX12" s="15" t="s">
        <v>85</v>
      </c>
      <c r="BY12" s="15" t="s">
        <v>86</v>
      </c>
      <c r="BZ12" s="15" t="s">
        <v>160</v>
      </c>
      <c r="CA12" s="15" t="s">
        <v>87</v>
      </c>
      <c r="CB12" s="15" t="s">
        <v>150</v>
      </c>
      <c r="CC12" s="15"/>
      <c r="CD12" s="15"/>
      <c r="CE12" s="15"/>
      <c r="CF12" s="15" t="s">
        <v>172</v>
      </c>
      <c r="CG12" s="15" t="s">
        <v>181</v>
      </c>
      <c r="CH12" s="15" t="s">
        <v>88</v>
      </c>
      <c r="CI12" s="15" t="s">
        <v>214</v>
      </c>
      <c r="CJ12" s="15" t="s">
        <v>215</v>
      </c>
      <c r="CK12" s="15" t="s">
        <v>89</v>
      </c>
      <c r="CL12" s="15" t="s">
        <v>90</v>
      </c>
      <c r="CS12" s="22" t="s">
        <v>178</v>
      </c>
      <c r="CT12" s="22" t="s">
        <v>178</v>
      </c>
      <c r="CU12" s="22" t="s">
        <v>178</v>
      </c>
      <c r="CV12" s="22" t="s">
        <v>178</v>
      </c>
      <c r="CW12" s="22" t="s">
        <v>178</v>
      </c>
      <c r="CX12" s="22" t="s">
        <v>178</v>
      </c>
      <c r="CY12" s="22" t="s">
        <v>178</v>
      </c>
      <c r="CZ12" s="21" t="s">
        <v>178</v>
      </c>
      <c r="DB12" s="22" t="s">
        <v>217</v>
      </c>
      <c r="DK12" s="22"/>
      <c r="DO12" s="15" t="s">
        <v>218</v>
      </c>
      <c r="DP12" s="15" t="s">
        <v>218</v>
      </c>
      <c r="DQ12" s="15" t="s">
        <v>218</v>
      </c>
      <c r="DR12" s="15" t="s">
        <v>218</v>
      </c>
      <c r="DS12" s="15" t="s">
        <v>218</v>
      </c>
      <c r="DT12" s="15" t="s">
        <v>218</v>
      </c>
      <c r="DU12" s="15" t="s">
        <v>218</v>
      </c>
      <c r="DV12" s="15" t="s">
        <v>218</v>
      </c>
    </row>
    <row r="13" spans="1:126">
      <c r="A13" s="15">
        <f>ROW(A12)+1-ROW(A$12)</f>
        <v>1</v>
      </c>
      <c r="B13" s="15" t="str">
        <f ca="1">IF(AD13,IF(BS13&gt;0,BT13,IF(DA13,"Pole zależy od pól, które zależą od zamkniętego workbooka","ok.")),"")</f>
        <v>Pola, od którego zależy dane pole ma błąd</v>
      </c>
      <c r="C13" s="15" t="s">
        <v>92</v>
      </c>
      <c r="D13" s="15" t="str">
        <f>IF(C13="","",C13)</f>
        <v>NazwyZmiennych</v>
      </c>
      <c r="G13" s="15" t="s">
        <v>125</v>
      </c>
      <c r="J13" s="19" t="str">
        <f ca="1">CELL(_CELL_ADDRESS_NAME,data_frame!A1)</f>
        <v>'[dane surowe2c.xlsm]data_frame'!$A$1</v>
      </c>
      <c r="L13" s="15">
        <f>ster!$C$12</f>
        <v>357</v>
      </c>
      <c r="M13" s="19"/>
      <c r="T13" s="15" t="str">
        <f ca="1">BC13</f>
        <v>'[dane surowe2c.xlsm]data_frame'!$A$1:$MS$1</v>
      </c>
      <c r="U13" s="15">
        <f ca="1">IF(AD13,BS13,"")</f>
        <v>25</v>
      </c>
      <c r="V13" s="15" t="s">
        <v>119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0">IF(AE13,"[" &amp; H13 &amp; "]" &amp; $B$2,"")</f>
        <v/>
      </c>
      <c r="AG13" s="15" t="str">
        <f t="shared" ref="AG13:AG68" ca="1" si="1">IF(AND(AE13,NOT(BX13)),INDIRECT(ADDRESS(ROW($D$4),COLUMN($D$4),,,AF13)),"")</f>
        <v/>
      </c>
      <c r="AH13" s="15" t="str">
        <f t="shared" ref="AH13:AH68" ca="1" si="2">IF(AND(AE13,NOT(BX13)),MATCH(I13,INDIRECT(AG13),0),"")</f>
        <v/>
      </c>
      <c r="AI13" s="15" t="b">
        <f t="shared" ref="AI13:AI68" ca="1" si="3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4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ca="1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21</v>
      </c>
      <c r="AV13" s="16" t="b">
        <f ca="1">IF(AS13,MID(J13,1,AU13)&lt;&gt;$U$2,FALSE)</f>
        <v>0</v>
      </c>
      <c r="AW13" s="15" t="str">
        <f t="shared" ref="AW13:AW44" ca="1" si="5">IF(AR13,CELL(_CELL_ADDRESS_NAME,INDIRECT(J13)),"")</f>
        <v>'[dane surowe2c.xlsm]data_frame'!$A$1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357</v>
      </c>
      <c r="BA13" s="15">
        <f ca="1">IF($AE13,IF(NOT(AI13),"?",ROWS(INDIRECT($AK13))),IF($AD13,IF(K13="",1,K13)))</f>
        <v>1</v>
      </c>
      <c r="BB13" s="15" t="str">
        <f ca="1">IF(AD13,CHOOSE(AQ13,AW13,AK13,"?"),"")</f>
        <v>'[dane surowe2c.xlsm]data_frame'!$A$1</v>
      </c>
      <c r="BC13" s="15" t="str">
        <f ca="1">IFERROR(IF(MIN(AZ13:BA13)&lt;=0,"",  BB13 &amp; IF(AND(OR(AZ13&gt;1,BA13&gt;1),AQ13=1), ":" &amp; ADDRESS(ROW(INDIRECT(BB13)) +BA13-1,COLUMN(INDIRECT(BB13))+AZ13-1),"")),"")</f>
        <v>'[dane surowe2c.xlsm]data_frame'!$A$1:$MS$1</v>
      </c>
      <c r="BD13" s="15" t="b">
        <f ca="1">AZ13*BA13&gt;1</f>
        <v>1</v>
      </c>
      <c r="BE13" s="15" t="b">
        <f t="shared" ref="BE13:BE68" ca="1" si="6">IF(AND(AD13,AQ13=1),IF(Q13="",BI13, IF(Q13,TRUE,FALSE)),FALSE)</f>
        <v>0</v>
      </c>
      <c r="BF13" s="15" t="str">
        <f t="shared" ref="BF13:BF68" ca="1" si="7">IF(BE13,COUNTA(INDIRECT(BC13)),"")</f>
        <v/>
      </c>
      <c r="BG13" s="15" t="str">
        <f t="shared" ref="BG13:BG68" ca="1" si="8">IF(BE13,AZ13*BA13,"")</f>
        <v/>
      </c>
      <c r="BH13" s="15">
        <f t="array" aca="1" ref="BH13" ca="1">IF(IFERROR( S13,1),1,IF(BC13="","", SUM(IF(ISERROR(INDIRECT(BC13)),1,0))))</f>
        <v>0</v>
      </c>
      <c r="BI13" s="15" t="b">
        <f>G13="r"</f>
        <v>0</v>
      </c>
      <c r="BJ13" s="15" t="b">
        <f>G13="W"</f>
        <v>1</v>
      </c>
      <c r="BK13" s="15">
        <f t="shared" ref="BK13:BK68" ca="1" si="9">IF(AR13,IF(AND(BI13,NOT(BJ13)),1,IF(AND(BJ13,NOT(BI13)),2,3)),"")</f>
        <v>2</v>
      </c>
      <c r="BL13" s="15">
        <f t="shared" ref="BL13:BL68" ca="1" si="10">CHOOSE(AQ13,BK13,AN13,3,4)</f>
        <v>2</v>
      </c>
      <c r="BP13" s="15" t="b">
        <f>IF(AD13,IF(M13="",TRUE,NOT(M13)),FALSE)</f>
        <v>1</v>
      </c>
      <c r="BQ13" s="15" t="b">
        <f ca="1">IF(BP13,OR(BU13:CZ13),FALSE)</f>
        <v>1</v>
      </c>
      <c r="BR13" s="15">
        <f t="shared" ref="BR13:BR68" ca="1" si="11">IF(BQ13,MATCH(TRUE,BU13:CZ13,0),"")</f>
        <v>25</v>
      </c>
      <c r="BS13" s="15">
        <f ca="1">IF(BP13,IF(BQ13,BR13,IF(AQ13=2,AP13,0)),0)</f>
        <v>25</v>
      </c>
      <c r="BT13" s="15" t="str">
        <f t="shared" ref="BT13:BT68" ca="1" si="12">IF(BS13&gt;0,INDEX(BU$10:CZ$10,BS13),"")</f>
        <v>Pola, od którego zależy dane pole ma błąd</v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3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4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5">IF(W13&lt;&gt;"",IFERROR(MATCH(W13,INDIRECT($C$4),0)&lt;0,TRUE),FALSE)</f>
        <v>0</v>
      </c>
      <c r="CM13" s="15" t="b">
        <f t="shared" ca="1" si="15"/>
        <v>0</v>
      </c>
      <c r="CN13" s="15" t="b">
        <f t="shared" ca="1" si="15"/>
        <v>0</v>
      </c>
      <c r="CO13" s="15" t="b">
        <f t="shared" ca="1" si="15"/>
        <v>0</v>
      </c>
      <c r="CP13" s="15" t="b">
        <f t="shared" ca="1" si="15"/>
        <v>0</v>
      </c>
      <c r="CQ13" s="15" t="b">
        <f t="shared" ca="1" si="15"/>
        <v>0</v>
      </c>
      <c r="CR13" s="21" t="b">
        <f t="shared" ca="1" si="15"/>
        <v>0</v>
      </c>
      <c r="CS13" s="22" t="b">
        <f t="shared" ref="CS13:CZ37" ca="1" si="16">AND(DO13&lt;&gt;"",DO13&lt;&gt;0,DO13&lt;&gt;4)</f>
        <v>1</v>
      </c>
      <c r="CT13" s="22" t="b">
        <f t="shared" ca="1" si="16"/>
        <v>0</v>
      </c>
      <c r="CU13" s="22" t="b">
        <f t="shared" ca="1" si="16"/>
        <v>0</v>
      </c>
      <c r="CV13" s="22" t="b">
        <f t="shared" ca="1" si="16"/>
        <v>0</v>
      </c>
      <c r="CW13" s="22" t="b">
        <f t="shared" ca="1" si="16"/>
        <v>0</v>
      </c>
      <c r="CX13" s="22" t="b">
        <f t="shared" ca="1" si="16"/>
        <v>0</v>
      </c>
      <c r="CY13" s="22" t="b">
        <f t="shared" ca="1" si="16"/>
        <v>0</v>
      </c>
      <c r="CZ13" s="21" t="b">
        <f t="shared" ca="1" si="16"/>
        <v>0</v>
      </c>
      <c r="DB13" s="22" t="b">
        <f ca="1">OR(DC13:DJ13)</f>
        <v>0</v>
      </c>
      <c r="DC13" s="22" t="b">
        <f ca="1">AND(DO13=4)</f>
        <v>0</v>
      </c>
      <c r="DD13" s="22" t="b">
        <f t="shared" ref="DD13:DJ37" ca="1" si="17">AND(DP13=4)</f>
        <v>0</v>
      </c>
      <c r="DE13" s="22" t="b">
        <f t="shared" ca="1" si="17"/>
        <v>0</v>
      </c>
      <c r="DF13" s="22" t="b">
        <f t="shared" ca="1" si="17"/>
        <v>0</v>
      </c>
      <c r="DG13" s="22" t="b">
        <f t="shared" ca="1" si="17"/>
        <v>0</v>
      </c>
      <c r="DH13" s="22" t="b">
        <f t="shared" ca="1" si="17"/>
        <v>0</v>
      </c>
      <c r="DI13" s="22" t="b">
        <f t="shared" ca="1" si="17"/>
        <v>0</v>
      </c>
      <c r="DJ13" s="22" t="b">
        <f t="shared" ca="1" si="17"/>
        <v>0</v>
      </c>
      <c r="DK13" s="22"/>
      <c r="DO13" s="15">
        <f t="shared" ref="DO13:DV38" ca="1" si="18">IF(V13&lt;&gt;"",IFERROR(INDEX(INDIRECT($BS$4),MATCH(V13,INDIRECT($C$4),0)),100),"")</f>
        <v>25</v>
      </c>
      <c r="DP13" s="15" t="str">
        <f t="shared" ca="1" si="18"/>
        <v/>
      </c>
      <c r="DQ13" s="15" t="str">
        <f t="shared" ca="1" si="18"/>
        <v/>
      </c>
      <c r="DR13" s="15" t="str">
        <f t="shared" ca="1" si="18"/>
        <v/>
      </c>
      <c r="DS13" s="15" t="str">
        <f t="shared" ca="1" si="18"/>
        <v/>
      </c>
      <c r="DT13" s="15" t="str">
        <f t="shared" ca="1" si="18"/>
        <v/>
      </c>
      <c r="DU13" s="15" t="str">
        <f t="shared" ca="1" si="18"/>
        <v/>
      </c>
      <c r="DV13" s="15" t="str">
        <f t="shared" ca="1" si="18"/>
        <v/>
      </c>
    </row>
    <row r="14" spans="1:126">
      <c r="A14" s="15">
        <f t="shared" ref="A14:A77" si="19">ROW(A13)+1-ROW(A$12)</f>
        <v>2</v>
      </c>
      <c r="B14" s="15" t="str">
        <f t="shared" ref="B14:B16" ca="1" si="20">IF(AD14,IF(BS14&gt;0,BT14,IF(DA14,"Pole zależy od pól, które zależą od zamkniętego workbooka","ok.")),"")</f>
        <v>Pola, od którego zależy dane pole ma błąd</v>
      </c>
      <c r="C14" s="15" t="s">
        <v>93</v>
      </c>
      <c r="D14" s="15" t="str">
        <f t="shared" ref="D14:D68" si="21">IF(C14="","",C14)</f>
        <v>NazwySPSS</v>
      </c>
      <c r="G14" s="15" t="s">
        <v>125</v>
      </c>
      <c r="J14" s="19" t="str">
        <f ca="1">CELL(_CELL_ADDRESS_NAME,data_frame!A2)</f>
        <v>'[dane surowe2c.xlsm]data_frame'!$A$2</v>
      </c>
      <c r="L14" s="15">
        <f>ster!$C$12</f>
        <v>357</v>
      </c>
      <c r="M14" s="19"/>
      <c r="T14" s="15" t="str">
        <f t="shared" ref="T14:T16" ca="1" si="22">BC14</f>
        <v>'[dane surowe2c.xlsm]data_frame'!$A$2:$MS$2</v>
      </c>
      <c r="U14" s="15">
        <f t="shared" ref="U14:U16" ca="1" si="23">IF(AD14,BS14,"")</f>
        <v>25</v>
      </c>
      <c r="V14" s="15" t="s">
        <v>119</v>
      </c>
      <c r="AD14" s="16" t="b">
        <f>C14&lt;&gt;""</f>
        <v>1</v>
      </c>
      <c r="AE14" s="16" t="b">
        <f>AND(I14&lt;&gt;"",H14&lt;&gt;"")</f>
        <v>0</v>
      </c>
      <c r="AF14" s="15" t="str">
        <f t="shared" si="0"/>
        <v/>
      </c>
      <c r="AG14" s="15" t="str">
        <f t="shared" ca="1" si="1"/>
        <v/>
      </c>
      <c r="AH14" s="15" t="str">
        <f t="shared" ca="1" si="2"/>
        <v/>
      </c>
      <c r="AI14" s="15" t="b">
        <f t="shared" ca="1" si="3"/>
        <v>0</v>
      </c>
      <c r="AJ14" s="15" t="str">
        <f t="shared" ref="AJ14:AJ68" ca="1" si="24">IF(AE14,INDIRECT(ADDRESS(ROW($T$4),COLUMN($T$4),,,AF14)),"")</f>
        <v/>
      </c>
      <c r="AK14" s="27" t="str">
        <f ca="1">IF(AE14,INDEX(INDIRECT(AJ14),AH14),"")</f>
        <v/>
      </c>
      <c r="AL14" s="15" t="b">
        <f t="shared" ca="1" si="4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5">IF(AE14,INDIRECT(ADDRESS(ROW($BS$4),COLUMN($BS$4),,,AF14)),"")</f>
        <v/>
      </c>
      <c r="AP14" s="15" t="str">
        <f ca="1">IF(AQ14=2,INDEX(INDIRECT(AO14),AH14),"")</f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21</v>
      </c>
      <c r="AV14" s="16" t="b">
        <f ca="1">IF(AS14,MID(J14,1,AU14)&lt;&gt;$U$2,FALSE)</f>
        <v>0</v>
      </c>
      <c r="AW14" s="15" t="str">
        <f t="shared" ca="1" si="5"/>
        <v>'[dane surowe2c.xlsm]data_frame'!$A$2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357</v>
      </c>
      <c r="BA14" s="15">
        <f t="shared" ref="BA14:BA68" ca="1" si="26">IF($AE14,IF(NOT(AI14),"?",ROWS(INDIRECT($AK14))),IF($AD14,IF(K14="",1,K14)))</f>
        <v>1</v>
      </c>
      <c r="BB14" s="15" t="str">
        <f ca="1">IF(AD14,CHOOSE(AQ14,AW14,AK14,"?"),"")</f>
        <v>'[dane surowe2c.xlsm]data_frame'!$A$2</v>
      </c>
      <c r="BC14" s="15" t="str">
        <f t="shared" ref="BC14:BC68" ca="1" si="27">IFERROR(IF(MIN(AZ14:BA14)&lt;=0,"",  BB14 &amp; IF(AND(OR(AZ14&gt;1,BA14&gt;1),AQ14=1), ":" &amp; ADDRESS(ROW(INDIRECT(BB14)) +BA14-1,COLUMN(INDIRECT(BB14))+AZ14-1),"")),"")</f>
        <v>'[dane surowe2c.xlsm]data_frame'!$A$2:$MS$2</v>
      </c>
      <c r="BD14" s="15" t="b">
        <f ca="1">AZ14*BA14&gt;1</f>
        <v>1</v>
      </c>
      <c r="BE14" s="15" t="b">
        <f t="shared" ca="1" si="6"/>
        <v>0</v>
      </c>
      <c r="BF14" s="15" t="str">
        <f t="shared" ca="1" si="7"/>
        <v/>
      </c>
      <c r="BG14" s="15" t="str">
        <f t="shared" ca="1" si="8"/>
        <v/>
      </c>
      <c r="BH14" s="15">
        <f t="array" aca="1" ref="BH14" ca="1">IF(IFERROR( S14,1),1,IF(BC14="","", SUM(IF(ISERROR(INDIRECT(BC14)),1,0))))</f>
        <v>0</v>
      </c>
      <c r="BI14" s="15" t="b">
        <f>G14="r"</f>
        <v>0</v>
      </c>
      <c r="BJ14" s="15" t="b">
        <f>G14="W"</f>
        <v>1</v>
      </c>
      <c r="BK14" s="15">
        <f t="shared" ca="1" si="9"/>
        <v>2</v>
      </c>
      <c r="BL14" s="15">
        <f t="shared" ca="1" si="10"/>
        <v>2</v>
      </c>
      <c r="BP14" s="15" t="b">
        <f t="shared" ref="BP14:BP68" si="28">IF(AD14,IF(M14="",TRUE,NOT(M14)),FALSE)</f>
        <v>1</v>
      </c>
      <c r="BQ14" s="15" t="b">
        <f t="shared" ref="BQ14:BQ68" ca="1" si="29">IF(BP14,OR(BU14:CZ14),FALSE)</f>
        <v>1</v>
      </c>
      <c r="BR14" s="15">
        <f t="shared" ca="1" si="11"/>
        <v>25</v>
      </c>
      <c r="BS14" s="15">
        <f t="shared" ref="BS14:BS68" ca="1" si="30">IF(BP14,IF(BQ14,BR14,IF(AQ14=2,AP14,0)),0)</f>
        <v>25</v>
      </c>
      <c r="BT14" s="15" t="str">
        <f t="shared" ca="1" si="12"/>
        <v>Pola, od którego zależy dane pole ma błąd</v>
      </c>
      <c r="BV14" s="15" t="b">
        <f t="shared" ref="BV14:BV68" ca="1" si="31">IFERROR(IF($AD14,COUNTIF(INDIRECT($C$4),C14)&gt;1,FALSE),FALSE)</f>
        <v>0</v>
      </c>
      <c r="BW14" s="15" t="b">
        <f t="shared" ref="BW14:BW68" ca="1" si="32">IFERROR(IF($AD14,IF(D14&lt;&gt;"",COUNTIF(INDIRECT($D$4),D14)&gt;1,FALSE),FALSE),FALSE)</f>
        <v>0</v>
      </c>
      <c r="BX14" s="15" t="b">
        <f t="shared" ref="BX14:BX68" ca="1" si="33">IFERROR(IF(AE14,IFERROR(INDIRECT(ADDRESS(ROW($B$2),COLUMN($B$2),4,,AF14))&lt;&gt;$B$2,TRUE)),FALSE)</f>
        <v>0</v>
      </c>
      <c r="BY14" s="15" t="b">
        <f t="shared" ca="1" si="13"/>
        <v>0</v>
      </c>
      <c r="BZ14" s="15" t="b">
        <f t="shared" ref="BZ14:BZ68" ca="1" si="34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5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4"/>
        <v>0</v>
      </c>
      <c r="CI14" s="15" t="b">
        <f t="shared" ref="CI14:CI68" si="36">ISERROR(S14)</f>
        <v>0</v>
      </c>
      <c r="CJ14" s="15" t="b">
        <f t="shared" ref="CJ14:CJ68" si="37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5"/>
        <v>0</v>
      </c>
      <c r="CM14" s="15" t="b">
        <f t="shared" ca="1" si="15"/>
        <v>0</v>
      </c>
      <c r="CN14" s="15" t="b">
        <f t="shared" ca="1" si="15"/>
        <v>0</v>
      </c>
      <c r="CO14" s="15" t="b">
        <f t="shared" ca="1" si="15"/>
        <v>0</v>
      </c>
      <c r="CP14" s="15" t="b">
        <f ca="1">IF(AA14&lt;&gt;"",IFERROR(MATCH(AA14,INDIRECT($C$4),0)&lt;0,TRUE),FALSE)</f>
        <v>0</v>
      </c>
      <c r="CQ14" s="15" t="b">
        <f t="shared" ca="1" si="15"/>
        <v>0</v>
      </c>
      <c r="CR14" s="21" t="b">
        <f t="shared" ca="1" si="15"/>
        <v>0</v>
      </c>
      <c r="CS14" s="22" t="b">
        <f t="shared" ca="1" si="16"/>
        <v>1</v>
      </c>
      <c r="CT14" s="22" t="b">
        <f t="shared" ca="1" si="16"/>
        <v>0</v>
      </c>
      <c r="CU14" s="22" t="b">
        <f t="shared" ca="1" si="16"/>
        <v>0</v>
      </c>
      <c r="CV14" s="22" t="b">
        <f t="shared" ca="1" si="16"/>
        <v>0</v>
      </c>
      <c r="CW14" s="22" t="b">
        <f t="shared" ca="1" si="16"/>
        <v>0</v>
      </c>
      <c r="CX14" s="22" t="b">
        <f t="shared" ca="1" si="16"/>
        <v>0</v>
      </c>
      <c r="CY14" s="22" t="b">
        <f t="shared" ca="1" si="16"/>
        <v>0</v>
      </c>
      <c r="CZ14" s="21" t="b">
        <f t="shared" ca="1" si="16"/>
        <v>0</v>
      </c>
      <c r="DB14" s="22" t="b">
        <f t="shared" ref="DB14:DB68" ca="1" si="38">OR(DC14:DJ14)</f>
        <v>0</v>
      </c>
      <c r="DC14" s="22" t="b">
        <f t="shared" ref="DC14:DJ55" ca="1" si="39">AND(DO14=4)</f>
        <v>0</v>
      </c>
      <c r="DD14" s="22" t="b">
        <f t="shared" ca="1" si="17"/>
        <v>0</v>
      </c>
      <c r="DE14" s="22" t="b">
        <f t="shared" ca="1" si="17"/>
        <v>0</v>
      </c>
      <c r="DF14" s="22" t="b">
        <f t="shared" ca="1" si="17"/>
        <v>0</v>
      </c>
      <c r="DG14" s="22" t="b">
        <f t="shared" ca="1" si="17"/>
        <v>0</v>
      </c>
      <c r="DH14" s="22" t="b">
        <f t="shared" ca="1" si="17"/>
        <v>0</v>
      </c>
      <c r="DI14" s="22" t="b">
        <f t="shared" ca="1" si="17"/>
        <v>0</v>
      </c>
      <c r="DJ14" s="22" t="b">
        <f t="shared" ca="1" si="17"/>
        <v>0</v>
      </c>
      <c r="DK14" s="22"/>
      <c r="DO14" s="15">
        <f t="shared" ca="1" si="18"/>
        <v>25</v>
      </c>
      <c r="DP14" s="15" t="str">
        <f t="shared" ca="1" si="18"/>
        <v/>
      </c>
      <c r="DQ14" s="15" t="str">
        <f t="shared" ca="1" si="18"/>
        <v/>
      </c>
      <c r="DR14" s="15" t="str">
        <f t="shared" ca="1" si="18"/>
        <v/>
      </c>
      <c r="DS14" s="15" t="str">
        <f t="shared" ca="1" si="18"/>
        <v/>
      </c>
      <c r="DT14" s="15" t="str">
        <f t="shared" ca="1" si="18"/>
        <v/>
      </c>
      <c r="DU14" s="15" t="str">
        <f t="shared" ca="1" si="18"/>
        <v/>
      </c>
      <c r="DV14" s="15" t="str">
        <f t="shared" ca="1" si="18"/>
        <v/>
      </c>
    </row>
    <row r="15" spans="1:126">
      <c r="A15" s="15">
        <f t="shared" si="19"/>
        <v>3</v>
      </c>
      <c r="B15" s="15" t="e">
        <f t="shared" ca="1" si="20"/>
        <v>#REF!</v>
      </c>
      <c r="C15" s="15" t="s">
        <v>94</v>
      </c>
      <c r="D15" s="15" t="str">
        <f t="shared" si="21"/>
        <v>MacierzWartosci</v>
      </c>
      <c r="G15" s="15" t="s">
        <v>125</v>
      </c>
      <c r="J15" s="19" t="e">
        <f ca="1">CELL(_CELL_ADDRESS_NAME,data_frame!#REF!)</f>
        <v>#REF!</v>
      </c>
      <c r="K15" s="15">
        <f ca="1">ster!$C$14</f>
        <v>33</v>
      </c>
      <c r="L15" s="15">
        <f>ster!$C$12</f>
        <v>357</v>
      </c>
      <c r="M15" s="19"/>
      <c r="T15" s="15" t="str">
        <f t="shared" ca="1" si="22"/>
        <v/>
      </c>
      <c r="U15" s="15" t="e">
        <f t="shared" ca="1" si="23"/>
        <v>#REF!</v>
      </c>
      <c r="AD15" s="16" t="b">
        <f>C15&lt;&gt;""</f>
        <v>1</v>
      </c>
      <c r="AE15" s="16" t="b">
        <f>AND(I15&lt;&gt;"",H15&lt;&gt;"")</f>
        <v>0</v>
      </c>
      <c r="AF15" s="15" t="str">
        <f t="shared" si="0"/>
        <v/>
      </c>
      <c r="AG15" s="15" t="str">
        <f t="shared" ca="1" si="1"/>
        <v/>
      </c>
      <c r="AH15" s="15" t="str">
        <f t="shared" ca="1" si="2"/>
        <v/>
      </c>
      <c r="AI15" s="15" t="b">
        <f t="shared" ca="1" si="3"/>
        <v>0</v>
      </c>
      <c r="AJ15" s="15" t="str">
        <f t="shared" ca="1" si="24"/>
        <v/>
      </c>
      <c r="AK15" s="27" t="str">
        <f ca="1">IF(AE15,INDEX(INDIRECT(AJ15),AH15),"")</f>
        <v/>
      </c>
      <c r="AL15" s="15" t="b">
        <f t="shared" ca="1" si="4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5"/>
        <v/>
      </c>
      <c r="AP15" s="15" t="e">
        <f ca="1">IF(AQ15=2,INDEX(INDIRECT(AO15),AH15),"")</f>
        <v>#REF!</v>
      </c>
      <c r="AQ15" s="27" t="e">
        <f ca="1">IF(AND(AE15,NOT(AR15)),2,IF(AND(AR15,NOT(AE15)),1,IF(AND(NOT(AE15),NOT(AR15)),4,3)))</f>
        <v>#REF!</v>
      </c>
      <c r="AR15" s="15" t="e">
        <f ca="1">AND(J15&lt;&gt;"",AD15)</f>
        <v>#REF!</v>
      </c>
      <c r="AS15" s="27" t="b">
        <f ca="1">NOT(ISERROR(FIND("[",J15)))</f>
        <v>0</v>
      </c>
      <c r="AT15" s="27" t="e">
        <f ca="1">MID(J15,1,1)="'"</f>
        <v>#REF!</v>
      </c>
      <c r="AU15" s="27" t="str">
        <f ca="1">IF(AS15,FIND("]",J15),"")</f>
        <v/>
      </c>
      <c r="AV15" s="16" t="b">
        <f ca="1">IF(AS15,MID(J15,1,AU15)&lt;&gt;$U$2,FALSE)</f>
        <v>0</v>
      </c>
      <c r="AW15" s="15" t="e">
        <f t="shared" ca="1" si="5"/>
        <v>#REF!</v>
      </c>
      <c r="AX15" s="27" t="e">
        <f ca="1">IF(AR15,ROWS(INDIRECT(AW15))&gt;1)</f>
        <v>#REF!</v>
      </c>
      <c r="AY15" s="27" t="e">
        <f ca="1">IF(AR15,COLUMNS(INDIRECT(AW15))&gt;1)</f>
        <v>#REF!</v>
      </c>
      <c r="AZ15" s="15">
        <f ca="1">IF($AE15,IF(NOT(AI15),"?",COLUMNS(INDIRECT($AK15))),IF($AD15,IF(L15="",1,L15)))</f>
        <v>357</v>
      </c>
      <c r="BA15" s="15">
        <f t="shared" ca="1" si="26"/>
        <v>33</v>
      </c>
      <c r="BB15" s="15" t="e">
        <f ca="1">IF(AD15,CHOOSE(AQ15,AW15,AK15,"?"),"")</f>
        <v>#REF!</v>
      </c>
      <c r="BC15" s="15" t="str">
        <f t="shared" ca="1" si="27"/>
        <v/>
      </c>
      <c r="BD15" s="15" t="b">
        <f ca="1">AZ15*BA15&gt;1</f>
        <v>1</v>
      </c>
      <c r="BE15" s="15" t="e">
        <f t="shared" ca="1" si="6"/>
        <v>#REF!</v>
      </c>
      <c r="BF15" s="15" t="e">
        <f t="shared" ca="1" si="7"/>
        <v>#REF!</v>
      </c>
      <c r="BG15" s="15" t="e">
        <f t="shared" ca="1" si="8"/>
        <v>#REF!</v>
      </c>
      <c r="BH15" s="15" t="str">
        <f t="array" aca="1" ref="BH15" ca="1">IF(IFERROR( S15,1),1,IF(BC15="","", SUM(IF(ISERROR(INDIRECT(BC15)),1,0))))</f>
        <v/>
      </c>
      <c r="BI15" s="15" t="b">
        <f>G15="r"</f>
        <v>0</v>
      </c>
      <c r="BJ15" s="15" t="b">
        <f>G15="W"</f>
        <v>1</v>
      </c>
      <c r="BK15" s="15" t="e">
        <f t="shared" ca="1" si="9"/>
        <v>#REF!</v>
      </c>
      <c r="BL15" s="15" t="e">
        <f t="shared" ca="1" si="10"/>
        <v>#REF!</v>
      </c>
      <c r="BP15" s="15" t="b">
        <f t="shared" si="28"/>
        <v>1</v>
      </c>
      <c r="BQ15" s="15" t="e">
        <f t="shared" ca="1" si="29"/>
        <v>#REF!</v>
      </c>
      <c r="BR15" s="15" t="e">
        <f t="shared" ca="1" si="11"/>
        <v>#REF!</v>
      </c>
      <c r="BS15" s="15" t="e">
        <f t="shared" ca="1" si="30"/>
        <v>#REF!</v>
      </c>
      <c r="BT15" s="15" t="e">
        <f t="shared" ca="1" si="12"/>
        <v>#REF!</v>
      </c>
      <c r="BV15" s="15" t="b">
        <f t="shared" ca="1" si="31"/>
        <v>0</v>
      </c>
      <c r="BW15" s="15" t="b">
        <f t="shared" ca="1" si="32"/>
        <v>0</v>
      </c>
      <c r="BX15" s="15" t="b">
        <f t="shared" ca="1" si="33"/>
        <v>0</v>
      </c>
      <c r="BY15" s="15" t="b">
        <f t="shared" ca="1" si="13"/>
        <v>0</v>
      </c>
      <c r="BZ15" s="15" t="b">
        <f t="shared" ca="1" si="34"/>
        <v>0</v>
      </c>
      <c r="CA15" s="15" t="e">
        <f ca="1">AND(AR15,AE15,AD15)</f>
        <v>#REF!</v>
      </c>
      <c r="CB15" s="15" t="b">
        <f ca="1">ISERROR(COUNT(INDIRECT(J15)))</f>
        <v>0</v>
      </c>
      <c r="CC15" s="15" t="e">
        <f ca="1">AND(AD15,AQ15=2,Q15&lt;&gt;"")</f>
        <v>#REF!</v>
      </c>
      <c r="CD15" s="15" t="e">
        <f ca="1">AND(AE15,AR15=2,R15&lt;&gt;"")</f>
        <v>#REF!</v>
      </c>
      <c r="CE15" s="15" t="e">
        <f t="shared" ca="1" si="35"/>
        <v>#REF!</v>
      </c>
      <c r="CF15" s="15" t="e">
        <f ca="1">AND($AD15,$AQ15=2,COUNTA( S15)=1)</f>
        <v>#REF!</v>
      </c>
      <c r="CG15" s="15" t="e">
        <f ca="1">AND(AND(AQ15&lt;&gt;1,AQ15&lt;&gt;3),G15&lt;&gt;"")</f>
        <v>#REF!</v>
      </c>
      <c r="CH15" s="15" t="e">
        <f t="shared" ca="1" si="14"/>
        <v>#REF!</v>
      </c>
      <c r="CI15" s="15" t="b">
        <f t="shared" si="36"/>
        <v>0</v>
      </c>
      <c r="CJ15" s="15" t="b">
        <f t="shared" si="37"/>
        <v>0</v>
      </c>
      <c r="CK15" s="15" t="b">
        <f ca="1">IF(V15&lt;&gt;"",IFERROR(MATCH(V15,INDIRECT($C$4),0)&lt;0,TRUE),FALSE)</f>
        <v>0</v>
      </c>
      <c r="CL15" s="15" t="b">
        <f t="shared" ca="1" si="15"/>
        <v>0</v>
      </c>
      <c r="CM15" s="15" t="b">
        <f t="shared" ca="1" si="15"/>
        <v>0</v>
      </c>
      <c r="CN15" s="15" t="b">
        <f t="shared" ca="1" si="15"/>
        <v>0</v>
      </c>
      <c r="CO15" s="15" t="b">
        <f t="shared" ca="1" si="15"/>
        <v>0</v>
      </c>
      <c r="CP15" s="15" t="b">
        <f t="shared" ca="1" si="15"/>
        <v>0</v>
      </c>
      <c r="CQ15" s="15" t="b">
        <f t="shared" ca="1" si="15"/>
        <v>0</v>
      </c>
      <c r="CR15" s="21" t="b">
        <f t="shared" ca="1" si="15"/>
        <v>0</v>
      </c>
      <c r="CS15" s="22" t="b">
        <f t="shared" ca="1" si="16"/>
        <v>0</v>
      </c>
      <c r="CT15" s="22" t="b">
        <f t="shared" ca="1" si="16"/>
        <v>0</v>
      </c>
      <c r="CU15" s="22" t="b">
        <f t="shared" ca="1" si="16"/>
        <v>0</v>
      </c>
      <c r="CV15" s="22" t="b">
        <f t="shared" ca="1" si="16"/>
        <v>0</v>
      </c>
      <c r="CW15" s="22" t="b">
        <f t="shared" ca="1" si="16"/>
        <v>0</v>
      </c>
      <c r="CX15" s="22" t="b">
        <f t="shared" ca="1" si="16"/>
        <v>0</v>
      </c>
      <c r="CY15" s="22" t="b">
        <f t="shared" ca="1" si="16"/>
        <v>0</v>
      </c>
      <c r="CZ15" s="21" t="b">
        <f t="shared" ca="1" si="16"/>
        <v>0</v>
      </c>
      <c r="DB15" s="22" t="b">
        <f t="shared" ca="1" si="38"/>
        <v>0</v>
      </c>
      <c r="DC15" s="22" t="b">
        <f t="shared" ca="1" si="39"/>
        <v>0</v>
      </c>
      <c r="DD15" s="22" t="b">
        <f t="shared" ca="1" si="17"/>
        <v>0</v>
      </c>
      <c r="DE15" s="22" t="b">
        <f t="shared" ca="1" si="17"/>
        <v>0</v>
      </c>
      <c r="DF15" s="22" t="b">
        <f t="shared" ca="1" si="17"/>
        <v>0</v>
      </c>
      <c r="DG15" s="22" t="b">
        <f t="shared" ca="1" si="17"/>
        <v>0</v>
      </c>
      <c r="DH15" s="22" t="b">
        <f t="shared" ca="1" si="17"/>
        <v>0</v>
      </c>
      <c r="DI15" s="22" t="b">
        <f t="shared" ca="1" si="17"/>
        <v>0</v>
      </c>
      <c r="DJ15" s="22" t="b">
        <f t="shared" ca="1" si="17"/>
        <v>0</v>
      </c>
      <c r="DK15" s="22"/>
      <c r="DO15" s="15" t="str">
        <f t="shared" ca="1" si="18"/>
        <v/>
      </c>
      <c r="DP15" s="15" t="str">
        <f t="shared" ca="1" si="18"/>
        <v/>
      </c>
      <c r="DQ15" s="15" t="str">
        <f t="shared" ca="1" si="18"/>
        <v/>
      </c>
      <c r="DR15" s="15" t="str">
        <f t="shared" ca="1" si="18"/>
        <v/>
      </c>
      <c r="DS15" s="15" t="str">
        <f t="shared" ca="1" si="18"/>
        <v/>
      </c>
      <c r="DT15" s="15" t="str">
        <f t="shared" ca="1" si="18"/>
        <v/>
      </c>
      <c r="DU15" s="15" t="str">
        <f t="shared" ca="1" si="18"/>
        <v/>
      </c>
      <c r="DV15" s="15" t="str">
        <f t="shared" ca="1" si="18"/>
        <v/>
      </c>
    </row>
    <row r="16" spans="1:126">
      <c r="A16" s="15">
        <f t="shared" si="19"/>
        <v>4</v>
      </c>
      <c r="B16" s="15" t="str">
        <f t="shared" ca="1" si="20"/>
        <v>Pola, od którego zależy dane pole ma błąd</v>
      </c>
      <c r="C16" s="15" t="s">
        <v>261</v>
      </c>
      <c r="D16" s="15" t="str">
        <f t="shared" si="21"/>
        <v>Zakladka zmienne</v>
      </c>
      <c r="F16" s="15" t="s">
        <v>258</v>
      </c>
      <c r="G16" s="15" t="s">
        <v>91</v>
      </c>
      <c r="J16" s="19" t="str">
        <f ca="1">CELL(_CELL_ADDRESS_NAME,variables!$B$1)</f>
        <v>'[dane surowe2c.xlsm]variables'!$B$1</v>
      </c>
      <c r="K16" s="15">
        <f>ster!$C$12+1</f>
        <v>358</v>
      </c>
      <c r="L16" s="15">
        <v>100</v>
      </c>
      <c r="M16" s="19"/>
      <c r="P16" s="15">
        <v>1</v>
      </c>
      <c r="Q16" s="15">
        <v>0</v>
      </c>
      <c r="T16" s="15" t="str">
        <f t="shared" ca="1" si="22"/>
        <v>'[dane surowe2c.xlsm]variables'!$B$1:$CW$358</v>
      </c>
      <c r="U16" s="15">
        <f t="shared" ca="1" si="23"/>
        <v>25</v>
      </c>
      <c r="V16" s="15" t="s">
        <v>94</v>
      </c>
      <c r="W16" s="15" t="s">
        <v>92</v>
      </c>
      <c r="X16" s="15" t="s">
        <v>93</v>
      </c>
      <c r="Y16" s="15" t="s">
        <v>260</v>
      </c>
      <c r="AD16" s="16" t="b">
        <f t="shared" ref="AD16:AD39" si="40">C16&lt;&gt;""</f>
        <v>1</v>
      </c>
      <c r="AE16" s="16" t="b">
        <f t="shared" ref="AE16:AE39" si="41">AND(I16&lt;&gt;"",H16&lt;&gt;"")</f>
        <v>0</v>
      </c>
      <c r="AF16" s="15" t="str">
        <f t="shared" si="0"/>
        <v/>
      </c>
      <c r="AG16" s="15" t="str">
        <f t="shared" ca="1" si="1"/>
        <v/>
      </c>
      <c r="AH16" s="15" t="str">
        <f t="shared" ca="1" si="2"/>
        <v/>
      </c>
      <c r="AI16" s="15" t="b">
        <f t="shared" ca="1" si="3"/>
        <v>0</v>
      </c>
      <c r="AJ16" s="15" t="str">
        <f t="shared" ca="1" si="24"/>
        <v/>
      </c>
      <c r="AK16" s="27" t="str">
        <f t="shared" ref="AK16:AK39" ca="1" si="42">IF(AE16,INDEX(INDIRECT(AJ16),AH16),"")</f>
        <v/>
      </c>
      <c r="AL16" s="15" t="b">
        <f t="shared" ca="1" si="4"/>
        <v>0</v>
      </c>
      <c r="AM16" s="15" t="str">
        <f t="shared" ref="AM16:AM39" ca="1" si="43">IF(AE16,INDIRECT(ADDRESS(ROW($BK$4),COLUMN($BK$4),,,AF16)),"")</f>
        <v/>
      </c>
      <c r="AN16" s="15">
        <f t="shared" ref="AN16:AN39" ca="1" si="44">IFERROR(IF(AE16,INDEX(INDIRECT(AM16),AH16),3),3)</f>
        <v>3</v>
      </c>
      <c r="AO16" s="15" t="str">
        <f t="shared" ca="1" si="25"/>
        <v/>
      </c>
      <c r="AP16" s="15" t="str">
        <f t="shared" ref="AP16:AP18" ca="1" si="45">IF(AQ16=2,INDEX(INDIRECT(AO16),AH16),"")</f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21</v>
      </c>
      <c r="AV16" s="16" t="e">
        <f t="shared" ref="AV16:AV39" ca="1" si="51">IF(AS16,MID(J16,1,AU16)&lt;&gt;$V$2,FALSE)</f>
        <v>#REF!</v>
      </c>
      <c r="AW16" s="15" t="str">
        <f t="shared" ca="1" si="5"/>
        <v>'[dane surowe2c.xlsm]variables'!$B$1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100</v>
      </c>
      <c r="BA16" s="15">
        <f t="shared" ca="1" si="26"/>
        <v>358</v>
      </c>
      <c r="BB16" s="15" t="str">
        <f t="shared" ref="BB16:BB39" ca="1" si="55">IF(AD16,CHOOSE(AQ16,AW16,AK16,"?"),"")</f>
        <v>'[dane surowe2c.xlsm]variables'!$B$1</v>
      </c>
      <c r="BC16" s="15" t="str">
        <f t="shared" ca="1" si="27"/>
        <v>'[dane surowe2c.xlsm]variables'!$B$1:$CW$358</v>
      </c>
      <c r="BD16" s="15" t="b">
        <f t="shared" ref="BD16:BD39" ca="1" si="56">AZ16*BA16&gt;1</f>
        <v>1</v>
      </c>
      <c r="BE16" s="15" t="b">
        <f t="shared" ca="1" si="6"/>
        <v>0</v>
      </c>
      <c r="BF16" s="15" t="str">
        <f t="shared" ca="1" si="7"/>
        <v/>
      </c>
      <c r="BG16" s="15" t="str">
        <f t="shared" ca="1" si="8"/>
        <v/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9"/>
        <v>1</v>
      </c>
      <c r="BL16" s="15">
        <f t="shared" ca="1" si="10"/>
        <v>1</v>
      </c>
      <c r="BP16" s="15" t="b">
        <f t="shared" si="28"/>
        <v>1</v>
      </c>
      <c r="BQ16" s="15" t="b">
        <f t="shared" ca="1" si="29"/>
        <v>1</v>
      </c>
      <c r="BR16" s="15">
        <f t="shared" ca="1" si="11"/>
        <v>25</v>
      </c>
      <c r="BS16" s="15">
        <f t="shared" ca="1" si="30"/>
        <v>25</v>
      </c>
      <c r="BT16" s="15" t="str">
        <f t="shared" ca="1" si="12"/>
        <v>Pola, od którego zależy dane pole ma błąd</v>
      </c>
      <c r="BV16" s="15" t="b">
        <f t="shared" ca="1" si="31"/>
        <v>0</v>
      </c>
      <c r="BW16" s="15" t="b">
        <f t="shared" ca="1" si="32"/>
        <v>0</v>
      </c>
      <c r="BX16" s="15" t="b">
        <f t="shared" ca="1" si="33"/>
        <v>0</v>
      </c>
      <c r="BY16" s="15" t="b">
        <f t="shared" ca="1" si="13"/>
        <v>0</v>
      </c>
      <c r="BZ16" s="15" t="b">
        <f t="shared" ca="1" si="34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5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4"/>
        <v>0</v>
      </c>
      <c r="CI16" s="15" t="b">
        <f t="shared" si="36"/>
        <v>0</v>
      </c>
      <c r="CJ16" s="15" t="b">
        <f t="shared" si="37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5"/>
        <v>0</v>
      </c>
      <c r="CM16" s="15" t="b">
        <f t="shared" ca="1" si="15"/>
        <v>0</v>
      </c>
      <c r="CN16" s="15" t="b">
        <f t="shared" ca="1" si="15"/>
        <v>0</v>
      </c>
      <c r="CO16" s="15" t="b">
        <f t="shared" ca="1" si="15"/>
        <v>0</v>
      </c>
      <c r="CP16" s="15" t="b">
        <f t="shared" ca="1" si="15"/>
        <v>0</v>
      </c>
      <c r="CQ16" s="15" t="b">
        <f t="shared" ca="1" si="15"/>
        <v>0</v>
      </c>
      <c r="CR16" s="21" t="b">
        <f t="shared" ca="1" si="15"/>
        <v>0</v>
      </c>
      <c r="CS16" s="22" t="b">
        <f t="shared" ca="1" si="16"/>
        <v>1</v>
      </c>
      <c r="CT16" s="22" t="b">
        <f t="shared" ca="1" si="16"/>
        <v>1</v>
      </c>
      <c r="CU16" s="22" t="b">
        <f t="shared" ca="1" si="16"/>
        <v>1</v>
      </c>
      <c r="CV16" s="22" t="b">
        <f t="shared" ca="1" si="16"/>
        <v>1</v>
      </c>
      <c r="CW16" s="22" t="b">
        <f t="shared" ca="1" si="16"/>
        <v>0</v>
      </c>
      <c r="CX16" s="22" t="b">
        <f t="shared" ca="1" si="16"/>
        <v>0</v>
      </c>
      <c r="CY16" s="22" t="b">
        <f t="shared" ca="1" si="16"/>
        <v>0</v>
      </c>
      <c r="CZ16" s="21" t="b">
        <f t="shared" ca="1" si="16"/>
        <v>0</v>
      </c>
      <c r="DB16" s="22" t="b">
        <f t="shared" ca="1" si="38"/>
        <v>0</v>
      </c>
      <c r="DC16" s="22" t="b">
        <f t="shared" ca="1" si="39"/>
        <v>0</v>
      </c>
      <c r="DD16" s="22" t="b">
        <f t="shared" ca="1" si="17"/>
        <v>0</v>
      </c>
      <c r="DE16" s="22" t="b">
        <f t="shared" ca="1" si="17"/>
        <v>0</v>
      </c>
      <c r="DF16" s="22" t="b">
        <f t="shared" ca="1" si="17"/>
        <v>0</v>
      </c>
      <c r="DG16" s="22" t="b">
        <f t="shared" ca="1" si="17"/>
        <v>0</v>
      </c>
      <c r="DH16" s="22" t="b">
        <f t="shared" ca="1" si="17"/>
        <v>0</v>
      </c>
      <c r="DI16" s="22" t="b">
        <f t="shared" ca="1" si="17"/>
        <v>0</v>
      </c>
      <c r="DJ16" s="22" t="b">
        <f t="shared" ca="1" si="17"/>
        <v>0</v>
      </c>
      <c r="DK16" s="22"/>
      <c r="DO16" s="15">
        <f t="shared" ca="1" si="18"/>
        <v>100</v>
      </c>
      <c r="DP16" s="15">
        <f t="shared" ca="1" si="18"/>
        <v>25</v>
      </c>
      <c r="DQ16" s="15">
        <f t="shared" ca="1" si="18"/>
        <v>25</v>
      </c>
      <c r="DR16" s="15">
        <f t="shared" ca="1" si="18"/>
        <v>25</v>
      </c>
      <c r="DS16" s="15" t="str">
        <f t="shared" ca="1" si="18"/>
        <v/>
      </c>
      <c r="DT16" s="15" t="str">
        <f t="shared" ca="1" si="18"/>
        <v/>
      </c>
      <c r="DU16" s="15" t="str">
        <f t="shared" ca="1" si="18"/>
        <v/>
      </c>
      <c r="DV16" s="15" t="str">
        <f t="shared" ca="1" si="18"/>
        <v/>
      </c>
    </row>
    <row r="17" spans="1:126">
      <c r="A17" s="15">
        <f t="shared" si="19"/>
        <v>5</v>
      </c>
      <c r="B17" s="15" t="str">
        <f ca="1">IF(AD17,IF(BS17&gt;0,BT17,IF(DA17,"Pole zależy od pól, które zależą od zamkniętego workbooka","ok.")),"")</f>
        <v>Pola, od którego zależy dane pole ma błąd</v>
      </c>
      <c r="C17" s="15" t="s">
        <v>260</v>
      </c>
      <c r="D17" s="15" t="str">
        <f t="shared" si="21"/>
        <v>Zakladka zmienne RW</v>
      </c>
      <c r="F17" s="15" t="s">
        <v>259</v>
      </c>
      <c r="G17" s="15" t="s">
        <v>125</v>
      </c>
      <c r="J17" s="19" t="str">
        <f ca="1">CELL(_CELL_ADDRESS_NAME,variables!$B$2)</f>
        <v>'[dane surowe2c.xlsm]variables'!$B$2</v>
      </c>
      <c r="K17" s="15">
        <f>ster!$C$12</f>
        <v>357</v>
      </c>
      <c r="L17" s="15">
        <v>100</v>
      </c>
      <c r="M17" s="19"/>
      <c r="T17" s="15" t="str">
        <f ca="1">BC17</f>
        <v>'[dane surowe2c.xlsm]variables'!$B$2:$CW$358</v>
      </c>
      <c r="U17" s="15">
        <f ca="1">IF(AD17,BS17,"")</f>
        <v>25</v>
      </c>
      <c r="V17" s="15" t="s">
        <v>119</v>
      </c>
      <c r="AD17" s="16" t="b">
        <f t="shared" si="40"/>
        <v>1</v>
      </c>
      <c r="AE17" s="16" t="b">
        <f t="shared" si="41"/>
        <v>0</v>
      </c>
      <c r="AF17" s="15" t="str">
        <f t="shared" si="0"/>
        <v/>
      </c>
      <c r="AG17" s="15" t="str">
        <f t="shared" ca="1" si="1"/>
        <v/>
      </c>
      <c r="AH17" s="15" t="str">
        <f t="shared" ca="1" si="2"/>
        <v/>
      </c>
      <c r="AI17" s="15" t="b">
        <f t="shared" ca="1" si="3"/>
        <v>0</v>
      </c>
      <c r="AJ17" s="15" t="str">
        <f t="shared" ca="1" si="24"/>
        <v/>
      </c>
      <c r="AK17" s="27" t="str">
        <f t="shared" ca="1" si="42"/>
        <v/>
      </c>
      <c r="AL17" s="15" t="b">
        <f t="shared" ca="1" si="4"/>
        <v>0</v>
      </c>
      <c r="AM17" s="15" t="str">
        <f t="shared" ca="1" si="43"/>
        <v/>
      </c>
      <c r="AN17" s="15">
        <f t="shared" ca="1" si="44"/>
        <v>3</v>
      </c>
      <c r="AO17" s="15" t="str">
        <f t="shared" ca="1" si="25"/>
        <v/>
      </c>
      <c r="AP17" s="15" t="str">
        <f t="shared" ca="1" si="45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21</v>
      </c>
      <c r="AV17" s="16" t="e">
        <f t="shared" ca="1" si="51"/>
        <v>#REF!</v>
      </c>
      <c r="AW17" s="15" t="str">
        <f t="shared" ca="1" si="5"/>
        <v>'[dane surowe2c.xlsm]variables'!$B$2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100</v>
      </c>
      <c r="BA17" s="15">
        <f t="shared" ca="1" si="26"/>
        <v>357</v>
      </c>
      <c r="BB17" s="15" t="str">
        <f t="shared" ca="1" si="55"/>
        <v>'[dane surowe2c.xlsm]variables'!$B$2</v>
      </c>
      <c r="BC17" s="15" t="str">
        <f t="shared" ca="1" si="27"/>
        <v>'[dane surowe2c.xlsm]variables'!$B$2:$CW$358</v>
      </c>
      <c r="BD17" s="15" t="b">
        <f t="shared" ca="1" si="56"/>
        <v>1</v>
      </c>
      <c r="BE17" s="15" t="b">
        <f t="shared" ca="1" si="6"/>
        <v>0</v>
      </c>
      <c r="BF17" s="15" t="str">
        <f t="shared" ca="1" si="7"/>
        <v/>
      </c>
      <c r="BG17" s="15" t="str">
        <f t="shared" ca="1" si="8"/>
        <v/>
      </c>
      <c r="BH17" s="15">
        <f t="array" aca="1" ref="BH17" ca="1">IF(IFERROR( S17,1),1,IF(BC17="","", SUM(IF(ISERROR(INDIRECT(BC17)),1,0))))</f>
        <v>0</v>
      </c>
      <c r="BI17" s="15" t="b">
        <f t="shared" si="57"/>
        <v>0</v>
      </c>
      <c r="BJ17" s="15" t="b">
        <f t="shared" si="58"/>
        <v>1</v>
      </c>
      <c r="BK17" s="15">
        <f t="shared" ca="1" si="9"/>
        <v>2</v>
      </c>
      <c r="BL17" s="15">
        <f t="shared" ca="1" si="10"/>
        <v>2</v>
      </c>
      <c r="BP17" s="15" t="b">
        <f t="shared" si="28"/>
        <v>1</v>
      </c>
      <c r="BQ17" s="15" t="b">
        <f t="shared" ca="1" si="29"/>
        <v>1</v>
      </c>
      <c r="BR17" s="15">
        <f t="shared" ca="1" si="11"/>
        <v>25</v>
      </c>
      <c r="BS17" s="15">
        <f t="shared" ca="1" si="30"/>
        <v>25</v>
      </c>
      <c r="BT17" s="15" t="str">
        <f t="shared" ca="1" si="12"/>
        <v>Pola, od którego zależy dane pole ma błąd</v>
      </c>
      <c r="BV17" s="15" t="b">
        <f t="shared" ca="1" si="31"/>
        <v>0</v>
      </c>
      <c r="BW17" s="15" t="b">
        <f t="shared" ca="1" si="32"/>
        <v>0</v>
      </c>
      <c r="BX17" s="15" t="b">
        <f t="shared" ca="1" si="33"/>
        <v>0</v>
      </c>
      <c r="BY17" s="15" t="b">
        <f t="shared" ca="1" si="13"/>
        <v>0</v>
      </c>
      <c r="BZ17" s="15" t="b">
        <f t="shared" ca="1" si="34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5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4"/>
        <v>0</v>
      </c>
      <c r="CI17" s="15" t="b">
        <f t="shared" si="36"/>
        <v>0</v>
      </c>
      <c r="CJ17" s="15" t="b">
        <f t="shared" si="37"/>
        <v>0</v>
      </c>
      <c r="CK17" s="15" t="b">
        <f t="shared" ca="1" si="64"/>
        <v>0</v>
      </c>
      <c r="CL17" s="15" t="b">
        <f t="shared" ca="1" si="15"/>
        <v>0</v>
      </c>
      <c r="CM17" s="15" t="b">
        <f t="shared" ca="1" si="15"/>
        <v>0</v>
      </c>
      <c r="CN17" s="15" t="b">
        <f t="shared" ca="1" si="15"/>
        <v>0</v>
      </c>
      <c r="CO17" s="15" t="b">
        <f t="shared" ca="1" si="15"/>
        <v>0</v>
      </c>
      <c r="CP17" s="15" t="b">
        <f t="shared" ca="1" si="15"/>
        <v>0</v>
      </c>
      <c r="CQ17" s="15" t="b">
        <f t="shared" ca="1" si="15"/>
        <v>0</v>
      </c>
      <c r="CR17" s="21" t="b">
        <f t="shared" ca="1" si="15"/>
        <v>0</v>
      </c>
      <c r="CS17" s="22" t="b">
        <f t="shared" ca="1" si="16"/>
        <v>1</v>
      </c>
      <c r="CT17" s="22" t="b">
        <f t="shared" ca="1" si="16"/>
        <v>0</v>
      </c>
      <c r="CU17" s="22" t="b">
        <f t="shared" ca="1" si="16"/>
        <v>0</v>
      </c>
      <c r="CV17" s="22" t="b">
        <f t="shared" ca="1" si="16"/>
        <v>0</v>
      </c>
      <c r="CW17" s="22" t="b">
        <f t="shared" ca="1" si="16"/>
        <v>0</v>
      </c>
      <c r="CX17" s="22" t="b">
        <f t="shared" ca="1" si="16"/>
        <v>0</v>
      </c>
      <c r="CY17" s="22" t="b">
        <f t="shared" ca="1" si="16"/>
        <v>0</v>
      </c>
      <c r="CZ17" s="21" t="b">
        <f t="shared" ca="1" si="16"/>
        <v>0</v>
      </c>
      <c r="DB17" s="22" t="b">
        <f t="shared" ca="1" si="38"/>
        <v>0</v>
      </c>
      <c r="DC17" s="22" t="b">
        <f t="shared" ca="1" si="39"/>
        <v>0</v>
      </c>
      <c r="DD17" s="22" t="b">
        <f t="shared" ca="1" si="17"/>
        <v>0</v>
      </c>
      <c r="DE17" s="22" t="b">
        <f t="shared" ca="1" si="17"/>
        <v>0</v>
      </c>
      <c r="DF17" s="22" t="b">
        <f t="shared" ca="1" si="17"/>
        <v>0</v>
      </c>
      <c r="DG17" s="22" t="b">
        <f t="shared" ca="1" si="17"/>
        <v>0</v>
      </c>
      <c r="DH17" s="22" t="b">
        <f t="shared" ca="1" si="17"/>
        <v>0</v>
      </c>
      <c r="DI17" s="22" t="b">
        <f t="shared" ca="1" si="17"/>
        <v>0</v>
      </c>
      <c r="DJ17" s="22" t="b">
        <f t="shared" ca="1" si="17"/>
        <v>0</v>
      </c>
      <c r="DK17" s="22"/>
      <c r="DO17" s="15">
        <f t="shared" ca="1" si="18"/>
        <v>25</v>
      </c>
      <c r="DP17" s="15" t="str">
        <f t="shared" ca="1" si="18"/>
        <v/>
      </c>
      <c r="DQ17" s="15" t="str">
        <f t="shared" ca="1" si="18"/>
        <v/>
      </c>
      <c r="DR17" s="15" t="str">
        <f t="shared" ca="1" si="18"/>
        <v/>
      </c>
      <c r="DS17" s="15" t="str">
        <f t="shared" ca="1" si="18"/>
        <v/>
      </c>
      <c r="DT17" s="15" t="str">
        <f t="shared" ca="1" si="18"/>
        <v/>
      </c>
      <c r="DU17" s="15" t="str">
        <f t="shared" ca="1" si="18"/>
        <v/>
      </c>
      <c r="DV17" s="15" t="str">
        <f t="shared" ca="1" si="18"/>
        <v/>
      </c>
    </row>
    <row r="18" spans="1:126" s="16" customFormat="1">
      <c r="A18" s="15">
        <f t="shared" si="19"/>
        <v>6</v>
      </c>
      <c r="B18" s="15" t="str">
        <f t="shared" ref="B18:B21" ca="1" si="65">IF(AD18,IF(BS18&gt;0,BT18,IF(DA18,"Pole zależy od pól, które zależą od zamkniętego workbooka","ok.")),"")</f>
        <v>Pola, od którego zależy dane pole ma błąd</v>
      </c>
      <c r="C18" s="15" t="s">
        <v>95</v>
      </c>
      <c r="D18" s="15" t="str">
        <f t="shared" si="21"/>
        <v>Zmienne TypyKod</v>
      </c>
      <c r="E18" s="16" t="s">
        <v>191</v>
      </c>
      <c r="F18" s="15" t="s">
        <v>187</v>
      </c>
      <c r="G18" s="16" t="s">
        <v>125</v>
      </c>
      <c r="H18" s="15"/>
      <c r="I18" s="15"/>
      <c r="J18" s="19" t="str">
        <f ca="1">CELL(_CELL_ADDRESS_NAME,variables!C2)</f>
        <v>'[dane surowe2c.xlsm]variables'!$C$2</v>
      </c>
      <c r="K18" s="16">
        <f>ster!$C$12</f>
        <v>357</v>
      </c>
      <c r="M18" s="19"/>
      <c r="T18" s="15" t="str">
        <f t="shared" ref="T18:T21" ca="1" si="66">BC18</f>
        <v>'[dane surowe2c.xlsm]variables'!$C$2:$C$358</v>
      </c>
      <c r="U18" s="15">
        <f t="shared" ref="U18:U21" ca="1" si="67">IF(AD18,BS18,"")</f>
        <v>25</v>
      </c>
      <c r="V18" s="15" t="s">
        <v>119</v>
      </c>
      <c r="AD18" s="16" t="b">
        <f t="shared" si="40"/>
        <v>1</v>
      </c>
      <c r="AE18" s="16" t="b">
        <f t="shared" si="41"/>
        <v>0</v>
      </c>
      <c r="AF18" s="15" t="str">
        <f t="shared" si="0"/>
        <v/>
      </c>
      <c r="AG18" s="15" t="str">
        <f t="shared" ca="1" si="1"/>
        <v/>
      </c>
      <c r="AH18" s="15" t="str">
        <f t="shared" ca="1" si="2"/>
        <v/>
      </c>
      <c r="AI18" s="15" t="b">
        <f t="shared" ca="1" si="3"/>
        <v>0</v>
      </c>
      <c r="AJ18" s="15" t="str">
        <f t="shared" ca="1" si="24"/>
        <v/>
      </c>
      <c r="AK18" s="27" t="str">
        <f t="shared" ca="1" si="42"/>
        <v/>
      </c>
      <c r="AL18" s="15" t="b">
        <f t="shared" ca="1" si="4"/>
        <v>0</v>
      </c>
      <c r="AM18" s="15" t="str">
        <f t="shared" ca="1" si="43"/>
        <v/>
      </c>
      <c r="AN18" s="15">
        <f t="shared" ca="1" si="44"/>
        <v>3</v>
      </c>
      <c r="AO18" s="15" t="str">
        <f t="shared" ca="1" si="25"/>
        <v/>
      </c>
      <c r="AP18" s="15" t="str">
        <f t="shared" ca="1" si="45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21</v>
      </c>
      <c r="AV18" s="16" t="e">
        <f t="shared" ca="1" si="51"/>
        <v>#REF!</v>
      </c>
      <c r="AW18" s="15" t="str">
        <f t="shared" ca="1" si="5"/>
        <v>'[dane surowe2c.xlsm]variables'!$C$2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6"/>
        <v>357</v>
      </c>
      <c r="BB18" s="15" t="str">
        <f t="shared" ca="1" si="55"/>
        <v>'[dane surowe2c.xlsm]variables'!$C$2</v>
      </c>
      <c r="BC18" s="15" t="str">
        <f t="shared" ca="1" si="27"/>
        <v>'[dane surowe2c.xlsm]variables'!$C$2:$C$358</v>
      </c>
      <c r="BD18" s="15" t="b">
        <f t="shared" ca="1" si="56"/>
        <v>1</v>
      </c>
      <c r="BE18" s="15" t="b">
        <f t="shared" ca="1" si="6"/>
        <v>0</v>
      </c>
      <c r="BF18" s="15" t="str">
        <f t="shared" ca="1" si="7"/>
        <v/>
      </c>
      <c r="BG18" s="15" t="str">
        <f t="shared" ca="1" si="8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9"/>
        <v>2</v>
      </c>
      <c r="BL18" s="15">
        <f t="shared" ca="1" si="10"/>
        <v>2</v>
      </c>
      <c r="BM18" s="15"/>
      <c r="BN18" s="15"/>
      <c r="BO18" s="15"/>
      <c r="BP18" s="15" t="b">
        <f t="shared" si="28"/>
        <v>1</v>
      </c>
      <c r="BQ18" s="15" t="b">
        <f t="shared" ca="1" si="29"/>
        <v>1</v>
      </c>
      <c r="BR18" s="15">
        <f t="shared" ca="1" si="11"/>
        <v>25</v>
      </c>
      <c r="BS18" s="15">
        <f t="shared" ca="1" si="30"/>
        <v>25</v>
      </c>
      <c r="BT18" s="15" t="str">
        <f t="shared" ca="1" si="12"/>
        <v>Pola, od którego zależy dane pole ma błąd</v>
      </c>
      <c r="BU18" s="15"/>
      <c r="BV18" s="15" t="b">
        <f t="shared" ca="1" si="31"/>
        <v>0</v>
      </c>
      <c r="BW18" s="15" t="b">
        <f t="shared" ca="1" si="32"/>
        <v>0</v>
      </c>
      <c r="BX18" s="15" t="b">
        <f t="shared" ca="1" si="33"/>
        <v>0</v>
      </c>
      <c r="BY18" s="15" t="b">
        <f t="shared" ca="1" si="13"/>
        <v>0</v>
      </c>
      <c r="BZ18" s="15" t="b">
        <f t="shared" ca="1" si="34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5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4"/>
        <v>0</v>
      </c>
      <c r="CI18" s="15" t="b">
        <f t="shared" si="36"/>
        <v>0</v>
      </c>
      <c r="CJ18" s="15" t="b">
        <f t="shared" si="37"/>
        <v>0</v>
      </c>
      <c r="CK18" s="15" t="b">
        <f t="shared" ca="1" si="64"/>
        <v>0</v>
      </c>
      <c r="CL18" s="15" t="b">
        <f t="shared" ca="1" si="15"/>
        <v>0</v>
      </c>
      <c r="CM18" s="15" t="b">
        <f t="shared" ca="1" si="15"/>
        <v>0</v>
      </c>
      <c r="CN18" s="15" t="b">
        <f t="shared" ca="1" si="15"/>
        <v>0</v>
      </c>
      <c r="CO18" s="15" t="b">
        <f t="shared" ca="1" si="15"/>
        <v>0</v>
      </c>
      <c r="CP18" s="15" t="b">
        <f t="shared" ca="1" si="15"/>
        <v>0</v>
      </c>
      <c r="CQ18" s="15" t="b">
        <f t="shared" ca="1" si="15"/>
        <v>0</v>
      </c>
      <c r="CR18" s="21" t="b">
        <f t="shared" ca="1" si="15"/>
        <v>0</v>
      </c>
      <c r="CS18" s="22" t="b">
        <f t="shared" ca="1" si="16"/>
        <v>1</v>
      </c>
      <c r="CT18" s="22" t="b">
        <f t="shared" ca="1" si="16"/>
        <v>0</v>
      </c>
      <c r="CU18" s="22" t="b">
        <f t="shared" ca="1" si="16"/>
        <v>0</v>
      </c>
      <c r="CV18" s="22" t="b">
        <f t="shared" ca="1" si="16"/>
        <v>0</v>
      </c>
      <c r="CW18" s="22" t="b">
        <f t="shared" ca="1" si="16"/>
        <v>0</v>
      </c>
      <c r="CX18" s="22" t="b">
        <f t="shared" ca="1" si="16"/>
        <v>0</v>
      </c>
      <c r="CY18" s="22" t="b">
        <f t="shared" ca="1" si="16"/>
        <v>0</v>
      </c>
      <c r="CZ18" s="21" t="b">
        <f t="shared" ca="1" si="16"/>
        <v>0</v>
      </c>
      <c r="DA18" s="22"/>
      <c r="DB18" s="22" t="b">
        <f t="shared" ca="1" si="38"/>
        <v>0</v>
      </c>
      <c r="DC18" s="22" t="b">
        <f t="shared" ca="1" si="39"/>
        <v>0</v>
      </c>
      <c r="DD18" s="22" t="b">
        <f t="shared" ca="1" si="17"/>
        <v>0</v>
      </c>
      <c r="DE18" s="22" t="b">
        <f t="shared" ca="1" si="17"/>
        <v>0</v>
      </c>
      <c r="DF18" s="22" t="b">
        <f t="shared" ca="1" si="17"/>
        <v>0</v>
      </c>
      <c r="DG18" s="22" t="b">
        <f t="shared" ca="1" si="17"/>
        <v>0</v>
      </c>
      <c r="DH18" s="22" t="b">
        <f t="shared" ca="1" si="17"/>
        <v>0</v>
      </c>
      <c r="DI18" s="22" t="b">
        <f t="shared" ca="1" si="17"/>
        <v>0</v>
      </c>
      <c r="DJ18" s="22" t="b">
        <f t="shared" ca="1" si="17"/>
        <v>0</v>
      </c>
      <c r="DK18" s="22"/>
      <c r="DO18" s="15">
        <f t="shared" ca="1" si="18"/>
        <v>25</v>
      </c>
      <c r="DP18" s="15" t="str">
        <f t="shared" ca="1" si="18"/>
        <v/>
      </c>
      <c r="DQ18" s="15" t="str">
        <f t="shared" ca="1" si="18"/>
        <v/>
      </c>
      <c r="DR18" s="15" t="str">
        <f t="shared" ca="1" si="18"/>
        <v/>
      </c>
      <c r="DS18" s="15" t="str">
        <f t="shared" ca="1" si="18"/>
        <v/>
      </c>
      <c r="DT18" s="15" t="str">
        <f t="shared" ca="1" si="18"/>
        <v/>
      </c>
      <c r="DU18" s="15" t="str">
        <f t="shared" ca="1" si="18"/>
        <v/>
      </c>
      <c r="DV18" s="15" t="str">
        <f t="shared" ca="1" si="18"/>
        <v/>
      </c>
    </row>
    <row r="19" spans="1:126">
      <c r="A19" s="15">
        <f t="shared" si="19"/>
        <v>7</v>
      </c>
      <c r="B19" s="15" t="str">
        <f t="shared" ca="1" si="65"/>
        <v>Pola, od którego zależy dane pole ma błąd</v>
      </c>
      <c r="C19" s="15" t="s">
        <v>96</v>
      </c>
      <c r="D19" s="15" t="str">
        <f t="shared" si="21"/>
        <v>Zmienne IleEtykiet</v>
      </c>
      <c r="G19" s="16" t="s">
        <v>91</v>
      </c>
      <c r="J19" s="19" t="str">
        <f ca="1">CELL(_CELL_ADDRESS_NAME,variables!F2)</f>
        <v>'[dane surowe2c.xlsm]variables'!$F$2</v>
      </c>
      <c r="K19" s="16">
        <f>ster!$C$12</f>
        <v>357</v>
      </c>
      <c r="M19" s="19"/>
      <c r="N19" s="16"/>
      <c r="Q19" s="16"/>
      <c r="T19" s="15" t="str">
        <f t="shared" ca="1" si="66"/>
        <v>'[dane surowe2c.xlsm]variables'!$F$2:$F$358</v>
      </c>
      <c r="U19" s="15">
        <f t="shared" ca="1" si="67"/>
        <v>25</v>
      </c>
      <c r="V19" s="15" t="s">
        <v>261</v>
      </c>
      <c r="W19" s="15" t="s">
        <v>226</v>
      </c>
      <c r="X19" s="15" t="s">
        <v>119</v>
      </c>
      <c r="AD19" s="16" t="b">
        <f t="shared" si="40"/>
        <v>1</v>
      </c>
      <c r="AE19" s="16" t="b">
        <f t="shared" si="41"/>
        <v>0</v>
      </c>
      <c r="AF19" s="15" t="str">
        <f>IF(AE19,"[" &amp; H19 &amp; "]" &amp; $B$2,"")</f>
        <v/>
      </c>
      <c r="AG19" s="15" t="str">
        <f t="shared" ca="1" si="1"/>
        <v/>
      </c>
      <c r="AH19" s="15" t="str">
        <f t="shared" ca="1" si="2"/>
        <v/>
      </c>
      <c r="AI19" s="15" t="b">
        <f t="shared" ca="1" si="3"/>
        <v>0</v>
      </c>
      <c r="AJ19" s="15" t="str">
        <f t="shared" ca="1" si="24"/>
        <v/>
      </c>
      <c r="AK19" s="27" t="str">
        <f t="shared" ca="1" si="42"/>
        <v/>
      </c>
      <c r="AL19" s="15" t="b">
        <f t="shared" ca="1" si="4"/>
        <v>0</v>
      </c>
      <c r="AM19" s="15" t="str">
        <f t="shared" ca="1" si="43"/>
        <v/>
      </c>
      <c r="AN19" s="15">
        <f t="shared" ca="1" si="44"/>
        <v>3</v>
      </c>
      <c r="AO19" s="15" t="str">
        <f t="shared" ca="1" si="25"/>
        <v/>
      </c>
      <c r="AP19" s="15" t="str">
        <f ca="1">IF(AQ19=2,INDEX(INDIRECT(AO19),AH19),"")</f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21</v>
      </c>
      <c r="AV19" s="16" t="e">
        <f t="shared" ca="1" si="51"/>
        <v>#REF!</v>
      </c>
      <c r="AW19" s="15" t="str">
        <f t="shared" ca="1" si="5"/>
        <v>'[dane surowe2c.xlsm]variables'!$F$2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6"/>
        <v>357</v>
      </c>
      <c r="BB19" s="15" t="str">
        <f t="shared" ca="1" si="55"/>
        <v>'[dane surowe2c.xlsm]variables'!$F$2</v>
      </c>
      <c r="BC19" s="15" t="str">
        <f t="shared" ca="1" si="27"/>
        <v>'[dane surowe2c.xlsm]variables'!$F$2:$F$358</v>
      </c>
      <c r="BD19" s="15" t="b">
        <f t="shared" ca="1" si="56"/>
        <v>1</v>
      </c>
      <c r="BE19" s="15" t="b">
        <f t="shared" ca="1" si="6"/>
        <v>1</v>
      </c>
      <c r="BF19" s="15">
        <f t="shared" ca="1" si="7"/>
        <v>357</v>
      </c>
      <c r="BG19" s="15">
        <f t="shared" ca="1" si="8"/>
        <v>357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9"/>
        <v>1</v>
      </c>
      <c r="BL19" s="15">
        <f t="shared" ca="1" si="10"/>
        <v>1</v>
      </c>
      <c r="BP19" s="15" t="b">
        <f t="shared" si="28"/>
        <v>1</v>
      </c>
      <c r="BQ19" s="15" t="b">
        <f t="shared" ca="1" si="29"/>
        <v>1</v>
      </c>
      <c r="BR19" s="15">
        <f t="shared" ca="1" si="11"/>
        <v>25</v>
      </c>
      <c r="BS19" s="15">
        <f t="shared" ca="1" si="30"/>
        <v>25</v>
      </c>
      <c r="BT19" s="15" t="str">
        <f t="shared" ca="1" si="12"/>
        <v>Pola, od którego zależy dane pole ma błąd</v>
      </c>
      <c r="BV19" s="15" t="b">
        <f t="shared" ca="1" si="31"/>
        <v>0</v>
      </c>
      <c r="BW19" s="15" t="b">
        <f t="shared" ca="1" si="32"/>
        <v>0</v>
      </c>
      <c r="BX19" s="15" t="b">
        <f t="shared" ca="1" si="33"/>
        <v>0</v>
      </c>
      <c r="BY19" s="15" t="b">
        <f t="shared" ca="1" si="13"/>
        <v>0</v>
      </c>
      <c r="BZ19" s="15" t="b">
        <f t="shared" ca="1" si="34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5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4"/>
        <v>0</v>
      </c>
      <c r="CI19" s="15" t="b">
        <f t="shared" si="36"/>
        <v>0</v>
      </c>
      <c r="CJ19" s="15" t="b">
        <f t="shared" si="37"/>
        <v>0</v>
      </c>
      <c r="CK19" s="15" t="b">
        <f t="shared" ca="1" si="64"/>
        <v>0</v>
      </c>
      <c r="CL19" s="15" t="b">
        <f t="shared" ca="1" si="15"/>
        <v>0</v>
      </c>
      <c r="CM19" s="15" t="b">
        <f t="shared" ca="1" si="15"/>
        <v>0</v>
      </c>
      <c r="CN19" s="15" t="b">
        <f t="shared" ca="1" si="15"/>
        <v>0</v>
      </c>
      <c r="CO19" s="15" t="b">
        <f t="shared" ca="1" si="15"/>
        <v>0</v>
      </c>
      <c r="CP19" s="15" t="b">
        <f t="shared" ca="1" si="15"/>
        <v>0</v>
      </c>
      <c r="CQ19" s="15" t="b">
        <f t="shared" ca="1" si="15"/>
        <v>0</v>
      </c>
      <c r="CR19" s="21" t="b">
        <f t="shared" ca="1" si="15"/>
        <v>0</v>
      </c>
      <c r="CS19" s="22" t="b">
        <f t="shared" ca="1" si="16"/>
        <v>1</v>
      </c>
      <c r="CT19" s="22" t="b">
        <f t="shared" ca="1" si="16"/>
        <v>1</v>
      </c>
      <c r="CU19" s="22" t="b">
        <f t="shared" ca="1" si="16"/>
        <v>1</v>
      </c>
      <c r="CV19" s="22" t="b">
        <f t="shared" ca="1" si="16"/>
        <v>0</v>
      </c>
      <c r="CW19" s="22" t="b">
        <f t="shared" ca="1" si="16"/>
        <v>0</v>
      </c>
      <c r="CX19" s="22" t="b">
        <f t="shared" ca="1" si="16"/>
        <v>0</v>
      </c>
      <c r="CY19" s="22" t="b">
        <f t="shared" ca="1" si="16"/>
        <v>0</v>
      </c>
      <c r="CZ19" s="21" t="b">
        <f t="shared" ca="1" si="16"/>
        <v>0</v>
      </c>
      <c r="DB19" s="22" t="b">
        <f t="shared" ca="1" si="38"/>
        <v>0</v>
      </c>
      <c r="DC19" s="22" t="b">
        <f t="shared" ca="1" si="39"/>
        <v>0</v>
      </c>
      <c r="DD19" s="22" t="b">
        <f t="shared" ca="1" si="17"/>
        <v>0</v>
      </c>
      <c r="DE19" s="22" t="b">
        <f t="shared" ca="1" si="17"/>
        <v>0</v>
      </c>
      <c r="DF19" s="22" t="b">
        <f t="shared" ca="1" si="17"/>
        <v>0</v>
      </c>
      <c r="DG19" s="22" t="b">
        <f t="shared" ca="1" si="17"/>
        <v>0</v>
      </c>
      <c r="DH19" s="22" t="b">
        <f t="shared" ca="1" si="17"/>
        <v>0</v>
      </c>
      <c r="DI19" s="22" t="b">
        <f t="shared" ca="1" si="17"/>
        <v>0</v>
      </c>
      <c r="DJ19" s="22" t="b">
        <f t="shared" ca="1" si="17"/>
        <v>0</v>
      </c>
      <c r="DK19" s="22"/>
      <c r="DO19" s="15">
        <f t="shared" ca="1" si="18"/>
        <v>25</v>
      </c>
      <c r="DP19" s="15">
        <f t="shared" ca="1" si="18"/>
        <v>100</v>
      </c>
      <c r="DQ19" s="15">
        <f t="shared" ca="1" si="18"/>
        <v>25</v>
      </c>
      <c r="DR19" s="15" t="str">
        <f t="shared" ca="1" si="18"/>
        <v/>
      </c>
      <c r="DS19" s="15" t="str">
        <f t="shared" ca="1" si="18"/>
        <v/>
      </c>
      <c r="DT19" s="15" t="str">
        <f t="shared" ca="1" si="18"/>
        <v/>
      </c>
      <c r="DU19" s="15" t="str">
        <f t="shared" ca="1" si="18"/>
        <v/>
      </c>
      <c r="DV19" s="15" t="str">
        <f t="shared" ca="1" si="18"/>
        <v/>
      </c>
    </row>
    <row r="20" spans="1:126">
      <c r="A20" s="15">
        <f t="shared" si="19"/>
        <v>8</v>
      </c>
      <c r="B20" s="15" t="str">
        <f t="shared" ca="1" si="65"/>
        <v>Pola, od którego zależy dane pole ma błąd</v>
      </c>
      <c r="C20" s="15" t="s">
        <v>97</v>
      </c>
      <c r="D20" s="15" t="str">
        <f t="shared" si="21"/>
        <v>Zmienne SaEtykiety</v>
      </c>
      <c r="G20" s="15" t="s">
        <v>91</v>
      </c>
      <c r="J20" s="19" t="str">
        <f ca="1">CELL(_CELL_ADDRESS_NAME,variables!J2)</f>
        <v>'[dane surowe2c.xlsm]variables'!$J$2</v>
      </c>
      <c r="K20" s="15">
        <f>ster!$C$12</f>
        <v>357</v>
      </c>
      <c r="M20" s="19"/>
      <c r="Q20" s="16"/>
      <c r="T20" s="15" t="str">
        <f t="shared" ca="1" si="66"/>
        <v>'[dane surowe2c.xlsm]variables'!$J$2:$J$358</v>
      </c>
      <c r="U20" s="15">
        <f t="shared" ca="1" si="67"/>
        <v>25</v>
      </c>
      <c r="V20" s="15" t="s">
        <v>261</v>
      </c>
      <c r="W20" s="15" t="s">
        <v>226</v>
      </c>
      <c r="X20" s="15" t="s">
        <v>119</v>
      </c>
      <c r="AD20" s="16" t="b">
        <f t="shared" si="40"/>
        <v>1</v>
      </c>
      <c r="AE20" s="16" t="b">
        <f t="shared" si="41"/>
        <v>0</v>
      </c>
      <c r="AF20" s="15" t="str">
        <f t="shared" ref="AF20:AF68" si="68">IF(AE20,"[" &amp; H20 &amp; "]" &amp; $B$2,"")</f>
        <v/>
      </c>
      <c r="AG20" s="15" t="str">
        <f t="shared" ca="1" si="1"/>
        <v/>
      </c>
      <c r="AH20" s="15" t="str">
        <f t="shared" ca="1" si="2"/>
        <v/>
      </c>
      <c r="AI20" s="15" t="b">
        <f t="shared" ca="1" si="3"/>
        <v>0</v>
      </c>
      <c r="AJ20" s="15" t="str">
        <f t="shared" ca="1" si="24"/>
        <v/>
      </c>
      <c r="AK20" s="27" t="str">
        <f t="shared" ca="1" si="42"/>
        <v/>
      </c>
      <c r="AL20" s="15" t="b">
        <f t="shared" ca="1" si="4"/>
        <v>0</v>
      </c>
      <c r="AM20" s="15" t="str">
        <f t="shared" ca="1" si="43"/>
        <v/>
      </c>
      <c r="AN20" s="15">
        <f t="shared" ca="1" si="44"/>
        <v>3</v>
      </c>
      <c r="AO20" s="15" t="str">
        <f t="shared" ca="1" si="25"/>
        <v/>
      </c>
      <c r="AP20" s="15" t="str">
        <f t="shared" ref="AP20:AP39" ca="1" si="69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21</v>
      </c>
      <c r="AV20" s="16" t="e">
        <f t="shared" ca="1" si="51"/>
        <v>#REF!</v>
      </c>
      <c r="AW20" s="15" t="str">
        <f t="shared" ca="1" si="5"/>
        <v>'[dane surowe2c.xlsm]variables'!$J$2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6"/>
        <v>357</v>
      </c>
      <c r="BB20" s="15" t="str">
        <f t="shared" ca="1" si="55"/>
        <v>'[dane surowe2c.xlsm]variables'!$J$2</v>
      </c>
      <c r="BC20" s="15" t="str">
        <f t="shared" ca="1" si="27"/>
        <v>'[dane surowe2c.xlsm]variables'!$J$2:$J$358</v>
      </c>
      <c r="BD20" s="15" t="b">
        <f t="shared" ca="1" si="56"/>
        <v>1</v>
      </c>
      <c r="BE20" s="15" t="b">
        <f t="shared" ca="1" si="6"/>
        <v>1</v>
      </c>
      <c r="BF20" s="15">
        <f t="shared" ca="1" si="7"/>
        <v>357</v>
      </c>
      <c r="BG20" s="15">
        <f t="shared" ca="1" si="8"/>
        <v>357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9"/>
        <v>1</v>
      </c>
      <c r="BL20" s="15">
        <f t="shared" ca="1" si="10"/>
        <v>1</v>
      </c>
      <c r="BP20" s="15" t="b">
        <f t="shared" si="28"/>
        <v>1</v>
      </c>
      <c r="BQ20" s="15" t="b">
        <f t="shared" ca="1" si="29"/>
        <v>1</v>
      </c>
      <c r="BR20" s="15">
        <f t="shared" ca="1" si="11"/>
        <v>25</v>
      </c>
      <c r="BS20" s="15">
        <f t="shared" ca="1" si="30"/>
        <v>25</v>
      </c>
      <c r="BT20" s="15" t="str">
        <f t="shared" ca="1" si="12"/>
        <v>Pola, od którego zależy dane pole ma błąd</v>
      </c>
      <c r="BV20" s="15" t="b">
        <f t="shared" ca="1" si="31"/>
        <v>0</v>
      </c>
      <c r="BW20" s="15" t="b">
        <f t="shared" ca="1" si="32"/>
        <v>0</v>
      </c>
      <c r="BX20" s="15" t="b">
        <f t="shared" ca="1" si="33"/>
        <v>0</v>
      </c>
      <c r="BY20" s="15" t="b">
        <f t="shared" ca="1" si="13"/>
        <v>0</v>
      </c>
      <c r="BZ20" s="15" t="b">
        <f t="shared" ca="1" si="34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5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4"/>
        <v>0</v>
      </c>
      <c r="CI20" s="15" t="b">
        <f t="shared" si="36"/>
        <v>0</v>
      </c>
      <c r="CJ20" s="15" t="b">
        <f t="shared" si="37"/>
        <v>0</v>
      </c>
      <c r="CK20" s="15" t="b">
        <f t="shared" ca="1" si="64"/>
        <v>0</v>
      </c>
      <c r="CL20" s="15" t="b">
        <f t="shared" ca="1" si="15"/>
        <v>0</v>
      </c>
      <c r="CM20" s="15" t="b">
        <f t="shared" ca="1" si="15"/>
        <v>0</v>
      </c>
      <c r="CN20" s="15" t="b">
        <f t="shared" ca="1" si="15"/>
        <v>0</v>
      </c>
      <c r="CO20" s="15" t="b">
        <f t="shared" ca="1" si="15"/>
        <v>0</v>
      </c>
      <c r="CP20" s="15" t="b">
        <f t="shared" ca="1" si="15"/>
        <v>0</v>
      </c>
      <c r="CQ20" s="15" t="b">
        <f t="shared" ca="1" si="15"/>
        <v>0</v>
      </c>
      <c r="CR20" s="21" t="b">
        <f t="shared" ca="1" si="15"/>
        <v>0</v>
      </c>
      <c r="CS20" s="22" t="b">
        <f t="shared" ca="1" si="16"/>
        <v>1</v>
      </c>
      <c r="CT20" s="22" t="b">
        <f t="shared" ca="1" si="16"/>
        <v>1</v>
      </c>
      <c r="CU20" s="22" t="b">
        <f t="shared" ca="1" si="16"/>
        <v>1</v>
      </c>
      <c r="CV20" s="22" t="b">
        <f t="shared" ca="1" si="16"/>
        <v>0</v>
      </c>
      <c r="CW20" s="22" t="b">
        <f t="shared" ca="1" si="16"/>
        <v>0</v>
      </c>
      <c r="CX20" s="22" t="b">
        <f t="shared" ca="1" si="16"/>
        <v>0</v>
      </c>
      <c r="CY20" s="22" t="b">
        <f t="shared" ca="1" si="16"/>
        <v>0</v>
      </c>
      <c r="CZ20" s="21" t="b">
        <f t="shared" ca="1" si="16"/>
        <v>0</v>
      </c>
      <c r="DB20" s="22" t="b">
        <f t="shared" ca="1" si="38"/>
        <v>0</v>
      </c>
      <c r="DC20" s="22" t="b">
        <f t="shared" ca="1" si="39"/>
        <v>0</v>
      </c>
      <c r="DD20" s="22" t="b">
        <f t="shared" ca="1" si="17"/>
        <v>0</v>
      </c>
      <c r="DE20" s="22" t="b">
        <f t="shared" ca="1" si="17"/>
        <v>0</v>
      </c>
      <c r="DF20" s="22" t="b">
        <f t="shared" ca="1" si="17"/>
        <v>0</v>
      </c>
      <c r="DG20" s="22" t="b">
        <f t="shared" ca="1" si="17"/>
        <v>0</v>
      </c>
      <c r="DH20" s="22" t="b">
        <f t="shared" ca="1" si="17"/>
        <v>0</v>
      </c>
      <c r="DI20" s="22" t="b">
        <f t="shared" ca="1" si="17"/>
        <v>0</v>
      </c>
      <c r="DJ20" s="22" t="b">
        <f ca="1">AND(DV20=4)</f>
        <v>0</v>
      </c>
      <c r="DK20" s="22"/>
      <c r="DO20" s="15">
        <f t="shared" ca="1" si="18"/>
        <v>25</v>
      </c>
      <c r="DP20" s="15">
        <f t="shared" ca="1" si="18"/>
        <v>100</v>
      </c>
      <c r="DQ20" s="15">
        <f t="shared" ca="1" si="18"/>
        <v>25</v>
      </c>
      <c r="DR20" s="15" t="str">
        <f t="shared" ca="1" si="18"/>
        <v/>
      </c>
      <c r="DS20" s="15" t="str">
        <f t="shared" ca="1" si="18"/>
        <v/>
      </c>
      <c r="DT20" s="15" t="str">
        <f t="shared" ca="1" si="18"/>
        <v/>
      </c>
      <c r="DU20" s="15" t="str">
        <f t="shared" ca="1" si="18"/>
        <v/>
      </c>
      <c r="DV20" s="15" t="str">
        <f t="shared" ca="1" si="18"/>
        <v/>
      </c>
    </row>
    <row r="21" spans="1:126">
      <c r="A21" s="15">
        <f t="shared" si="19"/>
        <v>9</v>
      </c>
      <c r="B21" s="15" t="str">
        <f t="shared" ca="1" si="65"/>
        <v>Pola, od którego zależy dane pole ma błąd</v>
      </c>
      <c r="C21" s="15" t="s">
        <v>238</v>
      </c>
      <c r="D21" s="15" t="str">
        <f t="shared" si="21"/>
        <v>Zmienne ZakresEtykietEtykiet</v>
      </c>
      <c r="G21" s="15" t="s">
        <v>91</v>
      </c>
      <c r="J21" s="19" t="str">
        <f ca="1">CELL(_CELL_ADDRESS_NAME,variables!$M$2)</f>
        <v>'[dane surowe2c.xlsm]variables'!$M$2</v>
      </c>
      <c r="K21" s="15">
        <f>ster!$C$12</f>
        <v>357</v>
      </c>
      <c r="M21" s="19"/>
      <c r="Q21" s="16"/>
      <c r="T21" s="15" t="str">
        <f t="shared" ca="1" si="66"/>
        <v>'[dane surowe2c.xlsm]variables'!$M$2:$M$358</v>
      </c>
      <c r="U21" s="15">
        <f t="shared" ca="1" si="67"/>
        <v>25</v>
      </c>
      <c r="V21" s="15" t="s">
        <v>261</v>
      </c>
      <c r="W21" s="15" t="s">
        <v>226</v>
      </c>
      <c r="X21" s="15" t="s">
        <v>119</v>
      </c>
      <c r="AD21" s="16" t="b">
        <f t="shared" si="40"/>
        <v>1</v>
      </c>
      <c r="AE21" s="16" t="b">
        <f t="shared" si="41"/>
        <v>0</v>
      </c>
      <c r="AF21" s="15" t="str">
        <f t="shared" si="68"/>
        <v/>
      </c>
      <c r="AG21" s="15" t="str">
        <f t="shared" ca="1" si="1"/>
        <v/>
      </c>
      <c r="AH21" s="15" t="str">
        <f t="shared" ca="1" si="2"/>
        <v/>
      </c>
      <c r="AI21" s="15" t="b">
        <f t="shared" ca="1" si="3"/>
        <v>0</v>
      </c>
      <c r="AJ21" s="15" t="str">
        <f t="shared" ca="1" si="24"/>
        <v/>
      </c>
      <c r="AK21" s="27" t="str">
        <f t="shared" ca="1" si="42"/>
        <v/>
      </c>
      <c r="AL21" s="15" t="b">
        <f t="shared" ca="1" si="4"/>
        <v>0</v>
      </c>
      <c r="AM21" s="15" t="str">
        <f t="shared" ca="1" si="43"/>
        <v/>
      </c>
      <c r="AN21" s="15">
        <f t="shared" ca="1" si="44"/>
        <v>3</v>
      </c>
      <c r="AO21" s="15" t="str">
        <f t="shared" ca="1" si="25"/>
        <v/>
      </c>
      <c r="AP21" s="15" t="str">
        <f t="shared" ca="1" si="69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21</v>
      </c>
      <c r="AV21" s="16" t="e">
        <f t="shared" ca="1" si="51"/>
        <v>#REF!</v>
      </c>
      <c r="AW21" s="15" t="str">
        <f t="shared" ca="1" si="5"/>
        <v>'[dane surowe2c.xlsm]variables'!$M$2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6"/>
        <v>357</v>
      </c>
      <c r="BB21" s="15" t="str">
        <f t="shared" ca="1" si="55"/>
        <v>'[dane surowe2c.xlsm]variables'!$M$2</v>
      </c>
      <c r="BC21" s="15" t="str">
        <f t="shared" ca="1" si="27"/>
        <v>'[dane surowe2c.xlsm]variables'!$M$2:$M$358</v>
      </c>
      <c r="BD21" s="15" t="b">
        <f t="shared" ca="1" si="56"/>
        <v>1</v>
      </c>
      <c r="BE21" s="15" t="b">
        <f t="shared" ca="1" si="6"/>
        <v>1</v>
      </c>
      <c r="BF21" s="15">
        <f t="shared" ca="1" si="7"/>
        <v>357</v>
      </c>
      <c r="BG21" s="15">
        <f t="shared" ca="1" si="8"/>
        <v>357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9"/>
        <v>1</v>
      </c>
      <c r="BL21" s="15">
        <f t="shared" ca="1" si="10"/>
        <v>1</v>
      </c>
      <c r="BP21" s="15" t="b">
        <f t="shared" si="28"/>
        <v>1</v>
      </c>
      <c r="BQ21" s="15" t="b">
        <f t="shared" ca="1" si="29"/>
        <v>1</v>
      </c>
      <c r="BR21" s="15">
        <f t="shared" ca="1" si="11"/>
        <v>25</v>
      </c>
      <c r="BS21" s="15">
        <f t="shared" ca="1" si="30"/>
        <v>25</v>
      </c>
      <c r="BT21" s="15" t="str">
        <f t="shared" ca="1" si="12"/>
        <v>Pola, od którego zależy dane pole ma błąd</v>
      </c>
      <c r="BV21" s="15" t="b">
        <f t="shared" ca="1" si="31"/>
        <v>0</v>
      </c>
      <c r="BW21" s="15" t="b">
        <f t="shared" ca="1" si="32"/>
        <v>0</v>
      </c>
      <c r="BX21" s="15" t="b">
        <f t="shared" ca="1" si="33"/>
        <v>0</v>
      </c>
      <c r="BY21" s="15" t="b">
        <f t="shared" ca="1" si="13"/>
        <v>0</v>
      </c>
      <c r="BZ21" s="15" t="b">
        <f t="shared" ca="1" si="34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5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4"/>
        <v>0</v>
      </c>
      <c r="CI21" s="15" t="b">
        <f t="shared" si="36"/>
        <v>0</v>
      </c>
      <c r="CJ21" s="15" t="b">
        <f t="shared" si="37"/>
        <v>0</v>
      </c>
      <c r="CK21" s="15" t="b">
        <f t="shared" ca="1" si="64"/>
        <v>0</v>
      </c>
      <c r="CL21" s="15" t="b">
        <f t="shared" ca="1" si="15"/>
        <v>0</v>
      </c>
      <c r="CM21" s="15" t="b">
        <f t="shared" ca="1" si="15"/>
        <v>0</v>
      </c>
      <c r="CN21" s="15" t="b">
        <f t="shared" ca="1" si="15"/>
        <v>0</v>
      </c>
      <c r="CO21" s="15" t="b">
        <f t="shared" ca="1" si="15"/>
        <v>0</v>
      </c>
      <c r="CP21" s="15" t="b">
        <f t="shared" ca="1" si="15"/>
        <v>0</v>
      </c>
      <c r="CQ21" s="15" t="b">
        <f t="shared" ca="1" si="15"/>
        <v>0</v>
      </c>
      <c r="CR21" s="21" t="b">
        <f t="shared" ca="1" si="15"/>
        <v>0</v>
      </c>
      <c r="CS21" s="22" t="b">
        <f t="shared" ca="1" si="16"/>
        <v>1</v>
      </c>
      <c r="CT21" s="22" t="b">
        <f t="shared" ca="1" si="16"/>
        <v>1</v>
      </c>
      <c r="CU21" s="22" t="b">
        <f t="shared" ca="1" si="16"/>
        <v>1</v>
      </c>
      <c r="CV21" s="22" t="b">
        <f t="shared" ca="1" si="16"/>
        <v>0</v>
      </c>
      <c r="CW21" s="22" t="b">
        <f t="shared" ca="1" si="16"/>
        <v>0</v>
      </c>
      <c r="CX21" s="22" t="b">
        <f t="shared" ca="1" si="16"/>
        <v>0</v>
      </c>
      <c r="CY21" s="22" t="b">
        <f t="shared" ca="1" si="16"/>
        <v>0</v>
      </c>
      <c r="CZ21" s="21" t="b">
        <f t="shared" ca="1" si="16"/>
        <v>0</v>
      </c>
      <c r="DB21" s="22" t="b">
        <f t="shared" ca="1" si="38"/>
        <v>0</v>
      </c>
      <c r="DC21" s="22" t="b">
        <f t="shared" ca="1" si="39"/>
        <v>0</v>
      </c>
      <c r="DD21" s="22" t="b">
        <f t="shared" ca="1" si="17"/>
        <v>0</v>
      </c>
      <c r="DE21" s="22" t="b">
        <f t="shared" ca="1" si="17"/>
        <v>0</v>
      </c>
      <c r="DF21" s="22" t="b">
        <f t="shared" ca="1" si="17"/>
        <v>0</v>
      </c>
      <c r="DG21" s="22" t="b">
        <f t="shared" ca="1" si="17"/>
        <v>0</v>
      </c>
      <c r="DH21" s="22" t="b">
        <f t="shared" ca="1" si="17"/>
        <v>0</v>
      </c>
      <c r="DI21" s="22" t="b">
        <f t="shared" ca="1" si="17"/>
        <v>0</v>
      </c>
      <c r="DJ21" s="22" t="b">
        <f t="shared" ca="1" si="17"/>
        <v>0</v>
      </c>
      <c r="DK21" s="22"/>
      <c r="DO21" s="15">
        <f t="shared" ca="1" si="18"/>
        <v>25</v>
      </c>
      <c r="DP21" s="15">
        <f t="shared" ca="1" si="18"/>
        <v>100</v>
      </c>
      <c r="DQ21" s="15">
        <f t="shared" ca="1" si="18"/>
        <v>25</v>
      </c>
      <c r="DR21" s="15" t="str">
        <f t="shared" ca="1" si="18"/>
        <v/>
      </c>
      <c r="DS21" s="15" t="str">
        <f t="shared" ca="1" si="18"/>
        <v/>
      </c>
      <c r="DT21" s="15" t="str">
        <f t="shared" ca="1" si="18"/>
        <v/>
      </c>
      <c r="DU21" s="15" t="str">
        <f t="shared" ca="1" si="18"/>
        <v/>
      </c>
      <c r="DV21" s="15" t="str">
        <f t="shared" ca="1" si="18"/>
        <v/>
      </c>
    </row>
    <row r="22" spans="1:126">
      <c r="A22" s="15">
        <f t="shared" si="19"/>
        <v>10</v>
      </c>
      <c r="B22" s="15" t="str">
        <f ca="1">IF(AD22,IF(BS22&gt;0,BT22,IF(DA22,"Pole zależy od pól, które zależą od zamkniętego workbooka","ok.")),"")</f>
        <v>Pola, od którego zależy dane pole ma błąd</v>
      </c>
      <c r="C22" s="15" t="s">
        <v>239</v>
      </c>
      <c r="D22" s="15" t="str">
        <f t="shared" si="21"/>
        <v>Zmienne ZakresEtykietWartosci</v>
      </c>
      <c r="G22" s="15" t="s">
        <v>91</v>
      </c>
      <c r="J22" s="19" t="str">
        <f ca="1">CELL(_CELL_ADDRESS_NAME,variables!$L$2)</f>
        <v>'[dane surowe2c.xlsm]variables'!$L$2</v>
      </c>
      <c r="K22" s="15">
        <f>ster!$C$12</f>
        <v>357</v>
      </c>
      <c r="M22" s="19"/>
      <c r="Q22" s="16"/>
      <c r="T22" s="15" t="str">
        <f ca="1">BC22</f>
        <v>'[dane surowe2c.xlsm]variables'!$L$2:$L$358</v>
      </c>
      <c r="U22" s="15">
        <f ca="1">IF(AD22,BS22,"")</f>
        <v>25</v>
      </c>
      <c r="V22" s="15" t="s">
        <v>261</v>
      </c>
      <c r="W22" s="15" t="s">
        <v>226</v>
      </c>
      <c r="X22" s="15" t="s">
        <v>119</v>
      </c>
      <c r="AD22" s="16" t="b">
        <f t="shared" si="40"/>
        <v>1</v>
      </c>
      <c r="AE22" s="16" t="b">
        <f t="shared" si="41"/>
        <v>0</v>
      </c>
      <c r="AF22" s="15" t="str">
        <f t="shared" si="68"/>
        <v/>
      </c>
      <c r="AG22" s="15" t="str">
        <f t="shared" ca="1" si="1"/>
        <v/>
      </c>
      <c r="AH22" s="15" t="str">
        <f t="shared" ca="1" si="2"/>
        <v/>
      </c>
      <c r="AI22" s="15" t="b">
        <f t="shared" ca="1" si="3"/>
        <v>0</v>
      </c>
      <c r="AJ22" s="15" t="str">
        <f t="shared" ca="1" si="24"/>
        <v/>
      </c>
      <c r="AK22" s="27" t="str">
        <f t="shared" ca="1" si="42"/>
        <v/>
      </c>
      <c r="AL22" s="15" t="b">
        <f t="shared" ca="1" si="4"/>
        <v>0</v>
      </c>
      <c r="AM22" s="15" t="str">
        <f t="shared" ca="1" si="43"/>
        <v/>
      </c>
      <c r="AN22" s="15">
        <f t="shared" ca="1" si="44"/>
        <v>3</v>
      </c>
      <c r="AO22" s="15" t="str">
        <f t="shared" ca="1" si="25"/>
        <v/>
      </c>
      <c r="AP22" s="15" t="str">
        <f t="shared" ca="1" si="69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21</v>
      </c>
      <c r="AV22" s="16" t="e">
        <f t="shared" ca="1" si="51"/>
        <v>#REF!</v>
      </c>
      <c r="AW22" s="15" t="str">
        <f t="shared" ca="1" si="5"/>
        <v>'[dane surowe2c.xlsm]variables'!$L$2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6"/>
        <v>357</v>
      </c>
      <c r="BB22" s="15" t="str">
        <f t="shared" ca="1" si="55"/>
        <v>'[dane surowe2c.xlsm]variables'!$L$2</v>
      </c>
      <c r="BC22" s="15" t="str">
        <f t="shared" ca="1" si="27"/>
        <v>'[dane surowe2c.xlsm]variables'!$L$2:$L$358</v>
      </c>
      <c r="BD22" s="15" t="b">
        <f t="shared" ca="1" si="56"/>
        <v>1</v>
      </c>
      <c r="BE22" s="15" t="b">
        <f t="shared" ca="1" si="6"/>
        <v>1</v>
      </c>
      <c r="BF22" s="15">
        <f t="shared" ca="1" si="7"/>
        <v>357</v>
      </c>
      <c r="BG22" s="15">
        <f t="shared" ca="1" si="8"/>
        <v>357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9"/>
        <v>1</v>
      </c>
      <c r="BL22" s="15">
        <f t="shared" ca="1" si="10"/>
        <v>1</v>
      </c>
      <c r="BP22" s="15" t="b">
        <f t="shared" si="28"/>
        <v>1</v>
      </c>
      <c r="BQ22" s="15" t="b">
        <f t="shared" ca="1" si="29"/>
        <v>1</v>
      </c>
      <c r="BR22" s="15">
        <f t="shared" ca="1" si="11"/>
        <v>25</v>
      </c>
      <c r="BS22" s="15">
        <f t="shared" ca="1" si="30"/>
        <v>25</v>
      </c>
      <c r="BT22" s="15" t="str">
        <f t="shared" ca="1" si="12"/>
        <v>Pola, od którego zależy dane pole ma błąd</v>
      </c>
      <c r="BV22" s="15" t="b">
        <f t="shared" ca="1" si="31"/>
        <v>0</v>
      </c>
      <c r="BW22" s="15" t="b">
        <f t="shared" ca="1" si="32"/>
        <v>0</v>
      </c>
      <c r="BX22" s="15" t="b">
        <f t="shared" ca="1" si="33"/>
        <v>0</v>
      </c>
      <c r="BY22" s="15" t="b">
        <f t="shared" ca="1" si="13"/>
        <v>0</v>
      </c>
      <c r="BZ22" s="15" t="b">
        <f t="shared" ca="1" si="34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5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4"/>
        <v>0</v>
      </c>
      <c r="CI22" s="15" t="b">
        <f t="shared" si="36"/>
        <v>0</v>
      </c>
      <c r="CJ22" s="15" t="b">
        <f t="shared" si="37"/>
        <v>0</v>
      </c>
      <c r="CK22" s="15" t="b">
        <f t="shared" ca="1" si="64"/>
        <v>0</v>
      </c>
      <c r="CL22" s="15" t="b">
        <f t="shared" ca="1" si="15"/>
        <v>0</v>
      </c>
      <c r="CM22" s="15" t="b">
        <f t="shared" ca="1" si="15"/>
        <v>0</v>
      </c>
      <c r="CN22" s="15" t="b">
        <f t="shared" ca="1" si="15"/>
        <v>0</v>
      </c>
      <c r="CO22" s="15" t="b">
        <f t="shared" ca="1" si="15"/>
        <v>0</v>
      </c>
      <c r="CP22" s="15" t="b">
        <f t="shared" ca="1" si="15"/>
        <v>0</v>
      </c>
      <c r="CQ22" s="15" t="b">
        <f t="shared" ca="1" si="15"/>
        <v>0</v>
      </c>
      <c r="CR22" s="21" t="b">
        <f t="shared" ca="1" si="15"/>
        <v>0</v>
      </c>
      <c r="CS22" s="22" t="b">
        <f t="shared" ca="1" si="16"/>
        <v>1</v>
      </c>
      <c r="CT22" s="22" t="b">
        <f t="shared" ca="1" si="16"/>
        <v>1</v>
      </c>
      <c r="CU22" s="22" t="b">
        <f t="shared" ca="1" si="16"/>
        <v>1</v>
      </c>
      <c r="CV22" s="22" t="b">
        <f t="shared" ca="1" si="16"/>
        <v>0</v>
      </c>
      <c r="CW22" s="22" t="b">
        <f t="shared" ca="1" si="16"/>
        <v>0</v>
      </c>
      <c r="CX22" s="22" t="b">
        <f t="shared" ca="1" si="16"/>
        <v>0</v>
      </c>
      <c r="CY22" s="22" t="b">
        <f t="shared" ca="1" si="16"/>
        <v>0</v>
      </c>
      <c r="CZ22" s="21" t="b">
        <f t="shared" ca="1" si="16"/>
        <v>0</v>
      </c>
      <c r="DB22" s="22" t="b">
        <f t="shared" ca="1" si="38"/>
        <v>0</v>
      </c>
      <c r="DC22" s="22" t="b">
        <f t="shared" ca="1" si="39"/>
        <v>0</v>
      </c>
      <c r="DD22" s="22" t="b">
        <f t="shared" ca="1" si="17"/>
        <v>0</v>
      </c>
      <c r="DE22" s="22" t="b">
        <f t="shared" ca="1" si="17"/>
        <v>0</v>
      </c>
      <c r="DF22" s="22" t="b">
        <f t="shared" ca="1" si="17"/>
        <v>0</v>
      </c>
      <c r="DG22" s="22" t="b">
        <f t="shared" ca="1" si="17"/>
        <v>0</v>
      </c>
      <c r="DH22" s="22" t="b">
        <f t="shared" ca="1" si="17"/>
        <v>0</v>
      </c>
      <c r="DI22" s="22" t="b">
        <f t="shared" ca="1" si="17"/>
        <v>0</v>
      </c>
      <c r="DJ22" s="22" t="b">
        <f t="shared" ca="1" si="17"/>
        <v>0</v>
      </c>
      <c r="DK22" s="22"/>
      <c r="DO22" s="15">
        <f t="shared" ca="1" si="18"/>
        <v>25</v>
      </c>
      <c r="DP22" s="15">
        <f t="shared" ca="1" si="18"/>
        <v>100</v>
      </c>
      <c r="DQ22" s="15">
        <f t="shared" ca="1" si="18"/>
        <v>25</v>
      </c>
      <c r="DR22" s="15" t="str">
        <f t="shared" ca="1" si="18"/>
        <v/>
      </c>
      <c r="DS22" s="15" t="str">
        <f t="shared" ca="1" si="18"/>
        <v/>
      </c>
      <c r="DT22" s="15" t="str">
        <f t="shared" ca="1" si="18"/>
        <v/>
      </c>
      <c r="DU22" s="15" t="str">
        <f t="shared" ca="1" si="18"/>
        <v/>
      </c>
      <c r="DV22" s="15" t="str">
        <f t="shared" ca="1" si="18"/>
        <v/>
      </c>
    </row>
    <row r="23" spans="1:126">
      <c r="A23" s="15">
        <f t="shared" si="19"/>
        <v>11</v>
      </c>
      <c r="B23" s="15" t="str">
        <f t="shared" ref="B23:B49" ca="1" si="70">IF(AD23,IF(BS23&gt;0,BT23,IF(DA23,"Pole zależy od pól, które zależą od zamkniętego workbooka","ok.")),"")</f>
        <v>Pola, od którego zależy dane pole ma błąd</v>
      </c>
      <c r="C23" s="15" t="s">
        <v>98</v>
      </c>
      <c r="D23" s="15" t="str">
        <f t="shared" si="21"/>
        <v>Zmienne ZakresWartosci</v>
      </c>
      <c r="G23" s="15" t="s">
        <v>91</v>
      </c>
      <c r="J23" s="19" t="str">
        <f ca="1">CELL(_CELL_ADDRESS_NAME,variables!N2)</f>
        <v>'[dane surowe2c.xlsm]variables'!$N$2</v>
      </c>
      <c r="K23" s="15">
        <f>ster!$C$12</f>
        <v>357</v>
      </c>
      <c r="M23" s="19"/>
      <c r="Q23" s="16"/>
      <c r="T23" s="15" t="str">
        <f t="shared" ref="T23:T59" ca="1" si="71">BC23</f>
        <v>'[dane surowe2c.xlsm]variables'!$N$2:$N$358</v>
      </c>
      <c r="U23" s="15">
        <f t="shared" ref="U23:U48" ca="1" si="72">IF(AD23,BS23,"")</f>
        <v>25</v>
      </c>
      <c r="V23" s="15" t="s">
        <v>261</v>
      </c>
      <c r="W23" s="15" t="s">
        <v>94</v>
      </c>
      <c r="X23" s="15" t="s">
        <v>119</v>
      </c>
      <c r="AD23" s="16" t="b">
        <f t="shared" si="40"/>
        <v>1</v>
      </c>
      <c r="AE23" s="16" t="b">
        <f t="shared" si="41"/>
        <v>0</v>
      </c>
      <c r="AF23" s="15" t="str">
        <f t="shared" si="68"/>
        <v/>
      </c>
      <c r="AG23" s="15" t="str">
        <f t="shared" ca="1" si="1"/>
        <v/>
      </c>
      <c r="AH23" s="15" t="str">
        <f t="shared" ca="1" si="2"/>
        <v/>
      </c>
      <c r="AI23" s="15" t="b">
        <f t="shared" ca="1" si="3"/>
        <v>0</v>
      </c>
      <c r="AJ23" s="15" t="str">
        <f t="shared" ca="1" si="24"/>
        <v/>
      </c>
      <c r="AK23" s="27" t="str">
        <f t="shared" ca="1" si="42"/>
        <v/>
      </c>
      <c r="AL23" s="15" t="b">
        <f t="shared" ca="1" si="4"/>
        <v>0</v>
      </c>
      <c r="AM23" s="15" t="str">
        <f t="shared" ca="1" si="43"/>
        <v/>
      </c>
      <c r="AN23" s="15">
        <f t="shared" ca="1" si="44"/>
        <v>3</v>
      </c>
      <c r="AO23" s="15" t="str">
        <f t="shared" ca="1" si="25"/>
        <v/>
      </c>
      <c r="AP23" s="15" t="str">
        <f t="shared" ca="1" si="69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21</v>
      </c>
      <c r="AV23" s="16" t="e">
        <f t="shared" ca="1" si="51"/>
        <v>#REF!</v>
      </c>
      <c r="AW23" s="15" t="str">
        <f t="shared" ca="1" si="5"/>
        <v>'[dane surowe2c.xlsm]variables'!$N$2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6"/>
        <v>357</v>
      </c>
      <c r="BB23" s="15" t="str">
        <f t="shared" ca="1" si="55"/>
        <v>'[dane surowe2c.xlsm]variables'!$N$2</v>
      </c>
      <c r="BC23" s="15" t="str">
        <f t="shared" ca="1" si="27"/>
        <v>'[dane surowe2c.xlsm]variables'!$N$2:$N$358</v>
      </c>
      <c r="BD23" s="15" t="b">
        <f t="shared" ca="1" si="56"/>
        <v>1</v>
      </c>
      <c r="BE23" s="15" t="b">
        <f t="shared" ca="1" si="6"/>
        <v>1</v>
      </c>
      <c r="BF23" s="15">
        <f t="shared" ca="1" si="7"/>
        <v>357</v>
      </c>
      <c r="BG23" s="15">
        <f t="shared" ca="1" si="8"/>
        <v>357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9"/>
        <v>1</v>
      </c>
      <c r="BL23" s="15">
        <f t="shared" ca="1" si="10"/>
        <v>1</v>
      </c>
      <c r="BP23" s="15" t="b">
        <f t="shared" si="28"/>
        <v>1</v>
      </c>
      <c r="BQ23" s="15" t="b">
        <f t="shared" ca="1" si="29"/>
        <v>1</v>
      </c>
      <c r="BR23" s="15">
        <f t="shared" ca="1" si="11"/>
        <v>25</v>
      </c>
      <c r="BS23" s="15">
        <f t="shared" ca="1" si="30"/>
        <v>25</v>
      </c>
      <c r="BT23" s="15" t="str">
        <f t="shared" ca="1" si="12"/>
        <v>Pola, od którego zależy dane pole ma błąd</v>
      </c>
      <c r="BV23" s="15" t="b">
        <f t="shared" ca="1" si="31"/>
        <v>0</v>
      </c>
      <c r="BW23" s="15" t="b">
        <f t="shared" ca="1" si="32"/>
        <v>0</v>
      </c>
      <c r="BX23" s="15" t="b">
        <f t="shared" ca="1" si="33"/>
        <v>0</v>
      </c>
      <c r="BY23" s="15" t="b">
        <f t="shared" ca="1" si="13"/>
        <v>0</v>
      </c>
      <c r="BZ23" s="15" t="b">
        <f t="shared" ca="1" si="34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5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4"/>
        <v>0</v>
      </c>
      <c r="CI23" s="15" t="b">
        <f t="shared" si="36"/>
        <v>0</v>
      </c>
      <c r="CJ23" s="15" t="b">
        <f t="shared" si="37"/>
        <v>0</v>
      </c>
      <c r="CK23" s="15" t="b">
        <f t="shared" ca="1" si="64"/>
        <v>0</v>
      </c>
      <c r="CL23" s="15" t="b">
        <f t="shared" ca="1" si="15"/>
        <v>0</v>
      </c>
      <c r="CM23" s="15" t="b">
        <f t="shared" ca="1" si="15"/>
        <v>0</v>
      </c>
      <c r="CN23" s="15" t="b">
        <f t="shared" ca="1" si="15"/>
        <v>0</v>
      </c>
      <c r="CO23" s="15" t="b">
        <f t="shared" ca="1" si="15"/>
        <v>0</v>
      </c>
      <c r="CP23" s="15" t="b">
        <f t="shared" ca="1" si="15"/>
        <v>0</v>
      </c>
      <c r="CQ23" s="15" t="b">
        <f t="shared" ca="1" si="15"/>
        <v>0</v>
      </c>
      <c r="CR23" s="21" t="b">
        <f t="shared" ca="1" si="15"/>
        <v>0</v>
      </c>
      <c r="CS23" s="22" t="b">
        <f t="shared" ca="1" si="16"/>
        <v>1</v>
      </c>
      <c r="CT23" s="22" t="b">
        <f t="shared" ca="1" si="16"/>
        <v>1</v>
      </c>
      <c r="CU23" s="22" t="b">
        <f t="shared" ca="1" si="16"/>
        <v>1</v>
      </c>
      <c r="CV23" s="22" t="b">
        <f t="shared" ca="1" si="16"/>
        <v>0</v>
      </c>
      <c r="CW23" s="22" t="b">
        <f t="shared" ca="1" si="16"/>
        <v>0</v>
      </c>
      <c r="CX23" s="22" t="b">
        <f t="shared" ca="1" si="16"/>
        <v>0</v>
      </c>
      <c r="CY23" s="22" t="b">
        <f t="shared" ca="1" si="16"/>
        <v>0</v>
      </c>
      <c r="CZ23" s="21" t="b">
        <f t="shared" ca="1" si="16"/>
        <v>0</v>
      </c>
      <c r="DB23" s="22" t="b">
        <f t="shared" ca="1" si="38"/>
        <v>0</v>
      </c>
      <c r="DC23" s="22" t="b">
        <f t="shared" ca="1" si="39"/>
        <v>0</v>
      </c>
      <c r="DD23" s="22" t="b">
        <f t="shared" ca="1" si="17"/>
        <v>0</v>
      </c>
      <c r="DE23" s="22" t="b">
        <f t="shared" ca="1" si="17"/>
        <v>0</v>
      </c>
      <c r="DF23" s="22" t="b">
        <f t="shared" ca="1" si="17"/>
        <v>0</v>
      </c>
      <c r="DG23" s="22" t="b">
        <f t="shared" ca="1" si="17"/>
        <v>0</v>
      </c>
      <c r="DH23" s="22" t="b">
        <f t="shared" ca="1" si="17"/>
        <v>0</v>
      </c>
      <c r="DI23" s="22" t="b">
        <f t="shared" ca="1" si="17"/>
        <v>0</v>
      </c>
      <c r="DJ23" s="22" t="b">
        <f t="shared" ca="1" si="17"/>
        <v>0</v>
      </c>
      <c r="DK23" s="22"/>
      <c r="DO23" s="15">
        <f t="shared" ca="1" si="18"/>
        <v>25</v>
      </c>
      <c r="DP23" s="15">
        <f t="shared" ca="1" si="18"/>
        <v>100</v>
      </c>
      <c r="DQ23" s="15">
        <f t="shared" ca="1" si="18"/>
        <v>25</v>
      </c>
      <c r="DR23" s="15" t="str">
        <f t="shared" ca="1" si="18"/>
        <v/>
      </c>
      <c r="DS23" s="15" t="str">
        <f t="shared" ca="1" si="18"/>
        <v/>
      </c>
      <c r="DT23" s="15" t="str">
        <f t="shared" ca="1" si="18"/>
        <v/>
      </c>
      <c r="DU23" s="15" t="str">
        <f t="shared" ca="1" si="18"/>
        <v/>
      </c>
      <c r="DV23" s="15" t="str">
        <f t="shared" ca="1" si="18"/>
        <v/>
      </c>
    </row>
    <row r="24" spans="1:126">
      <c r="A24" s="15">
        <f t="shared" si="19"/>
        <v>12</v>
      </c>
      <c r="B24" s="15" t="str">
        <f t="shared" ca="1" si="70"/>
        <v>Pola, od którego zależy dane pole ma błąd</v>
      </c>
      <c r="C24" s="15" t="s">
        <v>128</v>
      </c>
      <c r="D24" s="15" t="str">
        <f t="shared" si="21"/>
        <v>Zmienne IleLiczb</v>
      </c>
      <c r="G24" s="15" t="s">
        <v>91</v>
      </c>
      <c r="J24" s="19" t="str">
        <f ca="1">CELL(_CELL_ADDRESS_NAME,variables!O2)</f>
        <v>'[dane surowe2c.xlsm]variables'!$O$2</v>
      </c>
      <c r="K24" s="15">
        <f>ster!$C$12</f>
        <v>357</v>
      </c>
      <c r="M24" s="19"/>
      <c r="Q24" s="16"/>
      <c r="T24" s="15" t="str">
        <f t="shared" ca="1" si="71"/>
        <v>'[dane surowe2c.xlsm]variables'!$O$2:$O$358</v>
      </c>
      <c r="U24" s="15">
        <f t="shared" ca="1" si="72"/>
        <v>25</v>
      </c>
      <c r="V24" s="15" t="s">
        <v>261</v>
      </c>
      <c r="W24" s="15" t="s">
        <v>94</v>
      </c>
      <c r="X24" s="15" t="s">
        <v>119</v>
      </c>
      <c r="AD24" s="16" t="b">
        <f t="shared" si="40"/>
        <v>1</v>
      </c>
      <c r="AE24" s="16" t="b">
        <f t="shared" si="41"/>
        <v>0</v>
      </c>
      <c r="AF24" s="15" t="str">
        <f t="shared" si="68"/>
        <v/>
      </c>
      <c r="AG24" s="15" t="str">
        <f t="shared" ca="1" si="1"/>
        <v/>
      </c>
      <c r="AH24" s="15" t="str">
        <f t="shared" ca="1" si="2"/>
        <v/>
      </c>
      <c r="AI24" s="15" t="b">
        <f t="shared" ca="1" si="3"/>
        <v>0</v>
      </c>
      <c r="AJ24" s="15" t="str">
        <f t="shared" ca="1" si="24"/>
        <v/>
      </c>
      <c r="AK24" s="27" t="str">
        <f t="shared" ca="1" si="42"/>
        <v/>
      </c>
      <c r="AL24" s="15" t="b">
        <f t="shared" ca="1" si="4"/>
        <v>0</v>
      </c>
      <c r="AM24" s="15" t="str">
        <f t="shared" ca="1" si="43"/>
        <v/>
      </c>
      <c r="AN24" s="15">
        <f t="shared" ca="1" si="44"/>
        <v>3</v>
      </c>
      <c r="AO24" s="15" t="str">
        <f t="shared" ca="1" si="25"/>
        <v/>
      </c>
      <c r="AP24" s="15" t="str">
        <f t="shared" ca="1" si="69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21</v>
      </c>
      <c r="AV24" s="16" t="e">
        <f t="shared" ca="1" si="51"/>
        <v>#REF!</v>
      </c>
      <c r="AW24" s="15" t="str">
        <f t="shared" ca="1" si="5"/>
        <v>'[dane surowe2c.xlsm]variables'!$O$2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6"/>
        <v>357</v>
      </c>
      <c r="BB24" s="15" t="str">
        <f t="shared" ca="1" si="55"/>
        <v>'[dane surowe2c.xlsm]variables'!$O$2</v>
      </c>
      <c r="BC24" s="15" t="str">
        <f t="shared" ca="1" si="27"/>
        <v>'[dane surowe2c.xlsm]variables'!$O$2:$O$358</v>
      </c>
      <c r="BD24" s="15" t="b">
        <f t="shared" ca="1" si="56"/>
        <v>1</v>
      </c>
      <c r="BE24" s="15" t="b">
        <f t="shared" ca="1" si="6"/>
        <v>1</v>
      </c>
      <c r="BF24" s="15">
        <f t="shared" ca="1" si="7"/>
        <v>357</v>
      </c>
      <c r="BG24" s="15">
        <f t="shared" ca="1" si="8"/>
        <v>357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9"/>
        <v>1</v>
      </c>
      <c r="BL24" s="15">
        <f t="shared" ca="1" si="10"/>
        <v>1</v>
      </c>
      <c r="BP24" s="15" t="b">
        <f t="shared" si="28"/>
        <v>1</v>
      </c>
      <c r="BQ24" s="15" t="b">
        <f t="shared" ca="1" si="29"/>
        <v>1</v>
      </c>
      <c r="BR24" s="15">
        <f t="shared" ca="1" si="11"/>
        <v>25</v>
      </c>
      <c r="BS24" s="15">
        <f t="shared" ca="1" si="30"/>
        <v>25</v>
      </c>
      <c r="BT24" s="15" t="str">
        <f t="shared" ca="1" si="12"/>
        <v>Pola, od którego zależy dane pole ma błąd</v>
      </c>
      <c r="BV24" s="15" t="b">
        <f t="shared" ca="1" si="31"/>
        <v>0</v>
      </c>
      <c r="BW24" s="15" t="b">
        <f t="shared" ca="1" si="32"/>
        <v>0</v>
      </c>
      <c r="BX24" s="15" t="b">
        <f t="shared" ca="1" si="33"/>
        <v>0</v>
      </c>
      <c r="BY24" s="15" t="b">
        <f t="shared" ca="1" si="13"/>
        <v>0</v>
      </c>
      <c r="BZ24" s="15" t="b">
        <f t="shared" ca="1" si="34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5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4"/>
        <v>0</v>
      </c>
      <c r="CI24" s="15" t="b">
        <f t="shared" si="36"/>
        <v>0</v>
      </c>
      <c r="CJ24" s="15" t="b">
        <f t="shared" si="37"/>
        <v>0</v>
      </c>
      <c r="CK24" s="15" t="b">
        <f t="shared" ca="1" si="64"/>
        <v>0</v>
      </c>
      <c r="CL24" s="15" t="b">
        <f t="shared" ca="1" si="15"/>
        <v>0</v>
      </c>
      <c r="CM24" s="15" t="b">
        <f t="shared" ca="1" si="15"/>
        <v>0</v>
      </c>
      <c r="CN24" s="15" t="b">
        <f t="shared" ca="1" si="15"/>
        <v>0</v>
      </c>
      <c r="CO24" s="15" t="b">
        <f t="shared" ca="1" si="15"/>
        <v>0</v>
      </c>
      <c r="CP24" s="15" t="b">
        <f t="shared" ca="1" si="15"/>
        <v>0</v>
      </c>
      <c r="CQ24" s="15" t="b">
        <f t="shared" ca="1" si="15"/>
        <v>0</v>
      </c>
      <c r="CR24" s="21" t="b">
        <f t="shared" ca="1" si="15"/>
        <v>0</v>
      </c>
      <c r="CS24" s="22" t="b">
        <f t="shared" ca="1" si="16"/>
        <v>1</v>
      </c>
      <c r="CT24" s="22" t="b">
        <f t="shared" ca="1" si="16"/>
        <v>1</v>
      </c>
      <c r="CU24" s="22" t="b">
        <f t="shared" ca="1" si="16"/>
        <v>1</v>
      </c>
      <c r="CV24" s="22" t="b">
        <f t="shared" ca="1" si="16"/>
        <v>0</v>
      </c>
      <c r="CW24" s="22" t="b">
        <f t="shared" ca="1" si="16"/>
        <v>0</v>
      </c>
      <c r="CX24" s="22" t="b">
        <f t="shared" ca="1" si="16"/>
        <v>0</v>
      </c>
      <c r="CY24" s="22" t="b">
        <f t="shared" ca="1" si="16"/>
        <v>0</v>
      </c>
      <c r="CZ24" s="21" t="b">
        <f t="shared" ca="1" si="16"/>
        <v>0</v>
      </c>
      <c r="DB24" s="22" t="b">
        <f t="shared" ca="1" si="38"/>
        <v>0</v>
      </c>
      <c r="DC24" s="22" t="b">
        <f t="shared" ca="1" si="39"/>
        <v>0</v>
      </c>
      <c r="DD24" s="22" t="b">
        <f t="shared" ca="1" si="17"/>
        <v>0</v>
      </c>
      <c r="DE24" s="22" t="b">
        <f t="shared" ca="1" si="17"/>
        <v>0</v>
      </c>
      <c r="DF24" s="22" t="b">
        <f t="shared" ca="1" si="17"/>
        <v>0</v>
      </c>
      <c r="DG24" s="22" t="b">
        <f t="shared" ca="1" si="17"/>
        <v>0</v>
      </c>
      <c r="DH24" s="22" t="b">
        <f t="shared" ca="1" si="17"/>
        <v>0</v>
      </c>
      <c r="DI24" s="22" t="b">
        <f t="shared" ca="1" si="17"/>
        <v>0</v>
      </c>
      <c r="DJ24" s="22" t="b">
        <f t="shared" ca="1" si="17"/>
        <v>0</v>
      </c>
      <c r="DK24" s="22"/>
      <c r="DO24" s="15">
        <f t="shared" ca="1" si="18"/>
        <v>25</v>
      </c>
      <c r="DP24" s="15">
        <f t="shared" ca="1" si="18"/>
        <v>100</v>
      </c>
      <c r="DQ24" s="15">
        <f t="shared" ca="1" si="18"/>
        <v>25</v>
      </c>
      <c r="DR24" s="15" t="str">
        <f t="shared" ca="1" si="18"/>
        <v/>
      </c>
      <c r="DS24" s="15" t="str">
        <f t="shared" ca="1" si="18"/>
        <v/>
      </c>
      <c r="DT24" s="15" t="str">
        <f t="shared" ca="1" si="18"/>
        <v/>
      </c>
      <c r="DU24" s="15" t="str">
        <f t="shared" ca="1" si="18"/>
        <v/>
      </c>
      <c r="DV24" s="15" t="str">
        <f t="shared" ca="1" si="18"/>
        <v/>
      </c>
    </row>
    <row r="25" spans="1:126">
      <c r="A25" s="15">
        <f t="shared" si="19"/>
        <v>13</v>
      </c>
      <c r="B25" s="15" t="str">
        <f t="shared" ca="1" si="70"/>
        <v>Pola, od którego zależy dane pole ma błąd</v>
      </c>
      <c r="C25" s="15" t="s">
        <v>99</v>
      </c>
      <c r="D25" s="15" t="str">
        <f t="shared" si="21"/>
        <v>Zmienne Min</v>
      </c>
      <c r="G25" s="15" t="s">
        <v>91</v>
      </c>
      <c r="J25" s="19" t="str">
        <f ca="1">CELL(_CELL_ADDRESS_NAME,variables!P2)</f>
        <v>'[dane surowe2c.xlsm]variables'!$P$2</v>
      </c>
      <c r="K25" s="15">
        <f>ster!$C$12</f>
        <v>357</v>
      </c>
      <c r="M25" s="19"/>
      <c r="Q25" s="16"/>
      <c r="T25" s="15" t="str">
        <f t="shared" ca="1" si="71"/>
        <v>'[dane surowe2c.xlsm]variables'!$P$2:$P$358</v>
      </c>
      <c r="U25" s="15">
        <f t="shared" ca="1" si="72"/>
        <v>25</v>
      </c>
      <c r="V25" s="15" t="s">
        <v>261</v>
      </c>
      <c r="W25" s="15" t="s">
        <v>94</v>
      </c>
      <c r="X25" s="15" t="s">
        <v>119</v>
      </c>
      <c r="AD25" s="16" t="b">
        <f t="shared" si="40"/>
        <v>1</v>
      </c>
      <c r="AE25" s="16" t="b">
        <f t="shared" si="41"/>
        <v>0</v>
      </c>
      <c r="AF25" s="15" t="str">
        <f t="shared" si="68"/>
        <v/>
      </c>
      <c r="AG25" s="15" t="str">
        <f t="shared" ca="1" si="1"/>
        <v/>
      </c>
      <c r="AH25" s="15" t="str">
        <f t="shared" ca="1" si="2"/>
        <v/>
      </c>
      <c r="AI25" s="15" t="b">
        <f t="shared" ca="1" si="3"/>
        <v>0</v>
      </c>
      <c r="AJ25" s="15" t="str">
        <f t="shared" ca="1" si="24"/>
        <v/>
      </c>
      <c r="AK25" s="27" t="str">
        <f t="shared" ca="1" si="42"/>
        <v/>
      </c>
      <c r="AL25" s="15" t="b">
        <f t="shared" ca="1" si="4"/>
        <v>0</v>
      </c>
      <c r="AM25" s="15" t="str">
        <f t="shared" ca="1" si="43"/>
        <v/>
      </c>
      <c r="AN25" s="15">
        <f t="shared" ca="1" si="44"/>
        <v>3</v>
      </c>
      <c r="AO25" s="15" t="str">
        <f t="shared" ca="1" si="25"/>
        <v/>
      </c>
      <c r="AP25" s="15" t="str">
        <f t="shared" ca="1" si="69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21</v>
      </c>
      <c r="AV25" s="16" t="e">
        <f t="shared" ca="1" si="51"/>
        <v>#REF!</v>
      </c>
      <c r="AW25" s="15" t="str">
        <f t="shared" ca="1" si="5"/>
        <v>'[dane surowe2c.xlsm]variables'!$P$2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6"/>
        <v>357</v>
      </c>
      <c r="BB25" s="15" t="str">
        <f t="shared" ca="1" si="55"/>
        <v>'[dane surowe2c.xlsm]variables'!$P$2</v>
      </c>
      <c r="BC25" s="15" t="str">
        <f t="shared" ca="1" si="27"/>
        <v>'[dane surowe2c.xlsm]variables'!$P$2:$P$358</v>
      </c>
      <c r="BD25" s="15" t="b">
        <f t="shared" ca="1" si="56"/>
        <v>1</v>
      </c>
      <c r="BE25" s="15" t="b">
        <f t="shared" ca="1" si="6"/>
        <v>1</v>
      </c>
      <c r="BF25" s="15">
        <f t="shared" ca="1" si="7"/>
        <v>357</v>
      </c>
      <c r="BG25" s="15">
        <f t="shared" ca="1" si="8"/>
        <v>357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9"/>
        <v>1</v>
      </c>
      <c r="BL25" s="15">
        <f t="shared" ca="1" si="10"/>
        <v>1</v>
      </c>
      <c r="BP25" s="15" t="b">
        <f t="shared" si="28"/>
        <v>1</v>
      </c>
      <c r="BQ25" s="15" t="b">
        <f t="shared" ca="1" si="29"/>
        <v>1</v>
      </c>
      <c r="BR25" s="15">
        <f t="shared" ca="1" si="11"/>
        <v>25</v>
      </c>
      <c r="BS25" s="15">
        <f t="shared" ca="1" si="30"/>
        <v>25</v>
      </c>
      <c r="BT25" s="15" t="str">
        <f t="shared" ca="1" si="12"/>
        <v>Pola, od którego zależy dane pole ma błąd</v>
      </c>
      <c r="BV25" s="15" t="b">
        <f t="shared" ca="1" si="31"/>
        <v>0</v>
      </c>
      <c r="BW25" s="15" t="b">
        <f t="shared" ca="1" si="32"/>
        <v>0</v>
      </c>
      <c r="BX25" s="15" t="b">
        <f t="shared" ca="1" si="33"/>
        <v>0</v>
      </c>
      <c r="BY25" s="15" t="b">
        <f t="shared" ca="1" si="13"/>
        <v>0</v>
      </c>
      <c r="BZ25" s="15" t="b">
        <f t="shared" ca="1" si="34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5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4"/>
        <v>0</v>
      </c>
      <c r="CI25" s="15" t="b">
        <f t="shared" si="36"/>
        <v>0</v>
      </c>
      <c r="CJ25" s="15" t="b">
        <f t="shared" si="37"/>
        <v>0</v>
      </c>
      <c r="CK25" s="15" t="b">
        <f t="shared" ca="1" si="64"/>
        <v>0</v>
      </c>
      <c r="CL25" s="15" t="b">
        <f t="shared" ca="1" si="15"/>
        <v>0</v>
      </c>
      <c r="CM25" s="15" t="b">
        <f t="shared" ca="1" si="15"/>
        <v>0</v>
      </c>
      <c r="CN25" s="15" t="b">
        <f t="shared" ca="1" si="15"/>
        <v>0</v>
      </c>
      <c r="CO25" s="15" t="b">
        <f t="shared" ca="1" si="15"/>
        <v>0</v>
      </c>
      <c r="CP25" s="15" t="b">
        <f t="shared" ca="1" si="15"/>
        <v>0</v>
      </c>
      <c r="CQ25" s="15" t="b">
        <f t="shared" ca="1" si="15"/>
        <v>0</v>
      </c>
      <c r="CR25" s="21" t="b">
        <f t="shared" ca="1" si="15"/>
        <v>0</v>
      </c>
      <c r="CS25" s="22" t="b">
        <f t="shared" ca="1" si="16"/>
        <v>1</v>
      </c>
      <c r="CT25" s="22" t="b">
        <f t="shared" ca="1" si="16"/>
        <v>1</v>
      </c>
      <c r="CU25" s="22" t="b">
        <f t="shared" ca="1" si="16"/>
        <v>1</v>
      </c>
      <c r="CV25" s="22" t="b">
        <f t="shared" ca="1" si="16"/>
        <v>0</v>
      </c>
      <c r="CW25" s="22" t="b">
        <f t="shared" ca="1" si="16"/>
        <v>0</v>
      </c>
      <c r="CX25" s="22" t="b">
        <f t="shared" ca="1" si="16"/>
        <v>0</v>
      </c>
      <c r="CY25" s="22" t="b">
        <f t="shared" ca="1" si="16"/>
        <v>0</v>
      </c>
      <c r="CZ25" s="21" t="b">
        <f t="shared" ca="1" si="16"/>
        <v>0</v>
      </c>
      <c r="DB25" s="22" t="b">
        <f t="shared" ca="1" si="38"/>
        <v>0</v>
      </c>
      <c r="DC25" s="22" t="b">
        <f t="shared" ca="1" si="39"/>
        <v>0</v>
      </c>
      <c r="DD25" s="22" t="b">
        <f t="shared" ca="1" si="17"/>
        <v>0</v>
      </c>
      <c r="DE25" s="22" t="b">
        <f t="shared" ca="1" si="17"/>
        <v>0</v>
      </c>
      <c r="DF25" s="22" t="b">
        <f t="shared" ca="1" si="17"/>
        <v>0</v>
      </c>
      <c r="DG25" s="22" t="b">
        <f t="shared" ca="1" si="17"/>
        <v>0</v>
      </c>
      <c r="DH25" s="22" t="b">
        <f t="shared" ca="1" si="17"/>
        <v>0</v>
      </c>
      <c r="DI25" s="22" t="b">
        <f t="shared" ca="1" si="17"/>
        <v>0</v>
      </c>
      <c r="DJ25" s="22" t="b">
        <f t="shared" ca="1" si="17"/>
        <v>0</v>
      </c>
      <c r="DK25" s="22"/>
      <c r="DO25" s="15">
        <f t="shared" ca="1" si="18"/>
        <v>25</v>
      </c>
      <c r="DP25" s="15">
        <f t="shared" ca="1" si="18"/>
        <v>100</v>
      </c>
      <c r="DQ25" s="15">
        <f t="shared" ca="1" si="18"/>
        <v>25</v>
      </c>
      <c r="DR25" s="15" t="str">
        <f t="shared" ca="1" si="18"/>
        <v/>
      </c>
      <c r="DS25" s="15" t="str">
        <f t="shared" ca="1" si="18"/>
        <v/>
      </c>
      <c r="DT25" s="15" t="str">
        <f t="shared" ca="1" si="18"/>
        <v/>
      </c>
      <c r="DU25" s="15" t="str">
        <f t="shared" ca="1" si="18"/>
        <v/>
      </c>
      <c r="DV25" s="15" t="str">
        <f t="shared" ca="1" si="18"/>
        <v/>
      </c>
    </row>
    <row r="26" spans="1:126">
      <c r="A26" s="15">
        <f t="shared" si="19"/>
        <v>14</v>
      </c>
      <c r="B26" s="15" t="str">
        <f t="shared" ca="1" si="70"/>
        <v>Pola, od którego zależy dane pole ma błąd</v>
      </c>
      <c r="C26" s="15" t="s">
        <v>100</v>
      </c>
      <c r="D26" s="15" t="str">
        <f t="shared" si="21"/>
        <v>Zmienne Max</v>
      </c>
      <c r="G26" s="15" t="s">
        <v>91</v>
      </c>
      <c r="J26" s="19" t="str">
        <f ca="1">CELL(_CELL_ADDRESS_NAME,variables!Q2)</f>
        <v>'[dane surowe2c.xlsm]variables'!$Q$2</v>
      </c>
      <c r="K26" s="15">
        <f>ster!$C$12</f>
        <v>357</v>
      </c>
      <c r="M26" s="19"/>
      <c r="Q26" s="16"/>
      <c r="T26" s="15" t="str">
        <f t="shared" ca="1" si="71"/>
        <v>'[dane surowe2c.xlsm]variables'!$Q$2:$Q$358</v>
      </c>
      <c r="U26" s="15">
        <f t="shared" ca="1" si="72"/>
        <v>25</v>
      </c>
      <c r="V26" s="15" t="s">
        <v>261</v>
      </c>
      <c r="W26" s="15" t="s">
        <v>94</v>
      </c>
      <c r="X26" s="15" t="s">
        <v>119</v>
      </c>
      <c r="AD26" s="16" t="b">
        <f t="shared" si="40"/>
        <v>1</v>
      </c>
      <c r="AE26" s="16" t="b">
        <f t="shared" si="41"/>
        <v>0</v>
      </c>
      <c r="AF26" s="15" t="str">
        <f t="shared" si="68"/>
        <v/>
      </c>
      <c r="AG26" s="15" t="str">
        <f t="shared" ca="1" si="1"/>
        <v/>
      </c>
      <c r="AH26" s="15" t="str">
        <f t="shared" ca="1" si="2"/>
        <v/>
      </c>
      <c r="AI26" s="15" t="b">
        <f t="shared" ca="1" si="3"/>
        <v>0</v>
      </c>
      <c r="AJ26" s="15" t="str">
        <f t="shared" ca="1" si="24"/>
        <v/>
      </c>
      <c r="AK26" s="27" t="str">
        <f t="shared" ca="1" si="42"/>
        <v/>
      </c>
      <c r="AL26" s="15" t="b">
        <f t="shared" ca="1" si="4"/>
        <v>0</v>
      </c>
      <c r="AM26" s="15" t="str">
        <f t="shared" ca="1" si="43"/>
        <v/>
      </c>
      <c r="AN26" s="15">
        <f t="shared" ca="1" si="44"/>
        <v>3</v>
      </c>
      <c r="AO26" s="15" t="str">
        <f t="shared" ca="1" si="25"/>
        <v/>
      </c>
      <c r="AP26" s="15" t="str">
        <f t="shared" ca="1" si="69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21</v>
      </c>
      <c r="AV26" s="16" t="e">
        <f t="shared" ca="1" si="51"/>
        <v>#REF!</v>
      </c>
      <c r="AW26" s="15" t="str">
        <f t="shared" ca="1" si="5"/>
        <v>'[dane surowe2c.xlsm]variables'!$Q$2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6"/>
        <v>357</v>
      </c>
      <c r="BB26" s="15" t="str">
        <f t="shared" ca="1" si="55"/>
        <v>'[dane surowe2c.xlsm]variables'!$Q$2</v>
      </c>
      <c r="BC26" s="15" t="str">
        <f t="shared" ca="1" si="27"/>
        <v>'[dane surowe2c.xlsm]variables'!$Q$2:$Q$358</v>
      </c>
      <c r="BD26" s="15" t="b">
        <f t="shared" ca="1" si="56"/>
        <v>1</v>
      </c>
      <c r="BE26" s="15" t="b">
        <f t="shared" ca="1" si="6"/>
        <v>1</v>
      </c>
      <c r="BF26" s="15">
        <f t="shared" ca="1" si="7"/>
        <v>357</v>
      </c>
      <c r="BG26" s="15">
        <f t="shared" ca="1" si="8"/>
        <v>357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9"/>
        <v>1</v>
      </c>
      <c r="BL26" s="15">
        <f t="shared" ca="1" si="10"/>
        <v>1</v>
      </c>
      <c r="BP26" s="15" t="b">
        <f t="shared" si="28"/>
        <v>1</v>
      </c>
      <c r="BQ26" s="15" t="b">
        <f t="shared" ca="1" si="29"/>
        <v>1</v>
      </c>
      <c r="BR26" s="15">
        <f t="shared" ca="1" si="11"/>
        <v>25</v>
      </c>
      <c r="BS26" s="15">
        <f t="shared" ca="1" si="30"/>
        <v>25</v>
      </c>
      <c r="BT26" s="15" t="str">
        <f t="shared" ca="1" si="12"/>
        <v>Pola, od którego zależy dane pole ma błąd</v>
      </c>
      <c r="BV26" s="15" t="b">
        <f t="shared" ca="1" si="31"/>
        <v>0</v>
      </c>
      <c r="BW26" s="15" t="b">
        <f t="shared" ca="1" si="32"/>
        <v>0</v>
      </c>
      <c r="BX26" s="15" t="b">
        <f t="shared" ca="1" si="33"/>
        <v>0</v>
      </c>
      <c r="BY26" s="15" t="b">
        <f t="shared" ca="1" si="13"/>
        <v>0</v>
      </c>
      <c r="BZ26" s="15" t="b">
        <f t="shared" ca="1" si="34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5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4"/>
        <v>0</v>
      </c>
      <c r="CI26" s="15" t="b">
        <f t="shared" si="36"/>
        <v>0</v>
      </c>
      <c r="CJ26" s="15" t="b">
        <f t="shared" si="37"/>
        <v>0</v>
      </c>
      <c r="CK26" s="15" t="b">
        <f t="shared" ca="1" si="64"/>
        <v>0</v>
      </c>
      <c r="CL26" s="15" t="b">
        <f t="shared" ca="1" si="15"/>
        <v>0</v>
      </c>
      <c r="CM26" s="15" t="b">
        <f t="shared" ca="1" si="15"/>
        <v>0</v>
      </c>
      <c r="CN26" s="15" t="b">
        <f t="shared" ca="1" si="15"/>
        <v>0</v>
      </c>
      <c r="CO26" s="15" t="b">
        <f t="shared" ca="1" si="15"/>
        <v>0</v>
      </c>
      <c r="CP26" s="15" t="b">
        <f t="shared" ca="1" si="15"/>
        <v>0</v>
      </c>
      <c r="CQ26" s="15" t="b">
        <f t="shared" ca="1" si="15"/>
        <v>0</v>
      </c>
      <c r="CR26" s="21" t="b">
        <f t="shared" ca="1" si="15"/>
        <v>0</v>
      </c>
      <c r="CS26" s="22" t="b">
        <f t="shared" ca="1" si="16"/>
        <v>1</v>
      </c>
      <c r="CT26" s="22" t="b">
        <f t="shared" ca="1" si="16"/>
        <v>1</v>
      </c>
      <c r="CU26" s="22" t="b">
        <f t="shared" ca="1" si="16"/>
        <v>1</v>
      </c>
      <c r="CV26" s="22" t="b">
        <f t="shared" ca="1" si="16"/>
        <v>0</v>
      </c>
      <c r="CW26" s="22" t="b">
        <f t="shared" ca="1" si="16"/>
        <v>0</v>
      </c>
      <c r="CX26" s="22" t="b">
        <f t="shared" ca="1" si="16"/>
        <v>0</v>
      </c>
      <c r="CY26" s="22" t="b">
        <f t="shared" ca="1" si="16"/>
        <v>0</v>
      </c>
      <c r="CZ26" s="21" t="b">
        <f t="shared" ca="1" si="16"/>
        <v>0</v>
      </c>
      <c r="DB26" s="22" t="b">
        <f t="shared" ca="1" si="38"/>
        <v>0</v>
      </c>
      <c r="DC26" s="22" t="b">
        <f t="shared" ca="1" si="39"/>
        <v>0</v>
      </c>
      <c r="DD26" s="22" t="b">
        <f t="shared" ca="1" si="17"/>
        <v>0</v>
      </c>
      <c r="DE26" s="22" t="b">
        <f t="shared" ca="1" si="17"/>
        <v>0</v>
      </c>
      <c r="DF26" s="22" t="b">
        <f t="shared" ca="1" si="17"/>
        <v>0</v>
      </c>
      <c r="DG26" s="22" t="b">
        <f t="shared" ca="1" si="17"/>
        <v>0</v>
      </c>
      <c r="DH26" s="22" t="b">
        <f t="shared" ca="1" si="17"/>
        <v>0</v>
      </c>
      <c r="DI26" s="22" t="b">
        <f t="shared" ca="1" si="17"/>
        <v>0</v>
      </c>
      <c r="DJ26" s="22" t="b">
        <f t="shared" ca="1" si="17"/>
        <v>0</v>
      </c>
      <c r="DK26" s="22"/>
      <c r="DO26" s="15">
        <f t="shared" ca="1" si="18"/>
        <v>25</v>
      </c>
      <c r="DP26" s="15">
        <f t="shared" ca="1" si="18"/>
        <v>100</v>
      </c>
      <c r="DQ26" s="15">
        <f t="shared" ca="1" si="18"/>
        <v>25</v>
      </c>
      <c r="DR26" s="15" t="str">
        <f t="shared" ca="1" si="18"/>
        <v/>
      </c>
      <c r="DS26" s="15" t="str">
        <f t="shared" ca="1" si="18"/>
        <v/>
      </c>
      <c r="DT26" s="15" t="str">
        <f t="shared" ca="1" si="18"/>
        <v/>
      </c>
      <c r="DU26" s="15" t="str">
        <f t="shared" ca="1" si="18"/>
        <v/>
      </c>
      <c r="DV26" s="15" t="str">
        <f t="shared" ca="1" si="18"/>
        <v/>
      </c>
    </row>
    <row r="27" spans="1:126">
      <c r="A27" s="15">
        <f t="shared" si="19"/>
        <v>15</v>
      </c>
      <c r="B27" s="15" t="str">
        <f t="shared" ca="1" si="70"/>
        <v>Pola, od którego zależy dane pole ma błąd</v>
      </c>
      <c r="C27" s="15" t="s">
        <v>131</v>
      </c>
      <c r="D27" s="15" t="str">
        <f t="shared" si="21"/>
        <v>Zmienne MinTeoret</v>
      </c>
      <c r="G27" s="15" t="s">
        <v>91</v>
      </c>
      <c r="J27" s="19" t="str">
        <f ca="1">CELL(_CELL_ADDRESS_NAME,variables!X2)</f>
        <v>'[dane surowe2c.xlsm]variables'!$X$2</v>
      </c>
      <c r="K27" s="15">
        <f>ster!$C$12</f>
        <v>357</v>
      </c>
      <c r="M27" s="19"/>
      <c r="Q27" s="16"/>
      <c r="T27" s="15" t="str">
        <f t="shared" ca="1" si="71"/>
        <v>'[dane surowe2c.xlsm]variables'!$X$2:$X$358</v>
      </c>
      <c r="U27" s="15">
        <f t="shared" ca="1" si="72"/>
        <v>25</v>
      </c>
      <c r="V27" s="15" t="s">
        <v>261</v>
      </c>
      <c r="W27" s="15" t="s">
        <v>226</v>
      </c>
      <c r="X27" s="15" t="s">
        <v>119</v>
      </c>
      <c r="AD27" s="16" t="b">
        <f t="shared" si="40"/>
        <v>1</v>
      </c>
      <c r="AE27" s="16" t="b">
        <f t="shared" si="41"/>
        <v>0</v>
      </c>
      <c r="AF27" s="15" t="str">
        <f t="shared" si="68"/>
        <v/>
      </c>
      <c r="AG27" s="15" t="str">
        <f t="shared" ca="1" si="1"/>
        <v/>
      </c>
      <c r="AH27" s="15" t="str">
        <f t="shared" ca="1" si="2"/>
        <v/>
      </c>
      <c r="AI27" s="15" t="b">
        <f t="shared" ca="1" si="3"/>
        <v>0</v>
      </c>
      <c r="AJ27" s="15" t="str">
        <f t="shared" ca="1" si="24"/>
        <v/>
      </c>
      <c r="AK27" s="27" t="str">
        <f t="shared" ca="1" si="42"/>
        <v/>
      </c>
      <c r="AL27" s="15" t="b">
        <f t="shared" ca="1" si="4"/>
        <v>0</v>
      </c>
      <c r="AM27" s="15" t="str">
        <f t="shared" ca="1" si="43"/>
        <v/>
      </c>
      <c r="AN27" s="15">
        <f t="shared" ca="1" si="44"/>
        <v>3</v>
      </c>
      <c r="AO27" s="15" t="str">
        <f t="shared" ca="1" si="25"/>
        <v/>
      </c>
      <c r="AP27" s="15" t="str">
        <f t="shared" ca="1" si="69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21</v>
      </c>
      <c r="AV27" s="16" t="e">
        <f t="shared" ca="1" si="51"/>
        <v>#REF!</v>
      </c>
      <c r="AW27" s="15" t="str">
        <f t="shared" ca="1" si="5"/>
        <v>'[dane surowe2c.xlsm]variables'!$X$2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6"/>
        <v>357</v>
      </c>
      <c r="BB27" s="15" t="str">
        <f t="shared" ca="1" si="55"/>
        <v>'[dane surowe2c.xlsm]variables'!$X$2</v>
      </c>
      <c r="BC27" s="15" t="str">
        <f t="shared" ca="1" si="27"/>
        <v>'[dane surowe2c.xlsm]variables'!$X$2:$X$358</v>
      </c>
      <c r="BD27" s="15" t="b">
        <f t="shared" ca="1" si="56"/>
        <v>1</v>
      </c>
      <c r="BE27" s="15" t="b">
        <f t="shared" ca="1" si="6"/>
        <v>1</v>
      </c>
      <c r="BF27" s="15">
        <f t="shared" ca="1" si="7"/>
        <v>357</v>
      </c>
      <c r="BG27" s="15">
        <f t="shared" ca="1" si="8"/>
        <v>357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9"/>
        <v>1</v>
      </c>
      <c r="BL27" s="15">
        <f t="shared" ca="1" si="10"/>
        <v>1</v>
      </c>
      <c r="BP27" s="15" t="b">
        <f t="shared" si="28"/>
        <v>1</v>
      </c>
      <c r="BQ27" s="15" t="b">
        <f t="shared" ca="1" si="29"/>
        <v>1</v>
      </c>
      <c r="BR27" s="15">
        <f t="shared" ca="1" si="11"/>
        <v>25</v>
      </c>
      <c r="BS27" s="15">
        <f t="shared" ca="1" si="30"/>
        <v>25</v>
      </c>
      <c r="BT27" s="15" t="str">
        <f t="shared" ca="1" si="12"/>
        <v>Pola, od którego zależy dane pole ma błąd</v>
      </c>
      <c r="BV27" s="15" t="b">
        <f t="shared" ca="1" si="31"/>
        <v>0</v>
      </c>
      <c r="BW27" s="15" t="b">
        <f t="shared" ca="1" si="32"/>
        <v>0</v>
      </c>
      <c r="BX27" s="15" t="b">
        <f t="shared" ca="1" si="33"/>
        <v>0</v>
      </c>
      <c r="BY27" s="15" t="b">
        <f t="shared" ca="1" si="13"/>
        <v>0</v>
      </c>
      <c r="BZ27" s="15" t="b">
        <f t="shared" ca="1" si="34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5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4"/>
        <v>0</v>
      </c>
      <c r="CI27" s="15" t="b">
        <f t="shared" si="36"/>
        <v>0</v>
      </c>
      <c r="CJ27" s="15" t="b">
        <f t="shared" si="37"/>
        <v>0</v>
      </c>
      <c r="CK27" s="15" t="b">
        <f t="shared" ca="1" si="64"/>
        <v>0</v>
      </c>
      <c r="CL27" s="15" t="b">
        <f t="shared" ca="1" si="15"/>
        <v>0</v>
      </c>
      <c r="CM27" s="15" t="b">
        <f t="shared" ca="1" si="15"/>
        <v>0</v>
      </c>
      <c r="CN27" s="15" t="b">
        <f t="shared" ca="1" si="15"/>
        <v>0</v>
      </c>
      <c r="CO27" s="15" t="b">
        <f t="shared" ca="1" si="15"/>
        <v>0</v>
      </c>
      <c r="CP27" s="15" t="b">
        <f t="shared" ca="1" si="15"/>
        <v>0</v>
      </c>
      <c r="CQ27" s="15" t="b">
        <f t="shared" ca="1" si="15"/>
        <v>0</v>
      </c>
      <c r="CR27" s="21" t="b">
        <f t="shared" ca="1" si="15"/>
        <v>0</v>
      </c>
      <c r="CS27" s="22" t="b">
        <f t="shared" ca="1" si="16"/>
        <v>1</v>
      </c>
      <c r="CT27" s="22" t="b">
        <f t="shared" ca="1" si="16"/>
        <v>1</v>
      </c>
      <c r="CU27" s="22" t="b">
        <f t="shared" ca="1" si="16"/>
        <v>1</v>
      </c>
      <c r="CV27" s="22" t="b">
        <f t="shared" ca="1" si="16"/>
        <v>0</v>
      </c>
      <c r="CW27" s="22" t="b">
        <f t="shared" ca="1" si="16"/>
        <v>0</v>
      </c>
      <c r="CX27" s="22" t="b">
        <f t="shared" ca="1" si="16"/>
        <v>0</v>
      </c>
      <c r="CY27" s="22" t="b">
        <f t="shared" ca="1" si="16"/>
        <v>0</v>
      </c>
      <c r="CZ27" s="21" t="b">
        <f t="shared" ca="1" si="16"/>
        <v>0</v>
      </c>
      <c r="DB27" s="22" t="b">
        <f t="shared" ca="1" si="38"/>
        <v>0</v>
      </c>
      <c r="DC27" s="22" t="b">
        <f t="shared" ca="1" si="39"/>
        <v>0</v>
      </c>
      <c r="DD27" s="22" t="b">
        <f t="shared" ca="1" si="17"/>
        <v>0</v>
      </c>
      <c r="DE27" s="22" t="b">
        <f t="shared" ca="1" si="17"/>
        <v>0</v>
      </c>
      <c r="DF27" s="22" t="b">
        <f t="shared" ca="1" si="17"/>
        <v>0</v>
      </c>
      <c r="DG27" s="22" t="b">
        <f t="shared" ca="1" si="17"/>
        <v>0</v>
      </c>
      <c r="DH27" s="22" t="b">
        <f t="shared" ca="1" si="17"/>
        <v>0</v>
      </c>
      <c r="DI27" s="22" t="b">
        <f t="shared" ca="1" si="17"/>
        <v>0</v>
      </c>
      <c r="DJ27" s="22" t="b">
        <f t="shared" ca="1" si="17"/>
        <v>0</v>
      </c>
      <c r="DK27" s="22"/>
      <c r="DO27" s="15">
        <f t="shared" ca="1" si="18"/>
        <v>25</v>
      </c>
      <c r="DP27" s="15">
        <f t="shared" ca="1" si="18"/>
        <v>100</v>
      </c>
      <c r="DQ27" s="15">
        <f t="shared" ca="1" si="18"/>
        <v>25</v>
      </c>
      <c r="DR27" s="15" t="str">
        <f t="shared" ca="1" si="18"/>
        <v/>
      </c>
      <c r="DS27" s="15" t="str">
        <f t="shared" ca="1" si="18"/>
        <v/>
      </c>
      <c r="DT27" s="15" t="str">
        <f t="shared" ca="1" si="18"/>
        <v/>
      </c>
      <c r="DU27" s="15" t="str">
        <f t="shared" ca="1" si="18"/>
        <v/>
      </c>
      <c r="DV27" s="15" t="str">
        <f t="shared" ca="1" si="18"/>
        <v/>
      </c>
    </row>
    <row r="28" spans="1:126">
      <c r="A28" s="15">
        <f t="shared" si="19"/>
        <v>16</v>
      </c>
      <c r="B28" s="15" t="str">
        <f t="shared" ca="1" si="70"/>
        <v>Pola, od którego zależy dane pole ma błąd</v>
      </c>
      <c r="C28" s="15" t="s">
        <v>132</v>
      </c>
      <c r="D28" s="15" t="str">
        <f t="shared" si="21"/>
        <v>Zmienne MaxTeoret</v>
      </c>
      <c r="G28" s="15" t="s">
        <v>91</v>
      </c>
      <c r="J28" s="19" t="str">
        <f ca="1">CELL(_CELL_ADDRESS_NAME,variables!Y2)</f>
        <v>'[dane surowe2c.xlsm]variables'!$Y$2</v>
      </c>
      <c r="K28" s="15">
        <f>ster!$C$12</f>
        <v>357</v>
      </c>
      <c r="M28" s="19"/>
      <c r="Q28" s="16"/>
      <c r="T28" s="15" t="str">
        <f t="shared" ca="1" si="71"/>
        <v>'[dane surowe2c.xlsm]variables'!$Y$2:$Y$358</v>
      </c>
      <c r="U28" s="15">
        <f t="shared" ca="1" si="72"/>
        <v>25</v>
      </c>
      <c r="V28" s="15" t="s">
        <v>261</v>
      </c>
      <c r="W28" s="15" t="s">
        <v>226</v>
      </c>
      <c r="X28" s="15" t="s">
        <v>119</v>
      </c>
      <c r="AD28" s="16" t="b">
        <f t="shared" si="40"/>
        <v>1</v>
      </c>
      <c r="AE28" s="16" t="b">
        <f t="shared" si="41"/>
        <v>0</v>
      </c>
      <c r="AF28" s="15" t="str">
        <f t="shared" si="68"/>
        <v/>
      </c>
      <c r="AG28" s="15" t="str">
        <f t="shared" ca="1" si="1"/>
        <v/>
      </c>
      <c r="AH28" s="15" t="str">
        <f t="shared" ca="1" si="2"/>
        <v/>
      </c>
      <c r="AI28" s="15" t="b">
        <f t="shared" ca="1" si="3"/>
        <v>0</v>
      </c>
      <c r="AJ28" s="15" t="str">
        <f t="shared" ca="1" si="24"/>
        <v/>
      </c>
      <c r="AK28" s="27" t="str">
        <f t="shared" ca="1" si="42"/>
        <v/>
      </c>
      <c r="AL28" s="15" t="b">
        <f t="shared" ca="1" si="4"/>
        <v>0</v>
      </c>
      <c r="AM28" s="15" t="str">
        <f t="shared" ca="1" si="43"/>
        <v/>
      </c>
      <c r="AN28" s="15">
        <f t="shared" ca="1" si="44"/>
        <v>3</v>
      </c>
      <c r="AO28" s="15" t="str">
        <f t="shared" ca="1" si="25"/>
        <v/>
      </c>
      <c r="AP28" s="15" t="str">
        <f t="shared" ca="1" si="69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21</v>
      </c>
      <c r="AV28" s="16" t="e">
        <f t="shared" ca="1" si="51"/>
        <v>#REF!</v>
      </c>
      <c r="AW28" s="15" t="str">
        <f t="shared" ca="1" si="5"/>
        <v>'[dane surowe2c.xlsm]variables'!$Y$2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6"/>
        <v>357</v>
      </c>
      <c r="BB28" s="15" t="str">
        <f t="shared" ca="1" si="55"/>
        <v>'[dane surowe2c.xlsm]variables'!$Y$2</v>
      </c>
      <c r="BC28" s="15" t="str">
        <f t="shared" ca="1" si="27"/>
        <v>'[dane surowe2c.xlsm]variables'!$Y$2:$Y$358</v>
      </c>
      <c r="BD28" s="15" t="b">
        <f t="shared" ca="1" si="56"/>
        <v>1</v>
      </c>
      <c r="BE28" s="15" t="b">
        <f t="shared" ca="1" si="6"/>
        <v>1</v>
      </c>
      <c r="BF28" s="15">
        <f t="shared" ca="1" si="7"/>
        <v>357</v>
      </c>
      <c r="BG28" s="15">
        <f t="shared" ca="1" si="8"/>
        <v>357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9"/>
        <v>1</v>
      </c>
      <c r="BL28" s="15">
        <f t="shared" ca="1" si="10"/>
        <v>1</v>
      </c>
      <c r="BP28" s="15" t="b">
        <f t="shared" si="28"/>
        <v>1</v>
      </c>
      <c r="BQ28" s="15" t="b">
        <f t="shared" ca="1" si="29"/>
        <v>1</v>
      </c>
      <c r="BR28" s="15">
        <f t="shared" ca="1" si="11"/>
        <v>25</v>
      </c>
      <c r="BS28" s="15">
        <f t="shared" ca="1" si="30"/>
        <v>25</v>
      </c>
      <c r="BT28" s="15" t="str">
        <f t="shared" ca="1" si="12"/>
        <v>Pola, od którego zależy dane pole ma błąd</v>
      </c>
      <c r="BV28" s="15" t="b">
        <f t="shared" ca="1" si="31"/>
        <v>0</v>
      </c>
      <c r="BW28" s="15" t="b">
        <f t="shared" ca="1" si="32"/>
        <v>0</v>
      </c>
      <c r="BX28" s="15" t="b">
        <f t="shared" ca="1" si="33"/>
        <v>0</v>
      </c>
      <c r="BY28" s="15" t="b">
        <f t="shared" ca="1" si="13"/>
        <v>0</v>
      </c>
      <c r="BZ28" s="15" t="b">
        <f t="shared" ca="1" si="34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5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4"/>
        <v>0</v>
      </c>
      <c r="CI28" s="15" t="b">
        <f t="shared" si="36"/>
        <v>0</v>
      </c>
      <c r="CJ28" s="15" t="b">
        <f t="shared" si="37"/>
        <v>0</v>
      </c>
      <c r="CK28" s="15" t="b">
        <f t="shared" ca="1" si="64"/>
        <v>0</v>
      </c>
      <c r="CL28" s="15" t="b">
        <f t="shared" ca="1" si="15"/>
        <v>0</v>
      </c>
      <c r="CM28" s="15" t="b">
        <f t="shared" ca="1" si="15"/>
        <v>0</v>
      </c>
      <c r="CN28" s="15" t="b">
        <f t="shared" ca="1" si="15"/>
        <v>0</v>
      </c>
      <c r="CO28" s="15" t="b">
        <f t="shared" ca="1" si="15"/>
        <v>0</v>
      </c>
      <c r="CP28" s="15" t="b">
        <f t="shared" ca="1" si="15"/>
        <v>0</v>
      </c>
      <c r="CQ28" s="15" t="b">
        <f t="shared" ca="1" si="15"/>
        <v>0</v>
      </c>
      <c r="CR28" s="21" t="b">
        <f t="shared" ca="1" si="15"/>
        <v>0</v>
      </c>
      <c r="CS28" s="22" t="b">
        <f t="shared" ca="1" si="16"/>
        <v>1</v>
      </c>
      <c r="CT28" s="22" t="b">
        <f t="shared" ca="1" si="16"/>
        <v>1</v>
      </c>
      <c r="CU28" s="22" t="b">
        <f t="shared" ca="1" si="16"/>
        <v>1</v>
      </c>
      <c r="CV28" s="22" t="b">
        <f t="shared" ca="1" si="16"/>
        <v>0</v>
      </c>
      <c r="CW28" s="22" t="b">
        <f t="shared" ca="1" si="16"/>
        <v>0</v>
      </c>
      <c r="CX28" s="22" t="b">
        <f t="shared" ca="1" si="16"/>
        <v>0</v>
      </c>
      <c r="CY28" s="22" t="b">
        <f t="shared" ca="1" si="16"/>
        <v>0</v>
      </c>
      <c r="CZ28" s="21" t="b">
        <f t="shared" ca="1" si="16"/>
        <v>0</v>
      </c>
      <c r="DB28" s="22" t="b">
        <f t="shared" ca="1" si="38"/>
        <v>0</v>
      </c>
      <c r="DC28" s="22" t="b">
        <f t="shared" ca="1" si="39"/>
        <v>0</v>
      </c>
      <c r="DD28" s="22" t="b">
        <f t="shared" ca="1" si="17"/>
        <v>0</v>
      </c>
      <c r="DE28" s="22" t="b">
        <f t="shared" ca="1" si="17"/>
        <v>0</v>
      </c>
      <c r="DF28" s="22" t="b">
        <f t="shared" ca="1" si="17"/>
        <v>0</v>
      </c>
      <c r="DG28" s="22" t="b">
        <f t="shared" ca="1" si="17"/>
        <v>0</v>
      </c>
      <c r="DH28" s="22" t="b">
        <f t="shared" ca="1" si="17"/>
        <v>0</v>
      </c>
      <c r="DI28" s="22" t="b">
        <f t="shared" ca="1" si="17"/>
        <v>0</v>
      </c>
      <c r="DJ28" s="22" t="b">
        <f t="shared" ca="1" si="17"/>
        <v>0</v>
      </c>
      <c r="DK28" s="22"/>
      <c r="DO28" s="15">
        <f t="shared" ca="1" si="18"/>
        <v>25</v>
      </c>
      <c r="DP28" s="15">
        <f t="shared" ca="1" si="18"/>
        <v>100</v>
      </c>
      <c r="DQ28" s="15">
        <f t="shared" ca="1" si="18"/>
        <v>25</v>
      </c>
      <c r="DR28" s="15" t="str">
        <f t="shared" ca="1" si="18"/>
        <v/>
      </c>
      <c r="DS28" s="15" t="str">
        <f t="shared" ca="1" si="18"/>
        <v/>
      </c>
      <c r="DT28" s="15" t="str">
        <f t="shared" ca="1" si="18"/>
        <v/>
      </c>
      <c r="DU28" s="15" t="str">
        <f t="shared" ca="1" si="18"/>
        <v/>
      </c>
      <c r="DV28" s="15" t="str">
        <f t="shared" ca="1" si="18"/>
        <v/>
      </c>
    </row>
    <row r="29" spans="1:126">
      <c r="A29" s="15">
        <f t="shared" si="19"/>
        <v>17</v>
      </c>
      <c r="B29" s="15" t="str">
        <f t="shared" ref="B29:B30" ca="1" si="73">IF(AD29,IF(BS29&gt;0,BT29,IF(DA29,"Pole zależy od pól, które zależą od zamkniętego workbooka","ok.")),"")</f>
        <v>Pola, od którego zależy dane pole ma błąd</v>
      </c>
      <c r="C29" s="15" t="s">
        <v>281</v>
      </c>
      <c r="D29" s="15" t="str">
        <f t="shared" ref="D29:D30" si="74">IF(C29="","",C29)</f>
        <v>Zmienne UstawMinTeoret</v>
      </c>
      <c r="G29" s="15" t="s">
        <v>125</v>
      </c>
      <c r="J29" s="19" t="str">
        <f ca="1">CELL(_CELL_ADDRESS_NAME,variables!AG2)</f>
        <v>'[dane surowe2c.xlsm]variables'!$AG$2</v>
      </c>
      <c r="K29" s="15">
        <f>ster!$C$12</f>
        <v>357</v>
      </c>
      <c r="M29" s="19"/>
      <c r="Q29" s="16"/>
      <c r="T29" s="15" t="str">
        <f t="shared" ref="T29:T30" ca="1" si="75">BC29</f>
        <v>'[dane surowe2c.xlsm]variables'!$AG$2:$AG$358</v>
      </c>
      <c r="U29" s="15">
        <f t="shared" ref="U29:U30" ca="1" si="76">IF(AD29,BS29,"")</f>
        <v>25</v>
      </c>
      <c r="V29" s="15" t="s">
        <v>261</v>
      </c>
      <c r="W29" s="15" t="s">
        <v>226</v>
      </c>
      <c r="X29" s="15" t="s">
        <v>119</v>
      </c>
      <c r="AD29" s="16" t="b">
        <f t="shared" ref="AD29:AD30" si="77">C29&lt;&gt;""</f>
        <v>1</v>
      </c>
      <c r="AE29" s="16" t="b">
        <f t="shared" ref="AE29:AE30" si="78">AND(I29&lt;&gt;"",H29&lt;&gt;"")</f>
        <v>0</v>
      </c>
      <c r="AF29" s="15" t="str">
        <f t="shared" ref="AF29:AF30" si="79">IF(AE29,"[" &amp; H29 &amp; "]" &amp; $B$2,"")</f>
        <v/>
      </c>
      <c r="AG29" s="15" t="str">
        <f t="shared" ref="AG29:AG30" ca="1" si="80">IF(AND(AE29,NOT(BX29)),INDIRECT(ADDRESS(ROW($D$4),COLUMN($D$4),,,AF29)),"")</f>
        <v/>
      </c>
      <c r="AH29" s="15" t="str">
        <f t="shared" ref="AH29:AH30" ca="1" si="81">IF(AND(AE29,NOT(BX29)),MATCH(I29,INDIRECT(AG29),0),"")</f>
        <v/>
      </c>
      <c r="AI29" s="15" t="b">
        <f t="shared" ref="AI29:AI30" ca="1" si="82">AND(AE29,NOT(BX29),NOT(BY29))</f>
        <v>0</v>
      </c>
      <c r="AJ29" s="15" t="str">
        <f t="shared" ref="AJ29:AJ30" ca="1" si="83">IF(AE29,INDIRECT(ADDRESS(ROW($T$4),COLUMN($T$4),,,AF29)),"")</f>
        <v/>
      </c>
      <c r="AK29" s="27" t="str">
        <f t="shared" ref="AK29:AK30" ca="1" si="84">IF(AE29,INDEX(INDIRECT(AJ29),AH29),"")</f>
        <v/>
      </c>
      <c r="AL29" s="15" t="b">
        <f t="shared" ref="AL29:AL30" ca="1" si="85">AND(AE29,NOT(OR(BX29,BY29)))</f>
        <v>0</v>
      </c>
      <c r="AM29" s="15" t="str">
        <f t="shared" ref="AM29:AM30" ca="1" si="86">IF(AE29,INDIRECT(ADDRESS(ROW($BK$4),COLUMN($BK$4),,,AF29)),"")</f>
        <v/>
      </c>
      <c r="AN29" s="15">
        <f t="shared" ref="AN29:AN30" ca="1" si="87">IFERROR(IF(AE29,INDEX(INDIRECT(AM29),AH29),3),3)</f>
        <v>3</v>
      </c>
      <c r="AO29" s="15" t="str">
        <f t="shared" ref="AO29:AO30" ca="1" si="88">IF(AE29,INDIRECT(ADDRESS(ROW($BS$4),COLUMN($BS$4),,,AF29)),"")</f>
        <v/>
      </c>
      <c r="AP29" s="15" t="str">
        <f t="shared" ref="AP29:AP30" ca="1" si="89">IF(AQ29=2,INDEX(INDIRECT(AO29),AH29),"")</f>
        <v/>
      </c>
      <c r="AQ29" s="27">
        <f t="shared" ref="AQ29:AQ30" ca="1" si="90">IF(AND(AE29,NOT(AR29)),2,IF(AND(AR29,NOT(AE29)),1,IF(AND(NOT(AE29),NOT(AR29)),4,3)))</f>
        <v>1</v>
      </c>
      <c r="AR29" s="15" t="b">
        <f t="shared" ref="AR29:AR30" ca="1" si="91">AND(J29&lt;&gt;"",AD29)</f>
        <v>1</v>
      </c>
      <c r="AS29" s="27" t="b">
        <f t="shared" ref="AS29:AS30" ca="1" si="92">NOT(ISERROR(FIND("[",J29)))</f>
        <v>1</v>
      </c>
      <c r="AT29" s="27" t="b">
        <f t="shared" ref="AT29:AT30" ca="1" si="93">MID(J29,1,1)="'"</f>
        <v>1</v>
      </c>
      <c r="AU29" s="27">
        <f t="shared" ref="AU29:AU30" ca="1" si="94">IF(AS29,FIND("]",J29),"")</f>
        <v>21</v>
      </c>
      <c r="AV29" s="16" t="e">
        <f t="shared" ref="AV29:AV30" ca="1" si="95">IF(AS29,MID(J29,1,AU29)&lt;&gt;$V$2,FALSE)</f>
        <v>#REF!</v>
      </c>
      <c r="AW29" s="15" t="str">
        <f t="shared" ca="1" si="5"/>
        <v>'[dane surowe2c.xlsm]variables'!$AG$2</v>
      </c>
      <c r="AX29" s="27" t="b">
        <f t="shared" ref="AX29:AX30" ca="1" si="96">IF(AR29,ROWS(INDIRECT(AW29))&gt;1)</f>
        <v>0</v>
      </c>
      <c r="AY29" s="27" t="b">
        <f t="shared" ref="AY29:AY30" ca="1" si="97">IF(AR29,COLUMNS(INDIRECT(AW29))&gt;1)</f>
        <v>0</v>
      </c>
      <c r="AZ29" s="15">
        <f t="shared" ref="AZ29:AZ30" ca="1" si="98">IF($AE29,IF(NOT(AI29),"?",COLUMNS(INDIRECT($AK29))),IF($AD29,IF(L29="",1,L29)))</f>
        <v>1</v>
      </c>
      <c r="BA29" s="15">
        <f t="shared" ref="BA29:BA30" ca="1" si="99">IF($AE29,IF(NOT(AI29),"?",ROWS(INDIRECT($AK29))),IF($AD29,IF(K29="",1,K29)))</f>
        <v>357</v>
      </c>
      <c r="BB29" s="15" t="str">
        <f t="shared" ref="BB29:BB30" ca="1" si="100">IF(AD29,CHOOSE(AQ29,AW29,AK29,"?"),"")</f>
        <v>'[dane surowe2c.xlsm]variables'!$AG$2</v>
      </c>
      <c r="BC29" s="15" t="str">
        <f t="shared" ref="BC29:BC30" ca="1" si="101">IFERROR(IF(MIN(AZ29:BA29)&lt;=0,"",  BB29 &amp; IF(AND(OR(AZ29&gt;1,BA29&gt;1),AQ29=1), ":" &amp; ADDRESS(ROW(INDIRECT(BB29)) +BA29-1,COLUMN(INDIRECT(BB29))+AZ29-1),"")),"")</f>
        <v>'[dane surowe2c.xlsm]variables'!$AG$2:$AG$358</v>
      </c>
      <c r="BD29" s="15" t="b">
        <f t="shared" ref="BD29:BD30" ca="1" si="102">AZ29*BA29&gt;1</f>
        <v>1</v>
      </c>
      <c r="BE29" s="15" t="b">
        <f t="shared" ref="BE29:BE30" ca="1" si="103">IF(AND(AD29,AQ29=1),IF(Q29="",BI29, IF(Q29,TRUE,FALSE)),FALSE)</f>
        <v>0</v>
      </c>
      <c r="BF29" s="15" t="str">
        <f t="shared" ref="BF29:BF30" ca="1" si="104">IF(BE29,COUNTA(INDIRECT(BC29)),"")</f>
        <v/>
      </c>
      <c r="BG29" s="15" t="str">
        <f t="shared" ref="BG29:BG30" ca="1" si="105">IF(BE29,AZ29*BA29,"")</f>
        <v/>
      </c>
      <c r="BH29" s="15">
        <f t="array" aca="1" ref="BH29" ca="1">IF(IFERROR( S29,1),1,IF(BC29="","", SUM(IF(ISERROR(INDIRECT(BC29)),1,0))))</f>
        <v>0</v>
      </c>
      <c r="BI29" s="15" t="b">
        <f t="shared" ref="BI29:BI30" si="106">G29="r"</f>
        <v>0</v>
      </c>
      <c r="BJ29" s="15" t="b">
        <f t="shared" ref="BJ29:BJ30" si="107">G29="W"</f>
        <v>1</v>
      </c>
      <c r="BK29" s="15">
        <f t="shared" ref="BK29:BK30" ca="1" si="108">IF(AR29,IF(AND(BI29,NOT(BJ29)),1,IF(AND(BJ29,NOT(BI29)),2,3)),"")</f>
        <v>2</v>
      </c>
      <c r="BL29" s="15">
        <f t="shared" ref="BL29:BL30" ca="1" si="109">CHOOSE(AQ29,BK29,AN29,3,4)</f>
        <v>2</v>
      </c>
      <c r="BP29" s="15" t="b">
        <f t="shared" ref="BP29:BP30" si="110">IF(AD29,IF(M29="",TRUE,NOT(M29)),FALSE)</f>
        <v>1</v>
      </c>
      <c r="BQ29" s="15" t="b">
        <f t="shared" ref="BQ29:BQ30" ca="1" si="111">IF(BP29,OR(BU29:CZ29),FALSE)</f>
        <v>1</v>
      </c>
      <c r="BR29" s="15">
        <f t="shared" ref="BR29:BR30" ca="1" si="112">IF(BQ29,MATCH(TRUE,BU29:CZ29,0),"")</f>
        <v>25</v>
      </c>
      <c r="BS29" s="15">
        <f t="shared" ref="BS29:BS30" ca="1" si="113">IF(BP29,IF(BQ29,BR29,IF(AQ29=2,AP29,0)),0)</f>
        <v>25</v>
      </c>
      <c r="BT29" s="15" t="str">
        <f t="shared" ref="BT29:BT30" ca="1" si="114">IF(BS29&gt;0,INDEX(BU$10:CZ$10,BS29),"")</f>
        <v>Pola, od którego zależy dane pole ma błąd</v>
      </c>
      <c r="BV29" s="15" t="b">
        <f t="shared" ref="BV29:BV30" ca="1" si="115">IFERROR(IF($AD29,COUNTIF(INDIRECT($C$4),C29)&gt;1,FALSE),FALSE)</f>
        <v>0</v>
      </c>
      <c r="BW29" s="15" t="b">
        <f t="shared" ref="BW29:BW30" ca="1" si="116">IFERROR(IF($AD29,IF(D29&lt;&gt;"",COUNTIF(INDIRECT($D$4),D29)&gt;1,FALSE),FALSE),FALSE)</f>
        <v>0</v>
      </c>
      <c r="BX29" s="15" t="b">
        <f t="shared" ref="BX29:BX30" ca="1" si="117">IFERROR(IF(AE29,IFERROR(INDIRECT(ADDRESS(ROW($B$2),COLUMN($B$2),4,,AF29))&lt;&gt;$B$2,TRUE)),FALSE)</f>
        <v>0</v>
      </c>
      <c r="BY29" s="15" t="b">
        <f t="shared" ref="BY29:BY30" ca="1" si="118">IFERROR(IF(AND(AE29,NOT(BX29)),IF(ISERROR(AH29),TRUE,FALSE)),FALSE)</f>
        <v>0</v>
      </c>
      <c r="BZ29" s="15" t="b">
        <f t="shared" ref="BZ29:BZ30" ca="1" si="119">IFERROR(IF(BE29,BF29&lt;&gt;BG29,FALSE),FALSE)</f>
        <v>0</v>
      </c>
      <c r="CA29" s="15" t="b">
        <f t="shared" ref="CA29:CA30" ca="1" si="120">AND(AR29,AE29,AD29)</f>
        <v>0</v>
      </c>
      <c r="CB29" s="15" t="b">
        <f t="shared" ref="CB29:CB30" ca="1" si="121">ISERROR(COUNT(INDIRECT(J29)))</f>
        <v>0</v>
      </c>
      <c r="CC29" s="15" t="b">
        <f t="shared" ref="CC29:CC30" ca="1" si="122">AND(AD29,AQ29=2,Q29&lt;&gt;"")</f>
        <v>0</v>
      </c>
      <c r="CD29" s="15" t="b">
        <f t="shared" ref="CD29:CD30" ca="1" si="123">AND(AE29,AR29=2,R29&lt;&gt;"")</f>
        <v>0</v>
      </c>
      <c r="CE29" s="15" t="b">
        <f t="shared" ref="CE29:CE30" ca="1" si="124">IF(AD29, IF(AQ29=1, IF(OR(R29,DB29,AK29="" ),FALSE,OR(ISERROR(INDIRECT(T29)))),FALSE),FALSE)</f>
        <v>0</v>
      </c>
      <c r="CF29" s="15" t="b">
        <f t="shared" ref="CF29:CF30" ca="1" si="125">AND($AD29,$AQ29=2,COUNTA( S29)=1)</f>
        <v>0</v>
      </c>
      <c r="CG29" s="15" t="b">
        <f t="shared" ref="CG29:CG30" ca="1" si="126">AND(AND(AQ29&lt;&gt;1,AQ29&lt;&gt;3),G29&lt;&gt;"")</f>
        <v>0</v>
      </c>
      <c r="CH29" s="15" t="b">
        <f t="shared" ref="CH29:CH30" ca="1" si="127">AND(AQ29=1,BK29=3)</f>
        <v>0</v>
      </c>
      <c r="CI29" s="15" t="b">
        <f t="shared" ref="CI29:CI30" si="128">ISERROR(S29)</f>
        <v>0</v>
      </c>
      <c r="CJ29" s="15" t="b">
        <f t="shared" ref="CJ29:CJ30" si="129">IFERROR(IF(S29,TRUE,FALSE),FALSE)</f>
        <v>0</v>
      </c>
      <c r="CK29" s="15" t="b">
        <f t="shared" ref="CK29:CK30" ca="1" si="130">IF(V29&lt;&gt;"",IFERROR(MATCH(V29,INDIRECT($C$4),0)&lt;0,TRUE),FALSE)</f>
        <v>0</v>
      </c>
      <c r="CL29" s="15" t="b">
        <f t="shared" ref="CL29:CL30" ca="1" si="131">IF(W29&lt;&gt;"",IFERROR(MATCH(W29,INDIRECT($C$4),0)&lt;0,TRUE),FALSE)</f>
        <v>0</v>
      </c>
      <c r="CM29" s="15" t="b">
        <f t="shared" ref="CM29:CM30" ca="1" si="132">IF(X29&lt;&gt;"",IFERROR(MATCH(X29,INDIRECT($C$4),0)&lt;0,TRUE),FALSE)</f>
        <v>0</v>
      </c>
      <c r="CN29" s="15" t="b">
        <f t="shared" ref="CN29:CN30" ca="1" si="133">IF(Y29&lt;&gt;"",IFERROR(MATCH(Y29,INDIRECT($C$4),0)&lt;0,TRUE),FALSE)</f>
        <v>0</v>
      </c>
      <c r="CO29" s="15" t="b">
        <f t="shared" ref="CO29:CO30" ca="1" si="134">IF(Z29&lt;&gt;"",IFERROR(MATCH(Z29,INDIRECT($C$4),0)&lt;0,TRUE),FALSE)</f>
        <v>0</v>
      </c>
      <c r="CP29" s="15" t="b">
        <f t="shared" ref="CP29:CP30" ca="1" si="135">IF(AA29&lt;&gt;"",IFERROR(MATCH(AA29,INDIRECT($C$4),0)&lt;0,TRUE),FALSE)</f>
        <v>0</v>
      </c>
      <c r="CQ29" s="15" t="b">
        <f t="shared" ref="CQ29:CQ30" ca="1" si="136">IF(AB29&lt;&gt;"",IFERROR(MATCH(AB29,INDIRECT($C$4),0)&lt;0,TRUE),FALSE)</f>
        <v>0</v>
      </c>
      <c r="CR29" s="21" t="b">
        <f t="shared" ref="CR29:CR30" ca="1" si="137">IF(AC29&lt;&gt;"",IFERROR(MATCH(AC29,INDIRECT($C$4),0)&lt;0,TRUE),FALSE)</f>
        <v>0</v>
      </c>
      <c r="CS29" s="22" t="b">
        <f t="shared" ref="CS29:CS30" ca="1" si="138">AND(DO29&lt;&gt;"",DO29&lt;&gt;0,DO29&lt;&gt;4)</f>
        <v>1</v>
      </c>
      <c r="CT29" s="22" t="b">
        <f t="shared" ref="CT29:CT30" ca="1" si="139">AND(DP29&lt;&gt;"",DP29&lt;&gt;0,DP29&lt;&gt;4)</f>
        <v>1</v>
      </c>
      <c r="CU29" s="22" t="b">
        <f t="shared" ref="CU29:CU30" ca="1" si="140">AND(DQ29&lt;&gt;"",DQ29&lt;&gt;0,DQ29&lt;&gt;4)</f>
        <v>1</v>
      </c>
      <c r="CV29" s="22" t="b">
        <f t="shared" ref="CV29:CV30" ca="1" si="141">AND(DR29&lt;&gt;"",DR29&lt;&gt;0,DR29&lt;&gt;4)</f>
        <v>0</v>
      </c>
      <c r="CW29" s="22" t="b">
        <f t="shared" ref="CW29:CW30" ca="1" si="142">AND(DS29&lt;&gt;"",DS29&lt;&gt;0,DS29&lt;&gt;4)</f>
        <v>0</v>
      </c>
      <c r="CX29" s="22" t="b">
        <f t="shared" ref="CX29:CX30" ca="1" si="143">AND(DT29&lt;&gt;"",DT29&lt;&gt;0,DT29&lt;&gt;4)</f>
        <v>0</v>
      </c>
      <c r="CY29" s="22" t="b">
        <f t="shared" ref="CY29:CY30" ca="1" si="144">AND(DU29&lt;&gt;"",DU29&lt;&gt;0,DU29&lt;&gt;4)</f>
        <v>0</v>
      </c>
      <c r="CZ29" s="21" t="b">
        <f t="shared" ref="CZ29:CZ30" ca="1" si="145">AND(DV29&lt;&gt;"",DV29&lt;&gt;0,DV29&lt;&gt;4)</f>
        <v>0</v>
      </c>
      <c r="DB29" s="22" t="b">
        <f t="shared" ref="DB29:DB30" ca="1" si="146">OR(DC29:DJ29)</f>
        <v>0</v>
      </c>
      <c r="DC29" s="22" t="b">
        <f t="shared" ref="DC29:DC30" ca="1" si="147">AND(DO29=4)</f>
        <v>0</v>
      </c>
      <c r="DD29" s="22" t="b">
        <f t="shared" ref="DD29:DD30" ca="1" si="148">AND(DP29=4)</f>
        <v>0</v>
      </c>
      <c r="DE29" s="22" t="b">
        <f t="shared" ref="DE29:DE30" ca="1" si="149">AND(DQ29=4)</f>
        <v>0</v>
      </c>
      <c r="DF29" s="22" t="b">
        <f t="shared" ref="DF29:DF30" ca="1" si="150">AND(DR29=4)</f>
        <v>0</v>
      </c>
      <c r="DG29" s="22" t="b">
        <f t="shared" ref="DG29:DG30" ca="1" si="151">AND(DS29=4)</f>
        <v>0</v>
      </c>
      <c r="DH29" s="22" t="b">
        <f t="shared" ref="DH29:DH30" ca="1" si="152">AND(DT29=4)</f>
        <v>0</v>
      </c>
      <c r="DI29" s="22" t="b">
        <f t="shared" ref="DI29:DI30" ca="1" si="153">AND(DU29=4)</f>
        <v>0</v>
      </c>
      <c r="DJ29" s="22" t="b">
        <f t="shared" ref="DJ29:DJ30" ca="1" si="154">AND(DV29=4)</f>
        <v>0</v>
      </c>
      <c r="DK29" s="22"/>
      <c r="DO29" s="15">
        <f t="shared" ref="DO29:DO30" ca="1" si="155">IF(V29&lt;&gt;"",IFERROR(INDEX(INDIRECT($BS$4),MATCH(V29,INDIRECT($C$4),0)),100),"")</f>
        <v>25</v>
      </c>
      <c r="DP29" s="15">
        <f t="shared" ref="DP29:DP30" ca="1" si="156">IF(W29&lt;&gt;"",IFERROR(INDEX(INDIRECT($BS$4),MATCH(W29,INDIRECT($C$4),0)),100),"")</f>
        <v>100</v>
      </c>
      <c r="DQ29" s="15">
        <f t="shared" ref="DQ29:DQ30" ca="1" si="157">IF(X29&lt;&gt;"",IFERROR(INDEX(INDIRECT($BS$4),MATCH(X29,INDIRECT($C$4),0)),100),"")</f>
        <v>25</v>
      </c>
      <c r="DR29" s="15" t="str">
        <f t="shared" ref="DR29:DR30" ca="1" si="158">IF(Y29&lt;&gt;"",IFERROR(INDEX(INDIRECT($BS$4),MATCH(Y29,INDIRECT($C$4),0)),100),"")</f>
        <v/>
      </c>
      <c r="DS29" s="15" t="str">
        <f t="shared" ref="DS29:DS30" ca="1" si="159">IF(Z29&lt;&gt;"",IFERROR(INDEX(INDIRECT($BS$4),MATCH(Z29,INDIRECT($C$4),0)),100),"")</f>
        <v/>
      </c>
      <c r="DT29" s="15" t="str">
        <f t="shared" ref="DT29:DT30" ca="1" si="160">IF(AA29&lt;&gt;"",IFERROR(INDEX(INDIRECT($BS$4),MATCH(AA29,INDIRECT($C$4),0)),100),"")</f>
        <v/>
      </c>
      <c r="DU29" s="15" t="str">
        <f t="shared" ref="DU29:DU30" ca="1" si="161">IF(AB29&lt;&gt;"",IFERROR(INDEX(INDIRECT($BS$4),MATCH(AB29,INDIRECT($C$4),0)),100),"")</f>
        <v/>
      </c>
      <c r="DV29" s="15" t="str">
        <f t="shared" ref="DV29:DV30" ca="1" si="162">IF(AC29&lt;&gt;"",IFERROR(INDEX(INDIRECT($BS$4),MATCH(AC29,INDIRECT($C$4),0)),100),"")</f>
        <v/>
      </c>
    </row>
    <row r="30" spans="1:126">
      <c r="A30" s="15">
        <f t="shared" si="19"/>
        <v>18</v>
      </c>
      <c r="B30" s="15" t="str">
        <f t="shared" ca="1" si="73"/>
        <v>Pola, od którego zależy dane pole ma błąd</v>
      </c>
      <c r="C30" s="15" t="s">
        <v>282</v>
      </c>
      <c r="D30" s="15" t="str">
        <f t="shared" si="74"/>
        <v>Zmienne UstawMaxTeoret</v>
      </c>
      <c r="G30" s="15" t="s">
        <v>125</v>
      </c>
      <c r="J30" s="19" t="str">
        <f ca="1">CELL(_CELL_ADDRESS_NAME,variables!AH2)</f>
        <v>'[dane surowe2c.xlsm]variables'!$AH$2</v>
      </c>
      <c r="K30" s="15">
        <f>ster!$C$12</f>
        <v>357</v>
      </c>
      <c r="M30" s="19"/>
      <c r="Q30" s="16"/>
      <c r="T30" s="15" t="str">
        <f t="shared" ca="1" si="75"/>
        <v>'[dane surowe2c.xlsm]variables'!$AH$2:$AH$358</v>
      </c>
      <c r="U30" s="15">
        <f t="shared" ca="1" si="76"/>
        <v>25</v>
      </c>
      <c r="V30" s="15" t="s">
        <v>261</v>
      </c>
      <c r="W30" s="15" t="s">
        <v>226</v>
      </c>
      <c r="X30" s="15" t="s">
        <v>119</v>
      </c>
      <c r="AD30" s="16" t="b">
        <f t="shared" si="77"/>
        <v>1</v>
      </c>
      <c r="AE30" s="16" t="b">
        <f t="shared" si="78"/>
        <v>0</v>
      </c>
      <c r="AF30" s="15" t="str">
        <f t="shared" si="79"/>
        <v/>
      </c>
      <c r="AG30" s="15" t="str">
        <f t="shared" ca="1" si="80"/>
        <v/>
      </c>
      <c r="AH30" s="15" t="str">
        <f t="shared" ca="1" si="81"/>
        <v/>
      </c>
      <c r="AI30" s="15" t="b">
        <f t="shared" ca="1" si="82"/>
        <v>0</v>
      </c>
      <c r="AJ30" s="15" t="str">
        <f t="shared" ca="1" si="83"/>
        <v/>
      </c>
      <c r="AK30" s="27" t="str">
        <f t="shared" ca="1" si="84"/>
        <v/>
      </c>
      <c r="AL30" s="15" t="b">
        <f t="shared" ca="1" si="85"/>
        <v>0</v>
      </c>
      <c r="AM30" s="15" t="str">
        <f t="shared" ca="1" si="86"/>
        <v/>
      </c>
      <c r="AN30" s="15">
        <f t="shared" ca="1" si="87"/>
        <v>3</v>
      </c>
      <c r="AO30" s="15" t="str">
        <f t="shared" ca="1" si="88"/>
        <v/>
      </c>
      <c r="AP30" s="15" t="str">
        <f t="shared" ca="1" si="89"/>
        <v/>
      </c>
      <c r="AQ30" s="27">
        <f t="shared" ca="1" si="90"/>
        <v>1</v>
      </c>
      <c r="AR30" s="15" t="b">
        <f t="shared" ca="1" si="91"/>
        <v>1</v>
      </c>
      <c r="AS30" s="27" t="b">
        <f t="shared" ca="1" si="92"/>
        <v>1</v>
      </c>
      <c r="AT30" s="27" t="b">
        <f t="shared" ca="1" si="93"/>
        <v>1</v>
      </c>
      <c r="AU30" s="27">
        <f t="shared" ca="1" si="94"/>
        <v>21</v>
      </c>
      <c r="AV30" s="16" t="e">
        <f t="shared" ca="1" si="95"/>
        <v>#REF!</v>
      </c>
      <c r="AW30" s="15" t="str">
        <f t="shared" ca="1" si="5"/>
        <v>'[dane surowe2c.xlsm]variables'!$AH$2</v>
      </c>
      <c r="AX30" s="27" t="b">
        <f t="shared" ca="1" si="96"/>
        <v>0</v>
      </c>
      <c r="AY30" s="27" t="b">
        <f t="shared" ca="1" si="97"/>
        <v>0</v>
      </c>
      <c r="AZ30" s="15">
        <f t="shared" ca="1" si="98"/>
        <v>1</v>
      </c>
      <c r="BA30" s="15">
        <f t="shared" ca="1" si="99"/>
        <v>357</v>
      </c>
      <c r="BB30" s="15" t="str">
        <f t="shared" ca="1" si="100"/>
        <v>'[dane surowe2c.xlsm]variables'!$AH$2</v>
      </c>
      <c r="BC30" s="15" t="str">
        <f t="shared" ca="1" si="101"/>
        <v>'[dane surowe2c.xlsm]variables'!$AH$2:$AH$358</v>
      </c>
      <c r="BD30" s="15" t="b">
        <f t="shared" ca="1" si="102"/>
        <v>1</v>
      </c>
      <c r="BE30" s="15" t="b">
        <f t="shared" ca="1" si="103"/>
        <v>0</v>
      </c>
      <c r="BF30" s="15" t="str">
        <f t="shared" ca="1" si="104"/>
        <v/>
      </c>
      <c r="BG30" s="15" t="str">
        <f t="shared" ca="1" si="105"/>
        <v/>
      </c>
      <c r="BH30" s="15">
        <f t="array" aca="1" ref="BH30" ca="1">IF(IFERROR( S30,1),1,IF(BC30="","", SUM(IF(ISERROR(INDIRECT(BC30)),1,0))))</f>
        <v>0</v>
      </c>
      <c r="BI30" s="15" t="b">
        <f t="shared" si="106"/>
        <v>0</v>
      </c>
      <c r="BJ30" s="15" t="b">
        <f t="shared" si="107"/>
        <v>1</v>
      </c>
      <c r="BK30" s="15">
        <f t="shared" ca="1" si="108"/>
        <v>2</v>
      </c>
      <c r="BL30" s="15">
        <f t="shared" ca="1" si="109"/>
        <v>2</v>
      </c>
      <c r="BP30" s="15" t="b">
        <f t="shared" si="110"/>
        <v>1</v>
      </c>
      <c r="BQ30" s="15" t="b">
        <f t="shared" ca="1" si="111"/>
        <v>1</v>
      </c>
      <c r="BR30" s="15">
        <f t="shared" ca="1" si="112"/>
        <v>25</v>
      </c>
      <c r="BS30" s="15">
        <f t="shared" ca="1" si="113"/>
        <v>25</v>
      </c>
      <c r="BT30" s="15" t="str">
        <f t="shared" ca="1" si="114"/>
        <v>Pola, od którego zależy dane pole ma błąd</v>
      </c>
      <c r="BV30" s="15" t="b">
        <f t="shared" ca="1" si="115"/>
        <v>0</v>
      </c>
      <c r="BW30" s="15" t="b">
        <f t="shared" ca="1" si="116"/>
        <v>0</v>
      </c>
      <c r="BX30" s="15" t="b">
        <f t="shared" ca="1" si="117"/>
        <v>0</v>
      </c>
      <c r="BY30" s="15" t="b">
        <f t="shared" ca="1" si="118"/>
        <v>0</v>
      </c>
      <c r="BZ30" s="15" t="b">
        <f t="shared" ca="1" si="119"/>
        <v>0</v>
      </c>
      <c r="CA30" s="15" t="b">
        <f t="shared" ca="1" si="120"/>
        <v>0</v>
      </c>
      <c r="CB30" s="15" t="b">
        <f t="shared" ca="1" si="121"/>
        <v>0</v>
      </c>
      <c r="CC30" s="15" t="b">
        <f t="shared" ca="1" si="122"/>
        <v>0</v>
      </c>
      <c r="CD30" s="15" t="b">
        <f t="shared" ca="1" si="123"/>
        <v>0</v>
      </c>
      <c r="CE30" s="15" t="b">
        <f t="shared" ca="1" si="124"/>
        <v>0</v>
      </c>
      <c r="CF30" s="15" t="b">
        <f t="shared" ca="1" si="125"/>
        <v>0</v>
      </c>
      <c r="CG30" s="15" t="b">
        <f t="shared" ca="1" si="126"/>
        <v>0</v>
      </c>
      <c r="CH30" s="15" t="b">
        <f t="shared" ca="1" si="127"/>
        <v>0</v>
      </c>
      <c r="CI30" s="15" t="b">
        <f t="shared" si="128"/>
        <v>0</v>
      </c>
      <c r="CJ30" s="15" t="b">
        <f t="shared" si="129"/>
        <v>0</v>
      </c>
      <c r="CK30" s="15" t="b">
        <f t="shared" ca="1" si="130"/>
        <v>0</v>
      </c>
      <c r="CL30" s="15" t="b">
        <f t="shared" ca="1" si="131"/>
        <v>0</v>
      </c>
      <c r="CM30" s="15" t="b">
        <f t="shared" ca="1" si="132"/>
        <v>0</v>
      </c>
      <c r="CN30" s="15" t="b">
        <f t="shared" ca="1" si="133"/>
        <v>0</v>
      </c>
      <c r="CO30" s="15" t="b">
        <f t="shared" ca="1" si="134"/>
        <v>0</v>
      </c>
      <c r="CP30" s="15" t="b">
        <f t="shared" ca="1" si="135"/>
        <v>0</v>
      </c>
      <c r="CQ30" s="15" t="b">
        <f t="shared" ca="1" si="136"/>
        <v>0</v>
      </c>
      <c r="CR30" s="21" t="b">
        <f t="shared" ca="1" si="137"/>
        <v>0</v>
      </c>
      <c r="CS30" s="22" t="b">
        <f t="shared" ca="1" si="138"/>
        <v>1</v>
      </c>
      <c r="CT30" s="22" t="b">
        <f t="shared" ca="1" si="139"/>
        <v>1</v>
      </c>
      <c r="CU30" s="22" t="b">
        <f t="shared" ca="1" si="140"/>
        <v>1</v>
      </c>
      <c r="CV30" s="22" t="b">
        <f t="shared" ca="1" si="141"/>
        <v>0</v>
      </c>
      <c r="CW30" s="22" t="b">
        <f t="shared" ca="1" si="142"/>
        <v>0</v>
      </c>
      <c r="CX30" s="22" t="b">
        <f t="shared" ca="1" si="143"/>
        <v>0</v>
      </c>
      <c r="CY30" s="22" t="b">
        <f t="shared" ca="1" si="144"/>
        <v>0</v>
      </c>
      <c r="CZ30" s="21" t="b">
        <f t="shared" ca="1" si="145"/>
        <v>0</v>
      </c>
      <c r="DB30" s="22" t="b">
        <f t="shared" ca="1" si="146"/>
        <v>0</v>
      </c>
      <c r="DC30" s="22" t="b">
        <f t="shared" ca="1" si="147"/>
        <v>0</v>
      </c>
      <c r="DD30" s="22" t="b">
        <f t="shared" ca="1" si="148"/>
        <v>0</v>
      </c>
      <c r="DE30" s="22" t="b">
        <f t="shared" ca="1" si="149"/>
        <v>0</v>
      </c>
      <c r="DF30" s="22" t="b">
        <f t="shared" ca="1" si="150"/>
        <v>0</v>
      </c>
      <c r="DG30" s="22" t="b">
        <f t="shared" ca="1" si="151"/>
        <v>0</v>
      </c>
      <c r="DH30" s="22" t="b">
        <f t="shared" ca="1" si="152"/>
        <v>0</v>
      </c>
      <c r="DI30" s="22" t="b">
        <f t="shared" ca="1" si="153"/>
        <v>0</v>
      </c>
      <c r="DJ30" s="22" t="b">
        <f t="shared" ca="1" si="154"/>
        <v>0</v>
      </c>
      <c r="DK30" s="22"/>
      <c r="DO30" s="15">
        <f t="shared" ca="1" si="155"/>
        <v>25</v>
      </c>
      <c r="DP30" s="15">
        <f t="shared" ca="1" si="156"/>
        <v>100</v>
      </c>
      <c r="DQ30" s="15">
        <f t="shared" ca="1" si="157"/>
        <v>25</v>
      </c>
      <c r="DR30" s="15" t="str">
        <f t="shared" ca="1" si="158"/>
        <v/>
      </c>
      <c r="DS30" s="15" t="str">
        <f t="shared" ca="1" si="159"/>
        <v/>
      </c>
      <c r="DT30" s="15" t="str">
        <f t="shared" ca="1" si="160"/>
        <v/>
      </c>
      <c r="DU30" s="15" t="str">
        <f t="shared" ca="1" si="161"/>
        <v/>
      </c>
      <c r="DV30" s="15" t="str">
        <f t="shared" ca="1" si="162"/>
        <v/>
      </c>
    </row>
    <row r="31" spans="1:126">
      <c r="A31" s="15">
        <f t="shared" si="19"/>
        <v>19</v>
      </c>
      <c r="B31" s="15" t="str">
        <f t="shared" ca="1" si="70"/>
        <v>Pola, od którego zależy dane pole ma błąd</v>
      </c>
      <c r="C31" s="15" t="s">
        <v>129</v>
      </c>
      <c r="D31" s="15" t="str">
        <f t="shared" si="21"/>
        <v>Zmienne ProcPolLiczbowych</v>
      </c>
      <c r="G31" s="15" t="s">
        <v>91</v>
      </c>
      <c r="J31" s="19" t="str">
        <f ca="1">CELL(_CELL_ADDRESS_NAME,variables!S2)</f>
        <v>'[dane surowe2c.xlsm]variables'!$S$2</v>
      </c>
      <c r="K31" s="15">
        <f>ster!$C$12</f>
        <v>357</v>
      </c>
      <c r="M31" s="19"/>
      <c r="Q31" s="16"/>
      <c r="T31" s="15" t="str">
        <f t="shared" ca="1" si="71"/>
        <v>'[dane surowe2c.xlsm]variables'!$S$2:$S$358</v>
      </c>
      <c r="U31" s="15">
        <f t="shared" ca="1" si="72"/>
        <v>25</v>
      </c>
      <c r="V31" s="15" t="s">
        <v>261</v>
      </c>
      <c r="W31" s="15" t="s">
        <v>94</v>
      </c>
      <c r="X31" s="15" t="s">
        <v>119</v>
      </c>
      <c r="AD31" s="16" t="b">
        <f t="shared" si="40"/>
        <v>1</v>
      </c>
      <c r="AE31" s="16" t="b">
        <f t="shared" si="41"/>
        <v>0</v>
      </c>
      <c r="AF31" s="15" t="str">
        <f t="shared" si="68"/>
        <v/>
      </c>
      <c r="AG31" s="15" t="str">
        <f t="shared" ca="1" si="1"/>
        <v/>
      </c>
      <c r="AH31" s="15" t="str">
        <f t="shared" ca="1" si="2"/>
        <v/>
      </c>
      <c r="AI31" s="15" t="b">
        <f t="shared" ca="1" si="3"/>
        <v>0</v>
      </c>
      <c r="AJ31" s="15" t="str">
        <f t="shared" ca="1" si="24"/>
        <v/>
      </c>
      <c r="AK31" s="27" t="str">
        <f t="shared" ca="1" si="42"/>
        <v/>
      </c>
      <c r="AL31" s="15" t="b">
        <f t="shared" ca="1" si="4"/>
        <v>0</v>
      </c>
      <c r="AM31" s="15" t="str">
        <f t="shared" ca="1" si="43"/>
        <v/>
      </c>
      <c r="AN31" s="15">
        <f t="shared" ca="1" si="44"/>
        <v>3</v>
      </c>
      <c r="AO31" s="15" t="str">
        <f t="shared" ca="1" si="25"/>
        <v/>
      </c>
      <c r="AP31" s="15" t="str">
        <f t="shared" ca="1" si="69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21</v>
      </c>
      <c r="AV31" s="16" t="e">
        <f t="shared" ca="1" si="51"/>
        <v>#REF!</v>
      </c>
      <c r="AW31" s="15" t="str">
        <f t="shared" ca="1" si="5"/>
        <v>'[dane surowe2c.xlsm]variables'!$S$2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6"/>
        <v>357</v>
      </c>
      <c r="BB31" s="15" t="str">
        <f t="shared" ca="1" si="55"/>
        <v>'[dane surowe2c.xlsm]variables'!$S$2</v>
      </c>
      <c r="BC31" s="15" t="str">
        <f t="shared" ca="1" si="27"/>
        <v>'[dane surowe2c.xlsm]variables'!$S$2:$S$358</v>
      </c>
      <c r="BD31" s="15" t="b">
        <f t="shared" ca="1" si="56"/>
        <v>1</v>
      </c>
      <c r="BE31" s="15" t="b">
        <f t="shared" ca="1" si="6"/>
        <v>1</v>
      </c>
      <c r="BF31" s="15">
        <f t="shared" ca="1" si="7"/>
        <v>357</v>
      </c>
      <c r="BG31" s="15">
        <f t="shared" ca="1" si="8"/>
        <v>357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9"/>
        <v>1</v>
      </c>
      <c r="BL31" s="15">
        <f t="shared" ca="1" si="10"/>
        <v>1</v>
      </c>
      <c r="BP31" s="15" t="b">
        <f t="shared" si="28"/>
        <v>1</v>
      </c>
      <c r="BQ31" s="15" t="b">
        <f t="shared" ca="1" si="29"/>
        <v>1</v>
      </c>
      <c r="BR31" s="15">
        <f t="shared" ca="1" si="11"/>
        <v>25</v>
      </c>
      <c r="BS31" s="15">
        <f t="shared" ca="1" si="30"/>
        <v>25</v>
      </c>
      <c r="BT31" s="15" t="str">
        <f t="shared" ca="1" si="12"/>
        <v>Pola, od którego zależy dane pole ma błąd</v>
      </c>
      <c r="BV31" s="15" t="b">
        <f t="shared" ca="1" si="31"/>
        <v>0</v>
      </c>
      <c r="BW31" s="15" t="b">
        <f t="shared" ca="1" si="32"/>
        <v>0</v>
      </c>
      <c r="BX31" s="15" t="b">
        <f t="shared" ca="1" si="33"/>
        <v>0</v>
      </c>
      <c r="BY31" s="15" t="b">
        <f t="shared" ca="1" si="13"/>
        <v>0</v>
      </c>
      <c r="BZ31" s="15" t="b">
        <f t="shared" ca="1" si="34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5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4"/>
        <v>0</v>
      </c>
      <c r="CI31" s="15" t="b">
        <f t="shared" si="36"/>
        <v>0</v>
      </c>
      <c r="CJ31" s="15" t="b">
        <f t="shared" si="37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16"/>
        <v>1</v>
      </c>
      <c r="CT31" s="22" t="b">
        <f t="shared" ca="1" si="16"/>
        <v>1</v>
      </c>
      <c r="CU31" s="22" t="b">
        <f t="shared" ca="1" si="16"/>
        <v>1</v>
      </c>
      <c r="CV31" s="22" t="b">
        <f t="shared" ca="1" si="16"/>
        <v>0</v>
      </c>
      <c r="CW31" s="22" t="b">
        <f t="shared" ca="1" si="16"/>
        <v>0</v>
      </c>
      <c r="CX31" s="22" t="b">
        <f t="shared" ca="1" si="16"/>
        <v>0</v>
      </c>
      <c r="CY31" s="22" t="b">
        <f t="shared" ca="1" si="16"/>
        <v>0</v>
      </c>
      <c r="CZ31" s="21" t="b">
        <f t="shared" ca="1" si="16"/>
        <v>0</v>
      </c>
      <c r="DB31" s="22" t="b">
        <f t="shared" ca="1" si="38"/>
        <v>0</v>
      </c>
      <c r="DC31" s="22" t="b">
        <f t="shared" ca="1" si="39"/>
        <v>0</v>
      </c>
      <c r="DD31" s="22" t="b">
        <f t="shared" ca="1" si="17"/>
        <v>0</v>
      </c>
      <c r="DE31" s="22" t="b">
        <f t="shared" ca="1" si="17"/>
        <v>0</v>
      </c>
      <c r="DF31" s="22" t="b">
        <f t="shared" ca="1" si="17"/>
        <v>0</v>
      </c>
      <c r="DG31" s="22" t="b">
        <f t="shared" ca="1" si="17"/>
        <v>0</v>
      </c>
      <c r="DH31" s="22" t="b">
        <f t="shared" ca="1" si="17"/>
        <v>0</v>
      </c>
      <c r="DI31" s="22" t="b">
        <f t="shared" ca="1" si="17"/>
        <v>0</v>
      </c>
      <c r="DJ31" s="22" t="b">
        <f t="shared" ca="1" si="17"/>
        <v>0</v>
      </c>
      <c r="DK31" s="22"/>
      <c r="DO31" s="15">
        <f t="shared" ca="1" si="18"/>
        <v>25</v>
      </c>
      <c r="DP31" s="15">
        <f t="shared" ca="1" si="18"/>
        <v>100</v>
      </c>
      <c r="DQ31" s="15">
        <f t="shared" ca="1" si="18"/>
        <v>25</v>
      </c>
      <c r="DR31" s="15" t="str">
        <f t="shared" ca="1" si="18"/>
        <v/>
      </c>
      <c r="DS31" s="15" t="str">
        <f t="shared" ca="1" si="18"/>
        <v/>
      </c>
      <c r="DT31" s="15" t="str">
        <f t="shared" ca="1" si="18"/>
        <v/>
      </c>
      <c r="DU31" s="15" t="str">
        <f t="shared" ca="1" si="18"/>
        <v/>
      </c>
      <c r="DV31" s="15" t="str">
        <f t="shared" ca="1" si="18"/>
        <v/>
      </c>
    </row>
    <row r="32" spans="1:126">
      <c r="A32" s="15">
        <f t="shared" si="19"/>
        <v>20</v>
      </c>
      <c r="B32" s="15" t="str">
        <f t="shared" ca="1" si="70"/>
        <v>Pola, od którego zależy dane pole ma błąd</v>
      </c>
      <c r="C32" s="15" t="s">
        <v>101</v>
      </c>
      <c r="D32" s="15" t="str">
        <f t="shared" si="21"/>
        <v>Zmienne Istnieje</v>
      </c>
      <c r="G32" s="15" t="s">
        <v>91</v>
      </c>
      <c r="J32" s="19" t="str">
        <f ca="1">CELL(_CELL_ADDRESS_NAME,variables!AD2)</f>
        <v>'[dane surowe2c.xlsm]variables'!$AD$2</v>
      </c>
      <c r="K32" s="15">
        <f>ster!$C$12</f>
        <v>357</v>
      </c>
      <c r="M32" s="19"/>
      <c r="Q32" s="16"/>
      <c r="T32" s="15" t="str">
        <f t="shared" ca="1" si="71"/>
        <v>'[dane surowe2c.xlsm]variables'!$AD$2:$AD$358</v>
      </c>
      <c r="U32" s="15">
        <f t="shared" ca="1" si="72"/>
        <v>25</v>
      </c>
      <c r="V32" s="15" t="s">
        <v>261</v>
      </c>
      <c r="W32" s="15" t="s">
        <v>94</v>
      </c>
      <c r="X32" s="15" t="s">
        <v>119</v>
      </c>
      <c r="AD32" s="16" t="b">
        <f t="shared" si="40"/>
        <v>1</v>
      </c>
      <c r="AE32" s="16" t="b">
        <f t="shared" si="41"/>
        <v>0</v>
      </c>
      <c r="AF32" s="15" t="str">
        <f t="shared" si="68"/>
        <v/>
      </c>
      <c r="AG32" s="15" t="str">
        <f t="shared" ca="1" si="1"/>
        <v/>
      </c>
      <c r="AH32" s="15" t="str">
        <f t="shared" ca="1" si="2"/>
        <v/>
      </c>
      <c r="AI32" s="15" t="b">
        <f t="shared" ca="1" si="3"/>
        <v>0</v>
      </c>
      <c r="AJ32" s="15" t="str">
        <f t="shared" ca="1" si="24"/>
        <v/>
      </c>
      <c r="AK32" s="27" t="str">
        <f t="shared" ca="1" si="42"/>
        <v/>
      </c>
      <c r="AL32" s="15" t="b">
        <f t="shared" ca="1" si="4"/>
        <v>0</v>
      </c>
      <c r="AM32" s="15" t="str">
        <f t="shared" ca="1" si="43"/>
        <v/>
      </c>
      <c r="AN32" s="15">
        <f t="shared" ca="1" si="44"/>
        <v>3</v>
      </c>
      <c r="AO32" s="15" t="str">
        <f t="shared" ca="1" si="25"/>
        <v/>
      </c>
      <c r="AP32" s="15" t="str">
        <f t="shared" ca="1" si="69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21</v>
      </c>
      <c r="AV32" s="16" t="e">
        <f t="shared" ca="1" si="51"/>
        <v>#REF!</v>
      </c>
      <c r="AW32" s="15" t="str">
        <f t="shared" ca="1" si="5"/>
        <v>'[dane surowe2c.xlsm]variables'!$AD$2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6"/>
        <v>357</v>
      </c>
      <c r="BB32" s="15" t="str">
        <f t="shared" ca="1" si="55"/>
        <v>'[dane surowe2c.xlsm]variables'!$AD$2</v>
      </c>
      <c r="BC32" s="15" t="str">
        <f t="shared" ca="1" si="27"/>
        <v>'[dane surowe2c.xlsm]variables'!$AD$2:$AD$358</v>
      </c>
      <c r="BD32" s="15" t="b">
        <f t="shared" ca="1" si="56"/>
        <v>1</v>
      </c>
      <c r="BE32" s="15" t="b">
        <f t="shared" ca="1" si="6"/>
        <v>1</v>
      </c>
      <c r="BF32" s="15">
        <f t="shared" ca="1" si="7"/>
        <v>357</v>
      </c>
      <c r="BG32" s="15">
        <f t="shared" ca="1" si="8"/>
        <v>357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9"/>
        <v>1</v>
      </c>
      <c r="BL32" s="15">
        <f t="shared" ca="1" si="10"/>
        <v>1</v>
      </c>
      <c r="BP32" s="15" t="b">
        <f t="shared" si="28"/>
        <v>1</v>
      </c>
      <c r="BQ32" s="15" t="b">
        <f t="shared" ca="1" si="29"/>
        <v>1</v>
      </c>
      <c r="BR32" s="15">
        <f t="shared" ca="1" si="11"/>
        <v>25</v>
      </c>
      <c r="BS32" s="15">
        <f t="shared" ca="1" si="30"/>
        <v>25</v>
      </c>
      <c r="BT32" s="15" t="str">
        <f t="shared" ca="1" si="12"/>
        <v>Pola, od którego zależy dane pole ma błąd</v>
      </c>
      <c r="BV32" s="15" t="b">
        <f t="shared" ca="1" si="31"/>
        <v>0</v>
      </c>
      <c r="BW32" s="15" t="b">
        <f t="shared" ca="1" si="32"/>
        <v>0</v>
      </c>
      <c r="BX32" s="15" t="b">
        <f t="shared" ca="1" si="33"/>
        <v>0</v>
      </c>
      <c r="BY32" s="15" t="b">
        <f t="shared" ca="1" si="13"/>
        <v>0</v>
      </c>
      <c r="BZ32" s="15" t="b">
        <f t="shared" ca="1" si="34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5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4"/>
        <v>0</v>
      </c>
      <c r="CI32" s="15" t="b">
        <f t="shared" si="36"/>
        <v>0</v>
      </c>
      <c r="CJ32" s="15" t="b">
        <f t="shared" si="37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16"/>
        <v>1</v>
      </c>
      <c r="CT32" s="22" t="b">
        <f t="shared" ca="1" si="16"/>
        <v>1</v>
      </c>
      <c r="CU32" s="22" t="b">
        <f t="shared" ca="1" si="16"/>
        <v>1</v>
      </c>
      <c r="CV32" s="22" t="b">
        <f t="shared" ca="1" si="16"/>
        <v>0</v>
      </c>
      <c r="CW32" s="22" t="b">
        <f t="shared" ca="1" si="16"/>
        <v>0</v>
      </c>
      <c r="CX32" s="22" t="b">
        <f t="shared" ca="1" si="16"/>
        <v>0</v>
      </c>
      <c r="CY32" s="22" t="b">
        <f t="shared" ca="1" si="16"/>
        <v>0</v>
      </c>
      <c r="CZ32" s="21" t="b">
        <f t="shared" ca="1" si="16"/>
        <v>0</v>
      </c>
      <c r="DB32" s="22" t="b">
        <f t="shared" ca="1" si="38"/>
        <v>0</v>
      </c>
      <c r="DC32" s="22" t="b">
        <f t="shared" ca="1" si="39"/>
        <v>0</v>
      </c>
      <c r="DD32" s="22" t="b">
        <f t="shared" ca="1" si="17"/>
        <v>0</v>
      </c>
      <c r="DE32" s="22" t="b">
        <f t="shared" ca="1" si="17"/>
        <v>0</v>
      </c>
      <c r="DF32" s="22" t="b">
        <f t="shared" ca="1" si="17"/>
        <v>0</v>
      </c>
      <c r="DG32" s="22" t="b">
        <f t="shared" ca="1" si="17"/>
        <v>0</v>
      </c>
      <c r="DH32" s="22" t="b">
        <f t="shared" ca="1" si="17"/>
        <v>0</v>
      </c>
      <c r="DI32" s="22" t="b">
        <f t="shared" ca="1" si="17"/>
        <v>0</v>
      </c>
      <c r="DJ32" s="22" t="b">
        <f t="shared" ca="1" si="17"/>
        <v>0</v>
      </c>
      <c r="DK32" s="22"/>
      <c r="DO32" s="15">
        <f t="shared" ca="1" si="18"/>
        <v>25</v>
      </c>
      <c r="DP32" s="15">
        <f t="shared" ca="1" si="18"/>
        <v>100</v>
      </c>
      <c r="DQ32" s="15">
        <f t="shared" ca="1" si="18"/>
        <v>25</v>
      </c>
      <c r="DR32" s="15" t="str">
        <f t="shared" ca="1" si="18"/>
        <v/>
      </c>
      <c r="DS32" s="15" t="str">
        <f t="shared" ca="1" si="18"/>
        <v/>
      </c>
      <c r="DT32" s="15" t="str">
        <f t="shared" ca="1" si="18"/>
        <v/>
      </c>
      <c r="DU32" s="15" t="str">
        <f t="shared" ca="1" si="18"/>
        <v/>
      </c>
      <c r="DV32" s="15" t="str">
        <f t="shared" ca="1" si="18"/>
        <v/>
      </c>
    </row>
    <row r="33" spans="1:126">
      <c r="A33" s="15">
        <f t="shared" si="19"/>
        <v>21</v>
      </c>
      <c r="B33" s="15" t="str">
        <f t="shared" ref="B33:B36" ca="1" si="163">IF(AD33,IF(BS33&gt;0,BT33,IF(DA33,"Pole zależy od pól, które zależą od zamkniętego workbooka","ok.")),"")</f>
        <v>Pola, od którego zależy dane pole ma błąd</v>
      </c>
      <c r="C33" s="15" t="s">
        <v>279</v>
      </c>
      <c r="D33" s="15" t="str">
        <f t="shared" ref="D33:D36" si="164">IF(C33="","",C33)</f>
        <v>Zmienne CzyDyskretna</v>
      </c>
      <c r="G33" s="15" t="s">
        <v>91</v>
      </c>
      <c r="J33" s="19" t="str">
        <f ca="1">CELL(_CELL_ADDRESS_NAME,variables!Z2)</f>
        <v>'[dane surowe2c.xlsm]variables'!$Z$2</v>
      </c>
      <c r="K33" s="15">
        <f>ster!$C$12</f>
        <v>357</v>
      </c>
      <c r="M33" s="19"/>
      <c r="Q33" s="16"/>
      <c r="T33" s="15" t="str">
        <f t="shared" ref="T33:T36" ca="1" si="165">BC33</f>
        <v>'[dane surowe2c.xlsm]variables'!$Z$2:$Z$358</v>
      </c>
      <c r="U33" s="15">
        <f t="shared" ref="U33:U36" ca="1" si="166">IF(AD33,BS33,"")</f>
        <v>25</v>
      </c>
      <c r="V33" s="15" t="s">
        <v>261</v>
      </c>
      <c r="W33" s="15" t="s">
        <v>94</v>
      </c>
      <c r="X33" s="15" t="s">
        <v>119</v>
      </c>
      <c r="AD33" s="16" t="b">
        <f t="shared" ref="AD33:AD36" si="167">C33&lt;&gt;""</f>
        <v>1</v>
      </c>
      <c r="AE33" s="16" t="b">
        <f t="shared" ref="AE33:AE36" si="168">AND(I33&lt;&gt;"",H33&lt;&gt;"")</f>
        <v>0</v>
      </c>
      <c r="AF33" s="15" t="str">
        <f t="shared" ref="AF33:AF36" si="169">IF(AE33,"[" &amp; H33 &amp; "]" &amp; $B$2,"")</f>
        <v/>
      </c>
      <c r="AG33" s="15" t="str">
        <f t="shared" ref="AG33:AG36" ca="1" si="170">IF(AND(AE33,NOT(BX33)),INDIRECT(ADDRESS(ROW($D$4),COLUMN($D$4),,,AF33)),"")</f>
        <v/>
      </c>
      <c r="AH33" s="15" t="str">
        <f t="shared" ref="AH33:AH36" ca="1" si="171">IF(AND(AE33,NOT(BX33)),MATCH(I33,INDIRECT(AG33),0),"")</f>
        <v/>
      </c>
      <c r="AI33" s="15" t="b">
        <f t="shared" ref="AI33:AI36" ca="1" si="172">AND(AE33,NOT(BX33),NOT(BY33))</f>
        <v>0</v>
      </c>
      <c r="AJ33" s="15" t="str">
        <f t="shared" ref="AJ33:AJ36" ca="1" si="173">IF(AE33,INDIRECT(ADDRESS(ROW($T$4),COLUMN($T$4),,,AF33)),"")</f>
        <v/>
      </c>
      <c r="AK33" s="27" t="str">
        <f t="shared" ref="AK33:AK36" ca="1" si="174">IF(AE33,INDEX(INDIRECT(AJ33),AH33),"")</f>
        <v/>
      </c>
      <c r="AL33" s="15" t="b">
        <f t="shared" ref="AL33:AL36" ca="1" si="175">AND(AE33,NOT(OR(BX33,BY33)))</f>
        <v>0</v>
      </c>
      <c r="AM33" s="15" t="str">
        <f t="shared" ref="AM33:AM36" ca="1" si="176">IF(AE33,INDIRECT(ADDRESS(ROW($BK$4),COLUMN($BK$4),,,AF33)),"")</f>
        <v/>
      </c>
      <c r="AN33" s="15">
        <f t="shared" ref="AN33:AN36" ca="1" si="177">IFERROR(IF(AE33,INDEX(INDIRECT(AM33),AH33),3),3)</f>
        <v>3</v>
      </c>
      <c r="AO33" s="15" t="str">
        <f t="shared" ref="AO33:AO36" ca="1" si="178">IF(AE33,INDIRECT(ADDRESS(ROW($BS$4),COLUMN($BS$4),,,AF33)),"")</f>
        <v/>
      </c>
      <c r="AP33" s="15" t="str">
        <f t="shared" ref="AP33:AP36" ca="1" si="179">IF(AQ33=2,INDEX(INDIRECT(AO33),AH33),"")</f>
        <v/>
      </c>
      <c r="AQ33" s="27">
        <f t="shared" ref="AQ33:AQ36" ca="1" si="180">IF(AND(AE33,NOT(AR33)),2,IF(AND(AR33,NOT(AE33)),1,IF(AND(NOT(AE33),NOT(AR33)),4,3)))</f>
        <v>1</v>
      </c>
      <c r="AR33" s="15" t="b">
        <f t="shared" ref="AR33:AR36" ca="1" si="181">AND(J33&lt;&gt;"",AD33)</f>
        <v>1</v>
      </c>
      <c r="AS33" s="27" t="b">
        <f t="shared" ref="AS33:AS36" ca="1" si="182">NOT(ISERROR(FIND("[",J33)))</f>
        <v>1</v>
      </c>
      <c r="AT33" s="27" t="b">
        <f t="shared" ref="AT33:AT36" ca="1" si="183">MID(J33,1,1)="'"</f>
        <v>1</v>
      </c>
      <c r="AU33" s="27">
        <f t="shared" ref="AU33:AU36" ca="1" si="184">IF(AS33,FIND("]",J33),"")</f>
        <v>21</v>
      </c>
      <c r="AV33" s="16" t="e">
        <f t="shared" ref="AV33:AV36" ca="1" si="185">IF(AS33,MID(J33,1,AU33)&lt;&gt;$V$2,FALSE)</f>
        <v>#REF!</v>
      </c>
      <c r="AW33" s="15" t="str">
        <f t="shared" ca="1" si="5"/>
        <v>'[dane surowe2c.xlsm]variables'!$Z$2</v>
      </c>
      <c r="AX33" s="27" t="b">
        <f t="shared" ref="AX33:AX36" ca="1" si="186">IF(AR33,ROWS(INDIRECT(AW33))&gt;1)</f>
        <v>0</v>
      </c>
      <c r="AY33" s="27" t="b">
        <f t="shared" ref="AY33:AY36" ca="1" si="187">IF(AR33,COLUMNS(INDIRECT(AW33))&gt;1)</f>
        <v>0</v>
      </c>
      <c r="AZ33" s="15">
        <f t="shared" ref="AZ33:AZ36" ca="1" si="188">IF($AE33,IF(NOT(AI33),"?",COLUMNS(INDIRECT($AK33))),IF($AD33,IF(L33="",1,L33)))</f>
        <v>1</v>
      </c>
      <c r="BA33" s="15">
        <f t="shared" ref="BA33:BA36" ca="1" si="189">IF($AE33,IF(NOT(AI33),"?",ROWS(INDIRECT($AK33))),IF($AD33,IF(K33="",1,K33)))</f>
        <v>357</v>
      </c>
      <c r="BB33" s="15" t="str">
        <f t="shared" ref="BB33:BB36" ca="1" si="190">IF(AD33,CHOOSE(AQ33,AW33,AK33,"?"),"")</f>
        <v>'[dane surowe2c.xlsm]variables'!$Z$2</v>
      </c>
      <c r="BC33" s="15" t="str">
        <f t="shared" ref="BC33:BC36" ca="1" si="191">IFERROR(IF(MIN(AZ33:BA33)&lt;=0,"",  BB33 &amp; IF(AND(OR(AZ33&gt;1,BA33&gt;1),AQ33=1), ":" &amp; ADDRESS(ROW(INDIRECT(BB33)) +BA33-1,COLUMN(INDIRECT(BB33))+AZ33-1),"")),"")</f>
        <v>'[dane surowe2c.xlsm]variables'!$Z$2:$Z$358</v>
      </c>
      <c r="BD33" s="15" t="b">
        <f t="shared" ref="BD33:BD36" ca="1" si="192">AZ33*BA33&gt;1</f>
        <v>1</v>
      </c>
      <c r="BE33" s="15" t="b">
        <f t="shared" ref="BE33:BE36" ca="1" si="193">IF(AND(AD33,AQ33=1),IF(Q33="",BI33, IF(Q33,TRUE,FALSE)),FALSE)</f>
        <v>1</v>
      </c>
      <c r="BF33" s="15">
        <f t="shared" ref="BF33:BF36" ca="1" si="194">IF(BE33,COUNTA(INDIRECT(BC33)),"")</f>
        <v>357</v>
      </c>
      <c r="BG33" s="15">
        <f t="shared" ref="BG33:BG36" ca="1" si="195">IF(BE33,AZ33*BA33,"")</f>
        <v>357</v>
      </c>
      <c r="BH33" s="15">
        <f t="array" aca="1" ref="BH33" ca="1">IF(IFERROR( S33,1),1,IF(BC33="","", SUM(IF(ISERROR(INDIRECT(BC33)),1,0))))</f>
        <v>0</v>
      </c>
      <c r="BI33" s="15" t="b">
        <f t="shared" ref="BI33:BI36" si="196">G33="r"</f>
        <v>1</v>
      </c>
      <c r="BJ33" s="15" t="b">
        <f t="shared" ref="BJ33:BJ36" si="197">G33="W"</f>
        <v>0</v>
      </c>
      <c r="BK33" s="15">
        <f t="shared" ref="BK33:BK36" ca="1" si="198">IF(AR33,IF(AND(BI33,NOT(BJ33)),1,IF(AND(BJ33,NOT(BI33)),2,3)),"")</f>
        <v>1</v>
      </c>
      <c r="BL33" s="15">
        <f t="shared" ref="BL33:BL36" ca="1" si="199">CHOOSE(AQ33,BK33,AN33,3,4)</f>
        <v>1</v>
      </c>
      <c r="BP33" s="15" t="b">
        <f t="shared" ref="BP33:BP36" si="200">IF(AD33,IF(M33="",TRUE,NOT(M33)),FALSE)</f>
        <v>1</v>
      </c>
      <c r="BQ33" s="15" t="b">
        <f t="shared" ref="BQ33:BQ36" ca="1" si="201">IF(BP33,OR(BU33:CZ33),FALSE)</f>
        <v>1</v>
      </c>
      <c r="BR33" s="15">
        <f t="shared" ref="BR33:BR36" ca="1" si="202">IF(BQ33,MATCH(TRUE,BU33:CZ33,0),"")</f>
        <v>25</v>
      </c>
      <c r="BS33" s="15">
        <f t="shared" ref="BS33:BS36" ca="1" si="203">IF(BP33,IF(BQ33,BR33,IF(AQ33=2,AP33,0)),0)</f>
        <v>25</v>
      </c>
      <c r="BT33" s="15" t="str">
        <f t="shared" ref="BT33:BT36" ca="1" si="204">IF(BS33&gt;0,INDEX(BU$10:CZ$10,BS33),"")</f>
        <v>Pola, od którego zależy dane pole ma błąd</v>
      </c>
      <c r="BV33" s="15" t="b">
        <f t="shared" ref="BV33:BV36" ca="1" si="205">IFERROR(IF($AD33,COUNTIF(INDIRECT($C$4),C33)&gt;1,FALSE),FALSE)</f>
        <v>0</v>
      </c>
      <c r="BW33" s="15" t="b">
        <f t="shared" ref="BW33:BW36" ca="1" si="206">IFERROR(IF($AD33,IF(D33&lt;&gt;"",COUNTIF(INDIRECT($D$4),D33)&gt;1,FALSE),FALSE),FALSE)</f>
        <v>0</v>
      </c>
      <c r="BX33" s="15" t="b">
        <f t="shared" ref="BX33:BX36" ca="1" si="207">IFERROR(IF(AE33,IFERROR(INDIRECT(ADDRESS(ROW($B$2),COLUMN($B$2),4,,AF33))&lt;&gt;$B$2,TRUE)),FALSE)</f>
        <v>0</v>
      </c>
      <c r="BY33" s="15" t="b">
        <f t="shared" ref="BY33:BY36" ca="1" si="208">IFERROR(IF(AND(AE33,NOT(BX33)),IF(ISERROR(AH33),TRUE,FALSE)),FALSE)</f>
        <v>0</v>
      </c>
      <c r="BZ33" s="15" t="b">
        <f t="shared" ref="BZ33:BZ36" ca="1" si="209">IFERROR(IF(BE33,BF33&lt;&gt;BG33,FALSE),FALSE)</f>
        <v>0</v>
      </c>
      <c r="CA33" s="15" t="b">
        <f t="shared" ref="CA33:CA36" ca="1" si="210">AND(AR33,AE33,AD33)</f>
        <v>0</v>
      </c>
      <c r="CB33" s="15" t="b">
        <f t="shared" ref="CB33:CB36" ca="1" si="211">ISERROR(COUNT(INDIRECT(J33)))</f>
        <v>0</v>
      </c>
      <c r="CC33" s="15" t="b">
        <f t="shared" ref="CC33:CC36" ca="1" si="212">AND(AD33,AQ33=2,Q33&lt;&gt;"")</f>
        <v>0</v>
      </c>
      <c r="CD33" s="15" t="b">
        <f t="shared" ref="CD33:CD36" ca="1" si="213">AND(AE33,AR33=2,R33&lt;&gt;"")</f>
        <v>0</v>
      </c>
      <c r="CE33" s="15" t="b">
        <f t="shared" ref="CE33:CE36" ca="1" si="214">IF(AD33, IF(AQ33=1, IF(OR(R33,DB33,AK33="" ),FALSE,OR(ISERROR(INDIRECT(T33)))),FALSE),FALSE)</f>
        <v>0</v>
      </c>
      <c r="CF33" s="15" t="b">
        <f t="shared" ref="CF33:CF36" ca="1" si="215">AND($AD33,$AQ33=2,COUNTA( S33)=1)</f>
        <v>0</v>
      </c>
      <c r="CG33" s="15" t="b">
        <f t="shared" ref="CG33:CG36" ca="1" si="216">AND(AND(AQ33&lt;&gt;1,AQ33&lt;&gt;3),G33&lt;&gt;"")</f>
        <v>0</v>
      </c>
      <c r="CH33" s="15" t="b">
        <f t="shared" ref="CH33:CH36" ca="1" si="217">AND(AQ33=1,BK33=3)</f>
        <v>0</v>
      </c>
      <c r="CI33" s="15" t="b">
        <f t="shared" ref="CI33:CI36" si="218">ISERROR(S33)</f>
        <v>0</v>
      </c>
      <c r="CJ33" s="15" t="b">
        <f t="shared" ref="CJ33:CJ36" si="219">IFERROR(IF(S33,TRUE,FALSE),FALSE)</f>
        <v>0</v>
      </c>
      <c r="CK33" s="15" t="b">
        <f t="shared" ref="CK33:CR36" ca="1" si="220">IF(V33&lt;&gt;"",IFERROR(MATCH(V33,INDIRECT($C$4),0)&lt;0,TRUE),FALSE)</f>
        <v>0</v>
      </c>
      <c r="CL33" s="15" t="b">
        <f t="shared" ca="1" si="220"/>
        <v>0</v>
      </c>
      <c r="CM33" s="15" t="b">
        <f t="shared" ca="1" si="220"/>
        <v>0</v>
      </c>
      <c r="CN33" s="15" t="b">
        <f t="shared" ca="1" si="220"/>
        <v>0</v>
      </c>
      <c r="CO33" s="15" t="b">
        <f t="shared" ca="1" si="220"/>
        <v>0</v>
      </c>
      <c r="CP33" s="15" t="b">
        <f t="shared" ca="1" si="220"/>
        <v>0</v>
      </c>
      <c r="CQ33" s="15" t="b">
        <f t="shared" ca="1" si="220"/>
        <v>0</v>
      </c>
      <c r="CR33" s="21" t="b">
        <f t="shared" ca="1" si="220"/>
        <v>0</v>
      </c>
      <c r="CS33" s="22" t="b">
        <f t="shared" ref="CS33:CS36" ca="1" si="221">AND(DO33&lt;&gt;"",DO33&lt;&gt;0,DO33&lt;&gt;4)</f>
        <v>1</v>
      </c>
      <c r="CT33" s="22" t="b">
        <f t="shared" ref="CT33:CT36" ca="1" si="222">AND(DP33&lt;&gt;"",DP33&lt;&gt;0,DP33&lt;&gt;4)</f>
        <v>1</v>
      </c>
      <c r="CU33" s="22" t="b">
        <f t="shared" ref="CU33:CU36" ca="1" si="223">AND(DQ33&lt;&gt;"",DQ33&lt;&gt;0,DQ33&lt;&gt;4)</f>
        <v>1</v>
      </c>
      <c r="CV33" s="22" t="b">
        <f t="shared" ref="CV33:CV36" ca="1" si="224">AND(DR33&lt;&gt;"",DR33&lt;&gt;0,DR33&lt;&gt;4)</f>
        <v>0</v>
      </c>
      <c r="CW33" s="22" t="b">
        <f t="shared" ref="CW33:CW36" ca="1" si="225">AND(DS33&lt;&gt;"",DS33&lt;&gt;0,DS33&lt;&gt;4)</f>
        <v>0</v>
      </c>
      <c r="CX33" s="22" t="b">
        <f t="shared" ref="CX33:CX36" ca="1" si="226">AND(DT33&lt;&gt;"",DT33&lt;&gt;0,DT33&lt;&gt;4)</f>
        <v>0</v>
      </c>
      <c r="CY33" s="22" t="b">
        <f t="shared" ref="CY33:CY36" ca="1" si="227">AND(DU33&lt;&gt;"",DU33&lt;&gt;0,DU33&lt;&gt;4)</f>
        <v>0</v>
      </c>
      <c r="CZ33" s="21" t="b">
        <f t="shared" ref="CZ33:CZ36" ca="1" si="228">AND(DV33&lt;&gt;"",DV33&lt;&gt;0,DV33&lt;&gt;4)</f>
        <v>0</v>
      </c>
      <c r="DB33" s="22" t="b">
        <f t="shared" ref="DB33:DB36" ca="1" si="229">OR(DC33:DJ33)</f>
        <v>0</v>
      </c>
      <c r="DC33" s="22" t="b">
        <f t="shared" ref="DC33:DC36" ca="1" si="230">AND(DO33=4)</f>
        <v>0</v>
      </c>
      <c r="DD33" s="22" t="b">
        <f t="shared" ref="DD33:DD36" ca="1" si="231">AND(DP33=4)</f>
        <v>0</v>
      </c>
      <c r="DE33" s="22" t="b">
        <f t="shared" ref="DE33:DE36" ca="1" si="232">AND(DQ33=4)</f>
        <v>0</v>
      </c>
      <c r="DF33" s="22" t="b">
        <f t="shared" ref="DF33:DF36" ca="1" si="233">AND(DR33=4)</f>
        <v>0</v>
      </c>
      <c r="DG33" s="22" t="b">
        <f t="shared" ref="DG33:DG36" ca="1" si="234">AND(DS33=4)</f>
        <v>0</v>
      </c>
      <c r="DH33" s="22" t="b">
        <f t="shared" ref="DH33:DH36" ca="1" si="235">AND(DT33=4)</f>
        <v>0</v>
      </c>
      <c r="DI33" s="22" t="b">
        <f t="shared" ref="DI33:DI36" ca="1" si="236">AND(DU33=4)</f>
        <v>0</v>
      </c>
      <c r="DJ33" s="22" t="b">
        <f t="shared" ref="DJ33:DJ36" ca="1" si="237">AND(DV33=4)</f>
        <v>0</v>
      </c>
      <c r="DK33" s="22"/>
      <c r="DO33" s="15">
        <f t="shared" ref="DO33:DO36" ca="1" si="238">IF(V33&lt;&gt;"",IFERROR(INDEX(INDIRECT($BS$4),MATCH(V33,INDIRECT($C$4),0)),100),"")</f>
        <v>25</v>
      </c>
      <c r="DP33" s="15">
        <f t="shared" ref="DP33:DP36" ca="1" si="239">IF(W33&lt;&gt;"",IFERROR(INDEX(INDIRECT($BS$4),MATCH(W33,INDIRECT($C$4),0)),100),"")</f>
        <v>100</v>
      </c>
      <c r="DQ33" s="15">
        <f t="shared" ref="DQ33:DQ36" ca="1" si="240">IF(X33&lt;&gt;"",IFERROR(INDEX(INDIRECT($BS$4),MATCH(X33,INDIRECT($C$4),0)),100),"")</f>
        <v>25</v>
      </c>
      <c r="DR33" s="15" t="str">
        <f t="shared" ref="DR33:DR36" ca="1" si="241">IF(Y33&lt;&gt;"",IFERROR(INDEX(INDIRECT($BS$4),MATCH(Y33,INDIRECT($C$4),0)),100),"")</f>
        <v/>
      </c>
      <c r="DS33" s="15" t="str">
        <f t="shared" ref="DS33:DS36" ca="1" si="242">IF(Z33&lt;&gt;"",IFERROR(INDEX(INDIRECT($BS$4),MATCH(Z33,INDIRECT($C$4),0)),100),"")</f>
        <v/>
      </c>
      <c r="DT33" s="15" t="str">
        <f t="shared" ref="DT33:DT36" ca="1" si="243">IF(AA33&lt;&gt;"",IFERROR(INDEX(INDIRECT($BS$4),MATCH(AA33,INDIRECT($C$4),0)),100),"")</f>
        <v/>
      </c>
      <c r="DU33" s="15" t="str">
        <f t="shared" ref="DU33:DU36" ca="1" si="244">IF(AB33&lt;&gt;"",IFERROR(INDEX(INDIRECT($BS$4),MATCH(AB33,INDIRECT($C$4),0)),100),"")</f>
        <v/>
      </c>
      <c r="DV33" s="15" t="str">
        <f t="shared" ref="DV33:DV36" ca="1" si="245">IF(AC33&lt;&gt;"",IFERROR(INDEX(INDIRECT($BS$4),MATCH(AC33,INDIRECT($C$4),0)),100),"")</f>
        <v/>
      </c>
    </row>
    <row r="34" spans="1:126">
      <c r="A34" s="15">
        <f t="shared" si="19"/>
        <v>22</v>
      </c>
      <c r="B34" s="15" t="str">
        <f t="shared" ref="B34" ca="1" si="246">IF(AD34,IF(BS34&gt;0,BT34,IF(DA34,"Pole zależy od pól, które zależą od zamkniętego workbooka","ok.")),"")</f>
        <v>Pola, od którego zależy dane pole ma błąd</v>
      </c>
      <c r="C34" s="15" t="s">
        <v>286</v>
      </c>
      <c r="G34" s="15" t="s">
        <v>91</v>
      </c>
      <c r="J34" s="19" t="str">
        <f ca="1">CELL(_CELL_ADDRESS_NAME,variables!V2)</f>
        <v>'[dane surowe2c.xlsm]variables'!$V$2</v>
      </c>
      <c r="K34" s="15">
        <f>ster!$C$12</f>
        <v>357</v>
      </c>
      <c r="M34" s="19"/>
      <c r="Q34" s="16"/>
      <c r="T34" s="15" t="str">
        <f t="shared" ref="T34" ca="1" si="247">BC34</f>
        <v>'[dane surowe2c.xlsm]variables'!$V$2:$V$358</v>
      </c>
      <c r="U34" s="15">
        <f t="shared" ref="U34" ca="1" si="248">IF(AD34,BS34,"")</f>
        <v>25</v>
      </c>
      <c r="V34" s="15" t="s">
        <v>261</v>
      </c>
      <c r="W34" s="15" t="s">
        <v>94</v>
      </c>
      <c r="X34" s="15" t="s">
        <v>119</v>
      </c>
      <c r="AD34" s="16" t="b">
        <f t="shared" ref="AD34" si="249">C34&lt;&gt;""</f>
        <v>1</v>
      </c>
      <c r="AE34" s="16" t="b">
        <f t="shared" ref="AE34" si="250">AND(I34&lt;&gt;"",H34&lt;&gt;"")</f>
        <v>0</v>
      </c>
      <c r="AF34" s="15" t="str">
        <f t="shared" ref="AF34" si="251">IF(AE34,"[" &amp; H34 &amp; "]" &amp; $B$2,"")</f>
        <v/>
      </c>
      <c r="AG34" s="15" t="str">
        <f t="shared" ref="AG34" ca="1" si="252">IF(AND(AE34,NOT(BX34)),INDIRECT(ADDRESS(ROW($D$4),COLUMN($D$4),,,AF34)),"")</f>
        <v/>
      </c>
      <c r="AH34" s="15" t="str">
        <f t="shared" ref="AH34" ca="1" si="253">IF(AND(AE34,NOT(BX34)),MATCH(I34,INDIRECT(AG34),0),"")</f>
        <v/>
      </c>
      <c r="AI34" s="15" t="b">
        <f t="shared" ref="AI34" ca="1" si="254">AND(AE34,NOT(BX34),NOT(BY34))</f>
        <v>0</v>
      </c>
      <c r="AJ34" s="15" t="str">
        <f t="shared" ref="AJ34" ca="1" si="255">IF(AE34,INDIRECT(ADDRESS(ROW($T$4),COLUMN($T$4),,,AF34)),"")</f>
        <v/>
      </c>
      <c r="AK34" s="27" t="str">
        <f t="shared" ref="AK34" ca="1" si="256">IF(AE34,INDEX(INDIRECT(AJ34),AH34),"")</f>
        <v/>
      </c>
      <c r="AL34" s="15" t="b">
        <f t="shared" ref="AL34" ca="1" si="257">AND(AE34,NOT(OR(BX34,BY34)))</f>
        <v>0</v>
      </c>
      <c r="AM34" s="15" t="str">
        <f t="shared" ref="AM34" ca="1" si="258">IF(AE34,INDIRECT(ADDRESS(ROW($BK$4),COLUMN($BK$4),,,AF34)),"")</f>
        <v/>
      </c>
      <c r="AN34" s="15">
        <f t="shared" ref="AN34" ca="1" si="259">IFERROR(IF(AE34,INDEX(INDIRECT(AM34),AH34),3),3)</f>
        <v>3</v>
      </c>
      <c r="AO34" s="15" t="str">
        <f t="shared" ref="AO34" ca="1" si="260">IF(AE34,INDIRECT(ADDRESS(ROW($BS$4),COLUMN($BS$4),,,AF34)),"")</f>
        <v/>
      </c>
      <c r="AP34" s="15" t="str">
        <f t="shared" ref="AP34" ca="1" si="261">IF(AQ34=2,INDEX(INDIRECT(AO34),AH34),"")</f>
        <v/>
      </c>
      <c r="AQ34" s="27">
        <f t="shared" ref="AQ34" ca="1" si="262">IF(AND(AE34,NOT(AR34)),2,IF(AND(AR34,NOT(AE34)),1,IF(AND(NOT(AE34),NOT(AR34)),4,3)))</f>
        <v>1</v>
      </c>
      <c r="AR34" s="15" t="b">
        <f t="shared" ref="AR34" ca="1" si="263">AND(J34&lt;&gt;"",AD34)</f>
        <v>1</v>
      </c>
      <c r="AS34" s="27" t="b">
        <f t="shared" ref="AS34" ca="1" si="264">NOT(ISERROR(FIND("[",J34)))</f>
        <v>1</v>
      </c>
      <c r="AT34" s="27" t="b">
        <f t="shared" ref="AT34" ca="1" si="265">MID(J34,1,1)="'"</f>
        <v>1</v>
      </c>
      <c r="AU34" s="27">
        <f t="shared" ref="AU34" ca="1" si="266">IF(AS34,FIND("]",J34),"")</f>
        <v>21</v>
      </c>
      <c r="AV34" s="16" t="e">
        <f t="shared" ref="AV34" ca="1" si="267">IF(AS34,MID(J34,1,AU34)&lt;&gt;$V$2,FALSE)</f>
        <v>#REF!</v>
      </c>
      <c r="AW34" s="15" t="str">
        <f t="shared" ca="1" si="5"/>
        <v>'[dane surowe2c.xlsm]variables'!$V$2</v>
      </c>
      <c r="AX34" s="27" t="b">
        <f t="shared" ref="AX34" ca="1" si="268">IF(AR34,ROWS(INDIRECT(AW34))&gt;1)</f>
        <v>0</v>
      </c>
      <c r="AY34" s="27" t="b">
        <f t="shared" ref="AY34" ca="1" si="269">IF(AR34,COLUMNS(INDIRECT(AW34))&gt;1)</f>
        <v>0</v>
      </c>
      <c r="AZ34" s="15">
        <f t="shared" ref="AZ34" ca="1" si="270">IF($AE34,IF(NOT(AI34),"?",COLUMNS(INDIRECT($AK34))),IF($AD34,IF(L34="",1,L34)))</f>
        <v>1</v>
      </c>
      <c r="BA34" s="15">
        <f t="shared" ref="BA34" ca="1" si="271">IF($AE34,IF(NOT(AI34),"?",ROWS(INDIRECT($AK34))),IF($AD34,IF(K34="",1,K34)))</f>
        <v>357</v>
      </c>
      <c r="BB34" s="15" t="str">
        <f t="shared" ref="BB34" ca="1" si="272">IF(AD34,CHOOSE(AQ34,AW34,AK34,"?"),"")</f>
        <v>'[dane surowe2c.xlsm]variables'!$V$2</v>
      </c>
      <c r="BC34" s="15" t="str">
        <f t="shared" ref="BC34" ca="1" si="273">IFERROR(IF(MIN(AZ34:BA34)&lt;=0,"",  BB34 &amp; IF(AND(OR(AZ34&gt;1,BA34&gt;1),AQ34=1), ":" &amp; ADDRESS(ROW(INDIRECT(BB34)) +BA34-1,COLUMN(INDIRECT(BB34))+AZ34-1),"")),"")</f>
        <v>'[dane surowe2c.xlsm]variables'!$V$2:$V$358</v>
      </c>
      <c r="BD34" s="15" t="b">
        <f t="shared" ref="BD34" ca="1" si="274">AZ34*BA34&gt;1</f>
        <v>1</v>
      </c>
      <c r="BE34" s="15" t="b">
        <f t="shared" ref="BE34" ca="1" si="275">IF(AND(AD34,AQ34=1),IF(Q34="",BI34, IF(Q34,TRUE,FALSE)),FALSE)</f>
        <v>1</v>
      </c>
      <c r="BF34" s="15">
        <f t="shared" ref="BF34" ca="1" si="276">IF(BE34,COUNTA(INDIRECT(BC34)),"")</f>
        <v>357</v>
      </c>
      <c r="BG34" s="15">
        <f t="shared" ref="BG34" ca="1" si="277">IF(BE34,AZ34*BA34,"")</f>
        <v>357</v>
      </c>
      <c r="BH34" s="15">
        <f t="array" aca="1" ref="BH34" ca="1">IF(IFERROR( S34,1),1,IF(BC34="","", SUM(IF(ISERROR(INDIRECT(BC34)),1,0))))</f>
        <v>0</v>
      </c>
      <c r="BI34" s="15" t="b">
        <f t="shared" ref="BI34" si="278">G34="r"</f>
        <v>1</v>
      </c>
      <c r="BJ34" s="15" t="b">
        <f t="shared" ref="BJ34" si="279">G34="W"</f>
        <v>0</v>
      </c>
      <c r="BK34" s="15">
        <f t="shared" ref="BK34" ca="1" si="280">IF(AR34,IF(AND(BI34,NOT(BJ34)),1,IF(AND(BJ34,NOT(BI34)),2,3)),"")</f>
        <v>1</v>
      </c>
      <c r="BL34" s="15">
        <f t="shared" ref="BL34" ca="1" si="281">CHOOSE(AQ34,BK34,AN34,3,4)</f>
        <v>1</v>
      </c>
      <c r="BP34" s="15" t="b">
        <f t="shared" ref="BP34" si="282">IF(AD34,IF(M34="",TRUE,NOT(M34)),FALSE)</f>
        <v>1</v>
      </c>
      <c r="BQ34" s="15" t="b">
        <f t="shared" ref="BQ34" ca="1" si="283">IF(BP34,OR(BU34:CZ34),FALSE)</f>
        <v>1</v>
      </c>
      <c r="BR34" s="15">
        <f t="shared" ref="BR34" ca="1" si="284">IF(BQ34,MATCH(TRUE,BU34:CZ34,0),"")</f>
        <v>25</v>
      </c>
      <c r="BS34" s="15">
        <f t="shared" ref="BS34" ca="1" si="285">IF(BP34,IF(BQ34,BR34,IF(AQ34=2,AP34,0)),0)</f>
        <v>25</v>
      </c>
      <c r="BT34" s="15" t="str">
        <f t="shared" ref="BT34" ca="1" si="286">IF(BS34&gt;0,INDEX(BU$10:CZ$10,BS34),"")</f>
        <v>Pola, od którego zależy dane pole ma błąd</v>
      </c>
      <c r="BV34" s="15" t="b">
        <f t="shared" ref="BV34" ca="1" si="287">IFERROR(IF($AD34,COUNTIF(INDIRECT($C$4),C34)&gt;1,FALSE),FALSE)</f>
        <v>0</v>
      </c>
      <c r="BW34" s="15" t="b">
        <f t="shared" ref="BW34" ca="1" si="288">IFERROR(IF($AD34,IF(D34&lt;&gt;"",COUNTIF(INDIRECT($D$4),D34)&gt;1,FALSE),FALSE),FALSE)</f>
        <v>0</v>
      </c>
      <c r="BX34" s="15" t="b">
        <f t="shared" ref="BX34" ca="1" si="289">IFERROR(IF(AE34,IFERROR(INDIRECT(ADDRESS(ROW($B$2),COLUMN($B$2),4,,AF34))&lt;&gt;$B$2,TRUE)),FALSE)</f>
        <v>0</v>
      </c>
      <c r="BY34" s="15" t="b">
        <f t="shared" ref="BY34" ca="1" si="290">IFERROR(IF(AND(AE34,NOT(BX34)),IF(ISERROR(AH34),TRUE,FALSE)),FALSE)</f>
        <v>0</v>
      </c>
      <c r="BZ34" s="15" t="b">
        <f t="shared" ref="BZ34" ca="1" si="291">IFERROR(IF(BE34,BF34&lt;&gt;BG34,FALSE),FALSE)</f>
        <v>0</v>
      </c>
      <c r="CA34" s="15" t="b">
        <f t="shared" ref="CA34" ca="1" si="292">AND(AR34,AE34,AD34)</f>
        <v>0</v>
      </c>
      <c r="CB34" s="15" t="b">
        <f t="shared" ref="CB34" ca="1" si="293">ISERROR(COUNT(INDIRECT(J34)))</f>
        <v>0</v>
      </c>
      <c r="CC34" s="15" t="b">
        <f t="shared" ref="CC34" ca="1" si="294">AND(AD34,AQ34=2,Q34&lt;&gt;"")</f>
        <v>0</v>
      </c>
      <c r="CD34" s="15" t="b">
        <f t="shared" ref="CD34" ca="1" si="295">AND(AE34,AR34=2,R34&lt;&gt;"")</f>
        <v>0</v>
      </c>
      <c r="CE34" s="15" t="b">
        <f t="shared" ref="CE34" ca="1" si="296">IF(AD34, IF(AQ34=1, IF(OR(R34,DB34,AK34="" ),FALSE,OR(ISERROR(INDIRECT(T34)))),FALSE),FALSE)</f>
        <v>0</v>
      </c>
      <c r="CF34" s="15" t="b">
        <f t="shared" ref="CF34" ca="1" si="297">AND($AD34,$AQ34=2,COUNTA( S34)=1)</f>
        <v>0</v>
      </c>
      <c r="CG34" s="15" t="b">
        <f t="shared" ref="CG34" ca="1" si="298">AND(AND(AQ34&lt;&gt;1,AQ34&lt;&gt;3),G34&lt;&gt;"")</f>
        <v>0</v>
      </c>
      <c r="CH34" s="15" t="b">
        <f t="shared" ref="CH34" ca="1" si="299">AND(AQ34=1,BK34=3)</f>
        <v>0</v>
      </c>
      <c r="CI34" s="15" t="b">
        <f t="shared" ref="CI34" si="300">ISERROR(S34)</f>
        <v>0</v>
      </c>
      <c r="CJ34" s="15" t="b">
        <f t="shared" ref="CJ34" si="301">IFERROR(IF(S34,TRUE,FALSE),FALSE)</f>
        <v>0</v>
      </c>
      <c r="CK34" s="15" t="b">
        <f t="shared" ref="CK34" ca="1" si="302">IF(V34&lt;&gt;"",IFERROR(MATCH(V34,INDIRECT($C$4),0)&lt;0,TRUE),FALSE)</f>
        <v>0</v>
      </c>
      <c r="CL34" s="15" t="b">
        <f t="shared" ref="CL34" ca="1" si="303">IF(W34&lt;&gt;"",IFERROR(MATCH(W34,INDIRECT($C$4),0)&lt;0,TRUE),FALSE)</f>
        <v>0</v>
      </c>
      <c r="CM34" s="15" t="b">
        <f t="shared" ref="CM34" ca="1" si="304">IF(X34&lt;&gt;"",IFERROR(MATCH(X34,INDIRECT($C$4),0)&lt;0,TRUE),FALSE)</f>
        <v>0</v>
      </c>
      <c r="CN34" s="15" t="b">
        <f t="shared" ref="CN34" ca="1" si="305">IF(Y34&lt;&gt;"",IFERROR(MATCH(Y34,INDIRECT($C$4),0)&lt;0,TRUE),FALSE)</f>
        <v>0</v>
      </c>
      <c r="CO34" s="15" t="b">
        <f t="shared" ref="CO34" ca="1" si="306">IF(Z34&lt;&gt;"",IFERROR(MATCH(Z34,INDIRECT($C$4),0)&lt;0,TRUE),FALSE)</f>
        <v>0</v>
      </c>
      <c r="CP34" s="15" t="b">
        <f t="shared" ref="CP34" ca="1" si="307">IF(AA34&lt;&gt;"",IFERROR(MATCH(AA34,INDIRECT($C$4),0)&lt;0,TRUE),FALSE)</f>
        <v>0</v>
      </c>
      <c r="CQ34" s="15" t="b">
        <f t="shared" ref="CQ34" ca="1" si="308">IF(AB34&lt;&gt;"",IFERROR(MATCH(AB34,INDIRECT($C$4),0)&lt;0,TRUE),FALSE)</f>
        <v>0</v>
      </c>
      <c r="CR34" s="21" t="b">
        <f t="shared" ref="CR34" ca="1" si="309">IF(AC34&lt;&gt;"",IFERROR(MATCH(AC34,INDIRECT($C$4),0)&lt;0,TRUE),FALSE)</f>
        <v>0</v>
      </c>
      <c r="CS34" s="22" t="b">
        <f t="shared" ref="CS34" ca="1" si="310">AND(DO34&lt;&gt;"",DO34&lt;&gt;0,DO34&lt;&gt;4)</f>
        <v>1</v>
      </c>
      <c r="CT34" s="22" t="b">
        <f t="shared" ref="CT34" ca="1" si="311">AND(DP34&lt;&gt;"",DP34&lt;&gt;0,DP34&lt;&gt;4)</f>
        <v>1</v>
      </c>
      <c r="CU34" s="22" t="b">
        <f t="shared" ref="CU34" ca="1" si="312">AND(DQ34&lt;&gt;"",DQ34&lt;&gt;0,DQ34&lt;&gt;4)</f>
        <v>1</v>
      </c>
      <c r="CV34" s="22" t="b">
        <f t="shared" ref="CV34" ca="1" si="313">AND(DR34&lt;&gt;"",DR34&lt;&gt;0,DR34&lt;&gt;4)</f>
        <v>0</v>
      </c>
      <c r="CW34" s="22" t="b">
        <f t="shared" ref="CW34" ca="1" si="314">AND(DS34&lt;&gt;"",DS34&lt;&gt;0,DS34&lt;&gt;4)</f>
        <v>0</v>
      </c>
      <c r="CX34" s="22" t="b">
        <f t="shared" ref="CX34" ca="1" si="315">AND(DT34&lt;&gt;"",DT34&lt;&gt;0,DT34&lt;&gt;4)</f>
        <v>0</v>
      </c>
      <c r="CY34" s="22" t="b">
        <f t="shared" ref="CY34" ca="1" si="316">AND(DU34&lt;&gt;"",DU34&lt;&gt;0,DU34&lt;&gt;4)</f>
        <v>0</v>
      </c>
      <c r="CZ34" s="21" t="b">
        <f t="shared" ref="CZ34" ca="1" si="317">AND(DV34&lt;&gt;"",DV34&lt;&gt;0,DV34&lt;&gt;4)</f>
        <v>0</v>
      </c>
      <c r="DB34" s="22" t="b">
        <f t="shared" ref="DB34" ca="1" si="318">OR(DC34:DJ34)</f>
        <v>0</v>
      </c>
      <c r="DC34" s="22" t="b">
        <f t="shared" ref="DC34" ca="1" si="319">AND(DO34=4)</f>
        <v>0</v>
      </c>
      <c r="DD34" s="22" t="b">
        <f t="shared" ref="DD34" ca="1" si="320">AND(DP34=4)</f>
        <v>0</v>
      </c>
      <c r="DE34" s="22" t="b">
        <f t="shared" ref="DE34" ca="1" si="321">AND(DQ34=4)</f>
        <v>0</v>
      </c>
      <c r="DF34" s="22" t="b">
        <f t="shared" ref="DF34" ca="1" si="322">AND(DR34=4)</f>
        <v>0</v>
      </c>
      <c r="DG34" s="22" t="b">
        <f t="shared" ref="DG34" ca="1" si="323">AND(DS34=4)</f>
        <v>0</v>
      </c>
      <c r="DH34" s="22" t="b">
        <f t="shared" ref="DH34" ca="1" si="324">AND(DT34=4)</f>
        <v>0</v>
      </c>
      <c r="DI34" s="22" t="b">
        <f t="shared" ref="DI34" ca="1" si="325">AND(DU34=4)</f>
        <v>0</v>
      </c>
      <c r="DJ34" s="22" t="b">
        <f t="shared" ref="DJ34" ca="1" si="326">AND(DV34=4)</f>
        <v>0</v>
      </c>
      <c r="DK34" s="22"/>
      <c r="DO34" s="15">
        <f t="shared" ref="DO34" ca="1" si="327">IF(V34&lt;&gt;"",IFERROR(INDEX(INDIRECT($BS$4),MATCH(V34,INDIRECT($C$4),0)),100),"")</f>
        <v>25</v>
      </c>
      <c r="DP34" s="15">
        <f t="shared" ref="DP34" ca="1" si="328">IF(W34&lt;&gt;"",IFERROR(INDEX(INDIRECT($BS$4),MATCH(W34,INDIRECT($C$4),0)),100),"")</f>
        <v>100</v>
      </c>
      <c r="DQ34" s="15">
        <f t="shared" ref="DQ34" ca="1" si="329">IF(X34&lt;&gt;"",IFERROR(INDEX(INDIRECT($BS$4),MATCH(X34,INDIRECT($C$4),0)),100),"")</f>
        <v>25</v>
      </c>
      <c r="DR34" s="15" t="str">
        <f t="shared" ref="DR34" ca="1" si="330">IF(Y34&lt;&gt;"",IFERROR(INDEX(INDIRECT($BS$4),MATCH(Y34,INDIRECT($C$4),0)),100),"")</f>
        <v/>
      </c>
      <c r="DS34" s="15" t="str">
        <f t="shared" ref="DS34" ca="1" si="331">IF(Z34&lt;&gt;"",IFERROR(INDEX(INDIRECT($BS$4),MATCH(Z34,INDIRECT($C$4),0)),100),"")</f>
        <v/>
      </c>
      <c r="DT34" s="15" t="str">
        <f t="shared" ref="DT34" ca="1" si="332">IF(AA34&lt;&gt;"",IFERROR(INDEX(INDIRECT($BS$4),MATCH(AA34,INDIRECT($C$4),0)),100),"")</f>
        <v/>
      </c>
      <c r="DU34" s="15" t="str">
        <f t="shared" ref="DU34" ca="1" si="333">IF(AB34&lt;&gt;"",IFERROR(INDEX(INDIRECT($BS$4),MATCH(AB34,INDIRECT($C$4),0)),100),"")</f>
        <v/>
      </c>
      <c r="DV34" s="15" t="str">
        <f t="shared" ref="DV34" ca="1" si="334">IF(AC34&lt;&gt;"",IFERROR(INDEX(INDIRECT($BS$4),MATCH(AC34,INDIRECT($C$4),0)),100),"")</f>
        <v/>
      </c>
    </row>
    <row r="35" spans="1:126">
      <c r="A35" s="15">
        <f t="shared" si="19"/>
        <v>23</v>
      </c>
      <c r="B35" s="15" t="str">
        <f t="shared" ref="B35" ca="1" si="335">IF(AD35,IF(BS35&gt;0,BT35,IF(DA35,"Pole zależy od pól, które zależą od zamkniętego workbooka","ok.")),"")</f>
        <v>Pola, od którego zależy dane pole ma błąd</v>
      </c>
      <c r="C35" s="15" t="s">
        <v>288</v>
      </c>
      <c r="G35" s="15" t="s">
        <v>91</v>
      </c>
      <c r="J35" s="19" t="str">
        <f ca="1">CELL(_CELL_ADDRESS_NAME,variables!W2)</f>
        <v>'[dane surowe2c.xlsm]variables'!$W$2</v>
      </c>
      <c r="K35" s="15">
        <f>ster!$C$12</f>
        <v>357</v>
      </c>
      <c r="M35" s="19"/>
      <c r="Q35" s="16"/>
      <c r="T35" s="15" t="str">
        <f t="shared" ref="T35" ca="1" si="336">BC35</f>
        <v>'[dane surowe2c.xlsm]variables'!$W$2:$W$358</v>
      </c>
      <c r="U35" s="15">
        <f t="shared" ref="U35" ca="1" si="337">IF(AD35,BS35,"")</f>
        <v>25</v>
      </c>
      <c r="V35" s="15" t="s">
        <v>261</v>
      </c>
      <c r="W35" s="15" t="s">
        <v>94</v>
      </c>
      <c r="X35" s="15" t="s">
        <v>119</v>
      </c>
      <c r="AD35" s="16" t="b">
        <f t="shared" ref="AD35" si="338">C35&lt;&gt;""</f>
        <v>1</v>
      </c>
      <c r="AE35" s="16" t="b">
        <f t="shared" ref="AE35" si="339">AND(I35&lt;&gt;"",H35&lt;&gt;"")</f>
        <v>0</v>
      </c>
      <c r="AF35" s="15" t="str">
        <f t="shared" ref="AF35" si="340">IF(AE35,"[" &amp; H35 &amp; "]" &amp; $B$2,"")</f>
        <v/>
      </c>
      <c r="AG35" s="15" t="str">
        <f t="shared" ref="AG35" ca="1" si="341">IF(AND(AE35,NOT(BX35)),INDIRECT(ADDRESS(ROW($D$4),COLUMN($D$4),,,AF35)),"")</f>
        <v/>
      </c>
      <c r="AH35" s="15" t="str">
        <f t="shared" ref="AH35" ca="1" si="342">IF(AND(AE35,NOT(BX35)),MATCH(I35,INDIRECT(AG35),0),"")</f>
        <v/>
      </c>
      <c r="AI35" s="15" t="b">
        <f t="shared" ref="AI35" ca="1" si="343">AND(AE35,NOT(BX35),NOT(BY35))</f>
        <v>0</v>
      </c>
      <c r="AJ35" s="15" t="str">
        <f t="shared" ref="AJ35" ca="1" si="344">IF(AE35,INDIRECT(ADDRESS(ROW($T$4),COLUMN($T$4),,,AF35)),"")</f>
        <v/>
      </c>
      <c r="AK35" s="27" t="str">
        <f t="shared" ref="AK35" ca="1" si="345">IF(AE35,INDEX(INDIRECT(AJ35),AH35),"")</f>
        <v/>
      </c>
      <c r="AL35" s="15" t="b">
        <f t="shared" ref="AL35" ca="1" si="346">AND(AE35,NOT(OR(BX35,BY35)))</f>
        <v>0</v>
      </c>
      <c r="AM35" s="15" t="str">
        <f t="shared" ref="AM35" ca="1" si="347">IF(AE35,INDIRECT(ADDRESS(ROW($BK$4),COLUMN($BK$4),,,AF35)),"")</f>
        <v/>
      </c>
      <c r="AN35" s="15">
        <f t="shared" ref="AN35" ca="1" si="348">IFERROR(IF(AE35,INDEX(INDIRECT(AM35),AH35),3),3)</f>
        <v>3</v>
      </c>
      <c r="AO35" s="15" t="str">
        <f t="shared" ref="AO35" ca="1" si="349">IF(AE35,INDIRECT(ADDRESS(ROW($BS$4),COLUMN($BS$4),,,AF35)),"")</f>
        <v/>
      </c>
      <c r="AP35" s="15" t="str">
        <f t="shared" ref="AP35" ca="1" si="350">IF(AQ35=2,INDEX(INDIRECT(AO35),AH35),"")</f>
        <v/>
      </c>
      <c r="AQ35" s="27">
        <f t="shared" ref="AQ35" ca="1" si="351">IF(AND(AE35,NOT(AR35)),2,IF(AND(AR35,NOT(AE35)),1,IF(AND(NOT(AE35),NOT(AR35)),4,3)))</f>
        <v>1</v>
      </c>
      <c r="AR35" s="15" t="b">
        <f t="shared" ref="AR35" ca="1" si="352">AND(J35&lt;&gt;"",AD35)</f>
        <v>1</v>
      </c>
      <c r="AS35" s="27" t="b">
        <f t="shared" ref="AS35" ca="1" si="353">NOT(ISERROR(FIND("[",J35)))</f>
        <v>1</v>
      </c>
      <c r="AT35" s="27" t="b">
        <f t="shared" ref="AT35" ca="1" si="354">MID(J35,1,1)="'"</f>
        <v>1</v>
      </c>
      <c r="AU35" s="27">
        <f t="shared" ref="AU35" ca="1" si="355">IF(AS35,FIND("]",J35),"")</f>
        <v>21</v>
      </c>
      <c r="AV35" s="16" t="e">
        <f t="shared" ref="AV35" ca="1" si="356">IF(AS35,MID(J35,1,AU35)&lt;&gt;$V$2,FALSE)</f>
        <v>#REF!</v>
      </c>
      <c r="AW35" s="15" t="str">
        <f t="shared" ca="1" si="5"/>
        <v>'[dane surowe2c.xlsm]variables'!$W$2</v>
      </c>
      <c r="AX35" s="27" t="b">
        <f t="shared" ref="AX35" ca="1" si="357">IF(AR35,ROWS(INDIRECT(AW35))&gt;1)</f>
        <v>0</v>
      </c>
      <c r="AY35" s="27" t="b">
        <f t="shared" ref="AY35" ca="1" si="358">IF(AR35,COLUMNS(INDIRECT(AW35))&gt;1)</f>
        <v>0</v>
      </c>
      <c r="AZ35" s="15">
        <f t="shared" ref="AZ35" ca="1" si="359">IF($AE35,IF(NOT(AI35),"?",COLUMNS(INDIRECT($AK35))),IF($AD35,IF(L35="",1,L35)))</f>
        <v>1</v>
      </c>
      <c r="BA35" s="15">
        <f t="shared" ref="BA35" ca="1" si="360">IF($AE35,IF(NOT(AI35),"?",ROWS(INDIRECT($AK35))),IF($AD35,IF(K35="",1,K35)))</f>
        <v>357</v>
      </c>
      <c r="BB35" s="15" t="str">
        <f t="shared" ref="BB35" ca="1" si="361">IF(AD35,CHOOSE(AQ35,AW35,AK35,"?"),"")</f>
        <v>'[dane surowe2c.xlsm]variables'!$W$2</v>
      </c>
      <c r="BC35" s="15" t="str">
        <f t="shared" ref="BC35" ca="1" si="362">IFERROR(IF(MIN(AZ35:BA35)&lt;=0,"",  BB35 &amp; IF(AND(OR(AZ35&gt;1,BA35&gt;1),AQ35=1), ":" &amp; ADDRESS(ROW(INDIRECT(BB35)) +BA35-1,COLUMN(INDIRECT(BB35))+AZ35-1),"")),"")</f>
        <v>'[dane surowe2c.xlsm]variables'!$W$2:$W$358</v>
      </c>
      <c r="BD35" s="15" t="b">
        <f t="shared" ref="BD35" ca="1" si="363">AZ35*BA35&gt;1</f>
        <v>1</v>
      </c>
      <c r="BE35" s="15" t="b">
        <f t="shared" ref="BE35" ca="1" si="364">IF(AND(AD35,AQ35=1),IF(Q35="",BI35, IF(Q35,TRUE,FALSE)),FALSE)</f>
        <v>1</v>
      </c>
      <c r="BF35" s="15">
        <f t="shared" ref="BF35" ca="1" si="365">IF(BE35,COUNTA(INDIRECT(BC35)),"")</f>
        <v>357</v>
      </c>
      <c r="BG35" s="15">
        <f t="shared" ref="BG35" ca="1" si="366">IF(BE35,AZ35*BA35,"")</f>
        <v>357</v>
      </c>
      <c r="BH35" s="15">
        <f t="array" aca="1" ref="BH35" ca="1">IF(IFERROR( S35,1),1,IF(BC35="","", SUM(IF(ISERROR(INDIRECT(BC35)),1,0))))</f>
        <v>0</v>
      </c>
      <c r="BI35" s="15" t="b">
        <f t="shared" ref="BI35" si="367">G35="r"</f>
        <v>1</v>
      </c>
      <c r="BJ35" s="15" t="b">
        <f t="shared" ref="BJ35" si="368">G35="W"</f>
        <v>0</v>
      </c>
      <c r="BK35" s="15">
        <f t="shared" ref="BK35" ca="1" si="369">IF(AR35,IF(AND(BI35,NOT(BJ35)),1,IF(AND(BJ35,NOT(BI35)),2,3)),"")</f>
        <v>1</v>
      </c>
      <c r="BL35" s="15">
        <f t="shared" ref="BL35" ca="1" si="370">CHOOSE(AQ35,BK35,AN35,3,4)</f>
        <v>1</v>
      </c>
      <c r="BP35" s="15" t="b">
        <f t="shared" ref="BP35" si="371">IF(AD35,IF(M35="",TRUE,NOT(M35)),FALSE)</f>
        <v>1</v>
      </c>
      <c r="BQ35" s="15" t="b">
        <f t="shared" ref="BQ35" ca="1" si="372">IF(BP35,OR(BU35:CZ35),FALSE)</f>
        <v>1</v>
      </c>
      <c r="BR35" s="15">
        <f t="shared" ref="BR35" ca="1" si="373">IF(BQ35,MATCH(TRUE,BU35:CZ35,0),"")</f>
        <v>25</v>
      </c>
      <c r="BS35" s="15">
        <f t="shared" ref="BS35" ca="1" si="374">IF(BP35,IF(BQ35,BR35,IF(AQ35=2,AP35,0)),0)</f>
        <v>25</v>
      </c>
      <c r="BT35" s="15" t="str">
        <f t="shared" ref="BT35" ca="1" si="375">IF(BS35&gt;0,INDEX(BU$10:CZ$10,BS35),"")</f>
        <v>Pola, od którego zależy dane pole ma błąd</v>
      </c>
      <c r="BV35" s="15" t="b">
        <f t="shared" ref="BV35" ca="1" si="376">IFERROR(IF($AD35,COUNTIF(INDIRECT($C$4),C35)&gt;1,FALSE),FALSE)</f>
        <v>0</v>
      </c>
      <c r="BW35" s="15" t="b">
        <f t="shared" ref="BW35" ca="1" si="377">IFERROR(IF($AD35,IF(D35&lt;&gt;"",COUNTIF(INDIRECT($D$4),D35)&gt;1,FALSE),FALSE),FALSE)</f>
        <v>0</v>
      </c>
      <c r="BX35" s="15" t="b">
        <f t="shared" ref="BX35" ca="1" si="378">IFERROR(IF(AE35,IFERROR(INDIRECT(ADDRESS(ROW($B$2),COLUMN($B$2),4,,AF35))&lt;&gt;$B$2,TRUE)),FALSE)</f>
        <v>0</v>
      </c>
      <c r="BY35" s="15" t="b">
        <f t="shared" ref="BY35" ca="1" si="379">IFERROR(IF(AND(AE35,NOT(BX35)),IF(ISERROR(AH35),TRUE,FALSE)),FALSE)</f>
        <v>0</v>
      </c>
      <c r="BZ35" s="15" t="b">
        <f t="shared" ref="BZ35" ca="1" si="380">IFERROR(IF(BE35,BF35&lt;&gt;BG35,FALSE),FALSE)</f>
        <v>0</v>
      </c>
      <c r="CA35" s="15" t="b">
        <f t="shared" ref="CA35" ca="1" si="381">AND(AR35,AE35,AD35)</f>
        <v>0</v>
      </c>
      <c r="CB35" s="15" t="b">
        <f t="shared" ref="CB35" ca="1" si="382">ISERROR(COUNT(INDIRECT(J35)))</f>
        <v>0</v>
      </c>
      <c r="CC35" s="15" t="b">
        <f t="shared" ref="CC35" ca="1" si="383">AND(AD35,AQ35=2,Q35&lt;&gt;"")</f>
        <v>0</v>
      </c>
      <c r="CD35" s="15" t="b">
        <f t="shared" ref="CD35" ca="1" si="384">AND(AE35,AR35=2,R35&lt;&gt;"")</f>
        <v>0</v>
      </c>
      <c r="CE35" s="15" t="b">
        <f t="shared" ref="CE35" ca="1" si="385">IF(AD35, IF(AQ35=1, IF(OR(R35,DB35,AK35="" ),FALSE,OR(ISERROR(INDIRECT(T35)))),FALSE),FALSE)</f>
        <v>0</v>
      </c>
      <c r="CF35" s="15" t="b">
        <f t="shared" ref="CF35" ca="1" si="386">AND($AD35,$AQ35=2,COUNTA( S35)=1)</f>
        <v>0</v>
      </c>
      <c r="CG35" s="15" t="b">
        <f t="shared" ref="CG35" ca="1" si="387">AND(AND(AQ35&lt;&gt;1,AQ35&lt;&gt;3),G35&lt;&gt;"")</f>
        <v>0</v>
      </c>
      <c r="CH35" s="15" t="b">
        <f t="shared" ref="CH35" ca="1" si="388">AND(AQ35=1,BK35=3)</f>
        <v>0</v>
      </c>
      <c r="CI35" s="15" t="b">
        <f t="shared" ref="CI35" si="389">ISERROR(S35)</f>
        <v>0</v>
      </c>
      <c r="CJ35" s="15" t="b">
        <f t="shared" ref="CJ35" si="390">IFERROR(IF(S35,TRUE,FALSE),FALSE)</f>
        <v>0</v>
      </c>
      <c r="CK35" s="15" t="b">
        <f t="shared" ref="CK35" ca="1" si="391">IF(V35&lt;&gt;"",IFERROR(MATCH(V35,INDIRECT($C$4),0)&lt;0,TRUE),FALSE)</f>
        <v>0</v>
      </c>
      <c r="CL35" s="15" t="b">
        <f t="shared" ref="CL35" ca="1" si="392">IF(W35&lt;&gt;"",IFERROR(MATCH(W35,INDIRECT($C$4),0)&lt;0,TRUE),FALSE)</f>
        <v>0</v>
      </c>
      <c r="CM35" s="15" t="b">
        <f t="shared" ref="CM35" ca="1" si="393">IF(X35&lt;&gt;"",IFERROR(MATCH(X35,INDIRECT($C$4),0)&lt;0,TRUE),FALSE)</f>
        <v>0</v>
      </c>
      <c r="CN35" s="15" t="b">
        <f t="shared" ref="CN35" ca="1" si="394">IF(Y35&lt;&gt;"",IFERROR(MATCH(Y35,INDIRECT($C$4),0)&lt;0,TRUE),FALSE)</f>
        <v>0</v>
      </c>
      <c r="CO35" s="15" t="b">
        <f t="shared" ref="CO35" ca="1" si="395">IF(Z35&lt;&gt;"",IFERROR(MATCH(Z35,INDIRECT($C$4),0)&lt;0,TRUE),FALSE)</f>
        <v>0</v>
      </c>
      <c r="CP35" s="15" t="b">
        <f t="shared" ref="CP35" ca="1" si="396">IF(AA35&lt;&gt;"",IFERROR(MATCH(AA35,INDIRECT($C$4),0)&lt;0,TRUE),FALSE)</f>
        <v>0</v>
      </c>
      <c r="CQ35" s="15" t="b">
        <f t="shared" ref="CQ35" ca="1" si="397">IF(AB35&lt;&gt;"",IFERROR(MATCH(AB35,INDIRECT($C$4),0)&lt;0,TRUE),FALSE)</f>
        <v>0</v>
      </c>
      <c r="CR35" s="21" t="b">
        <f t="shared" ref="CR35" ca="1" si="398">IF(AC35&lt;&gt;"",IFERROR(MATCH(AC35,INDIRECT($C$4),0)&lt;0,TRUE),FALSE)</f>
        <v>0</v>
      </c>
      <c r="CS35" s="22" t="b">
        <f t="shared" ref="CS35" ca="1" si="399">AND(DO35&lt;&gt;"",DO35&lt;&gt;0,DO35&lt;&gt;4)</f>
        <v>1</v>
      </c>
      <c r="CT35" s="22" t="b">
        <f t="shared" ref="CT35" ca="1" si="400">AND(DP35&lt;&gt;"",DP35&lt;&gt;0,DP35&lt;&gt;4)</f>
        <v>1</v>
      </c>
      <c r="CU35" s="22" t="b">
        <f t="shared" ref="CU35" ca="1" si="401">AND(DQ35&lt;&gt;"",DQ35&lt;&gt;0,DQ35&lt;&gt;4)</f>
        <v>1</v>
      </c>
      <c r="CV35" s="22" t="b">
        <f t="shared" ref="CV35" ca="1" si="402">AND(DR35&lt;&gt;"",DR35&lt;&gt;0,DR35&lt;&gt;4)</f>
        <v>0</v>
      </c>
      <c r="CW35" s="22" t="b">
        <f t="shared" ref="CW35" ca="1" si="403">AND(DS35&lt;&gt;"",DS35&lt;&gt;0,DS35&lt;&gt;4)</f>
        <v>0</v>
      </c>
      <c r="CX35" s="22" t="b">
        <f t="shared" ref="CX35" ca="1" si="404">AND(DT35&lt;&gt;"",DT35&lt;&gt;0,DT35&lt;&gt;4)</f>
        <v>0</v>
      </c>
      <c r="CY35" s="22" t="b">
        <f t="shared" ref="CY35" ca="1" si="405">AND(DU35&lt;&gt;"",DU35&lt;&gt;0,DU35&lt;&gt;4)</f>
        <v>0</v>
      </c>
      <c r="CZ35" s="21" t="b">
        <f t="shared" ref="CZ35" ca="1" si="406">AND(DV35&lt;&gt;"",DV35&lt;&gt;0,DV35&lt;&gt;4)</f>
        <v>0</v>
      </c>
      <c r="DB35" s="22" t="b">
        <f t="shared" ref="DB35" ca="1" si="407">OR(DC35:DJ35)</f>
        <v>0</v>
      </c>
      <c r="DC35" s="22" t="b">
        <f t="shared" ref="DC35" ca="1" si="408">AND(DO35=4)</f>
        <v>0</v>
      </c>
      <c r="DD35" s="22" t="b">
        <f t="shared" ref="DD35" ca="1" si="409">AND(DP35=4)</f>
        <v>0</v>
      </c>
      <c r="DE35" s="22" t="b">
        <f t="shared" ref="DE35" ca="1" si="410">AND(DQ35=4)</f>
        <v>0</v>
      </c>
      <c r="DF35" s="22" t="b">
        <f t="shared" ref="DF35" ca="1" si="411">AND(DR35=4)</f>
        <v>0</v>
      </c>
      <c r="DG35" s="22" t="b">
        <f t="shared" ref="DG35" ca="1" si="412">AND(DS35=4)</f>
        <v>0</v>
      </c>
      <c r="DH35" s="22" t="b">
        <f t="shared" ref="DH35" ca="1" si="413">AND(DT35=4)</f>
        <v>0</v>
      </c>
      <c r="DI35" s="22" t="b">
        <f t="shared" ref="DI35" ca="1" si="414">AND(DU35=4)</f>
        <v>0</v>
      </c>
      <c r="DJ35" s="22" t="b">
        <f t="shared" ref="DJ35" ca="1" si="415">AND(DV35=4)</f>
        <v>0</v>
      </c>
      <c r="DK35" s="22"/>
      <c r="DO35" s="15">
        <f t="shared" ref="DO35" ca="1" si="416">IF(V35&lt;&gt;"",IFERROR(INDEX(INDIRECT($BS$4),MATCH(V35,INDIRECT($C$4),0)),100),"")</f>
        <v>25</v>
      </c>
      <c r="DP35" s="15">
        <f t="shared" ref="DP35" ca="1" si="417">IF(W35&lt;&gt;"",IFERROR(INDEX(INDIRECT($BS$4),MATCH(W35,INDIRECT($C$4),0)),100),"")</f>
        <v>100</v>
      </c>
      <c r="DQ35" s="15">
        <f t="shared" ref="DQ35" ca="1" si="418">IF(X35&lt;&gt;"",IFERROR(INDEX(INDIRECT($BS$4),MATCH(X35,INDIRECT($C$4),0)),100),"")</f>
        <v>25</v>
      </c>
      <c r="DR35" s="15" t="str">
        <f t="shared" ref="DR35" ca="1" si="419">IF(Y35&lt;&gt;"",IFERROR(INDEX(INDIRECT($BS$4),MATCH(Y35,INDIRECT($C$4),0)),100),"")</f>
        <v/>
      </c>
      <c r="DS35" s="15" t="str">
        <f t="shared" ref="DS35" ca="1" si="420">IF(Z35&lt;&gt;"",IFERROR(INDEX(INDIRECT($BS$4),MATCH(Z35,INDIRECT($C$4),0)),100),"")</f>
        <v/>
      </c>
      <c r="DT35" s="15" t="str">
        <f t="shared" ref="DT35" ca="1" si="421">IF(AA35&lt;&gt;"",IFERROR(INDEX(INDIRECT($BS$4),MATCH(AA35,INDIRECT($C$4),0)),100),"")</f>
        <v/>
      </c>
      <c r="DU35" s="15" t="str">
        <f t="shared" ref="DU35" ca="1" si="422">IF(AB35&lt;&gt;"",IFERROR(INDEX(INDIRECT($BS$4),MATCH(AB35,INDIRECT($C$4),0)),100),"")</f>
        <v/>
      </c>
      <c r="DV35" s="15" t="str">
        <f t="shared" ref="DV35" ca="1" si="423">IF(AC35&lt;&gt;"",IFERROR(INDEX(INDIRECT($BS$4),MATCH(AC35,INDIRECT($C$4),0)),100),"")</f>
        <v/>
      </c>
    </row>
    <row r="36" spans="1:126">
      <c r="A36" s="15">
        <f t="shared" si="19"/>
        <v>24</v>
      </c>
      <c r="B36" s="15" t="str">
        <f t="shared" ca="1" si="163"/>
        <v>Pola, od którego zależy dane pole ma błąd</v>
      </c>
      <c r="C36" s="15" t="s">
        <v>280</v>
      </c>
      <c r="D36" s="15" t="str">
        <f t="shared" si="164"/>
        <v>Zmienne UstawDyskretna</v>
      </c>
      <c r="G36" s="15" t="s">
        <v>125</v>
      </c>
      <c r="J36" s="19" t="str">
        <f ca="1">CELL(_CELL_ADDRESS_NAME,variables!AI2)</f>
        <v>'[dane surowe2c.xlsm]variables'!$AI$2</v>
      </c>
      <c r="K36" s="15">
        <f>ster!$C$12</f>
        <v>357</v>
      </c>
      <c r="M36" s="19"/>
      <c r="Q36" s="16"/>
      <c r="T36" s="15" t="str">
        <f t="shared" ca="1" si="165"/>
        <v>'[dane surowe2c.xlsm]variables'!$AI$2:$AI$358</v>
      </c>
      <c r="U36" s="15">
        <f t="shared" ca="1" si="166"/>
        <v>25</v>
      </c>
      <c r="V36" s="15" t="s">
        <v>261</v>
      </c>
      <c r="W36" s="15" t="s">
        <v>94</v>
      </c>
      <c r="X36" s="15" t="s">
        <v>119</v>
      </c>
      <c r="AD36" s="16" t="b">
        <f t="shared" si="167"/>
        <v>1</v>
      </c>
      <c r="AE36" s="16" t="b">
        <f t="shared" si="168"/>
        <v>0</v>
      </c>
      <c r="AF36" s="15" t="str">
        <f t="shared" si="169"/>
        <v/>
      </c>
      <c r="AG36" s="15" t="str">
        <f t="shared" ca="1" si="170"/>
        <v/>
      </c>
      <c r="AH36" s="15" t="str">
        <f t="shared" ca="1" si="171"/>
        <v/>
      </c>
      <c r="AI36" s="15" t="b">
        <f t="shared" ca="1" si="172"/>
        <v>0</v>
      </c>
      <c r="AJ36" s="15" t="str">
        <f t="shared" ca="1" si="173"/>
        <v/>
      </c>
      <c r="AK36" s="27" t="str">
        <f t="shared" ca="1" si="174"/>
        <v/>
      </c>
      <c r="AL36" s="15" t="b">
        <f t="shared" ca="1" si="175"/>
        <v>0</v>
      </c>
      <c r="AM36" s="15" t="str">
        <f t="shared" ca="1" si="176"/>
        <v/>
      </c>
      <c r="AN36" s="15">
        <f t="shared" ca="1" si="177"/>
        <v>3</v>
      </c>
      <c r="AO36" s="15" t="str">
        <f t="shared" ca="1" si="178"/>
        <v/>
      </c>
      <c r="AP36" s="15" t="str">
        <f t="shared" ca="1" si="179"/>
        <v/>
      </c>
      <c r="AQ36" s="27">
        <f t="shared" ca="1" si="180"/>
        <v>1</v>
      </c>
      <c r="AR36" s="15" t="b">
        <f t="shared" ca="1" si="181"/>
        <v>1</v>
      </c>
      <c r="AS36" s="27" t="b">
        <f t="shared" ca="1" si="182"/>
        <v>1</v>
      </c>
      <c r="AT36" s="27" t="b">
        <f t="shared" ca="1" si="183"/>
        <v>1</v>
      </c>
      <c r="AU36" s="27">
        <f t="shared" ca="1" si="184"/>
        <v>21</v>
      </c>
      <c r="AV36" s="16" t="e">
        <f t="shared" ca="1" si="185"/>
        <v>#REF!</v>
      </c>
      <c r="AW36" s="15" t="str">
        <f t="shared" ca="1" si="5"/>
        <v>'[dane surowe2c.xlsm]variables'!$AI$2</v>
      </c>
      <c r="AX36" s="27" t="b">
        <f t="shared" ca="1" si="186"/>
        <v>0</v>
      </c>
      <c r="AY36" s="27" t="b">
        <f t="shared" ca="1" si="187"/>
        <v>0</v>
      </c>
      <c r="AZ36" s="15">
        <f t="shared" ca="1" si="188"/>
        <v>1</v>
      </c>
      <c r="BA36" s="15">
        <f t="shared" ca="1" si="189"/>
        <v>357</v>
      </c>
      <c r="BB36" s="15" t="str">
        <f t="shared" ca="1" si="190"/>
        <v>'[dane surowe2c.xlsm]variables'!$AI$2</v>
      </c>
      <c r="BC36" s="15" t="str">
        <f t="shared" ca="1" si="191"/>
        <v>'[dane surowe2c.xlsm]variables'!$AI$2:$AI$358</v>
      </c>
      <c r="BD36" s="15" t="b">
        <f t="shared" ca="1" si="192"/>
        <v>1</v>
      </c>
      <c r="BE36" s="15" t="b">
        <f t="shared" ca="1" si="193"/>
        <v>0</v>
      </c>
      <c r="BF36" s="15" t="str">
        <f t="shared" ca="1" si="194"/>
        <v/>
      </c>
      <c r="BG36" s="15" t="str">
        <f t="shared" ca="1" si="195"/>
        <v/>
      </c>
      <c r="BH36" s="15">
        <f t="array" aca="1" ref="BH36" ca="1">IF(IFERROR( S36,1),1,IF(BC36="","", SUM(IF(ISERROR(INDIRECT(BC36)),1,0))))</f>
        <v>0</v>
      </c>
      <c r="BI36" s="15" t="b">
        <f t="shared" si="196"/>
        <v>0</v>
      </c>
      <c r="BJ36" s="15" t="b">
        <f t="shared" si="197"/>
        <v>1</v>
      </c>
      <c r="BK36" s="15">
        <f t="shared" ca="1" si="198"/>
        <v>2</v>
      </c>
      <c r="BL36" s="15">
        <f t="shared" ca="1" si="199"/>
        <v>2</v>
      </c>
      <c r="BP36" s="15" t="b">
        <f t="shared" si="200"/>
        <v>1</v>
      </c>
      <c r="BQ36" s="15" t="b">
        <f t="shared" ca="1" si="201"/>
        <v>1</v>
      </c>
      <c r="BR36" s="15">
        <f t="shared" ca="1" si="202"/>
        <v>25</v>
      </c>
      <c r="BS36" s="15">
        <f t="shared" ca="1" si="203"/>
        <v>25</v>
      </c>
      <c r="BT36" s="15" t="str">
        <f t="shared" ca="1" si="204"/>
        <v>Pola, od którego zależy dane pole ma błąd</v>
      </c>
      <c r="BV36" s="15" t="b">
        <f t="shared" ca="1" si="205"/>
        <v>0</v>
      </c>
      <c r="BW36" s="15" t="b">
        <f t="shared" ca="1" si="206"/>
        <v>0</v>
      </c>
      <c r="BX36" s="15" t="b">
        <f t="shared" ca="1" si="207"/>
        <v>0</v>
      </c>
      <c r="BY36" s="15" t="b">
        <f t="shared" ca="1" si="208"/>
        <v>0</v>
      </c>
      <c r="BZ36" s="15" t="b">
        <f t="shared" ca="1" si="209"/>
        <v>0</v>
      </c>
      <c r="CA36" s="15" t="b">
        <f t="shared" ca="1" si="210"/>
        <v>0</v>
      </c>
      <c r="CB36" s="15" t="b">
        <f t="shared" ca="1" si="211"/>
        <v>0</v>
      </c>
      <c r="CC36" s="15" t="b">
        <f t="shared" ca="1" si="212"/>
        <v>0</v>
      </c>
      <c r="CD36" s="15" t="b">
        <f t="shared" ca="1" si="213"/>
        <v>0</v>
      </c>
      <c r="CE36" s="15" t="b">
        <f t="shared" ca="1" si="214"/>
        <v>0</v>
      </c>
      <c r="CF36" s="15" t="b">
        <f t="shared" ca="1" si="215"/>
        <v>0</v>
      </c>
      <c r="CG36" s="15" t="b">
        <f t="shared" ca="1" si="216"/>
        <v>0</v>
      </c>
      <c r="CH36" s="15" t="b">
        <f t="shared" ca="1" si="217"/>
        <v>0</v>
      </c>
      <c r="CI36" s="15" t="b">
        <f t="shared" si="218"/>
        <v>0</v>
      </c>
      <c r="CJ36" s="15" t="b">
        <f t="shared" si="219"/>
        <v>0</v>
      </c>
      <c r="CK36" s="15" t="b">
        <f t="shared" ca="1" si="220"/>
        <v>0</v>
      </c>
      <c r="CL36" s="15" t="b">
        <f t="shared" ca="1" si="220"/>
        <v>0</v>
      </c>
      <c r="CM36" s="15" t="b">
        <f t="shared" ca="1" si="220"/>
        <v>0</v>
      </c>
      <c r="CN36" s="15" t="b">
        <f t="shared" ca="1" si="220"/>
        <v>0</v>
      </c>
      <c r="CO36" s="15" t="b">
        <f t="shared" ca="1" si="220"/>
        <v>0</v>
      </c>
      <c r="CP36" s="15" t="b">
        <f t="shared" ca="1" si="220"/>
        <v>0</v>
      </c>
      <c r="CQ36" s="15" t="b">
        <f t="shared" ca="1" si="220"/>
        <v>0</v>
      </c>
      <c r="CR36" s="21" t="b">
        <f t="shared" ca="1" si="220"/>
        <v>0</v>
      </c>
      <c r="CS36" s="22" t="b">
        <f t="shared" ca="1" si="221"/>
        <v>1</v>
      </c>
      <c r="CT36" s="22" t="b">
        <f t="shared" ca="1" si="222"/>
        <v>1</v>
      </c>
      <c r="CU36" s="22" t="b">
        <f t="shared" ca="1" si="223"/>
        <v>1</v>
      </c>
      <c r="CV36" s="22" t="b">
        <f t="shared" ca="1" si="224"/>
        <v>0</v>
      </c>
      <c r="CW36" s="22" t="b">
        <f t="shared" ca="1" si="225"/>
        <v>0</v>
      </c>
      <c r="CX36" s="22" t="b">
        <f t="shared" ca="1" si="226"/>
        <v>0</v>
      </c>
      <c r="CY36" s="22" t="b">
        <f t="shared" ca="1" si="227"/>
        <v>0</v>
      </c>
      <c r="CZ36" s="21" t="b">
        <f t="shared" ca="1" si="228"/>
        <v>0</v>
      </c>
      <c r="DB36" s="22" t="b">
        <f t="shared" ca="1" si="229"/>
        <v>0</v>
      </c>
      <c r="DC36" s="22" t="b">
        <f t="shared" ca="1" si="230"/>
        <v>0</v>
      </c>
      <c r="DD36" s="22" t="b">
        <f t="shared" ca="1" si="231"/>
        <v>0</v>
      </c>
      <c r="DE36" s="22" t="b">
        <f t="shared" ca="1" si="232"/>
        <v>0</v>
      </c>
      <c r="DF36" s="22" t="b">
        <f t="shared" ca="1" si="233"/>
        <v>0</v>
      </c>
      <c r="DG36" s="22" t="b">
        <f t="shared" ca="1" si="234"/>
        <v>0</v>
      </c>
      <c r="DH36" s="22" t="b">
        <f t="shared" ca="1" si="235"/>
        <v>0</v>
      </c>
      <c r="DI36" s="22" t="b">
        <f t="shared" ca="1" si="236"/>
        <v>0</v>
      </c>
      <c r="DJ36" s="22" t="b">
        <f t="shared" ca="1" si="237"/>
        <v>0</v>
      </c>
      <c r="DK36" s="22"/>
      <c r="DO36" s="15">
        <f t="shared" ca="1" si="238"/>
        <v>25</v>
      </c>
      <c r="DP36" s="15">
        <f t="shared" ca="1" si="239"/>
        <v>100</v>
      </c>
      <c r="DQ36" s="15">
        <f t="shared" ca="1" si="240"/>
        <v>25</v>
      </c>
      <c r="DR36" s="15" t="str">
        <f t="shared" ca="1" si="241"/>
        <v/>
      </c>
      <c r="DS36" s="15" t="str">
        <f t="shared" ca="1" si="242"/>
        <v/>
      </c>
      <c r="DT36" s="15" t="str">
        <f t="shared" ca="1" si="243"/>
        <v/>
      </c>
      <c r="DU36" s="15" t="str">
        <f t="shared" ca="1" si="244"/>
        <v/>
      </c>
      <c r="DV36" s="15" t="str">
        <f t="shared" ca="1" si="245"/>
        <v/>
      </c>
    </row>
    <row r="37" spans="1:126">
      <c r="A37" s="15">
        <f t="shared" si="19"/>
        <v>25</v>
      </c>
      <c r="B37" s="15" t="str">
        <f t="shared" ca="1" si="70"/>
        <v>Pola, od którego zależy dane pole ma błąd</v>
      </c>
      <c r="C37" s="15" t="s">
        <v>102</v>
      </c>
      <c r="D37" s="15" t="str">
        <f t="shared" si="21"/>
        <v>Zmienne CzyOgrDoEtykiet</v>
      </c>
      <c r="G37" s="15" t="s">
        <v>125</v>
      </c>
      <c r="J37" s="19" t="str">
        <f ca="1">CELL(_CELL_ADDRESS_NAME,variables!AE2)</f>
        <v>'[dane surowe2c.xlsm]variables'!$AE$2</v>
      </c>
      <c r="K37" s="15">
        <f>ster!$C$12</f>
        <v>357</v>
      </c>
      <c r="M37" s="19"/>
      <c r="Q37" s="16"/>
      <c r="T37" s="15" t="str">
        <f t="shared" ca="1" si="71"/>
        <v>'[dane surowe2c.xlsm]variables'!$AE$2:$AE$358</v>
      </c>
      <c r="U37" s="15">
        <f t="shared" ca="1" si="72"/>
        <v>25</v>
      </c>
      <c r="V37" s="15" t="s">
        <v>119</v>
      </c>
      <c r="AD37" s="16" t="b">
        <f t="shared" si="40"/>
        <v>1</v>
      </c>
      <c r="AE37" s="16" t="b">
        <f t="shared" si="41"/>
        <v>0</v>
      </c>
      <c r="AF37" s="15" t="str">
        <f t="shared" si="68"/>
        <v/>
      </c>
      <c r="AG37" s="15" t="str">
        <f t="shared" ca="1" si="1"/>
        <v/>
      </c>
      <c r="AH37" s="15" t="str">
        <f t="shared" ca="1" si="2"/>
        <v/>
      </c>
      <c r="AI37" s="15" t="b">
        <f t="shared" ca="1" si="3"/>
        <v>0</v>
      </c>
      <c r="AJ37" s="15" t="str">
        <f t="shared" ca="1" si="24"/>
        <v/>
      </c>
      <c r="AK37" s="27" t="str">
        <f t="shared" ca="1" si="42"/>
        <v/>
      </c>
      <c r="AL37" s="15" t="b">
        <f t="shared" ca="1" si="4"/>
        <v>0</v>
      </c>
      <c r="AM37" s="15" t="str">
        <f t="shared" ca="1" si="43"/>
        <v/>
      </c>
      <c r="AN37" s="15">
        <f t="shared" ca="1" si="44"/>
        <v>3</v>
      </c>
      <c r="AO37" s="15" t="str">
        <f t="shared" ca="1" si="25"/>
        <v/>
      </c>
      <c r="AP37" s="15" t="str">
        <f t="shared" ca="1" si="69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21</v>
      </c>
      <c r="AV37" s="16" t="e">
        <f t="shared" ca="1" si="51"/>
        <v>#REF!</v>
      </c>
      <c r="AW37" s="15" t="str">
        <f t="shared" ca="1" si="5"/>
        <v>'[dane surowe2c.xlsm]variables'!$AE$2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6"/>
        <v>357</v>
      </c>
      <c r="BB37" s="15" t="str">
        <f t="shared" ca="1" si="55"/>
        <v>'[dane surowe2c.xlsm]variables'!$AE$2</v>
      </c>
      <c r="BC37" s="15" t="str">
        <f t="shared" ca="1" si="27"/>
        <v>'[dane surowe2c.xlsm]variables'!$AE$2:$AE$358</v>
      </c>
      <c r="BD37" s="15" t="b">
        <f t="shared" ca="1" si="56"/>
        <v>1</v>
      </c>
      <c r="BE37" s="15" t="b">
        <f t="shared" ca="1" si="6"/>
        <v>0</v>
      </c>
      <c r="BF37" s="15" t="str">
        <f t="shared" ca="1" si="7"/>
        <v/>
      </c>
      <c r="BG37" s="15" t="str">
        <f t="shared" ca="1" si="8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9"/>
        <v>2</v>
      </c>
      <c r="BL37" s="15">
        <f t="shared" ca="1" si="10"/>
        <v>2</v>
      </c>
      <c r="BP37" s="15" t="b">
        <f t="shared" si="28"/>
        <v>1</v>
      </c>
      <c r="BQ37" s="15" t="b">
        <f t="shared" ca="1" si="29"/>
        <v>1</v>
      </c>
      <c r="BR37" s="15">
        <f t="shared" ca="1" si="11"/>
        <v>25</v>
      </c>
      <c r="BS37" s="15">
        <f t="shared" ca="1" si="30"/>
        <v>25</v>
      </c>
      <c r="BT37" s="15" t="str">
        <f t="shared" ca="1" si="12"/>
        <v>Pola, od którego zależy dane pole ma błąd</v>
      </c>
      <c r="BV37" s="15" t="b">
        <f t="shared" ca="1" si="31"/>
        <v>0</v>
      </c>
      <c r="BW37" s="15" t="b">
        <f t="shared" ca="1" si="32"/>
        <v>0</v>
      </c>
      <c r="BX37" s="15" t="b">
        <f t="shared" ca="1" si="33"/>
        <v>0</v>
      </c>
      <c r="BY37" s="15" t="b">
        <f t="shared" ca="1" si="13"/>
        <v>0</v>
      </c>
      <c r="BZ37" s="15" t="b">
        <f t="shared" ca="1" si="34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5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4"/>
        <v>0</v>
      </c>
      <c r="CI37" s="15" t="b">
        <f t="shared" si="36"/>
        <v>0</v>
      </c>
      <c r="CJ37" s="15" t="b">
        <f t="shared" si="37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16"/>
        <v>1</v>
      </c>
      <c r="CT37" s="22" t="b">
        <f t="shared" ca="1" si="16"/>
        <v>0</v>
      </c>
      <c r="CU37" s="22" t="b">
        <f t="shared" ca="1" si="16"/>
        <v>0</v>
      </c>
      <c r="CV37" s="22" t="b">
        <f t="shared" ca="1" si="16"/>
        <v>0</v>
      </c>
      <c r="CW37" s="22" t="b">
        <f t="shared" ca="1" si="16"/>
        <v>0</v>
      </c>
      <c r="CX37" s="22" t="b">
        <f t="shared" ca="1" si="16"/>
        <v>0</v>
      </c>
      <c r="CY37" s="22" t="b">
        <f t="shared" ca="1" si="16"/>
        <v>0</v>
      </c>
      <c r="CZ37" s="21" t="b">
        <f t="shared" ca="1" si="16"/>
        <v>0</v>
      </c>
      <c r="DB37" s="22" t="b">
        <f t="shared" ca="1" si="38"/>
        <v>0</v>
      </c>
      <c r="DC37" s="22" t="b">
        <f t="shared" ca="1" si="39"/>
        <v>0</v>
      </c>
      <c r="DD37" s="22" t="b">
        <f t="shared" ca="1" si="17"/>
        <v>0</v>
      </c>
      <c r="DE37" s="22" t="b">
        <f t="shared" ca="1" si="17"/>
        <v>0</v>
      </c>
      <c r="DF37" s="22" t="b">
        <f t="shared" ca="1" si="17"/>
        <v>0</v>
      </c>
      <c r="DG37" s="22" t="b">
        <f t="shared" ca="1" si="17"/>
        <v>0</v>
      </c>
      <c r="DH37" s="22" t="b">
        <f t="shared" ca="1" si="17"/>
        <v>0</v>
      </c>
      <c r="DI37" s="22" t="b">
        <f t="shared" ca="1" si="17"/>
        <v>0</v>
      </c>
      <c r="DJ37" s="22" t="b">
        <f t="shared" ca="1" si="17"/>
        <v>0</v>
      </c>
      <c r="DK37" s="22"/>
      <c r="DO37" s="15">
        <f t="shared" ca="1" si="18"/>
        <v>25</v>
      </c>
      <c r="DP37" s="15" t="str">
        <f t="shared" ca="1" si="18"/>
        <v/>
      </c>
      <c r="DQ37" s="15" t="str">
        <f t="shared" ca="1" si="18"/>
        <v/>
      </c>
      <c r="DR37" s="15" t="str">
        <f t="shared" ca="1" si="18"/>
        <v/>
      </c>
      <c r="DS37" s="15" t="str">
        <f t="shared" ca="1" si="18"/>
        <v/>
      </c>
      <c r="DT37" s="15" t="str">
        <f t="shared" ca="1" si="18"/>
        <v/>
      </c>
      <c r="DU37" s="15" t="str">
        <f t="shared" ca="1" si="18"/>
        <v/>
      </c>
      <c r="DV37" s="15" t="str">
        <f t="shared" ca="1" si="18"/>
        <v/>
      </c>
    </row>
    <row r="38" spans="1:126">
      <c r="A38" s="15">
        <f t="shared" si="19"/>
        <v>26</v>
      </c>
      <c r="B38" s="15" t="str">
        <f t="shared" ca="1" si="70"/>
        <v>Pola, od którego zależy dane pole ma błąd</v>
      </c>
      <c r="C38" s="15" t="s">
        <v>103</v>
      </c>
      <c r="D38" s="15" t="str">
        <f t="shared" si="21"/>
        <v>Zmienne Jednostki</v>
      </c>
      <c r="F38" s="15" t="s">
        <v>192</v>
      </c>
      <c r="G38" s="15" t="s">
        <v>125</v>
      </c>
      <c r="J38" s="19" t="str">
        <f ca="1">CELL(_CELL_ADDRESS_NAME,variables!AF2)</f>
        <v>'[dane surowe2c.xlsm]variables'!$AF$2</v>
      </c>
      <c r="K38" s="15">
        <f>ster!$C$12</f>
        <v>357</v>
      </c>
      <c r="M38" s="19"/>
      <c r="Q38" s="16"/>
      <c r="T38" s="15" t="str">
        <f t="shared" ca="1" si="71"/>
        <v>'[dane surowe2c.xlsm]variables'!$AF$2:$AF$358</v>
      </c>
      <c r="U38" s="15">
        <f t="shared" ca="1" si="72"/>
        <v>25</v>
      </c>
      <c r="V38" s="15" t="s">
        <v>119</v>
      </c>
      <c r="AD38" s="16" t="b">
        <f t="shared" si="40"/>
        <v>1</v>
      </c>
      <c r="AE38" s="16" t="b">
        <f t="shared" si="41"/>
        <v>0</v>
      </c>
      <c r="AF38" s="15" t="str">
        <f t="shared" si="68"/>
        <v/>
      </c>
      <c r="AG38" s="15" t="str">
        <f t="shared" ca="1" si="1"/>
        <v/>
      </c>
      <c r="AH38" s="15" t="str">
        <f t="shared" ca="1" si="2"/>
        <v/>
      </c>
      <c r="AI38" s="15" t="b">
        <f t="shared" ca="1" si="3"/>
        <v>0</v>
      </c>
      <c r="AJ38" s="15" t="str">
        <f t="shared" ca="1" si="24"/>
        <v/>
      </c>
      <c r="AK38" s="27" t="str">
        <f t="shared" ca="1" si="42"/>
        <v/>
      </c>
      <c r="AL38" s="15" t="b">
        <f t="shared" ca="1" si="4"/>
        <v>0</v>
      </c>
      <c r="AM38" s="15" t="str">
        <f t="shared" ca="1" si="43"/>
        <v/>
      </c>
      <c r="AN38" s="15">
        <f t="shared" ca="1" si="44"/>
        <v>3</v>
      </c>
      <c r="AO38" s="15" t="str">
        <f t="shared" ca="1" si="25"/>
        <v/>
      </c>
      <c r="AP38" s="15" t="str">
        <f t="shared" ca="1" si="69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21</v>
      </c>
      <c r="AV38" s="16" t="e">
        <f t="shared" ca="1" si="51"/>
        <v>#REF!</v>
      </c>
      <c r="AW38" s="15" t="str">
        <f t="shared" ca="1" si="5"/>
        <v>'[dane surowe2c.xlsm]variables'!$AF$2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6"/>
        <v>357</v>
      </c>
      <c r="BB38" s="15" t="str">
        <f t="shared" ca="1" si="55"/>
        <v>'[dane surowe2c.xlsm]variables'!$AF$2</v>
      </c>
      <c r="BC38" s="15" t="str">
        <f t="shared" ca="1" si="27"/>
        <v>'[dane surowe2c.xlsm]variables'!$AF$2:$AF$358</v>
      </c>
      <c r="BD38" s="15" t="b">
        <f t="shared" ca="1" si="56"/>
        <v>1</v>
      </c>
      <c r="BE38" s="15" t="b">
        <f t="shared" ca="1" si="6"/>
        <v>0</v>
      </c>
      <c r="BF38" s="15" t="str">
        <f t="shared" ca="1" si="7"/>
        <v/>
      </c>
      <c r="BG38" s="15" t="str">
        <f t="shared" ca="1" si="8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9"/>
        <v>2</v>
      </c>
      <c r="BL38" s="15">
        <f t="shared" ca="1" si="10"/>
        <v>2</v>
      </c>
      <c r="BP38" s="15" t="b">
        <f t="shared" si="28"/>
        <v>1</v>
      </c>
      <c r="BQ38" s="15" t="b">
        <f t="shared" ca="1" si="29"/>
        <v>1</v>
      </c>
      <c r="BR38" s="15">
        <f t="shared" ca="1" si="11"/>
        <v>25</v>
      </c>
      <c r="BS38" s="15">
        <f t="shared" ca="1" si="30"/>
        <v>25</v>
      </c>
      <c r="BT38" s="15" t="str">
        <f t="shared" ca="1" si="12"/>
        <v>Pola, od którego zależy dane pole ma błąd</v>
      </c>
      <c r="BV38" s="15" t="b">
        <f t="shared" ca="1" si="31"/>
        <v>0</v>
      </c>
      <c r="BW38" s="15" t="b">
        <f t="shared" ca="1" si="32"/>
        <v>0</v>
      </c>
      <c r="BX38" s="15" t="b">
        <f t="shared" ca="1" si="33"/>
        <v>0</v>
      </c>
      <c r="BY38" s="15" t="b">
        <f t="shared" ca="1" si="13"/>
        <v>0</v>
      </c>
      <c r="BZ38" s="15" t="b">
        <f t="shared" ca="1" si="34"/>
        <v>0</v>
      </c>
      <c r="CA38" s="15" t="b">
        <f t="shared" ca="1" si="59"/>
        <v>0</v>
      </c>
      <c r="CB38" s="15" t="b">
        <f t="shared" ca="1" si="60"/>
        <v>0</v>
      </c>
      <c r="CC38" s="15" t="b">
        <f ca="1">AND(AD38,AQ38=2,Q38&lt;&gt;"")</f>
        <v>0</v>
      </c>
      <c r="CD38" s="15" t="b">
        <f ca="1">AND(AE38,AR38=2,R38&lt;&gt;"")</f>
        <v>0</v>
      </c>
      <c r="CE38" s="15" t="b">
        <f t="shared" ca="1" si="35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4"/>
        <v>0</v>
      </c>
      <c r="CI38" s="15" t="b">
        <f t="shared" si="36"/>
        <v>0</v>
      </c>
      <c r="CJ38" s="15" t="b">
        <f t="shared" si="37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424">AND(DO38&lt;&gt;"",DO38&lt;&gt;0,DO38&lt;&gt;4)</f>
        <v>1</v>
      </c>
      <c r="CT38" s="22" t="b">
        <f t="shared" ca="1" si="424"/>
        <v>0</v>
      </c>
      <c r="CU38" s="22" t="b">
        <f t="shared" ca="1" si="424"/>
        <v>0</v>
      </c>
      <c r="CV38" s="22" t="b">
        <f t="shared" ca="1" si="424"/>
        <v>0</v>
      </c>
      <c r="CW38" s="22" t="b">
        <f t="shared" ca="1" si="424"/>
        <v>0</v>
      </c>
      <c r="CX38" s="22" t="b">
        <f t="shared" ca="1" si="424"/>
        <v>0</v>
      </c>
      <c r="CY38" s="22" t="b">
        <f t="shared" ca="1" si="424"/>
        <v>0</v>
      </c>
      <c r="CZ38" s="21" t="b">
        <f t="shared" ca="1" si="424"/>
        <v>0</v>
      </c>
      <c r="DB38" s="22" t="b">
        <f t="shared" ca="1" si="38"/>
        <v>0</v>
      </c>
      <c r="DC38" s="22" t="b">
        <f t="shared" ca="1" si="39"/>
        <v>0</v>
      </c>
      <c r="DD38" s="22" t="b">
        <f t="shared" ca="1" si="39"/>
        <v>0</v>
      </c>
      <c r="DE38" s="22" t="b">
        <f t="shared" ca="1" si="39"/>
        <v>0</v>
      </c>
      <c r="DF38" s="22" t="b">
        <f t="shared" ca="1" si="39"/>
        <v>0</v>
      </c>
      <c r="DG38" s="22" t="b">
        <f t="shared" ca="1" si="39"/>
        <v>0</v>
      </c>
      <c r="DH38" s="22" t="b">
        <f t="shared" ca="1" si="39"/>
        <v>0</v>
      </c>
      <c r="DI38" s="22" t="b">
        <f t="shared" ca="1" si="39"/>
        <v>0</v>
      </c>
      <c r="DJ38" s="22" t="b">
        <f t="shared" ca="1" si="39"/>
        <v>0</v>
      </c>
      <c r="DK38" s="22"/>
      <c r="DO38" s="15">
        <f t="shared" ca="1" si="18"/>
        <v>25</v>
      </c>
      <c r="DP38" s="15" t="str">
        <f t="shared" ca="1" si="18"/>
        <v/>
      </c>
      <c r="DQ38" s="15" t="str">
        <f t="shared" ca="1" si="18"/>
        <v/>
      </c>
      <c r="DR38" s="15" t="str">
        <f t="shared" ca="1" si="18"/>
        <v/>
      </c>
      <c r="DS38" s="15" t="str">
        <f t="shared" ca="1" si="18"/>
        <v/>
      </c>
      <c r="DT38" s="15" t="str">
        <f t="shared" ca="1" si="18"/>
        <v/>
      </c>
      <c r="DU38" s="15" t="str">
        <f t="shared" ca="1" si="18"/>
        <v/>
      </c>
      <c r="DV38" s="15" t="str">
        <f t="shared" ca="1" si="18"/>
        <v/>
      </c>
    </row>
    <row r="39" spans="1:126">
      <c r="A39" s="15">
        <f t="shared" si="19"/>
        <v>27</v>
      </c>
      <c r="B39" s="15" t="str">
        <f t="shared" ca="1" si="70"/>
        <v>Pola, od którego zależy dane pole ma błąd</v>
      </c>
      <c r="C39" s="15" t="s">
        <v>104</v>
      </c>
      <c r="D39" s="15" t="str">
        <f t="shared" si="21"/>
        <v>Zmienne Grupy</v>
      </c>
      <c r="F39" s="15" t="s">
        <v>188</v>
      </c>
      <c r="G39" s="15" t="s">
        <v>125</v>
      </c>
      <c r="J39" s="19" t="str">
        <f ca="1">CELL(_CELL_ADDRESS_NAME,variables!AJ2)</f>
        <v>'[dane surowe2c.xlsm]variables'!$AJ$2</v>
      </c>
      <c r="K39" s="15">
        <f>ster!$C$12</f>
        <v>357</v>
      </c>
      <c r="L39" s="15">
        <f ca="1">wew!$G$11</f>
        <v>1</v>
      </c>
      <c r="M39" s="19"/>
      <c r="O39" s="15">
        <f ca="1">wew!$G$11</f>
        <v>1</v>
      </c>
      <c r="T39" s="15" t="str">
        <f t="shared" ca="1" si="71"/>
        <v>'[dane surowe2c.xlsm]variables'!$AJ$2:$AJ$358</v>
      </c>
      <c r="U39" s="15">
        <f t="shared" ca="1" si="72"/>
        <v>25</v>
      </c>
      <c r="V39" s="15" t="s">
        <v>119</v>
      </c>
      <c r="AD39" s="16" t="b">
        <f t="shared" si="40"/>
        <v>1</v>
      </c>
      <c r="AE39" s="16" t="b">
        <f t="shared" si="41"/>
        <v>0</v>
      </c>
      <c r="AF39" s="15" t="str">
        <f t="shared" si="68"/>
        <v/>
      </c>
      <c r="AG39" s="15" t="str">
        <f t="shared" ca="1" si="1"/>
        <v/>
      </c>
      <c r="AH39" s="15" t="str">
        <f t="shared" ca="1" si="2"/>
        <v/>
      </c>
      <c r="AI39" s="15" t="b">
        <f t="shared" ca="1" si="3"/>
        <v>0</v>
      </c>
      <c r="AJ39" s="15" t="str">
        <f t="shared" ca="1" si="24"/>
        <v/>
      </c>
      <c r="AK39" s="27" t="str">
        <f t="shared" ca="1" si="42"/>
        <v/>
      </c>
      <c r="AL39" s="15" t="b">
        <f t="shared" ca="1" si="4"/>
        <v>0</v>
      </c>
      <c r="AM39" s="15" t="str">
        <f t="shared" ca="1" si="43"/>
        <v/>
      </c>
      <c r="AN39" s="15">
        <f t="shared" ca="1" si="44"/>
        <v>3</v>
      </c>
      <c r="AO39" s="15" t="str">
        <f t="shared" ca="1" si="25"/>
        <v/>
      </c>
      <c r="AP39" s="15" t="str">
        <f t="shared" ca="1" si="69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21</v>
      </c>
      <c r="AV39" s="16" t="e">
        <f t="shared" ca="1" si="51"/>
        <v>#REF!</v>
      </c>
      <c r="AW39" s="15" t="str">
        <f t="shared" ca="1" si="5"/>
        <v>'[dane surowe2c.xlsm]variables'!$AJ$2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6"/>
        <v>357</v>
      </c>
      <c r="BB39" s="15" t="str">
        <f t="shared" ca="1" si="55"/>
        <v>'[dane surowe2c.xlsm]variables'!$AJ$2</v>
      </c>
      <c r="BC39" s="15" t="str">
        <f t="shared" ca="1" si="27"/>
        <v>'[dane surowe2c.xlsm]variables'!$AJ$2:$AJ$358</v>
      </c>
      <c r="BD39" s="15" t="b">
        <f t="shared" ca="1" si="56"/>
        <v>1</v>
      </c>
      <c r="BE39" s="15" t="b">
        <f t="shared" ca="1" si="6"/>
        <v>0</v>
      </c>
      <c r="BF39" s="15" t="str">
        <f t="shared" ca="1" si="7"/>
        <v/>
      </c>
      <c r="BG39" s="15" t="str">
        <f t="shared" ca="1" si="8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9"/>
        <v>2</v>
      </c>
      <c r="BL39" s="15">
        <f t="shared" ca="1" si="10"/>
        <v>2</v>
      </c>
      <c r="BP39" s="15" t="b">
        <f t="shared" si="28"/>
        <v>1</v>
      </c>
      <c r="BQ39" s="15" t="b">
        <f t="shared" ca="1" si="29"/>
        <v>1</v>
      </c>
      <c r="BR39" s="15">
        <f t="shared" ca="1" si="11"/>
        <v>25</v>
      </c>
      <c r="BS39" s="15">
        <f t="shared" ca="1" si="30"/>
        <v>25</v>
      </c>
      <c r="BT39" s="15" t="str">
        <f t="shared" ca="1" si="12"/>
        <v>Pola, od którego zależy dane pole ma błąd</v>
      </c>
      <c r="BV39" s="15" t="b">
        <f t="shared" ca="1" si="31"/>
        <v>0</v>
      </c>
      <c r="BW39" s="15" t="b">
        <f t="shared" ca="1" si="32"/>
        <v>0</v>
      </c>
      <c r="BX39" s="15" t="b">
        <f t="shared" ca="1" si="33"/>
        <v>0</v>
      </c>
      <c r="BY39" s="15" t="b">
        <f t="shared" ca="1" si="13"/>
        <v>0</v>
      </c>
      <c r="BZ39" s="15" t="b">
        <f t="shared" ca="1" si="34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ref="CC39:CD39" ca="1" si="425">AND(AD39,AQ39=2,Q39&lt;&gt;"")</f>
        <v>0</v>
      </c>
      <c r="CD39" s="15" t="b">
        <f t="shared" ca="1" si="425"/>
        <v>0</v>
      </c>
      <c r="CE39" s="15" t="b">
        <f t="shared" ca="1" si="35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4"/>
        <v>0</v>
      </c>
      <c r="CI39" s="15" t="b">
        <f t="shared" si="36"/>
        <v>0</v>
      </c>
      <c r="CJ39" s="15" t="b">
        <f t="shared" si="37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424"/>
        <v>1</v>
      </c>
      <c r="CT39" s="22" t="b">
        <f t="shared" ca="1" si="424"/>
        <v>0</v>
      </c>
      <c r="CU39" s="22" t="b">
        <f t="shared" ca="1" si="424"/>
        <v>0</v>
      </c>
      <c r="CV39" s="22" t="b">
        <f t="shared" ca="1" si="424"/>
        <v>0</v>
      </c>
      <c r="CW39" s="22" t="b">
        <f t="shared" ca="1" si="424"/>
        <v>0</v>
      </c>
      <c r="CX39" s="22" t="b">
        <f t="shared" ca="1" si="424"/>
        <v>0</v>
      </c>
      <c r="CY39" s="22" t="b">
        <f t="shared" ca="1" si="424"/>
        <v>0</v>
      </c>
      <c r="CZ39" s="21" t="b">
        <f t="shared" ca="1" si="424"/>
        <v>0</v>
      </c>
      <c r="DB39" s="22" t="b">
        <f t="shared" ca="1" si="38"/>
        <v>0</v>
      </c>
      <c r="DC39" s="22" t="b">
        <f t="shared" ca="1" si="39"/>
        <v>0</v>
      </c>
      <c r="DD39" s="22" t="b">
        <f t="shared" ca="1" si="39"/>
        <v>0</v>
      </c>
      <c r="DE39" s="22" t="b">
        <f t="shared" ca="1" si="39"/>
        <v>0</v>
      </c>
      <c r="DF39" s="22" t="b">
        <f t="shared" ca="1" si="39"/>
        <v>0</v>
      </c>
      <c r="DG39" s="22" t="b">
        <f t="shared" ca="1" si="39"/>
        <v>0</v>
      </c>
      <c r="DH39" s="22" t="b">
        <f t="shared" ca="1" si="39"/>
        <v>0</v>
      </c>
      <c r="DI39" s="22" t="b">
        <f t="shared" ca="1" si="39"/>
        <v>0</v>
      </c>
      <c r="DJ39" s="22" t="b">
        <f t="shared" ca="1" si="39"/>
        <v>0</v>
      </c>
      <c r="DK39" s="22"/>
      <c r="DO39" s="15">
        <f t="shared" ref="DO39:DV68" ca="1" si="426">IF(V39&lt;&gt;"",IFERROR(INDEX(INDIRECT($BS$4),MATCH(V39,INDIRECT($C$4),0)),100),"")</f>
        <v>25</v>
      </c>
      <c r="DP39" s="15" t="str">
        <f t="shared" ca="1" si="426"/>
        <v/>
      </c>
      <c r="DQ39" s="15" t="str">
        <f t="shared" ca="1" si="426"/>
        <v/>
      </c>
      <c r="DR39" s="15" t="str">
        <f t="shared" ca="1" si="426"/>
        <v/>
      </c>
      <c r="DS39" s="15" t="str">
        <f t="shared" ca="1" si="426"/>
        <v/>
      </c>
      <c r="DT39" s="15" t="str">
        <f t="shared" ca="1" si="426"/>
        <v/>
      </c>
      <c r="DU39" s="15" t="str">
        <f t="shared" ca="1" si="426"/>
        <v/>
      </c>
      <c r="DV39" s="15" t="str">
        <f t="shared" ca="1" si="426"/>
        <v/>
      </c>
    </row>
    <row r="40" spans="1:126">
      <c r="A40" s="15">
        <f t="shared" si="19"/>
        <v>28</v>
      </c>
      <c r="B40" s="15" t="str">
        <f t="shared" ca="1" si="70"/>
        <v>ok.</v>
      </c>
      <c r="C40" s="15" t="s">
        <v>105</v>
      </c>
      <c r="D40" s="15" t="str">
        <f t="shared" si="21"/>
        <v>Ster KatalogDocelowy</v>
      </c>
      <c r="F40" s="15" t="s">
        <v>198</v>
      </c>
      <c r="G40" s="15" t="s">
        <v>125</v>
      </c>
      <c r="J40" s="19" t="str">
        <f ca="1">CELL(_CELL_ADDRESS_NAME,ster!B3)</f>
        <v>'[dane surowe2c.xlsm]ster'!$B$3</v>
      </c>
      <c r="M40" s="19"/>
      <c r="T40" s="15" t="str">
        <f t="shared" ca="1" si="71"/>
        <v>'[dane surowe2c.xlsm]ster'!$B$3</v>
      </c>
      <c r="U40" s="15">
        <f t="shared" ca="1" si="72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8"/>
        <v/>
      </c>
      <c r="AG40" s="15" t="str">
        <f t="shared" ca="1" si="1"/>
        <v/>
      </c>
      <c r="AH40" s="15" t="str">
        <f t="shared" ca="1" si="2"/>
        <v/>
      </c>
      <c r="AI40" s="15" t="b">
        <f t="shared" ca="1" si="3"/>
        <v>0</v>
      </c>
      <c r="AJ40" s="15" t="str">
        <f t="shared" ca="1" si="24"/>
        <v/>
      </c>
      <c r="AK40" s="27" t="str">
        <f ca="1">IF(AE40,INDEX(INDIRECT(AJ40),AH40),"")</f>
        <v/>
      </c>
      <c r="AL40" s="15" t="b">
        <f t="shared" ca="1" si="4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5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21</v>
      </c>
      <c r="AV40" s="16" t="b">
        <f ca="1">IF(AS40,MID(J40,1,AU40)&lt;&gt;$U$2,FALSE)</f>
        <v>0</v>
      </c>
      <c r="AW40" s="15" t="str">
        <f t="shared" ca="1" si="5"/>
        <v>'[dane surowe2c.xlsm]ster'!$B$3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6"/>
        <v>1</v>
      </c>
      <c r="BB40" s="15" t="str">
        <f ca="1">IF(AD40,CHOOSE(AQ40,AW40,AK40,"?"),"")</f>
        <v>'[dane surowe2c.xlsm]ster'!$B$3</v>
      </c>
      <c r="BC40" s="15" t="str">
        <f t="shared" ca="1" si="27"/>
        <v>'[dane surowe2c.xlsm]ster'!$B$3</v>
      </c>
      <c r="BD40" s="15" t="b">
        <f ca="1">AZ40*BA40&gt;1</f>
        <v>0</v>
      </c>
      <c r="BE40" s="15" t="b">
        <f t="shared" ca="1" si="6"/>
        <v>0</v>
      </c>
      <c r="BF40" s="15" t="str">
        <f t="shared" ca="1" si="7"/>
        <v/>
      </c>
      <c r="BG40" s="15" t="str">
        <f t="shared" ca="1" si="8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9"/>
        <v>2</v>
      </c>
      <c r="BL40" s="15">
        <f t="shared" ca="1" si="10"/>
        <v>2</v>
      </c>
      <c r="BP40" s="15" t="b">
        <f t="shared" si="28"/>
        <v>1</v>
      </c>
      <c r="BQ40" s="15" t="b">
        <f t="shared" ca="1" si="29"/>
        <v>0</v>
      </c>
      <c r="BR40" s="15" t="str">
        <f t="shared" ca="1" si="11"/>
        <v/>
      </c>
      <c r="BS40" s="15">
        <f t="shared" ca="1" si="30"/>
        <v>0</v>
      </c>
      <c r="BT40" s="15" t="str">
        <f t="shared" ca="1" si="12"/>
        <v/>
      </c>
      <c r="BV40" s="15" t="b">
        <f t="shared" ca="1" si="31"/>
        <v>0</v>
      </c>
      <c r="BW40" s="15" t="b">
        <f t="shared" ca="1" si="32"/>
        <v>0</v>
      </c>
      <c r="BX40" s="15" t="b">
        <f t="shared" ca="1" si="33"/>
        <v>0</v>
      </c>
      <c r="BY40" s="15" t="b">
        <f t="shared" ca="1" si="13"/>
        <v>0</v>
      </c>
      <c r="BZ40" s="15" t="b">
        <f t="shared" ca="1" si="34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ca="1">AND(AD40,AQ40=2,Q40&lt;&gt;"")</f>
        <v>0</v>
      </c>
      <c r="CD40" s="15" t="b">
        <f ca="1">AND(AE40,AR40=2,R40&lt;&gt;"")</f>
        <v>0</v>
      </c>
      <c r="CE40" s="15" t="b">
        <f t="shared" ca="1" si="35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4"/>
        <v>0</v>
      </c>
      <c r="CI40" s="15" t="b">
        <f t="shared" si="36"/>
        <v>0</v>
      </c>
      <c r="CJ40" s="15" t="b">
        <f t="shared" si="37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424"/>
        <v>0</v>
      </c>
      <c r="CT40" s="22" t="b">
        <f t="shared" ca="1" si="424"/>
        <v>0</v>
      </c>
      <c r="CU40" s="22" t="b">
        <f t="shared" ca="1" si="424"/>
        <v>0</v>
      </c>
      <c r="CV40" s="22" t="b">
        <f t="shared" ca="1" si="424"/>
        <v>0</v>
      </c>
      <c r="CW40" s="22" t="b">
        <f t="shared" ca="1" si="424"/>
        <v>0</v>
      </c>
      <c r="CX40" s="22" t="b">
        <f t="shared" ca="1" si="424"/>
        <v>0</v>
      </c>
      <c r="CY40" s="22" t="b">
        <f t="shared" ca="1" si="424"/>
        <v>0</v>
      </c>
      <c r="CZ40" s="21" t="b">
        <f t="shared" ca="1" si="424"/>
        <v>0</v>
      </c>
      <c r="DB40" s="22" t="b">
        <f t="shared" ca="1" si="38"/>
        <v>0</v>
      </c>
      <c r="DC40" s="22" t="b">
        <f t="shared" ca="1" si="39"/>
        <v>0</v>
      </c>
      <c r="DD40" s="22" t="b">
        <f t="shared" ca="1" si="39"/>
        <v>0</v>
      </c>
      <c r="DE40" s="22" t="b">
        <f t="shared" ca="1" si="39"/>
        <v>0</v>
      </c>
      <c r="DF40" s="22" t="b">
        <f t="shared" ca="1" si="39"/>
        <v>0</v>
      </c>
      <c r="DG40" s="22" t="b">
        <f t="shared" ca="1" si="39"/>
        <v>0</v>
      </c>
      <c r="DH40" s="22" t="b">
        <f t="shared" ca="1" si="39"/>
        <v>0</v>
      </c>
      <c r="DI40" s="22" t="b">
        <f t="shared" ca="1" si="39"/>
        <v>0</v>
      </c>
      <c r="DJ40" s="22" t="b">
        <f t="shared" ca="1" si="39"/>
        <v>0</v>
      </c>
      <c r="DK40" s="22"/>
      <c r="DO40" s="15" t="str">
        <f t="shared" ca="1" si="426"/>
        <v/>
      </c>
      <c r="DP40" s="15" t="str">
        <f t="shared" ca="1" si="426"/>
        <v/>
      </c>
      <c r="DQ40" s="15" t="str">
        <f t="shared" ca="1" si="426"/>
        <v/>
      </c>
      <c r="DR40" s="15" t="str">
        <f t="shared" ca="1" si="426"/>
        <v/>
      </c>
      <c r="DS40" s="15" t="str">
        <f t="shared" ca="1" si="426"/>
        <v/>
      </c>
      <c r="DT40" s="15" t="str">
        <f t="shared" ca="1" si="426"/>
        <v/>
      </c>
      <c r="DU40" s="15" t="str">
        <f t="shared" ca="1" si="426"/>
        <v/>
      </c>
      <c r="DV40" s="15" t="str">
        <f t="shared" ca="1" si="426"/>
        <v/>
      </c>
    </row>
    <row r="41" spans="1:126">
      <c r="A41" s="15">
        <f t="shared" si="19"/>
        <v>29</v>
      </c>
      <c r="B41" s="15" t="e">
        <f t="shared" ca="1" si="70"/>
        <v>#REF!</v>
      </c>
      <c r="C41" s="15" t="s">
        <v>106</v>
      </c>
      <c r="D41" s="15" t="str">
        <f t="shared" si="21"/>
        <v>Ster TrybTworzeniaRaportu</v>
      </c>
      <c r="F41" s="15" t="s">
        <v>197</v>
      </c>
      <c r="G41" s="15" t="s">
        <v>125</v>
      </c>
      <c r="J41" s="19" t="e">
        <f ca="1">CELL(_CELL_ADDRESS_NAME,ster!#REF!)</f>
        <v>#REF!</v>
      </c>
      <c r="M41" s="19"/>
      <c r="T41" s="15" t="str">
        <f t="shared" ca="1" si="71"/>
        <v/>
      </c>
      <c r="U41" s="15" t="e">
        <f t="shared" ca="1" si="72"/>
        <v>#REF!</v>
      </c>
      <c r="AD41" s="16" t="b">
        <f t="shared" ref="AD41:AD68" si="427">C41&lt;&gt;""</f>
        <v>1</v>
      </c>
      <c r="AE41" s="16" t="b">
        <f t="shared" ref="AE41:AE68" si="428">AND(I41&lt;&gt;"",H41&lt;&gt;"")</f>
        <v>0</v>
      </c>
      <c r="AF41" s="15" t="str">
        <f t="shared" si="68"/>
        <v/>
      </c>
      <c r="AG41" s="15" t="str">
        <f t="shared" ca="1" si="1"/>
        <v/>
      </c>
      <c r="AH41" s="15" t="str">
        <f t="shared" ca="1" si="2"/>
        <v/>
      </c>
      <c r="AI41" s="15" t="b">
        <f t="shared" ca="1" si="3"/>
        <v>0</v>
      </c>
      <c r="AJ41" s="15" t="str">
        <f t="shared" ca="1" si="24"/>
        <v/>
      </c>
      <c r="AK41" s="27" t="str">
        <f t="shared" ref="AK41:AK68" ca="1" si="429">IF(AE41,INDEX(INDIRECT(AJ41),AH41),"")</f>
        <v/>
      </c>
      <c r="AL41" s="15" t="b">
        <f t="shared" ca="1" si="4"/>
        <v>0</v>
      </c>
      <c r="AM41" s="15" t="str">
        <f t="shared" ref="AM41:AM68" ca="1" si="430">IF(AE41,INDIRECT(ADDRESS(ROW($BK$4),COLUMN($BK$4),,,AF41)),"")</f>
        <v/>
      </c>
      <c r="AN41" s="15">
        <f t="shared" ref="AN41:AN68" ca="1" si="431">IFERROR(IF(AE41,INDEX(INDIRECT(AM41),AH41),3),3)</f>
        <v>3</v>
      </c>
      <c r="AO41" s="15" t="str">
        <f t="shared" ca="1" si="25"/>
        <v/>
      </c>
      <c r="AP41" s="15" t="e">
        <f t="shared" ref="AP41:AP68" ca="1" si="432">IF(AQ41=2,INDEX(INDIRECT(AO41),AH41),"")</f>
        <v>#REF!</v>
      </c>
      <c r="AQ41" s="27" t="e">
        <f t="shared" ref="AQ41:AQ68" ca="1" si="433">IF(AND(AE41,NOT(AR41)),2,IF(AND(AR41,NOT(AE41)),1,IF(AND(NOT(AE41),NOT(AR41)),4,3)))</f>
        <v>#REF!</v>
      </c>
      <c r="AR41" s="15" t="e">
        <f t="shared" ref="AR41:AR68" ca="1" si="434">AND(J41&lt;&gt;"",AD41)</f>
        <v>#REF!</v>
      </c>
      <c r="AS41" s="27" t="b">
        <f t="shared" ref="AS41:AS68" ca="1" si="435">NOT(ISERROR(FIND("[",J41)))</f>
        <v>0</v>
      </c>
      <c r="AT41" s="27" t="e">
        <f t="shared" ref="AT41:AT68" ca="1" si="436">MID(J41,1,1)="'"</f>
        <v>#REF!</v>
      </c>
      <c r="AU41" s="27" t="str">
        <f t="shared" ref="AU41:AU68" ca="1" si="437">IF(AS41,FIND("]",J41),"")</f>
        <v/>
      </c>
      <c r="AV41" s="16" t="b">
        <f t="shared" ref="AV41:AV68" ca="1" si="438">IF(AS41,MID(J41,1,AU41)&lt;&gt;$V$2,FALSE)</f>
        <v>0</v>
      </c>
      <c r="AW41" s="15" t="e">
        <f t="shared" ca="1" si="5"/>
        <v>#REF!</v>
      </c>
      <c r="AX41" s="27" t="e">
        <f t="shared" ref="AX41:AX68" ca="1" si="439">IF(AR41,ROWS(INDIRECT(AW41))&gt;1)</f>
        <v>#REF!</v>
      </c>
      <c r="AY41" s="27" t="e">
        <f t="shared" ref="AY41:AY68" ca="1" si="440">IF(AR41,COLUMNS(INDIRECT(AW41))&gt;1)</f>
        <v>#REF!</v>
      </c>
      <c r="AZ41" s="15">
        <f t="shared" ref="AZ41:AZ68" ca="1" si="441">IF($AE41,IF(NOT(AI41),"?",COLUMNS(INDIRECT($AK41))),IF($AD41,IF(L41="",1,L41)))</f>
        <v>1</v>
      </c>
      <c r="BA41" s="15">
        <f t="shared" ca="1" si="26"/>
        <v>1</v>
      </c>
      <c r="BB41" s="15" t="e">
        <f t="shared" ref="BB41:BB68" ca="1" si="442">IF(AD41,CHOOSE(AQ41,AW41,AK41,"?"),"")</f>
        <v>#REF!</v>
      </c>
      <c r="BC41" s="15" t="str">
        <f t="shared" ca="1" si="27"/>
        <v/>
      </c>
      <c r="BD41" s="15" t="b">
        <f t="shared" ref="BD41:BD68" ca="1" si="443">AZ41*BA41&gt;1</f>
        <v>0</v>
      </c>
      <c r="BE41" s="15" t="e">
        <f t="shared" ca="1" si="6"/>
        <v>#REF!</v>
      </c>
      <c r="BF41" s="15" t="e">
        <f t="shared" ca="1" si="7"/>
        <v>#REF!</v>
      </c>
      <c r="BG41" s="15" t="e">
        <f t="shared" ca="1" si="8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444">G41="r"</f>
        <v>0</v>
      </c>
      <c r="BJ41" s="15" t="b">
        <f t="shared" ref="BJ41:BJ68" si="445">G41="W"</f>
        <v>1</v>
      </c>
      <c r="BK41" s="15" t="e">
        <f t="shared" ca="1" si="9"/>
        <v>#REF!</v>
      </c>
      <c r="BL41" s="15" t="e">
        <f t="shared" ca="1" si="10"/>
        <v>#REF!</v>
      </c>
      <c r="BP41" s="15" t="b">
        <f t="shared" si="28"/>
        <v>1</v>
      </c>
      <c r="BQ41" s="15" t="e">
        <f t="shared" ca="1" si="29"/>
        <v>#REF!</v>
      </c>
      <c r="BR41" s="15" t="e">
        <f t="shared" ca="1" si="11"/>
        <v>#REF!</v>
      </c>
      <c r="BS41" s="15" t="e">
        <f t="shared" ca="1" si="30"/>
        <v>#REF!</v>
      </c>
      <c r="BT41" s="15" t="e">
        <f t="shared" ca="1" si="12"/>
        <v>#REF!</v>
      </c>
      <c r="BV41" s="15" t="b">
        <f t="shared" ca="1" si="31"/>
        <v>0</v>
      </c>
      <c r="BW41" s="15" t="b">
        <f t="shared" ca="1" si="32"/>
        <v>0</v>
      </c>
      <c r="BX41" s="15" t="b">
        <f t="shared" ca="1" si="33"/>
        <v>0</v>
      </c>
      <c r="BY41" s="15" t="b">
        <f t="shared" ca="1" si="13"/>
        <v>0</v>
      </c>
      <c r="BZ41" s="15" t="b">
        <f t="shared" ca="1" si="34"/>
        <v>0</v>
      </c>
      <c r="CA41" s="15" t="e">
        <f t="shared" ref="CA41:CA68" ca="1" si="446">AND(AR41,AE41,AD41)</f>
        <v>#REF!</v>
      </c>
      <c r="CB41" s="15" t="b">
        <f t="shared" ref="CB41:CB68" ca="1" si="447">ISERROR(COUNT(INDIRECT(J41)))</f>
        <v>0</v>
      </c>
      <c r="CC41" s="15" t="e">
        <f t="shared" ref="CC41:CD70" ca="1" si="448">AND(AD41,AQ41=2,Q41&lt;&gt;"")</f>
        <v>#REF!</v>
      </c>
      <c r="CD41" s="15" t="e">
        <f t="shared" ca="1" si="448"/>
        <v>#REF!</v>
      </c>
      <c r="CE41" s="15" t="e">
        <f t="shared" ca="1" si="35"/>
        <v>#REF!</v>
      </c>
      <c r="CF41" s="15" t="e">
        <f t="shared" ref="CF41:CF68" ca="1" si="449">AND($AD41,$AQ41=2,COUNTA( S41)=1)</f>
        <v>#REF!</v>
      </c>
      <c r="CG41" s="15" t="e">
        <f t="shared" ref="CG41:CG68" ca="1" si="450">AND(AND(AQ41&lt;&gt;1,AQ41&lt;&gt;3),G41&lt;&gt;"")</f>
        <v>#REF!</v>
      </c>
      <c r="CH41" s="15" t="e">
        <f t="shared" ca="1" si="14"/>
        <v>#REF!</v>
      </c>
      <c r="CI41" s="15" t="b">
        <f t="shared" si="36"/>
        <v>0</v>
      </c>
      <c r="CJ41" s="15" t="b">
        <f t="shared" si="37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424"/>
        <v>0</v>
      </c>
      <c r="CT41" s="22" t="b">
        <f t="shared" ca="1" si="424"/>
        <v>0</v>
      </c>
      <c r="CU41" s="22" t="b">
        <f t="shared" ca="1" si="424"/>
        <v>0</v>
      </c>
      <c r="CV41" s="22" t="b">
        <f t="shared" ca="1" si="424"/>
        <v>0</v>
      </c>
      <c r="CW41" s="22" t="b">
        <f t="shared" ca="1" si="424"/>
        <v>0</v>
      </c>
      <c r="CX41" s="22" t="b">
        <f t="shared" ca="1" si="424"/>
        <v>0</v>
      </c>
      <c r="CY41" s="22" t="b">
        <f t="shared" ca="1" si="424"/>
        <v>0</v>
      </c>
      <c r="CZ41" s="21" t="b">
        <f t="shared" ca="1" si="424"/>
        <v>0</v>
      </c>
      <c r="DB41" s="22" t="b">
        <f t="shared" ca="1" si="38"/>
        <v>0</v>
      </c>
      <c r="DC41" s="22" t="b">
        <f t="shared" ca="1" si="39"/>
        <v>0</v>
      </c>
      <c r="DD41" s="22" t="b">
        <f t="shared" ca="1" si="39"/>
        <v>0</v>
      </c>
      <c r="DE41" s="22" t="b">
        <f t="shared" ca="1" si="39"/>
        <v>0</v>
      </c>
      <c r="DF41" s="22" t="b">
        <f t="shared" ca="1" si="39"/>
        <v>0</v>
      </c>
      <c r="DG41" s="22" t="b">
        <f t="shared" ca="1" si="39"/>
        <v>0</v>
      </c>
      <c r="DH41" s="22" t="b">
        <f t="shared" ca="1" si="39"/>
        <v>0</v>
      </c>
      <c r="DI41" s="22" t="b">
        <f t="shared" ca="1" si="39"/>
        <v>0</v>
      </c>
      <c r="DJ41" s="22" t="b">
        <f t="shared" ca="1" si="39"/>
        <v>0</v>
      </c>
      <c r="DK41" s="22"/>
      <c r="DO41" s="15" t="str">
        <f t="shared" ca="1" si="426"/>
        <v/>
      </c>
      <c r="DP41" s="15" t="str">
        <f t="shared" ca="1" si="426"/>
        <v/>
      </c>
      <c r="DQ41" s="15" t="str">
        <f t="shared" ca="1" si="426"/>
        <v/>
      </c>
      <c r="DR41" s="15" t="str">
        <f t="shared" ca="1" si="426"/>
        <v/>
      </c>
      <c r="DS41" s="15" t="str">
        <f t="shared" ca="1" si="426"/>
        <v/>
      </c>
      <c r="DT41" s="15" t="str">
        <f t="shared" ca="1" si="426"/>
        <v/>
      </c>
      <c r="DU41" s="15" t="str">
        <f t="shared" ca="1" si="426"/>
        <v/>
      </c>
      <c r="DV41" s="15" t="str">
        <f t="shared" ca="1" si="426"/>
        <v/>
      </c>
    </row>
    <row r="42" spans="1:126">
      <c r="A42" s="15">
        <f t="shared" si="19"/>
        <v>30</v>
      </c>
      <c r="B42" s="15" t="str">
        <f t="shared" ca="1" si="70"/>
        <v>ok.</v>
      </c>
      <c r="C42" s="15" t="s">
        <v>107</v>
      </c>
      <c r="D42" s="15" t="str">
        <f t="shared" si="21"/>
        <v>Ster PodkatalogAnalizy</v>
      </c>
      <c r="F42" s="15" t="s">
        <v>199</v>
      </c>
      <c r="G42" s="15" t="s">
        <v>125</v>
      </c>
      <c r="J42" s="19" t="str">
        <f ca="1">CELL(_CELL_ADDRESS_NAME,ster!C5)</f>
        <v>'[dane surowe2c.xlsm]ster'!$C$5</v>
      </c>
      <c r="M42" s="19"/>
      <c r="T42" s="15" t="str">
        <f t="shared" ca="1" si="71"/>
        <v>'[dane surowe2c.xlsm]ster'!$C$5</v>
      </c>
      <c r="U42" s="15">
        <f t="shared" ca="1" si="72"/>
        <v>0</v>
      </c>
      <c r="AD42" s="16" t="b">
        <f t="shared" si="427"/>
        <v>1</v>
      </c>
      <c r="AE42" s="16" t="b">
        <f t="shared" si="428"/>
        <v>0</v>
      </c>
      <c r="AF42" s="15" t="str">
        <f t="shared" si="68"/>
        <v/>
      </c>
      <c r="AG42" s="15" t="str">
        <f t="shared" ca="1" si="1"/>
        <v/>
      </c>
      <c r="AH42" s="15" t="str">
        <f t="shared" ca="1" si="2"/>
        <v/>
      </c>
      <c r="AI42" s="15" t="b">
        <f t="shared" ca="1" si="3"/>
        <v>0</v>
      </c>
      <c r="AJ42" s="15" t="str">
        <f t="shared" ca="1" si="24"/>
        <v/>
      </c>
      <c r="AK42" s="27" t="str">
        <f t="shared" ca="1" si="429"/>
        <v/>
      </c>
      <c r="AL42" s="15" t="b">
        <f t="shared" ca="1" si="4"/>
        <v>0</v>
      </c>
      <c r="AM42" s="15" t="str">
        <f t="shared" ca="1" si="430"/>
        <v/>
      </c>
      <c r="AN42" s="15">
        <f t="shared" ca="1" si="431"/>
        <v>3</v>
      </c>
      <c r="AO42" s="15" t="str">
        <f t="shared" ca="1" si="25"/>
        <v/>
      </c>
      <c r="AP42" s="15" t="str">
        <f t="shared" ca="1" si="432"/>
        <v/>
      </c>
      <c r="AQ42" s="27">
        <f t="shared" ca="1" si="433"/>
        <v>1</v>
      </c>
      <c r="AR42" s="15" t="b">
        <f t="shared" ca="1" si="434"/>
        <v>1</v>
      </c>
      <c r="AS42" s="27" t="b">
        <f t="shared" ca="1" si="435"/>
        <v>1</v>
      </c>
      <c r="AT42" s="27" t="b">
        <f t="shared" ca="1" si="436"/>
        <v>1</v>
      </c>
      <c r="AU42" s="27">
        <f t="shared" ca="1" si="437"/>
        <v>21</v>
      </c>
      <c r="AV42" s="16" t="e">
        <f t="shared" ca="1" si="438"/>
        <v>#REF!</v>
      </c>
      <c r="AW42" s="15" t="str">
        <f t="shared" ca="1" si="5"/>
        <v>'[dane surowe2c.xlsm]ster'!$C$5</v>
      </c>
      <c r="AX42" s="27" t="b">
        <f t="shared" ca="1" si="439"/>
        <v>0</v>
      </c>
      <c r="AY42" s="27" t="b">
        <f t="shared" ca="1" si="440"/>
        <v>0</v>
      </c>
      <c r="AZ42" s="15">
        <f t="shared" ca="1" si="441"/>
        <v>1</v>
      </c>
      <c r="BA42" s="15">
        <f t="shared" ca="1" si="26"/>
        <v>1</v>
      </c>
      <c r="BB42" s="15" t="str">
        <f t="shared" ca="1" si="442"/>
        <v>'[dane surowe2c.xlsm]ster'!$C$5</v>
      </c>
      <c r="BC42" s="15" t="str">
        <f t="shared" ca="1" si="27"/>
        <v>'[dane surowe2c.xlsm]ster'!$C$5</v>
      </c>
      <c r="BD42" s="15" t="b">
        <f t="shared" ca="1" si="443"/>
        <v>0</v>
      </c>
      <c r="BE42" s="15" t="b">
        <f t="shared" ca="1" si="6"/>
        <v>0</v>
      </c>
      <c r="BF42" s="15" t="str">
        <f t="shared" ca="1" si="7"/>
        <v/>
      </c>
      <c r="BG42" s="15" t="str">
        <f t="shared" ca="1" si="8"/>
        <v/>
      </c>
      <c r="BH42" s="15">
        <f t="array" aca="1" ref="BH42" ca="1">IF(IFERROR( S42,1),1,IF(BC42="","", SUM(IF(ISERROR(INDIRECT(BC42)),1,0))))</f>
        <v>0</v>
      </c>
      <c r="BI42" s="15" t="b">
        <f t="shared" si="444"/>
        <v>0</v>
      </c>
      <c r="BJ42" s="15" t="b">
        <f t="shared" si="445"/>
        <v>1</v>
      </c>
      <c r="BK42" s="15">
        <f t="shared" ca="1" si="9"/>
        <v>2</v>
      </c>
      <c r="BL42" s="15">
        <f t="shared" ca="1" si="10"/>
        <v>2</v>
      </c>
      <c r="BP42" s="15" t="b">
        <f t="shared" si="28"/>
        <v>1</v>
      </c>
      <c r="BQ42" s="15" t="b">
        <f t="shared" ca="1" si="29"/>
        <v>0</v>
      </c>
      <c r="BR42" s="15" t="str">
        <f t="shared" ca="1" si="11"/>
        <v/>
      </c>
      <c r="BS42" s="15">
        <f t="shared" ca="1" si="30"/>
        <v>0</v>
      </c>
      <c r="BT42" s="15" t="str">
        <f t="shared" ca="1" si="12"/>
        <v/>
      </c>
      <c r="BV42" s="15" t="b">
        <f t="shared" ca="1" si="31"/>
        <v>0</v>
      </c>
      <c r="BW42" s="15" t="b">
        <f t="shared" ca="1" si="32"/>
        <v>0</v>
      </c>
      <c r="BX42" s="15" t="b">
        <f t="shared" ca="1" si="33"/>
        <v>0</v>
      </c>
      <c r="BY42" s="15" t="b">
        <f t="shared" ca="1" si="13"/>
        <v>0</v>
      </c>
      <c r="BZ42" s="15" t="b">
        <f t="shared" ca="1" si="34"/>
        <v>0</v>
      </c>
      <c r="CA42" s="15" t="b">
        <f t="shared" ca="1" si="446"/>
        <v>0</v>
      </c>
      <c r="CB42" s="15" t="b">
        <f t="shared" ca="1" si="447"/>
        <v>0</v>
      </c>
      <c r="CC42" s="15" t="b">
        <f t="shared" ca="1" si="448"/>
        <v>0</v>
      </c>
      <c r="CD42" s="15" t="b">
        <f t="shared" ca="1" si="448"/>
        <v>0</v>
      </c>
      <c r="CE42" s="15" t="b">
        <f t="shared" ca="1" si="35"/>
        <v>0</v>
      </c>
      <c r="CF42" s="15" t="b">
        <f t="shared" ca="1" si="449"/>
        <v>0</v>
      </c>
      <c r="CG42" s="15" t="b">
        <f t="shared" ca="1" si="450"/>
        <v>0</v>
      </c>
      <c r="CH42" s="15" t="b">
        <f t="shared" ca="1" si="14"/>
        <v>0</v>
      </c>
      <c r="CI42" s="15" t="b">
        <f t="shared" si="36"/>
        <v>0</v>
      </c>
      <c r="CJ42" s="15" t="b">
        <f t="shared" si="37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424"/>
        <v>0</v>
      </c>
      <c r="CT42" s="22" t="b">
        <f t="shared" ca="1" si="424"/>
        <v>0</v>
      </c>
      <c r="CU42" s="22" t="b">
        <f t="shared" ca="1" si="424"/>
        <v>0</v>
      </c>
      <c r="CV42" s="22" t="b">
        <f t="shared" ca="1" si="424"/>
        <v>0</v>
      </c>
      <c r="CW42" s="22" t="b">
        <f t="shared" ca="1" si="424"/>
        <v>0</v>
      </c>
      <c r="CX42" s="22" t="b">
        <f t="shared" ca="1" si="424"/>
        <v>0</v>
      </c>
      <c r="CY42" s="22" t="b">
        <f t="shared" ca="1" si="424"/>
        <v>0</v>
      </c>
      <c r="CZ42" s="21" t="b">
        <f t="shared" ca="1" si="424"/>
        <v>0</v>
      </c>
      <c r="DB42" s="22" t="b">
        <f t="shared" ca="1" si="38"/>
        <v>0</v>
      </c>
      <c r="DC42" s="22" t="b">
        <f t="shared" ca="1" si="39"/>
        <v>0</v>
      </c>
      <c r="DD42" s="22" t="b">
        <f t="shared" ca="1" si="39"/>
        <v>0</v>
      </c>
      <c r="DE42" s="22" t="b">
        <f t="shared" ca="1" si="39"/>
        <v>0</v>
      </c>
      <c r="DF42" s="22" t="b">
        <f t="shared" ca="1" si="39"/>
        <v>0</v>
      </c>
      <c r="DG42" s="22" t="b">
        <f t="shared" ca="1" si="39"/>
        <v>0</v>
      </c>
      <c r="DH42" s="22" t="b">
        <f t="shared" ca="1" si="39"/>
        <v>0</v>
      </c>
      <c r="DI42" s="22" t="b">
        <f t="shared" ca="1" si="39"/>
        <v>0</v>
      </c>
      <c r="DJ42" s="22" t="b">
        <f t="shared" ca="1" si="39"/>
        <v>0</v>
      </c>
      <c r="DK42" s="22"/>
      <c r="DO42" s="15" t="str">
        <f t="shared" ca="1" si="426"/>
        <v/>
      </c>
      <c r="DP42" s="15" t="str">
        <f t="shared" ca="1" si="426"/>
        <v/>
      </c>
      <c r="DQ42" s="15" t="str">
        <f t="shared" ca="1" si="426"/>
        <v/>
      </c>
      <c r="DR42" s="15" t="str">
        <f t="shared" ca="1" si="426"/>
        <v/>
      </c>
      <c r="DS42" s="15" t="str">
        <f t="shared" ca="1" si="426"/>
        <v/>
      </c>
      <c r="DT42" s="15" t="str">
        <f t="shared" ca="1" si="426"/>
        <v/>
      </c>
      <c r="DU42" s="15" t="str">
        <f t="shared" ca="1" si="426"/>
        <v/>
      </c>
      <c r="DV42" s="15" t="str">
        <f t="shared" ca="1" si="426"/>
        <v/>
      </c>
    </row>
    <row r="43" spans="1:126">
      <c r="A43" s="15">
        <f t="shared" si="19"/>
        <v>31</v>
      </c>
      <c r="B43" s="15" t="str">
        <f t="shared" ca="1" si="70"/>
        <v>ok.</v>
      </c>
      <c r="C43" s="15" t="s">
        <v>108</v>
      </c>
      <c r="D43" s="15" t="str">
        <f t="shared" si="21"/>
        <v>Ster PodkatalogBazyDanych</v>
      </c>
      <c r="F43" s="15" t="s">
        <v>200</v>
      </c>
      <c r="G43" s="15" t="s">
        <v>125</v>
      </c>
      <c r="J43" s="19" t="str">
        <f ca="1">CELL(_CELL_ADDRESS_NAME,ster!$B$5)</f>
        <v>'[dane surowe2c.xlsm]ster'!$B$5</v>
      </c>
      <c r="M43" s="19"/>
      <c r="T43" s="15" t="str">
        <f t="shared" ca="1" si="71"/>
        <v>'[dane surowe2c.xlsm]ster'!$B$5</v>
      </c>
      <c r="U43" s="15">
        <f t="shared" ca="1" si="72"/>
        <v>0</v>
      </c>
      <c r="AD43" s="16" t="b">
        <f t="shared" si="427"/>
        <v>1</v>
      </c>
      <c r="AE43" s="16" t="b">
        <f t="shared" si="428"/>
        <v>0</v>
      </c>
      <c r="AF43" s="15" t="str">
        <f t="shared" si="68"/>
        <v/>
      </c>
      <c r="AG43" s="15" t="str">
        <f t="shared" ca="1" si="1"/>
        <v/>
      </c>
      <c r="AH43" s="15" t="str">
        <f t="shared" ca="1" si="2"/>
        <v/>
      </c>
      <c r="AI43" s="15" t="b">
        <f t="shared" ca="1" si="3"/>
        <v>0</v>
      </c>
      <c r="AJ43" s="15" t="str">
        <f t="shared" ca="1" si="24"/>
        <v/>
      </c>
      <c r="AK43" s="27" t="str">
        <f t="shared" ca="1" si="429"/>
        <v/>
      </c>
      <c r="AL43" s="15" t="b">
        <f t="shared" ca="1" si="4"/>
        <v>0</v>
      </c>
      <c r="AM43" s="15" t="str">
        <f t="shared" ca="1" si="430"/>
        <v/>
      </c>
      <c r="AN43" s="15">
        <f t="shared" ca="1" si="431"/>
        <v>3</v>
      </c>
      <c r="AO43" s="15" t="str">
        <f t="shared" ca="1" si="25"/>
        <v/>
      </c>
      <c r="AP43" s="15" t="str">
        <f t="shared" ca="1" si="432"/>
        <v/>
      </c>
      <c r="AQ43" s="27">
        <f t="shared" ca="1" si="433"/>
        <v>1</v>
      </c>
      <c r="AR43" s="15" t="b">
        <f t="shared" ca="1" si="434"/>
        <v>1</v>
      </c>
      <c r="AS43" s="27" t="b">
        <f t="shared" ca="1" si="435"/>
        <v>1</v>
      </c>
      <c r="AT43" s="27" t="b">
        <f t="shared" ca="1" si="436"/>
        <v>1</v>
      </c>
      <c r="AU43" s="27">
        <f t="shared" ca="1" si="437"/>
        <v>21</v>
      </c>
      <c r="AV43" s="16" t="e">
        <f t="shared" ca="1" si="438"/>
        <v>#REF!</v>
      </c>
      <c r="AW43" s="15" t="str">
        <f t="shared" ca="1" si="5"/>
        <v>'[dane surowe2c.xlsm]ster'!$B$5</v>
      </c>
      <c r="AX43" s="27" t="b">
        <f t="shared" ca="1" si="439"/>
        <v>0</v>
      </c>
      <c r="AY43" s="27" t="b">
        <f t="shared" ca="1" si="440"/>
        <v>0</v>
      </c>
      <c r="AZ43" s="15">
        <f t="shared" ca="1" si="441"/>
        <v>1</v>
      </c>
      <c r="BA43" s="15">
        <f t="shared" ca="1" si="26"/>
        <v>1</v>
      </c>
      <c r="BB43" s="15" t="str">
        <f t="shared" ca="1" si="442"/>
        <v>'[dane surowe2c.xlsm]ster'!$B$5</v>
      </c>
      <c r="BC43" s="15" t="str">
        <f t="shared" ca="1" si="27"/>
        <v>'[dane surowe2c.xlsm]ster'!$B$5</v>
      </c>
      <c r="BD43" s="15" t="b">
        <f t="shared" ca="1" si="443"/>
        <v>0</v>
      </c>
      <c r="BE43" s="15" t="b">
        <f t="shared" ca="1" si="6"/>
        <v>0</v>
      </c>
      <c r="BF43" s="15" t="str">
        <f t="shared" ca="1" si="7"/>
        <v/>
      </c>
      <c r="BG43" s="15" t="str">
        <f t="shared" ca="1" si="8"/>
        <v/>
      </c>
      <c r="BH43" s="15">
        <f t="array" aca="1" ref="BH43" ca="1">IF(IFERROR( S43,1),1,IF(BC43="","", SUM(IF(ISERROR(INDIRECT(BC43)),1,0))))</f>
        <v>0</v>
      </c>
      <c r="BI43" s="15" t="b">
        <f t="shared" si="444"/>
        <v>0</v>
      </c>
      <c r="BJ43" s="15" t="b">
        <f t="shared" si="445"/>
        <v>1</v>
      </c>
      <c r="BK43" s="15">
        <f t="shared" ca="1" si="9"/>
        <v>2</v>
      </c>
      <c r="BL43" s="15">
        <f t="shared" ca="1" si="10"/>
        <v>2</v>
      </c>
      <c r="BP43" s="15" t="b">
        <f t="shared" si="28"/>
        <v>1</v>
      </c>
      <c r="BQ43" s="15" t="b">
        <f t="shared" ca="1" si="29"/>
        <v>0</v>
      </c>
      <c r="BR43" s="15" t="str">
        <f t="shared" ca="1" si="11"/>
        <v/>
      </c>
      <c r="BS43" s="15">
        <f t="shared" ca="1" si="30"/>
        <v>0</v>
      </c>
      <c r="BT43" s="15" t="str">
        <f t="shared" ca="1" si="12"/>
        <v/>
      </c>
      <c r="BV43" s="15" t="b">
        <f t="shared" ca="1" si="31"/>
        <v>0</v>
      </c>
      <c r="BW43" s="15" t="b">
        <f t="shared" ca="1" si="32"/>
        <v>0</v>
      </c>
      <c r="BX43" s="15" t="b">
        <f t="shared" ca="1" si="33"/>
        <v>0</v>
      </c>
      <c r="BY43" s="15" t="b">
        <f t="shared" ca="1" si="13"/>
        <v>0</v>
      </c>
      <c r="BZ43" s="15" t="b">
        <f t="shared" ca="1" si="34"/>
        <v>0</v>
      </c>
      <c r="CA43" s="15" t="b">
        <f t="shared" ca="1" si="446"/>
        <v>0</v>
      </c>
      <c r="CB43" s="15" t="b">
        <f t="shared" ca="1" si="447"/>
        <v>0</v>
      </c>
      <c r="CC43" s="15" t="b">
        <f t="shared" ca="1" si="448"/>
        <v>0</v>
      </c>
      <c r="CD43" s="15" t="b">
        <f t="shared" ca="1" si="448"/>
        <v>0</v>
      </c>
      <c r="CE43" s="15" t="b">
        <f t="shared" ca="1" si="35"/>
        <v>0</v>
      </c>
      <c r="CF43" s="15" t="b">
        <f t="shared" ca="1" si="449"/>
        <v>0</v>
      </c>
      <c r="CG43" s="15" t="b">
        <f t="shared" ca="1" si="450"/>
        <v>0</v>
      </c>
      <c r="CH43" s="15" t="b">
        <f t="shared" ca="1" si="14"/>
        <v>0</v>
      </c>
      <c r="CI43" s="15" t="b">
        <f t="shared" si="36"/>
        <v>0</v>
      </c>
      <c r="CJ43" s="15" t="b">
        <f t="shared" si="37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424"/>
        <v>0</v>
      </c>
      <c r="CT43" s="22" t="b">
        <f t="shared" ca="1" si="424"/>
        <v>0</v>
      </c>
      <c r="CU43" s="22" t="b">
        <f t="shared" ca="1" si="424"/>
        <v>0</v>
      </c>
      <c r="CV43" s="22" t="b">
        <f t="shared" ca="1" si="424"/>
        <v>0</v>
      </c>
      <c r="CW43" s="22" t="b">
        <f t="shared" ca="1" si="424"/>
        <v>0</v>
      </c>
      <c r="CX43" s="22" t="b">
        <f t="shared" ca="1" si="424"/>
        <v>0</v>
      </c>
      <c r="CY43" s="22" t="b">
        <f t="shared" ca="1" si="424"/>
        <v>0</v>
      </c>
      <c r="CZ43" s="21" t="b">
        <f t="shared" ca="1" si="424"/>
        <v>0</v>
      </c>
      <c r="DB43" s="22" t="b">
        <f t="shared" ca="1" si="38"/>
        <v>0</v>
      </c>
      <c r="DC43" s="22" t="b">
        <f t="shared" ca="1" si="39"/>
        <v>0</v>
      </c>
      <c r="DD43" s="22" t="b">
        <f t="shared" ca="1" si="39"/>
        <v>0</v>
      </c>
      <c r="DE43" s="22" t="b">
        <f t="shared" ca="1" si="39"/>
        <v>0</v>
      </c>
      <c r="DF43" s="22" t="b">
        <f t="shared" ca="1" si="39"/>
        <v>0</v>
      </c>
      <c r="DG43" s="22" t="b">
        <f t="shared" ca="1" si="39"/>
        <v>0</v>
      </c>
      <c r="DH43" s="22" t="b">
        <f t="shared" ca="1" si="39"/>
        <v>0</v>
      </c>
      <c r="DI43" s="22" t="b">
        <f t="shared" ca="1" si="39"/>
        <v>0</v>
      </c>
      <c r="DJ43" s="22" t="b">
        <f t="shared" ca="1" si="39"/>
        <v>0</v>
      </c>
      <c r="DK43" s="22"/>
      <c r="DO43" s="15" t="str">
        <f t="shared" ca="1" si="426"/>
        <v/>
      </c>
      <c r="DP43" s="15" t="str">
        <f t="shared" ca="1" si="426"/>
        <v/>
      </c>
      <c r="DQ43" s="15" t="str">
        <f t="shared" ca="1" si="426"/>
        <v/>
      </c>
      <c r="DR43" s="15" t="str">
        <f t="shared" ca="1" si="426"/>
        <v/>
      </c>
      <c r="DS43" s="15" t="str">
        <f t="shared" ca="1" si="426"/>
        <v/>
      </c>
      <c r="DT43" s="15" t="str">
        <f t="shared" ca="1" si="426"/>
        <v/>
      </c>
      <c r="DU43" s="15" t="str">
        <f t="shared" ca="1" si="426"/>
        <v/>
      </c>
      <c r="DV43" s="15" t="str">
        <f t="shared" ca="1" si="426"/>
        <v/>
      </c>
    </row>
    <row r="44" spans="1:126">
      <c r="A44" s="15">
        <f t="shared" si="19"/>
        <v>32</v>
      </c>
      <c r="B44" s="15" t="str">
        <f t="shared" ca="1" si="70"/>
        <v>ok.</v>
      </c>
      <c r="C44" s="15" t="s">
        <v>109</v>
      </c>
      <c r="D44" s="15" t="str">
        <f t="shared" si="21"/>
        <v>Ster BazaDanychSPSSFileName</v>
      </c>
      <c r="F44" s="15" t="s">
        <v>201</v>
      </c>
      <c r="G44" s="15" t="s">
        <v>125</v>
      </c>
      <c r="J44" s="19" t="str">
        <f ca="1">CELL(_CELL_ADDRESS_NAME,ster!$O$22)</f>
        <v>'[dane surowe2c.xlsm]ster'!$O$22</v>
      </c>
      <c r="M44" s="19"/>
      <c r="T44" s="15" t="str">
        <f t="shared" ca="1" si="71"/>
        <v>'[dane surowe2c.xlsm]ster'!$O$22</v>
      </c>
      <c r="U44" s="15">
        <f t="shared" ca="1" si="72"/>
        <v>0</v>
      </c>
      <c r="AD44" s="16" t="b">
        <f t="shared" si="427"/>
        <v>1</v>
      </c>
      <c r="AE44" s="16" t="b">
        <f t="shared" si="428"/>
        <v>0</v>
      </c>
      <c r="AF44" s="15" t="str">
        <f t="shared" si="68"/>
        <v/>
      </c>
      <c r="AG44" s="15" t="str">
        <f t="shared" ca="1" si="1"/>
        <v/>
      </c>
      <c r="AH44" s="15" t="str">
        <f t="shared" ca="1" si="2"/>
        <v/>
      </c>
      <c r="AI44" s="15" t="b">
        <f t="shared" ca="1" si="3"/>
        <v>0</v>
      </c>
      <c r="AJ44" s="15" t="str">
        <f t="shared" ca="1" si="24"/>
        <v/>
      </c>
      <c r="AK44" s="27" t="str">
        <f t="shared" ca="1" si="429"/>
        <v/>
      </c>
      <c r="AL44" s="15" t="b">
        <f t="shared" ca="1" si="4"/>
        <v>0</v>
      </c>
      <c r="AM44" s="15" t="str">
        <f t="shared" ca="1" si="430"/>
        <v/>
      </c>
      <c r="AN44" s="15">
        <f t="shared" ca="1" si="431"/>
        <v>3</v>
      </c>
      <c r="AO44" s="15" t="str">
        <f t="shared" ca="1" si="25"/>
        <v/>
      </c>
      <c r="AP44" s="15" t="str">
        <f t="shared" ca="1" si="432"/>
        <v/>
      </c>
      <c r="AQ44" s="27">
        <f t="shared" ca="1" si="433"/>
        <v>1</v>
      </c>
      <c r="AR44" s="15" t="b">
        <f t="shared" ca="1" si="434"/>
        <v>1</v>
      </c>
      <c r="AS44" s="27" t="b">
        <f t="shared" ca="1" si="435"/>
        <v>1</v>
      </c>
      <c r="AT44" s="27" t="b">
        <f t="shared" ca="1" si="436"/>
        <v>1</v>
      </c>
      <c r="AU44" s="27">
        <f t="shared" ca="1" si="437"/>
        <v>21</v>
      </c>
      <c r="AV44" s="16" t="e">
        <f t="shared" ca="1" si="438"/>
        <v>#REF!</v>
      </c>
      <c r="AW44" s="15" t="str">
        <f t="shared" ca="1" si="5"/>
        <v>'[dane surowe2c.xlsm]ster'!$O$22</v>
      </c>
      <c r="AX44" s="27" t="b">
        <f t="shared" ca="1" si="439"/>
        <v>0</v>
      </c>
      <c r="AY44" s="27" t="b">
        <f t="shared" ca="1" si="440"/>
        <v>0</v>
      </c>
      <c r="AZ44" s="15">
        <f t="shared" ca="1" si="441"/>
        <v>1</v>
      </c>
      <c r="BA44" s="15">
        <f t="shared" ca="1" si="26"/>
        <v>1</v>
      </c>
      <c r="BB44" s="15" t="str">
        <f t="shared" ca="1" si="442"/>
        <v>'[dane surowe2c.xlsm]ster'!$O$22</v>
      </c>
      <c r="BC44" s="15" t="str">
        <f t="shared" ca="1" si="27"/>
        <v>'[dane surowe2c.xlsm]ster'!$O$22</v>
      </c>
      <c r="BD44" s="15" t="b">
        <f t="shared" ca="1" si="443"/>
        <v>0</v>
      </c>
      <c r="BE44" s="15" t="b">
        <f t="shared" ca="1" si="6"/>
        <v>0</v>
      </c>
      <c r="BF44" s="15" t="str">
        <f t="shared" ca="1" si="7"/>
        <v/>
      </c>
      <c r="BG44" s="15" t="str">
        <f t="shared" ca="1" si="8"/>
        <v/>
      </c>
      <c r="BH44" s="15">
        <f t="array" aca="1" ref="BH44" ca="1">IF(IFERROR( S44,1),1,IF(BC44="","", SUM(IF(ISERROR(INDIRECT(BC44)),1,0))))</f>
        <v>0</v>
      </c>
      <c r="BI44" s="15" t="b">
        <f t="shared" si="444"/>
        <v>0</v>
      </c>
      <c r="BJ44" s="15" t="b">
        <f t="shared" si="445"/>
        <v>1</v>
      </c>
      <c r="BK44" s="15">
        <f t="shared" ca="1" si="9"/>
        <v>2</v>
      </c>
      <c r="BL44" s="15">
        <f t="shared" ca="1" si="10"/>
        <v>2</v>
      </c>
      <c r="BP44" s="15" t="b">
        <f t="shared" si="28"/>
        <v>1</v>
      </c>
      <c r="BQ44" s="15" t="b">
        <f t="shared" ca="1" si="29"/>
        <v>0</v>
      </c>
      <c r="BR44" s="15" t="str">
        <f t="shared" ca="1" si="11"/>
        <v/>
      </c>
      <c r="BS44" s="15">
        <f t="shared" ca="1" si="30"/>
        <v>0</v>
      </c>
      <c r="BT44" s="15" t="str">
        <f t="shared" ca="1" si="12"/>
        <v/>
      </c>
      <c r="BV44" s="15" t="b">
        <f t="shared" ca="1" si="31"/>
        <v>0</v>
      </c>
      <c r="BW44" s="15" t="b">
        <f t="shared" ca="1" si="32"/>
        <v>0</v>
      </c>
      <c r="BX44" s="15" t="b">
        <f t="shared" ca="1" si="33"/>
        <v>0</v>
      </c>
      <c r="BY44" s="15" t="b">
        <f t="shared" ca="1" si="13"/>
        <v>0</v>
      </c>
      <c r="BZ44" s="15" t="b">
        <f t="shared" ca="1" si="34"/>
        <v>0</v>
      </c>
      <c r="CA44" s="15" t="b">
        <f t="shared" ca="1" si="446"/>
        <v>0</v>
      </c>
      <c r="CB44" s="15" t="b">
        <f t="shared" ca="1" si="447"/>
        <v>0</v>
      </c>
      <c r="CC44" s="15" t="b">
        <f t="shared" ca="1" si="448"/>
        <v>0</v>
      </c>
      <c r="CD44" s="15" t="b">
        <f t="shared" ca="1" si="448"/>
        <v>0</v>
      </c>
      <c r="CE44" s="15" t="b">
        <f t="shared" ca="1" si="35"/>
        <v>0</v>
      </c>
      <c r="CF44" s="15" t="b">
        <f t="shared" ca="1" si="449"/>
        <v>0</v>
      </c>
      <c r="CG44" s="15" t="b">
        <f t="shared" ca="1" si="450"/>
        <v>0</v>
      </c>
      <c r="CH44" s="15" t="b">
        <f t="shared" ca="1" si="14"/>
        <v>0</v>
      </c>
      <c r="CI44" s="15" t="b">
        <f t="shared" si="36"/>
        <v>0</v>
      </c>
      <c r="CJ44" s="15" t="b">
        <f t="shared" si="37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424"/>
        <v>0</v>
      </c>
      <c r="CT44" s="22" t="b">
        <f t="shared" ca="1" si="424"/>
        <v>0</v>
      </c>
      <c r="CU44" s="22" t="b">
        <f t="shared" ca="1" si="424"/>
        <v>0</v>
      </c>
      <c r="CV44" s="22" t="b">
        <f t="shared" ca="1" si="424"/>
        <v>0</v>
      </c>
      <c r="CW44" s="22" t="b">
        <f t="shared" ca="1" si="424"/>
        <v>0</v>
      </c>
      <c r="CX44" s="22" t="b">
        <f t="shared" ca="1" si="424"/>
        <v>0</v>
      </c>
      <c r="CY44" s="22" t="b">
        <f t="shared" ca="1" si="424"/>
        <v>0</v>
      </c>
      <c r="CZ44" s="21" t="b">
        <f t="shared" ca="1" si="424"/>
        <v>0</v>
      </c>
      <c r="DB44" s="22" t="b">
        <f t="shared" ca="1" si="38"/>
        <v>0</v>
      </c>
      <c r="DC44" s="22" t="b">
        <f t="shared" ca="1" si="39"/>
        <v>0</v>
      </c>
      <c r="DD44" s="22" t="b">
        <f t="shared" ca="1" si="39"/>
        <v>0</v>
      </c>
      <c r="DE44" s="22" t="b">
        <f t="shared" ca="1" si="39"/>
        <v>0</v>
      </c>
      <c r="DF44" s="22" t="b">
        <f t="shared" ca="1" si="39"/>
        <v>0</v>
      </c>
      <c r="DG44" s="22" t="b">
        <f t="shared" ca="1" si="39"/>
        <v>0</v>
      </c>
      <c r="DH44" s="22" t="b">
        <f t="shared" ca="1" si="39"/>
        <v>0</v>
      </c>
      <c r="DI44" s="22" t="b">
        <f t="shared" ca="1" si="39"/>
        <v>0</v>
      </c>
      <c r="DJ44" s="22" t="b">
        <f t="shared" ca="1" si="39"/>
        <v>0</v>
      </c>
      <c r="DK44" s="22"/>
      <c r="DO44" s="15" t="str">
        <f t="shared" ca="1" si="426"/>
        <v/>
      </c>
      <c r="DP44" s="15" t="str">
        <f t="shared" ca="1" si="426"/>
        <v/>
      </c>
      <c r="DQ44" s="15" t="str">
        <f t="shared" ca="1" si="426"/>
        <v/>
      </c>
      <c r="DR44" s="15" t="str">
        <f t="shared" ca="1" si="426"/>
        <v/>
      </c>
      <c r="DS44" s="15" t="str">
        <f t="shared" ca="1" si="426"/>
        <v/>
      </c>
      <c r="DT44" s="15" t="str">
        <f t="shared" ca="1" si="426"/>
        <v/>
      </c>
      <c r="DU44" s="15" t="str">
        <f t="shared" ca="1" si="426"/>
        <v/>
      </c>
      <c r="DV44" s="15" t="str">
        <f t="shared" ca="1" si="426"/>
        <v/>
      </c>
    </row>
    <row r="45" spans="1:126">
      <c r="A45" s="15">
        <f t="shared" si="19"/>
        <v>33</v>
      </c>
      <c r="B45" s="15" t="str">
        <f t="shared" ca="1" si="70"/>
        <v>ok.</v>
      </c>
      <c r="C45" s="15" t="s">
        <v>110</v>
      </c>
      <c r="D45" s="15" t="str">
        <f t="shared" si="21"/>
        <v>Ster BazaDanychRFileName</v>
      </c>
      <c r="F45" s="15" t="s">
        <v>202</v>
      </c>
      <c r="G45" s="15" t="s">
        <v>125</v>
      </c>
      <c r="J45" s="19" t="str">
        <f ca="1">CELL(_CELL_ADDRESS_NAME,ster!$O$24)</f>
        <v>'[dane surowe2c.xlsm]ster'!$O$24</v>
      </c>
      <c r="M45" s="19"/>
      <c r="T45" s="15" t="str">
        <f t="shared" ca="1" si="71"/>
        <v>'[dane surowe2c.xlsm]ster'!$O$24</v>
      </c>
      <c r="U45" s="15">
        <f t="shared" ca="1" si="72"/>
        <v>0</v>
      </c>
      <c r="AD45" s="16" t="b">
        <f t="shared" si="427"/>
        <v>1</v>
      </c>
      <c r="AE45" s="16" t="b">
        <f t="shared" si="428"/>
        <v>0</v>
      </c>
      <c r="AF45" s="15" t="str">
        <f t="shared" si="68"/>
        <v/>
      </c>
      <c r="AG45" s="15" t="str">
        <f t="shared" ca="1" si="1"/>
        <v/>
      </c>
      <c r="AH45" s="15" t="str">
        <f t="shared" ca="1" si="2"/>
        <v/>
      </c>
      <c r="AI45" s="15" t="b">
        <f t="shared" ca="1" si="3"/>
        <v>0</v>
      </c>
      <c r="AJ45" s="15" t="str">
        <f t="shared" ca="1" si="24"/>
        <v/>
      </c>
      <c r="AK45" s="27" t="str">
        <f t="shared" ca="1" si="429"/>
        <v/>
      </c>
      <c r="AL45" s="15" t="b">
        <f t="shared" ca="1" si="4"/>
        <v>0</v>
      </c>
      <c r="AM45" s="15" t="str">
        <f t="shared" ca="1" si="430"/>
        <v/>
      </c>
      <c r="AN45" s="15">
        <f t="shared" ca="1" si="431"/>
        <v>3</v>
      </c>
      <c r="AO45" s="15" t="str">
        <f t="shared" ca="1" si="25"/>
        <v/>
      </c>
      <c r="AP45" s="15" t="str">
        <f t="shared" ca="1" si="432"/>
        <v/>
      </c>
      <c r="AQ45" s="27">
        <f t="shared" ca="1" si="433"/>
        <v>1</v>
      </c>
      <c r="AR45" s="15" t="b">
        <f t="shared" ca="1" si="434"/>
        <v>1</v>
      </c>
      <c r="AS45" s="27" t="b">
        <f t="shared" ca="1" si="435"/>
        <v>1</v>
      </c>
      <c r="AT45" s="27" t="b">
        <f t="shared" ca="1" si="436"/>
        <v>1</v>
      </c>
      <c r="AU45" s="27">
        <f t="shared" ca="1" si="437"/>
        <v>21</v>
      </c>
      <c r="AV45" s="16" t="e">
        <f t="shared" ca="1" si="438"/>
        <v>#REF!</v>
      </c>
      <c r="AW45" s="15" t="str">
        <f t="shared" ref="AW45:AW76" ca="1" si="451">IF(AR45,CELL(_CELL_ADDRESS_NAME,INDIRECT(J45)),"")</f>
        <v>'[dane surowe2c.xlsm]ster'!$O$24</v>
      </c>
      <c r="AX45" s="27" t="b">
        <f t="shared" ca="1" si="439"/>
        <v>0</v>
      </c>
      <c r="AY45" s="27" t="b">
        <f t="shared" ca="1" si="440"/>
        <v>0</v>
      </c>
      <c r="AZ45" s="15">
        <f t="shared" ca="1" si="441"/>
        <v>1</v>
      </c>
      <c r="BA45" s="15">
        <f t="shared" ca="1" si="26"/>
        <v>1</v>
      </c>
      <c r="BB45" s="15" t="str">
        <f t="shared" ca="1" si="442"/>
        <v>'[dane surowe2c.xlsm]ster'!$O$24</v>
      </c>
      <c r="BC45" s="15" t="str">
        <f t="shared" ca="1" si="27"/>
        <v>'[dane surowe2c.xlsm]ster'!$O$24</v>
      </c>
      <c r="BD45" s="15" t="b">
        <f t="shared" ca="1" si="443"/>
        <v>0</v>
      </c>
      <c r="BE45" s="15" t="b">
        <f t="shared" ca="1" si="6"/>
        <v>0</v>
      </c>
      <c r="BF45" s="15" t="str">
        <f t="shared" ca="1" si="7"/>
        <v/>
      </c>
      <c r="BG45" s="15" t="str">
        <f t="shared" ca="1" si="8"/>
        <v/>
      </c>
      <c r="BH45" s="15">
        <f t="array" aca="1" ref="BH45" ca="1">IF(IFERROR( S45,1),1,IF(BC45="","", SUM(IF(ISERROR(INDIRECT(BC45)),1,0))))</f>
        <v>0</v>
      </c>
      <c r="BI45" s="15" t="b">
        <f t="shared" si="444"/>
        <v>0</v>
      </c>
      <c r="BJ45" s="15" t="b">
        <f t="shared" si="445"/>
        <v>1</v>
      </c>
      <c r="BK45" s="15">
        <f t="shared" ca="1" si="9"/>
        <v>2</v>
      </c>
      <c r="BL45" s="15">
        <f t="shared" ca="1" si="10"/>
        <v>2</v>
      </c>
      <c r="BP45" s="15" t="b">
        <f t="shared" si="28"/>
        <v>1</v>
      </c>
      <c r="BQ45" s="15" t="b">
        <f t="shared" ca="1" si="29"/>
        <v>0</v>
      </c>
      <c r="BR45" s="15" t="str">
        <f t="shared" ca="1" si="11"/>
        <v/>
      </c>
      <c r="BS45" s="15">
        <f t="shared" ca="1" si="30"/>
        <v>0</v>
      </c>
      <c r="BT45" s="15" t="str">
        <f t="shared" ca="1" si="12"/>
        <v/>
      </c>
      <c r="BV45" s="15" t="b">
        <f t="shared" ca="1" si="31"/>
        <v>0</v>
      </c>
      <c r="BW45" s="15" t="b">
        <f t="shared" ca="1" si="32"/>
        <v>0</v>
      </c>
      <c r="BX45" s="15" t="b">
        <f t="shared" ca="1" si="33"/>
        <v>0</v>
      </c>
      <c r="BY45" s="15" t="b">
        <f t="shared" ca="1" si="13"/>
        <v>0</v>
      </c>
      <c r="BZ45" s="15" t="b">
        <f t="shared" ca="1" si="34"/>
        <v>0</v>
      </c>
      <c r="CA45" s="15" t="b">
        <f t="shared" ca="1" si="446"/>
        <v>0</v>
      </c>
      <c r="CB45" s="15" t="b">
        <f t="shared" ca="1" si="447"/>
        <v>0</v>
      </c>
      <c r="CC45" s="15" t="b">
        <f t="shared" ca="1" si="448"/>
        <v>0</v>
      </c>
      <c r="CD45" s="15" t="b">
        <f t="shared" ca="1" si="448"/>
        <v>0</v>
      </c>
      <c r="CE45" s="15" t="b">
        <f t="shared" ca="1" si="35"/>
        <v>0</v>
      </c>
      <c r="CF45" s="15" t="b">
        <f t="shared" ca="1" si="449"/>
        <v>0</v>
      </c>
      <c r="CG45" s="15" t="b">
        <f t="shared" ca="1" si="450"/>
        <v>0</v>
      </c>
      <c r="CH45" s="15" t="b">
        <f t="shared" ca="1" si="14"/>
        <v>0</v>
      </c>
      <c r="CI45" s="15" t="b">
        <f t="shared" si="36"/>
        <v>0</v>
      </c>
      <c r="CJ45" s="15" t="b">
        <f t="shared" si="37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424"/>
        <v>0</v>
      </c>
      <c r="CT45" s="22" t="b">
        <f t="shared" ca="1" si="424"/>
        <v>0</v>
      </c>
      <c r="CU45" s="22" t="b">
        <f t="shared" ca="1" si="424"/>
        <v>0</v>
      </c>
      <c r="CV45" s="22" t="b">
        <f t="shared" ca="1" si="424"/>
        <v>0</v>
      </c>
      <c r="CW45" s="22" t="b">
        <f t="shared" ca="1" si="424"/>
        <v>0</v>
      </c>
      <c r="CX45" s="22" t="b">
        <f t="shared" ca="1" si="424"/>
        <v>0</v>
      </c>
      <c r="CY45" s="22" t="b">
        <f t="shared" ca="1" si="424"/>
        <v>0</v>
      </c>
      <c r="CZ45" s="21" t="b">
        <f t="shared" ca="1" si="424"/>
        <v>0</v>
      </c>
      <c r="DB45" s="22" t="b">
        <f t="shared" ca="1" si="38"/>
        <v>0</v>
      </c>
      <c r="DC45" s="22" t="b">
        <f t="shared" ca="1" si="39"/>
        <v>0</v>
      </c>
      <c r="DD45" s="22" t="b">
        <f t="shared" ca="1" si="39"/>
        <v>0</v>
      </c>
      <c r="DE45" s="22" t="b">
        <f t="shared" ca="1" si="39"/>
        <v>0</v>
      </c>
      <c r="DF45" s="22" t="b">
        <f t="shared" ca="1" si="39"/>
        <v>0</v>
      </c>
      <c r="DG45" s="22" t="b">
        <f t="shared" ca="1" si="39"/>
        <v>0</v>
      </c>
      <c r="DH45" s="22" t="b">
        <f t="shared" ca="1" si="39"/>
        <v>0</v>
      </c>
      <c r="DI45" s="22" t="b">
        <f t="shared" ca="1" si="39"/>
        <v>0</v>
      </c>
      <c r="DJ45" s="22" t="b">
        <f t="shared" ca="1" si="39"/>
        <v>0</v>
      </c>
      <c r="DK45" s="22"/>
      <c r="DO45" s="15" t="str">
        <f t="shared" ca="1" si="426"/>
        <v/>
      </c>
      <c r="DP45" s="15" t="str">
        <f t="shared" ca="1" si="426"/>
        <v/>
      </c>
      <c r="DQ45" s="15" t="str">
        <f t="shared" ca="1" si="426"/>
        <v/>
      </c>
      <c r="DR45" s="15" t="str">
        <f t="shared" ca="1" si="426"/>
        <v/>
      </c>
      <c r="DS45" s="15" t="str">
        <f t="shared" ca="1" si="426"/>
        <v/>
      </c>
      <c r="DT45" s="15" t="str">
        <f t="shared" ca="1" si="426"/>
        <v/>
      </c>
      <c r="DU45" s="15" t="str">
        <f t="shared" ca="1" si="426"/>
        <v/>
      </c>
      <c r="DV45" s="15" t="str">
        <f t="shared" ca="1" si="426"/>
        <v/>
      </c>
    </row>
    <row r="46" spans="1:126">
      <c r="A46" s="15">
        <f t="shared" si="19"/>
        <v>34</v>
      </c>
      <c r="B46" s="15" t="str">
        <f t="shared" ca="1" si="70"/>
        <v>ok.</v>
      </c>
      <c r="C46" s="15" t="s">
        <v>111</v>
      </c>
      <c r="D46" s="15" t="str">
        <f t="shared" si="21"/>
        <v>Ster WersjaPliku</v>
      </c>
      <c r="F46" s="15" t="s">
        <v>203</v>
      </c>
      <c r="G46" s="15" t="s">
        <v>91</v>
      </c>
      <c r="J46" s="19" t="str">
        <f ca="1">CELL(_CELL_ADDRESS_NAME,wew!$A$3)</f>
        <v>'[dane surowe2c.xlsm]wew'!$A$3</v>
      </c>
      <c r="M46" s="19"/>
      <c r="T46" s="15" t="str">
        <f t="shared" ca="1" si="71"/>
        <v>'[dane surowe2c.xlsm]wew'!$A$3</v>
      </c>
      <c r="U46" s="15">
        <f t="shared" ca="1" si="72"/>
        <v>0</v>
      </c>
      <c r="AD46" s="16" t="b">
        <f t="shared" si="427"/>
        <v>1</v>
      </c>
      <c r="AE46" s="16" t="b">
        <f t="shared" si="428"/>
        <v>0</v>
      </c>
      <c r="AF46" s="15" t="str">
        <f t="shared" si="68"/>
        <v/>
      </c>
      <c r="AG46" s="15" t="str">
        <f t="shared" ca="1" si="1"/>
        <v/>
      </c>
      <c r="AH46" s="15" t="str">
        <f t="shared" ca="1" si="2"/>
        <v/>
      </c>
      <c r="AI46" s="15" t="b">
        <f t="shared" ca="1" si="3"/>
        <v>0</v>
      </c>
      <c r="AJ46" s="15" t="str">
        <f t="shared" ca="1" si="24"/>
        <v/>
      </c>
      <c r="AK46" s="27" t="str">
        <f t="shared" ca="1" si="429"/>
        <v/>
      </c>
      <c r="AL46" s="15" t="b">
        <f t="shared" ca="1" si="4"/>
        <v>0</v>
      </c>
      <c r="AM46" s="15" t="str">
        <f t="shared" ca="1" si="430"/>
        <v/>
      </c>
      <c r="AN46" s="15">
        <f t="shared" ca="1" si="431"/>
        <v>3</v>
      </c>
      <c r="AO46" s="15" t="str">
        <f t="shared" ca="1" si="25"/>
        <v/>
      </c>
      <c r="AP46" s="15" t="str">
        <f t="shared" ca="1" si="432"/>
        <v/>
      </c>
      <c r="AQ46" s="27">
        <f t="shared" ca="1" si="433"/>
        <v>1</v>
      </c>
      <c r="AR46" s="15" t="b">
        <f t="shared" ca="1" si="434"/>
        <v>1</v>
      </c>
      <c r="AS46" s="27" t="b">
        <f t="shared" ca="1" si="435"/>
        <v>1</v>
      </c>
      <c r="AT46" s="27" t="b">
        <f t="shared" ca="1" si="436"/>
        <v>1</v>
      </c>
      <c r="AU46" s="27">
        <f t="shared" ca="1" si="437"/>
        <v>21</v>
      </c>
      <c r="AV46" s="16" t="e">
        <f t="shared" ca="1" si="438"/>
        <v>#REF!</v>
      </c>
      <c r="AW46" s="15" t="str">
        <f t="shared" ca="1" si="451"/>
        <v>'[dane surowe2c.xlsm]wew'!$A$3</v>
      </c>
      <c r="AX46" s="27" t="b">
        <f t="shared" ca="1" si="439"/>
        <v>0</v>
      </c>
      <c r="AY46" s="27" t="b">
        <f t="shared" ca="1" si="440"/>
        <v>0</v>
      </c>
      <c r="AZ46" s="15">
        <f t="shared" ca="1" si="441"/>
        <v>1</v>
      </c>
      <c r="BA46" s="15">
        <f t="shared" ca="1" si="26"/>
        <v>1</v>
      </c>
      <c r="BB46" s="15" t="str">
        <f t="shared" ca="1" si="442"/>
        <v>'[dane surowe2c.xlsm]wew'!$A$3</v>
      </c>
      <c r="BC46" s="15" t="str">
        <f t="shared" ca="1" si="27"/>
        <v>'[dane surowe2c.xlsm]wew'!$A$3</v>
      </c>
      <c r="BD46" s="15" t="b">
        <f t="shared" ca="1" si="443"/>
        <v>0</v>
      </c>
      <c r="BE46" s="15" t="b">
        <f t="shared" ca="1" si="6"/>
        <v>1</v>
      </c>
      <c r="BF46" s="15">
        <f t="shared" ca="1" si="7"/>
        <v>1</v>
      </c>
      <c r="BG46" s="15">
        <f t="shared" ca="1" si="8"/>
        <v>1</v>
      </c>
      <c r="BH46" s="15">
        <f t="array" aca="1" ref="BH46" ca="1">IF(IFERROR( S46,1),1,IF(BC46="","", SUM(IF(ISERROR(INDIRECT(BC46)),1,0))))</f>
        <v>0</v>
      </c>
      <c r="BI46" s="15" t="b">
        <f t="shared" si="444"/>
        <v>1</v>
      </c>
      <c r="BJ46" s="15" t="b">
        <f t="shared" si="445"/>
        <v>0</v>
      </c>
      <c r="BK46" s="15">
        <f t="shared" ca="1" si="9"/>
        <v>1</v>
      </c>
      <c r="BL46" s="15">
        <f t="shared" ca="1" si="10"/>
        <v>1</v>
      </c>
      <c r="BP46" s="15" t="b">
        <f t="shared" si="28"/>
        <v>1</v>
      </c>
      <c r="BQ46" s="15" t="b">
        <f t="shared" ca="1" si="29"/>
        <v>0</v>
      </c>
      <c r="BR46" s="15" t="str">
        <f t="shared" ca="1" si="11"/>
        <v/>
      </c>
      <c r="BS46" s="15">
        <f t="shared" ca="1" si="30"/>
        <v>0</v>
      </c>
      <c r="BT46" s="15" t="str">
        <f t="shared" ca="1" si="12"/>
        <v/>
      </c>
      <c r="BV46" s="15" t="b">
        <f t="shared" ca="1" si="31"/>
        <v>0</v>
      </c>
      <c r="BW46" s="15" t="b">
        <f t="shared" ca="1" si="32"/>
        <v>0</v>
      </c>
      <c r="BX46" s="15" t="b">
        <f t="shared" ca="1" si="33"/>
        <v>0</v>
      </c>
      <c r="BY46" s="15" t="b">
        <f t="shared" ca="1" si="13"/>
        <v>0</v>
      </c>
      <c r="BZ46" s="15" t="b">
        <f t="shared" ca="1" si="34"/>
        <v>0</v>
      </c>
      <c r="CA46" s="15" t="b">
        <f t="shared" ca="1" si="446"/>
        <v>0</v>
      </c>
      <c r="CB46" s="15" t="b">
        <f t="shared" ca="1" si="447"/>
        <v>0</v>
      </c>
      <c r="CC46" s="15" t="b">
        <f t="shared" ca="1" si="448"/>
        <v>0</v>
      </c>
      <c r="CD46" s="15" t="b">
        <f t="shared" ca="1" si="448"/>
        <v>0</v>
      </c>
      <c r="CE46" s="15" t="b">
        <f t="shared" ca="1" si="35"/>
        <v>0</v>
      </c>
      <c r="CF46" s="15" t="b">
        <f t="shared" ca="1" si="449"/>
        <v>0</v>
      </c>
      <c r="CG46" s="15" t="b">
        <f t="shared" ca="1" si="450"/>
        <v>0</v>
      </c>
      <c r="CH46" s="15" t="b">
        <f t="shared" ca="1" si="14"/>
        <v>0</v>
      </c>
      <c r="CI46" s="15" t="b">
        <f t="shared" si="36"/>
        <v>0</v>
      </c>
      <c r="CJ46" s="15" t="b">
        <f t="shared" si="37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424"/>
        <v>0</v>
      </c>
      <c r="CT46" s="22" t="b">
        <f t="shared" ca="1" si="424"/>
        <v>0</v>
      </c>
      <c r="CU46" s="22" t="b">
        <f t="shared" ca="1" si="424"/>
        <v>0</v>
      </c>
      <c r="CV46" s="22" t="b">
        <f t="shared" ca="1" si="424"/>
        <v>0</v>
      </c>
      <c r="CW46" s="22" t="b">
        <f t="shared" ca="1" si="424"/>
        <v>0</v>
      </c>
      <c r="CX46" s="22" t="b">
        <f t="shared" ca="1" si="424"/>
        <v>0</v>
      </c>
      <c r="CY46" s="22" t="b">
        <f t="shared" ca="1" si="424"/>
        <v>0</v>
      </c>
      <c r="CZ46" s="21" t="b">
        <f t="shared" ca="1" si="424"/>
        <v>0</v>
      </c>
      <c r="DB46" s="22" t="b">
        <f t="shared" ca="1" si="38"/>
        <v>0</v>
      </c>
      <c r="DC46" s="22" t="b">
        <f t="shared" ca="1" si="39"/>
        <v>0</v>
      </c>
      <c r="DD46" s="22" t="b">
        <f t="shared" ca="1" si="39"/>
        <v>0</v>
      </c>
      <c r="DE46" s="22" t="b">
        <f t="shared" ca="1" si="39"/>
        <v>0</v>
      </c>
      <c r="DF46" s="22" t="b">
        <f t="shared" ca="1" si="39"/>
        <v>0</v>
      </c>
      <c r="DG46" s="22" t="b">
        <f t="shared" ca="1" si="39"/>
        <v>0</v>
      </c>
      <c r="DH46" s="22" t="b">
        <f t="shared" ca="1" si="39"/>
        <v>0</v>
      </c>
      <c r="DI46" s="22" t="b">
        <f t="shared" ca="1" si="39"/>
        <v>0</v>
      </c>
      <c r="DJ46" s="22" t="b">
        <f t="shared" ca="1" si="39"/>
        <v>0</v>
      </c>
      <c r="DK46" s="22"/>
      <c r="DO46" s="15" t="str">
        <f t="shared" ca="1" si="426"/>
        <v/>
      </c>
      <c r="DP46" s="15" t="str">
        <f t="shared" ca="1" si="426"/>
        <v/>
      </c>
      <c r="DQ46" s="15" t="str">
        <f t="shared" ca="1" si="426"/>
        <v/>
      </c>
      <c r="DR46" s="15" t="str">
        <f t="shared" ca="1" si="426"/>
        <v/>
      </c>
      <c r="DS46" s="15" t="str">
        <f t="shared" ca="1" si="426"/>
        <v/>
      </c>
      <c r="DT46" s="15" t="str">
        <f t="shared" ca="1" si="426"/>
        <v/>
      </c>
      <c r="DU46" s="15" t="str">
        <f t="shared" ca="1" si="426"/>
        <v/>
      </c>
      <c r="DV46" s="15" t="str">
        <f t="shared" ca="1" si="426"/>
        <v/>
      </c>
    </row>
    <row r="47" spans="1:126">
      <c r="A47" s="15">
        <f t="shared" si="19"/>
        <v>35</v>
      </c>
      <c r="B47" s="15" t="e">
        <f t="shared" ca="1" si="70"/>
        <v>#REF!</v>
      </c>
      <c r="C47" s="15" t="s">
        <v>112</v>
      </c>
      <c r="D47" s="15" t="str">
        <f t="shared" si="21"/>
        <v>Ster DomyslneCoTo</v>
      </c>
      <c r="F47" s="29" t="s">
        <v>204</v>
      </c>
      <c r="G47" s="15" t="s">
        <v>125</v>
      </c>
      <c r="J47" s="19" t="e">
        <f ca="1">CELL(_CELL_ADDRESS_NAME,ster!#REF!)</f>
        <v>#REF!</v>
      </c>
      <c r="M47" s="19"/>
      <c r="T47" s="15" t="str">
        <f t="shared" ca="1" si="71"/>
        <v/>
      </c>
      <c r="U47" s="15" t="e">
        <f t="shared" ca="1" si="72"/>
        <v>#REF!</v>
      </c>
      <c r="AD47" s="16" t="b">
        <f t="shared" si="427"/>
        <v>1</v>
      </c>
      <c r="AE47" s="16" t="b">
        <f t="shared" si="428"/>
        <v>0</v>
      </c>
      <c r="AF47" s="15" t="str">
        <f t="shared" si="68"/>
        <v/>
      </c>
      <c r="AG47" s="15" t="str">
        <f t="shared" ca="1" si="1"/>
        <v/>
      </c>
      <c r="AH47" s="15" t="str">
        <f t="shared" ca="1" si="2"/>
        <v/>
      </c>
      <c r="AI47" s="15" t="b">
        <f t="shared" ca="1" si="3"/>
        <v>0</v>
      </c>
      <c r="AJ47" s="15" t="str">
        <f t="shared" ca="1" si="24"/>
        <v/>
      </c>
      <c r="AK47" s="27" t="str">
        <f t="shared" ca="1" si="429"/>
        <v/>
      </c>
      <c r="AL47" s="15" t="b">
        <f t="shared" ca="1" si="4"/>
        <v>0</v>
      </c>
      <c r="AM47" s="15" t="str">
        <f t="shared" ca="1" si="430"/>
        <v/>
      </c>
      <c r="AN47" s="15">
        <f t="shared" ca="1" si="431"/>
        <v>3</v>
      </c>
      <c r="AO47" s="15" t="str">
        <f t="shared" ca="1" si="25"/>
        <v/>
      </c>
      <c r="AP47" s="15" t="e">
        <f t="shared" ca="1" si="432"/>
        <v>#REF!</v>
      </c>
      <c r="AQ47" s="27" t="e">
        <f t="shared" ca="1" si="433"/>
        <v>#REF!</v>
      </c>
      <c r="AR47" s="15" t="e">
        <f t="shared" ca="1" si="434"/>
        <v>#REF!</v>
      </c>
      <c r="AS47" s="27" t="b">
        <f t="shared" ca="1" si="435"/>
        <v>0</v>
      </c>
      <c r="AT47" s="27" t="e">
        <f t="shared" ca="1" si="436"/>
        <v>#REF!</v>
      </c>
      <c r="AU47" s="27" t="str">
        <f t="shared" ca="1" si="437"/>
        <v/>
      </c>
      <c r="AV47" s="16" t="b">
        <f t="shared" ca="1" si="438"/>
        <v>0</v>
      </c>
      <c r="AW47" s="15" t="e">
        <f t="shared" ca="1" si="451"/>
        <v>#REF!</v>
      </c>
      <c r="AX47" s="27" t="e">
        <f t="shared" ca="1" si="439"/>
        <v>#REF!</v>
      </c>
      <c r="AY47" s="27" t="e">
        <f t="shared" ca="1" si="440"/>
        <v>#REF!</v>
      </c>
      <c r="AZ47" s="15">
        <f t="shared" ca="1" si="441"/>
        <v>1</v>
      </c>
      <c r="BA47" s="15">
        <f t="shared" ca="1" si="26"/>
        <v>1</v>
      </c>
      <c r="BB47" s="15" t="e">
        <f t="shared" ca="1" si="442"/>
        <v>#REF!</v>
      </c>
      <c r="BC47" s="15" t="str">
        <f t="shared" ca="1" si="27"/>
        <v/>
      </c>
      <c r="BD47" s="15" t="b">
        <f t="shared" ca="1" si="443"/>
        <v>0</v>
      </c>
      <c r="BE47" s="15" t="e">
        <f t="shared" ca="1" si="6"/>
        <v>#REF!</v>
      </c>
      <c r="BF47" s="15" t="e">
        <f t="shared" ca="1" si="7"/>
        <v>#REF!</v>
      </c>
      <c r="BG47" s="15" t="e">
        <f t="shared" ca="1" si="8"/>
        <v>#REF!</v>
      </c>
      <c r="BH47" s="15" t="str">
        <f t="array" aca="1" ref="BH47" ca="1">IF(IFERROR( S47,1),1,IF(BC47="","", SUM(IF(ISERROR(INDIRECT(BC47)),1,0))))</f>
        <v/>
      </c>
      <c r="BI47" s="15" t="b">
        <f t="shared" si="444"/>
        <v>0</v>
      </c>
      <c r="BJ47" s="15" t="b">
        <f t="shared" si="445"/>
        <v>1</v>
      </c>
      <c r="BK47" s="15" t="e">
        <f t="shared" ca="1" si="9"/>
        <v>#REF!</v>
      </c>
      <c r="BL47" s="15" t="e">
        <f t="shared" ca="1" si="10"/>
        <v>#REF!</v>
      </c>
      <c r="BP47" s="15" t="b">
        <f t="shared" si="28"/>
        <v>1</v>
      </c>
      <c r="BQ47" s="15" t="e">
        <f t="shared" ca="1" si="29"/>
        <v>#REF!</v>
      </c>
      <c r="BR47" s="15" t="e">
        <f t="shared" ca="1" si="11"/>
        <v>#REF!</v>
      </c>
      <c r="BS47" s="15" t="e">
        <f t="shared" ca="1" si="30"/>
        <v>#REF!</v>
      </c>
      <c r="BT47" s="15" t="e">
        <f t="shared" ca="1" si="12"/>
        <v>#REF!</v>
      </c>
      <c r="BV47" s="15" t="b">
        <f t="shared" ca="1" si="31"/>
        <v>0</v>
      </c>
      <c r="BW47" s="15" t="b">
        <f t="shared" ca="1" si="32"/>
        <v>0</v>
      </c>
      <c r="BX47" s="15" t="b">
        <f t="shared" ca="1" si="33"/>
        <v>0</v>
      </c>
      <c r="BY47" s="15" t="b">
        <f t="shared" ca="1" si="13"/>
        <v>0</v>
      </c>
      <c r="BZ47" s="15" t="b">
        <f t="shared" ca="1" si="34"/>
        <v>0</v>
      </c>
      <c r="CA47" s="15" t="e">
        <f t="shared" ca="1" si="446"/>
        <v>#REF!</v>
      </c>
      <c r="CB47" s="15" t="b">
        <f t="shared" ca="1" si="447"/>
        <v>0</v>
      </c>
      <c r="CC47" s="15" t="e">
        <f t="shared" ca="1" si="448"/>
        <v>#REF!</v>
      </c>
      <c r="CD47" s="15" t="e">
        <f t="shared" ca="1" si="448"/>
        <v>#REF!</v>
      </c>
      <c r="CE47" s="15" t="e">
        <f t="shared" ca="1" si="35"/>
        <v>#REF!</v>
      </c>
      <c r="CF47" s="15" t="e">
        <f t="shared" ca="1" si="449"/>
        <v>#REF!</v>
      </c>
      <c r="CG47" s="15" t="e">
        <f t="shared" ca="1" si="450"/>
        <v>#REF!</v>
      </c>
      <c r="CH47" s="15" t="e">
        <f t="shared" ca="1" si="14"/>
        <v>#REF!</v>
      </c>
      <c r="CI47" s="15" t="b">
        <f t="shared" si="36"/>
        <v>0</v>
      </c>
      <c r="CJ47" s="15" t="b">
        <f t="shared" si="37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424"/>
        <v>0</v>
      </c>
      <c r="CT47" s="22" t="b">
        <f t="shared" ca="1" si="424"/>
        <v>0</v>
      </c>
      <c r="CU47" s="22" t="b">
        <f t="shared" ca="1" si="424"/>
        <v>0</v>
      </c>
      <c r="CV47" s="22" t="b">
        <f t="shared" ca="1" si="424"/>
        <v>0</v>
      </c>
      <c r="CW47" s="22" t="b">
        <f t="shared" ca="1" si="424"/>
        <v>0</v>
      </c>
      <c r="CX47" s="22" t="b">
        <f t="shared" ca="1" si="424"/>
        <v>0</v>
      </c>
      <c r="CY47" s="22" t="b">
        <f t="shared" ca="1" si="424"/>
        <v>0</v>
      </c>
      <c r="CZ47" s="21" t="b">
        <f t="shared" ca="1" si="424"/>
        <v>0</v>
      </c>
      <c r="DB47" s="22" t="b">
        <f t="shared" ca="1" si="38"/>
        <v>0</v>
      </c>
      <c r="DC47" s="22" t="b">
        <f t="shared" ca="1" si="39"/>
        <v>0</v>
      </c>
      <c r="DD47" s="22" t="b">
        <f t="shared" ca="1" si="39"/>
        <v>0</v>
      </c>
      <c r="DE47" s="22" t="b">
        <f t="shared" ca="1" si="39"/>
        <v>0</v>
      </c>
      <c r="DF47" s="22" t="b">
        <f t="shared" ca="1" si="39"/>
        <v>0</v>
      </c>
      <c r="DG47" s="22" t="b">
        <f t="shared" ca="1" si="39"/>
        <v>0</v>
      </c>
      <c r="DH47" s="22" t="b">
        <f t="shared" ca="1" si="39"/>
        <v>0</v>
      </c>
      <c r="DI47" s="22" t="b">
        <f t="shared" ca="1" si="39"/>
        <v>0</v>
      </c>
      <c r="DJ47" s="22" t="b">
        <f t="shared" ca="1" si="39"/>
        <v>0</v>
      </c>
      <c r="DK47" s="22"/>
      <c r="DO47" s="15" t="str">
        <f t="shared" ca="1" si="426"/>
        <v/>
      </c>
      <c r="DP47" s="15" t="str">
        <f t="shared" ca="1" si="426"/>
        <v/>
      </c>
      <c r="DQ47" s="15" t="str">
        <f t="shared" ca="1" si="426"/>
        <v/>
      </c>
      <c r="DR47" s="15" t="str">
        <f t="shared" ca="1" si="426"/>
        <v/>
      </c>
      <c r="DS47" s="15" t="str">
        <f t="shared" ca="1" si="426"/>
        <v/>
      </c>
      <c r="DT47" s="15" t="str">
        <f t="shared" ca="1" si="426"/>
        <v/>
      </c>
      <c r="DU47" s="15" t="str">
        <f t="shared" ca="1" si="426"/>
        <v/>
      </c>
      <c r="DV47" s="15" t="str">
        <f t="shared" ca="1" si="426"/>
        <v/>
      </c>
    </row>
    <row r="48" spans="1:126">
      <c r="A48" s="15">
        <f t="shared" si="19"/>
        <v>36</v>
      </c>
      <c r="B48" s="15" t="e">
        <f t="shared" ca="1" si="70"/>
        <v>#REF!</v>
      </c>
      <c r="C48" s="15" t="s">
        <v>171</v>
      </c>
      <c r="D48" s="15" t="str">
        <f t="shared" si="21"/>
        <v>Ster NazwaPlikuRaportu</v>
      </c>
      <c r="F48" s="29" t="s">
        <v>205</v>
      </c>
      <c r="G48" s="15" t="s">
        <v>125</v>
      </c>
      <c r="J48" s="19" t="e">
        <f ca="1">CELL(_CELL_ADDRESS_NAME,ster!#REF!)</f>
        <v>#REF!</v>
      </c>
      <c r="M48" s="19"/>
      <c r="T48" s="15" t="str">
        <f t="shared" ca="1" si="71"/>
        <v/>
      </c>
      <c r="U48" s="15" t="e">
        <f t="shared" ca="1" si="72"/>
        <v>#REF!</v>
      </c>
      <c r="AD48" s="16" t="b">
        <f t="shared" si="427"/>
        <v>1</v>
      </c>
      <c r="AE48" s="16" t="b">
        <f t="shared" si="428"/>
        <v>0</v>
      </c>
      <c r="AF48" s="15" t="str">
        <f t="shared" si="68"/>
        <v/>
      </c>
      <c r="AG48" s="15" t="str">
        <f t="shared" ca="1" si="1"/>
        <v/>
      </c>
      <c r="AH48" s="15" t="str">
        <f t="shared" ca="1" si="2"/>
        <v/>
      </c>
      <c r="AI48" s="15" t="b">
        <f t="shared" ca="1" si="3"/>
        <v>0</v>
      </c>
      <c r="AJ48" s="15" t="str">
        <f t="shared" ca="1" si="24"/>
        <v/>
      </c>
      <c r="AK48" s="27" t="str">
        <f t="shared" ca="1" si="429"/>
        <v/>
      </c>
      <c r="AL48" s="15" t="b">
        <f t="shared" ca="1" si="4"/>
        <v>0</v>
      </c>
      <c r="AM48" s="15" t="str">
        <f t="shared" ca="1" si="430"/>
        <v/>
      </c>
      <c r="AN48" s="15">
        <f t="shared" ca="1" si="431"/>
        <v>3</v>
      </c>
      <c r="AO48" s="15" t="str">
        <f t="shared" ca="1" si="25"/>
        <v/>
      </c>
      <c r="AP48" s="15" t="e">
        <f t="shared" ca="1" si="432"/>
        <v>#REF!</v>
      </c>
      <c r="AQ48" s="27" t="e">
        <f t="shared" ca="1" si="433"/>
        <v>#REF!</v>
      </c>
      <c r="AR48" s="15" t="e">
        <f t="shared" ca="1" si="434"/>
        <v>#REF!</v>
      </c>
      <c r="AS48" s="27" t="b">
        <f t="shared" ca="1" si="435"/>
        <v>0</v>
      </c>
      <c r="AT48" s="27" t="e">
        <f t="shared" ca="1" si="436"/>
        <v>#REF!</v>
      </c>
      <c r="AU48" s="27" t="str">
        <f t="shared" ca="1" si="437"/>
        <v/>
      </c>
      <c r="AV48" s="16" t="b">
        <f t="shared" ca="1" si="438"/>
        <v>0</v>
      </c>
      <c r="AW48" s="15" t="e">
        <f t="shared" ca="1" si="451"/>
        <v>#REF!</v>
      </c>
      <c r="AX48" s="27" t="e">
        <f t="shared" ca="1" si="439"/>
        <v>#REF!</v>
      </c>
      <c r="AY48" s="27" t="e">
        <f t="shared" ca="1" si="440"/>
        <v>#REF!</v>
      </c>
      <c r="AZ48" s="15">
        <f t="shared" ca="1" si="441"/>
        <v>1</v>
      </c>
      <c r="BA48" s="15">
        <f t="shared" ca="1" si="26"/>
        <v>1</v>
      </c>
      <c r="BB48" s="15" t="e">
        <f t="shared" ca="1" si="442"/>
        <v>#REF!</v>
      </c>
      <c r="BC48" s="15" t="str">
        <f t="shared" ca="1" si="27"/>
        <v/>
      </c>
      <c r="BD48" s="15" t="b">
        <f t="shared" ca="1" si="443"/>
        <v>0</v>
      </c>
      <c r="BE48" s="15" t="e">
        <f t="shared" ca="1" si="6"/>
        <v>#REF!</v>
      </c>
      <c r="BF48" s="15" t="e">
        <f t="shared" ca="1" si="7"/>
        <v>#REF!</v>
      </c>
      <c r="BG48" s="15" t="e">
        <f t="shared" ca="1" si="8"/>
        <v>#REF!</v>
      </c>
      <c r="BH48" s="15" t="str">
        <f t="array" aca="1" ref="BH48" ca="1">IF(IFERROR( S48,1),1,IF(BC48="","", SUM(IF(ISERROR(INDIRECT(BC48)),1,0))))</f>
        <v/>
      </c>
      <c r="BI48" s="15" t="b">
        <f t="shared" si="444"/>
        <v>0</v>
      </c>
      <c r="BJ48" s="15" t="b">
        <f t="shared" si="445"/>
        <v>1</v>
      </c>
      <c r="BK48" s="15" t="e">
        <f t="shared" ca="1" si="9"/>
        <v>#REF!</v>
      </c>
      <c r="BL48" s="15" t="e">
        <f t="shared" ca="1" si="10"/>
        <v>#REF!</v>
      </c>
      <c r="BP48" s="15" t="b">
        <f t="shared" si="28"/>
        <v>1</v>
      </c>
      <c r="BQ48" s="15" t="e">
        <f t="shared" ca="1" si="29"/>
        <v>#REF!</v>
      </c>
      <c r="BR48" s="15" t="e">
        <f t="shared" ca="1" si="11"/>
        <v>#REF!</v>
      </c>
      <c r="BS48" s="15" t="e">
        <f t="shared" ca="1" si="30"/>
        <v>#REF!</v>
      </c>
      <c r="BT48" s="15" t="e">
        <f t="shared" ca="1" si="12"/>
        <v>#REF!</v>
      </c>
      <c r="BV48" s="15" t="b">
        <f t="shared" ca="1" si="31"/>
        <v>0</v>
      </c>
      <c r="BW48" s="15" t="b">
        <f t="shared" ca="1" si="32"/>
        <v>0</v>
      </c>
      <c r="BX48" s="15" t="b">
        <f t="shared" ca="1" si="33"/>
        <v>0</v>
      </c>
      <c r="BY48" s="15" t="b">
        <f t="shared" ca="1" si="13"/>
        <v>0</v>
      </c>
      <c r="BZ48" s="15" t="b">
        <f t="shared" ca="1" si="34"/>
        <v>0</v>
      </c>
      <c r="CA48" s="15" t="e">
        <f t="shared" ca="1" si="446"/>
        <v>#REF!</v>
      </c>
      <c r="CB48" s="15" t="b">
        <f t="shared" ca="1" si="447"/>
        <v>0</v>
      </c>
      <c r="CC48" s="15" t="e">
        <f t="shared" ca="1" si="448"/>
        <v>#REF!</v>
      </c>
      <c r="CD48" s="15" t="e">
        <f t="shared" ca="1" si="448"/>
        <v>#REF!</v>
      </c>
      <c r="CE48" s="15" t="e">
        <f t="shared" ca="1" si="35"/>
        <v>#REF!</v>
      </c>
      <c r="CF48" s="15" t="e">
        <f t="shared" ca="1" si="449"/>
        <v>#REF!</v>
      </c>
      <c r="CG48" s="15" t="e">
        <f t="shared" ca="1" si="450"/>
        <v>#REF!</v>
      </c>
      <c r="CH48" s="15" t="e">
        <f t="shared" ca="1" si="14"/>
        <v>#REF!</v>
      </c>
      <c r="CI48" s="15" t="b">
        <f t="shared" si="36"/>
        <v>0</v>
      </c>
      <c r="CJ48" s="15" t="b">
        <f t="shared" si="37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424"/>
        <v>0</v>
      </c>
      <c r="CT48" s="22" t="b">
        <f t="shared" ca="1" si="424"/>
        <v>0</v>
      </c>
      <c r="CU48" s="22" t="b">
        <f t="shared" ca="1" si="424"/>
        <v>0</v>
      </c>
      <c r="CV48" s="22" t="b">
        <f t="shared" ca="1" si="424"/>
        <v>0</v>
      </c>
      <c r="CW48" s="22" t="b">
        <f t="shared" ca="1" si="424"/>
        <v>0</v>
      </c>
      <c r="CX48" s="22" t="b">
        <f t="shared" ca="1" si="424"/>
        <v>0</v>
      </c>
      <c r="CY48" s="22" t="b">
        <f t="shared" ca="1" si="424"/>
        <v>0</v>
      </c>
      <c r="CZ48" s="21" t="b">
        <f t="shared" ca="1" si="424"/>
        <v>0</v>
      </c>
      <c r="DB48" s="22" t="b">
        <f t="shared" ca="1" si="38"/>
        <v>0</v>
      </c>
      <c r="DC48" s="22" t="b">
        <f t="shared" ca="1" si="39"/>
        <v>0</v>
      </c>
      <c r="DD48" s="22" t="b">
        <f t="shared" ca="1" si="39"/>
        <v>0</v>
      </c>
      <c r="DE48" s="22" t="b">
        <f t="shared" ca="1" si="39"/>
        <v>0</v>
      </c>
      <c r="DF48" s="22" t="b">
        <f t="shared" ca="1" si="39"/>
        <v>0</v>
      </c>
      <c r="DG48" s="22" t="b">
        <f t="shared" ca="1" si="39"/>
        <v>0</v>
      </c>
      <c r="DH48" s="22" t="b">
        <f t="shared" ca="1" si="39"/>
        <v>0</v>
      </c>
      <c r="DI48" s="22" t="b">
        <f t="shared" ca="1" si="39"/>
        <v>0</v>
      </c>
      <c r="DJ48" s="22" t="b">
        <f t="shared" ca="1" si="39"/>
        <v>0</v>
      </c>
      <c r="DK48" s="22"/>
      <c r="DO48" s="15" t="str">
        <f t="shared" ca="1" si="426"/>
        <v/>
      </c>
      <c r="DP48" s="15" t="str">
        <f t="shared" ca="1" si="426"/>
        <v/>
      </c>
      <c r="DQ48" s="15" t="str">
        <f t="shared" ca="1" si="426"/>
        <v/>
      </c>
      <c r="DR48" s="15" t="str">
        <f t="shared" ca="1" si="426"/>
        <v/>
      </c>
      <c r="DS48" s="15" t="str">
        <f t="shared" ca="1" si="426"/>
        <v/>
      </c>
      <c r="DT48" s="15" t="str">
        <f t="shared" ca="1" si="426"/>
        <v/>
      </c>
      <c r="DU48" s="15" t="str">
        <f t="shared" ca="1" si="426"/>
        <v/>
      </c>
      <c r="DV48" s="15" t="str">
        <f t="shared" ca="1" si="426"/>
        <v/>
      </c>
    </row>
    <row r="49" spans="1:126">
      <c r="A49" s="15">
        <f t="shared" si="19"/>
        <v>37</v>
      </c>
      <c r="B49" s="15" t="str">
        <f t="shared" ca="1" si="70"/>
        <v>ok.</v>
      </c>
      <c r="C49" s="15" t="s">
        <v>182</v>
      </c>
      <c r="D49" s="15" t="str">
        <f t="shared" si="21"/>
        <v>Ster NazwaArkuszaEtykiet</v>
      </c>
      <c r="F49" s="15" t="s">
        <v>206</v>
      </c>
      <c r="G49" s="15" t="s">
        <v>125</v>
      </c>
      <c r="J49" s="19" t="str">
        <f ca="1">CELL(_CELL_ADDRESS_NAME,_sheetname_labels)</f>
        <v>'[dane surowe2c.xlsm]wew'!$R$8</v>
      </c>
      <c r="M49" s="19"/>
      <c r="T49" s="15" t="str">
        <f t="shared" ca="1" si="71"/>
        <v>'[dane surowe2c.xlsm]wew'!$R$8</v>
      </c>
      <c r="U49" s="15">
        <f ca="1">IF(AD49,BS49,"")</f>
        <v>0</v>
      </c>
      <c r="AD49" s="16" t="b">
        <f t="shared" si="427"/>
        <v>1</v>
      </c>
      <c r="AE49" s="16" t="b">
        <f t="shared" si="428"/>
        <v>0</v>
      </c>
      <c r="AF49" s="15" t="str">
        <f t="shared" si="68"/>
        <v/>
      </c>
      <c r="AG49" s="15" t="str">
        <f t="shared" ca="1" si="1"/>
        <v/>
      </c>
      <c r="AH49" s="15" t="str">
        <f t="shared" ca="1" si="2"/>
        <v/>
      </c>
      <c r="AI49" s="15" t="b">
        <f t="shared" ca="1" si="3"/>
        <v>0</v>
      </c>
      <c r="AJ49" s="15" t="str">
        <f t="shared" ca="1" si="24"/>
        <v/>
      </c>
      <c r="AK49" s="27" t="str">
        <f t="shared" ca="1" si="429"/>
        <v/>
      </c>
      <c r="AL49" s="15" t="b">
        <f t="shared" ca="1" si="4"/>
        <v>0</v>
      </c>
      <c r="AM49" s="15" t="str">
        <f t="shared" ca="1" si="430"/>
        <v/>
      </c>
      <c r="AN49" s="15">
        <f t="shared" ca="1" si="431"/>
        <v>3</v>
      </c>
      <c r="AO49" s="15" t="str">
        <f t="shared" ca="1" si="25"/>
        <v/>
      </c>
      <c r="AP49" s="15" t="str">
        <f t="shared" ca="1" si="432"/>
        <v/>
      </c>
      <c r="AQ49" s="27">
        <f t="shared" ca="1" si="433"/>
        <v>1</v>
      </c>
      <c r="AR49" s="15" t="b">
        <f t="shared" ca="1" si="434"/>
        <v>1</v>
      </c>
      <c r="AS49" s="27" t="b">
        <f t="shared" ca="1" si="435"/>
        <v>1</v>
      </c>
      <c r="AT49" s="27" t="b">
        <f t="shared" ca="1" si="436"/>
        <v>1</v>
      </c>
      <c r="AU49" s="27">
        <f t="shared" ca="1" si="437"/>
        <v>21</v>
      </c>
      <c r="AV49" s="16" t="e">
        <f t="shared" ca="1" si="438"/>
        <v>#REF!</v>
      </c>
      <c r="AW49" s="15" t="str">
        <f t="shared" ca="1" si="451"/>
        <v>'[dane surowe2c.xlsm]wew'!$R$8</v>
      </c>
      <c r="AX49" s="27" t="b">
        <f t="shared" ca="1" si="439"/>
        <v>0</v>
      </c>
      <c r="AY49" s="27" t="b">
        <f t="shared" ca="1" si="440"/>
        <v>0</v>
      </c>
      <c r="AZ49" s="15">
        <f t="shared" ca="1" si="441"/>
        <v>1</v>
      </c>
      <c r="BA49" s="15">
        <f t="shared" ca="1" si="26"/>
        <v>1</v>
      </c>
      <c r="BB49" s="15" t="str">
        <f t="shared" ca="1" si="442"/>
        <v>'[dane surowe2c.xlsm]wew'!$R$8</v>
      </c>
      <c r="BC49" s="15" t="str">
        <f t="shared" ca="1" si="27"/>
        <v>'[dane surowe2c.xlsm]wew'!$R$8</v>
      </c>
      <c r="BD49" s="15" t="b">
        <f t="shared" ca="1" si="443"/>
        <v>0</v>
      </c>
      <c r="BE49" s="15" t="b">
        <f t="shared" ca="1" si="6"/>
        <v>0</v>
      </c>
      <c r="BF49" s="15" t="str">
        <f t="shared" ca="1" si="7"/>
        <v/>
      </c>
      <c r="BG49" s="15" t="str">
        <f t="shared" ca="1" si="8"/>
        <v/>
      </c>
      <c r="BH49" s="15">
        <f t="array" aca="1" ref="BH49" ca="1">IF(IFERROR( S49,1),1,IF(BC49="","", SUM(IF(ISERROR(INDIRECT(BC49)),1,0))))</f>
        <v>0</v>
      </c>
      <c r="BI49" s="15" t="b">
        <f t="shared" si="444"/>
        <v>0</v>
      </c>
      <c r="BJ49" s="15" t="b">
        <f t="shared" si="445"/>
        <v>1</v>
      </c>
      <c r="BK49" s="15">
        <f t="shared" ca="1" si="9"/>
        <v>2</v>
      </c>
      <c r="BL49" s="15">
        <f t="shared" ca="1" si="10"/>
        <v>2</v>
      </c>
      <c r="BP49" s="15" t="b">
        <f t="shared" si="28"/>
        <v>1</v>
      </c>
      <c r="BQ49" s="15" t="b">
        <f t="shared" ca="1" si="29"/>
        <v>0</v>
      </c>
      <c r="BR49" s="15" t="str">
        <f t="shared" ca="1" si="11"/>
        <v/>
      </c>
      <c r="BS49" s="15">
        <f t="shared" ca="1" si="30"/>
        <v>0</v>
      </c>
      <c r="BT49" s="15" t="str">
        <f t="shared" ca="1" si="12"/>
        <v/>
      </c>
      <c r="BV49" s="15" t="b">
        <f t="shared" ca="1" si="31"/>
        <v>0</v>
      </c>
      <c r="BW49" s="15" t="b">
        <f t="shared" ca="1" si="32"/>
        <v>0</v>
      </c>
      <c r="BX49" s="15" t="b">
        <f t="shared" ca="1" si="33"/>
        <v>0</v>
      </c>
      <c r="BY49" s="15" t="b">
        <f t="shared" ca="1" si="13"/>
        <v>0</v>
      </c>
      <c r="BZ49" s="15" t="b">
        <f t="shared" ca="1" si="34"/>
        <v>0</v>
      </c>
      <c r="CA49" s="15" t="b">
        <f t="shared" ca="1" si="446"/>
        <v>0</v>
      </c>
      <c r="CB49" s="15" t="b">
        <f t="shared" ca="1" si="447"/>
        <v>0</v>
      </c>
      <c r="CC49" s="15" t="b">
        <f t="shared" ca="1" si="448"/>
        <v>0</v>
      </c>
      <c r="CD49" s="15" t="b">
        <f t="shared" ca="1" si="448"/>
        <v>0</v>
      </c>
      <c r="CE49" s="15" t="b">
        <f t="shared" ca="1" si="35"/>
        <v>0</v>
      </c>
      <c r="CF49" s="15" t="b">
        <f t="shared" ca="1" si="449"/>
        <v>0</v>
      </c>
      <c r="CG49" s="15" t="b">
        <f t="shared" ca="1" si="450"/>
        <v>0</v>
      </c>
      <c r="CH49" s="15" t="b">
        <f t="shared" ca="1" si="14"/>
        <v>0</v>
      </c>
      <c r="CI49" s="15" t="b">
        <f t="shared" si="36"/>
        <v>0</v>
      </c>
      <c r="CJ49" s="15" t="b">
        <f t="shared" si="37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424"/>
        <v>0</v>
      </c>
      <c r="CT49" s="22" t="b">
        <f t="shared" ca="1" si="424"/>
        <v>0</v>
      </c>
      <c r="CU49" s="22" t="b">
        <f t="shared" ca="1" si="424"/>
        <v>0</v>
      </c>
      <c r="CV49" s="22" t="b">
        <f t="shared" ca="1" si="424"/>
        <v>0</v>
      </c>
      <c r="CW49" s="22" t="b">
        <f t="shared" ca="1" si="424"/>
        <v>0</v>
      </c>
      <c r="CX49" s="22" t="b">
        <f t="shared" ca="1" si="424"/>
        <v>0</v>
      </c>
      <c r="CY49" s="22" t="b">
        <f t="shared" ca="1" si="424"/>
        <v>0</v>
      </c>
      <c r="CZ49" s="21" t="b">
        <f t="shared" ca="1" si="424"/>
        <v>0</v>
      </c>
      <c r="DB49" s="22" t="b">
        <f t="shared" ca="1" si="38"/>
        <v>0</v>
      </c>
      <c r="DC49" s="22" t="b">
        <f t="shared" ca="1" si="39"/>
        <v>0</v>
      </c>
      <c r="DD49" s="22" t="b">
        <f t="shared" ca="1" si="39"/>
        <v>0</v>
      </c>
      <c r="DE49" s="22" t="b">
        <f t="shared" ca="1" si="39"/>
        <v>0</v>
      </c>
      <c r="DF49" s="22" t="b">
        <f t="shared" ca="1" si="39"/>
        <v>0</v>
      </c>
      <c r="DG49" s="22" t="b">
        <f t="shared" ca="1" si="39"/>
        <v>0</v>
      </c>
      <c r="DH49" s="22" t="b">
        <f t="shared" ca="1" si="39"/>
        <v>0</v>
      </c>
      <c r="DI49" s="22" t="b">
        <f t="shared" ca="1" si="39"/>
        <v>0</v>
      </c>
      <c r="DJ49" s="22" t="b">
        <f t="shared" ca="1" si="39"/>
        <v>0</v>
      </c>
      <c r="DK49" s="22"/>
      <c r="DO49" s="15" t="str">
        <f t="shared" ca="1" si="426"/>
        <v/>
      </c>
      <c r="DP49" s="15" t="str">
        <f t="shared" ca="1" si="426"/>
        <v/>
      </c>
      <c r="DQ49" s="15" t="str">
        <f t="shared" ca="1" si="426"/>
        <v/>
      </c>
      <c r="DR49" s="15" t="str">
        <f t="shared" ca="1" si="426"/>
        <v/>
      </c>
      <c r="DS49" s="15" t="str">
        <f t="shared" ca="1" si="426"/>
        <v/>
      </c>
      <c r="DT49" s="15" t="str">
        <f t="shared" ca="1" si="426"/>
        <v/>
      </c>
      <c r="DU49" s="15" t="str">
        <f t="shared" ca="1" si="426"/>
        <v/>
      </c>
      <c r="DV49" s="15" t="str">
        <f t="shared" ca="1" si="426"/>
        <v/>
      </c>
    </row>
    <row r="50" spans="1:126">
      <c r="A50" s="15">
        <f t="shared" si="19"/>
        <v>38</v>
      </c>
      <c r="B50" s="15" t="str">
        <f ca="1">IF(AD50,IF(BS50&gt;0,BT50,IF(DA50,"Pole zależy od pól, które zależą od zamkniętego workbooka","ok.")),"")</f>
        <v>ok.</v>
      </c>
      <c r="C50" s="15" t="s">
        <v>235</v>
      </c>
      <c r="D50" s="15" t="str">
        <f t="shared" si="21"/>
        <v>Ster NazwaArkuszaDanych</v>
      </c>
      <c r="F50" s="15" t="s">
        <v>206</v>
      </c>
      <c r="G50" s="15" t="s">
        <v>125</v>
      </c>
      <c r="J50" s="19" t="str">
        <f ca="1">CELL(_CELL_ADDRESS_NAME,_sheetname_dataframe)</f>
        <v>'[dane surowe2c.xlsm]wew'!$R$9</v>
      </c>
      <c r="M50" s="19"/>
      <c r="T50" s="15" t="str">
        <f t="shared" ca="1" si="71"/>
        <v>'[dane surowe2c.xlsm]wew'!$R$9</v>
      </c>
      <c r="U50" s="15">
        <f ca="1">IF(AD50,BS50,"")</f>
        <v>0</v>
      </c>
      <c r="AD50" s="16" t="b">
        <f t="shared" si="427"/>
        <v>1</v>
      </c>
      <c r="AE50" s="16" t="b">
        <f t="shared" si="428"/>
        <v>0</v>
      </c>
      <c r="AF50" s="15" t="str">
        <f t="shared" si="68"/>
        <v/>
      </c>
      <c r="AG50" s="15" t="str">
        <f t="shared" ca="1" si="1"/>
        <v/>
      </c>
      <c r="AH50" s="15" t="str">
        <f t="shared" ca="1" si="2"/>
        <v/>
      </c>
      <c r="AI50" s="15" t="b">
        <f t="shared" ca="1" si="3"/>
        <v>0</v>
      </c>
      <c r="AJ50" s="15" t="str">
        <f t="shared" ca="1" si="24"/>
        <v/>
      </c>
      <c r="AK50" s="27" t="str">
        <f t="shared" ca="1" si="429"/>
        <v/>
      </c>
      <c r="AL50" s="15" t="b">
        <f t="shared" ca="1" si="4"/>
        <v>0</v>
      </c>
      <c r="AM50" s="15" t="str">
        <f t="shared" ca="1" si="430"/>
        <v/>
      </c>
      <c r="AN50" s="15">
        <f t="shared" ca="1" si="431"/>
        <v>3</v>
      </c>
      <c r="AO50" s="15" t="str">
        <f t="shared" ca="1" si="25"/>
        <v/>
      </c>
      <c r="AP50" s="15" t="str">
        <f t="shared" ca="1" si="432"/>
        <v/>
      </c>
      <c r="AQ50" s="27">
        <f t="shared" ca="1" si="433"/>
        <v>1</v>
      </c>
      <c r="AR50" s="15" t="b">
        <f t="shared" ca="1" si="434"/>
        <v>1</v>
      </c>
      <c r="AS50" s="27" t="b">
        <f t="shared" ca="1" si="435"/>
        <v>1</v>
      </c>
      <c r="AT50" s="27" t="b">
        <f t="shared" ca="1" si="436"/>
        <v>1</v>
      </c>
      <c r="AU50" s="27">
        <f t="shared" ca="1" si="437"/>
        <v>21</v>
      </c>
      <c r="AV50" s="16" t="e">
        <f t="shared" ca="1" si="438"/>
        <v>#REF!</v>
      </c>
      <c r="AW50" s="15" t="str">
        <f t="shared" ca="1" si="451"/>
        <v>'[dane surowe2c.xlsm]wew'!$R$9</v>
      </c>
      <c r="AX50" s="27" t="b">
        <f t="shared" ca="1" si="439"/>
        <v>0</v>
      </c>
      <c r="AY50" s="27" t="b">
        <f t="shared" ca="1" si="440"/>
        <v>0</v>
      </c>
      <c r="AZ50" s="15">
        <f t="shared" ca="1" si="441"/>
        <v>1</v>
      </c>
      <c r="BA50" s="15">
        <f t="shared" ca="1" si="26"/>
        <v>1</v>
      </c>
      <c r="BB50" s="15" t="str">
        <f t="shared" ca="1" si="442"/>
        <v>'[dane surowe2c.xlsm]wew'!$R$9</v>
      </c>
      <c r="BC50" s="15" t="str">
        <f t="shared" ca="1" si="27"/>
        <v>'[dane surowe2c.xlsm]wew'!$R$9</v>
      </c>
      <c r="BD50" s="15" t="b">
        <f t="shared" ca="1" si="443"/>
        <v>0</v>
      </c>
      <c r="BE50" s="15" t="b">
        <f t="shared" ca="1" si="6"/>
        <v>0</v>
      </c>
      <c r="BF50" s="15" t="str">
        <f t="shared" ca="1" si="7"/>
        <v/>
      </c>
      <c r="BG50" s="15" t="str">
        <f t="shared" ca="1" si="8"/>
        <v/>
      </c>
      <c r="BH50" s="15">
        <f t="array" aca="1" ref="BH50" ca="1">IF(IFERROR( S50,1),1,IF(BC50="","", SUM(IF(ISERROR(INDIRECT(BC50)),1,0))))</f>
        <v>0</v>
      </c>
      <c r="BI50" s="15" t="b">
        <f t="shared" si="444"/>
        <v>0</v>
      </c>
      <c r="BJ50" s="15" t="b">
        <f t="shared" si="445"/>
        <v>1</v>
      </c>
      <c r="BK50" s="15">
        <f t="shared" ca="1" si="9"/>
        <v>2</v>
      </c>
      <c r="BL50" s="15">
        <f t="shared" ca="1" si="10"/>
        <v>2</v>
      </c>
      <c r="BP50" s="15" t="b">
        <f t="shared" si="28"/>
        <v>1</v>
      </c>
      <c r="BQ50" s="15" t="b">
        <f t="shared" ca="1" si="29"/>
        <v>0</v>
      </c>
      <c r="BR50" s="15" t="str">
        <f t="shared" ca="1" si="11"/>
        <v/>
      </c>
      <c r="BS50" s="15">
        <f t="shared" ca="1" si="30"/>
        <v>0</v>
      </c>
      <c r="BT50" s="15" t="str">
        <f t="shared" ca="1" si="12"/>
        <v/>
      </c>
      <c r="BV50" s="15" t="b">
        <f t="shared" ca="1" si="31"/>
        <v>0</v>
      </c>
      <c r="BW50" s="15" t="b">
        <f t="shared" ca="1" si="32"/>
        <v>0</v>
      </c>
      <c r="BX50" s="15" t="b">
        <f t="shared" ca="1" si="33"/>
        <v>0</v>
      </c>
      <c r="BY50" s="15" t="b">
        <f t="shared" ca="1" si="13"/>
        <v>0</v>
      </c>
      <c r="BZ50" s="15" t="b">
        <f t="shared" ca="1" si="34"/>
        <v>0</v>
      </c>
      <c r="CA50" s="15" t="b">
        <f t="shared" ca="1" si="446"/>
        <v>0</v>
      </c>
      <c r="CB50" s="15" t="b">
        <f t="shared" ca="1" si="447"/>
        <v>0</v>
      </c>
      <c r="CC50" s="15" t="b">
        <f t="shared" ca="1" si="448"/>
        <v>0</v>
      </c>
      <c r="CD50" s="15" t="b">
        <f t="shared" ca="1" si="448"/>
        <v>0</v>
      </c>
      <c r="CE50" s="15" t="b">
        <f t="shared" ca="1" si="35"/>
        <v>0</v>
      </c>
      <c r="CF50" s="15" t="b">
        <f t="shared" ca="1" si="449"/>
        <v>0</v>
      </c>
      <c r="CG50" s="15" t="b">
        <f t="shared" ca="1" si="450"/>
        <v>0</v>
      </c>
      <c r="CH50" s="15" t="b">
        <f t="shared" ca="1" si="14"/>
        <v>0</v>
      </c>
      <c r="CI50" s="15" t="b">
        <f t="shared" si="36"/>
        <v>0</v>
      </c>
      <c r="CJ50" s="15" t="b">
        <f t="shared" si="37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424"/>
        <v>0</v>
      </c>
      <c r="CT50" s="22" t="b">
        <f t="shared" ca="1" si="424"/>
        <v>0</v>
      </c>
      <c r="CU50" s="22" t="b">
        <f t="shared" ca="1" si="424"/>
        <v>0</v>
      </c>
      <c r="CV50" s="22" t="b">
        <f t="shared" ca="1" si="424"/>
        <v>0</v>
      </c>
      <c r="CW50" s="22" t="b">
        <f t="shared" ca="1" si="424"/>
        <v>0</v>
      </c>
      <c r="CX50" s="22" t="b">
        <f t="shared" ca="1" si="424"/>
        <v>0</v>
      </c>
      <c r="CY50" s="22" t="b">
        <f t="shared" ca="1" si="424"/>
        <v>0</v>
      </c>
      <c r="CZ50" s="21" t="b">
        <f t="shared" ca="1" si="424"/>
        <v>0</v>
      </c>
      <c r="DB50" s="22" t="b">
        <f t="shared" ca="1" si="38"/>
        <v>0</v>
      </c>
      <c r="DC50" s="22" t="b">
        <f t="shared" ca="1" si="39"/>
        <v>0</v>
      </c>
      <c r="DD50" s="22" t="b">
        <f t="shared" ca="1" si="39"/>
        <v>0</v>
      </c>
      <c r="DE50" s="22" t="b">
        <f t="shared" ca="1" si="39"/>
        <v>0</v>
      </c>
      <c r="DF50" s="22" t="b">
        <f t="shared" ca="1" si="39"/>
        <v>0</v>
      </c>
      <c r="DG50" s="22" t="b">
        <f t="shared" ca="1" si="39"/>
        <v>0</v>
      </c>
      <c r="DH50" s="22" t="b">
        <f t="shared" ca="1" si="39"/>
        <v>0</v>
      </c>
      <c r="DI50" s="22" t="b">
        <f t="shared" ca="1" si="39"/>
        <v>0</v>
      </c>
      <c r="DJ50" s="22" t="b">
        <f t="shared" ca="1" si="39"/>
        <v>0</v>
      </c>
      <c r="DK50" s="22"/>
      <c r="DO50" s="15" t="str">
        <f t="shared" ca="1" si="426"/>
        <v/>
      </c>
      <c r="DP50" s="15" t="str">
        <f t="shared" ca="1" si="426"/>
        <v/>
      </c>
      <c r="DQ50" s="15" t="str">
        <f t="shared" ca="1" si="426"/>
        <v/>
      </c>
      <c r="DR50" s="15" t="str">
        <f t="shared" ca="1" si="426"/>
        <v/>
      </c>
      <c r="DS50" s="15" t="str">
        <f t="shared" ca="1" si="426"/>
        <v/>
      </c>
      <c r="DT50" s="15" t="str">
        <f t="shared" ca="1" si="426"/>
        <v/>
      </c>
      <c r="DU50" s="15" t="str">
        <f t="shared" ca="1" si="426"/>
        <v/>
      </c>
      <c r="DV50" s="15" t="str">
        <f t="shared" ca="1" si="426"/>
        <v/>
      </c>
    </row>
    <row r="51" spans="1:126">
      <c r="A51" s="15">
        <f t="shared" si="19"/>
        <v>39</v>
      </c>
      <c r="B51" s="15" t="str">
        <f ca="1">IF(AD51,IF(BS51&gt;0,BT51,IF(DA51,"Pole zależy od pól, które zależą od zamkniętego workbooka","ok.")),"")</f>
        <v>ok.</v>
      </c>
      <c r="C51" s="15" t="s">
        <v>229</v>
      </c>
      <c r="D51" s="15" t="str">
        <f t="shared" si="21"/>
        <v>Ster DlugaNazwaBazyDanych</v>
      </c>
      <c r="F51" s="15" t="s">
        <v>230</v>
      </c>
      <c r="G51" s="15" t="s">
        <v>125</v>
      </c>
      <c r="J51" s="19" t="str">
        <f ca="1">CELL(_CELL_ADDRESS_NAME,ster!$C$3)</f>
        <v>'[dane surowe2c.xlsm]ster'!$C$3</v>
      </c>
      <c r="M51" s="19"/>
      <c r="T51" s="15" t="str">
        <f t="shared" ca="1" si="71"/>
        <v>'[dane surowe2c.xlsm]ster'!$C$3</v>
      </c>
      <c r="U51" s="15">
        <f ca="1">IF(AD51,BS51,"")</f>
        <v>0</v>
      </c>
      <c r="AD51" s="16" t="b">
        <f t="shared" si="427"/>
        <v>1</v>
      </c>
      <c r="AE51" s="16" t="b">
        <f t="shared" si="428"/>
        <v>0</v>
      </c>
      <c r="AF51" s="15" t="str">
        <f t="shared" si="68"/>
        <v/>
      </c>
      <c r="AG51" s="15" t="str">
        <f t="shared" ca="1" si="1"/>
        <v/>
      </c>
      <c r="AH51" s="15" t="str">
        <f t="shared" ca="1" si="2"/>
        <v/>
      </c>
      <c r="AI51" s="15" t="b">
        <f t="shared" ca="1" si="3"/>
        <v>0</v>
      </c>
      <c r="AJ51" s="15" t="str">
        <f t="shared" ca="1" si="24"/>
        <v/>
      </c>
      <c r="AK51" s="27" t="str">
        <f t="shared" ca="1" si="429"/>
        <v/>
      </c>
      <c r="AL51" s="15" t="b">
        <f t="shared" ca="1" si="4"/>
        <v>0</v>
      </c>
      <c r="AM51" s="15" t="str">
        <f t="shared" ca="1" si="430"/>
        <v/>
      </c>
      <c r="AN51" s="15">
        <f t="shared" ca="1" si="431"/>
        <v>3</v>
      </c>
      <c r="AO51" s="15" t="str">
        <f t="shared" ca="1" si="25"/>
        <v/>
      </c>
      <c r="AP51" s="15" t="str">
        <f t="shared" ca="1" si="432"/>
        <v/>
      </c>
      <c r="AQ51" s="27">
        <f t="shared" ca="1" si="433"/>
        <v>1</v>
      </c>
      <c r="AR51" s="15" t="b">
        <f t="shared" ca="1" si="434"/>
        <v>1</v>
      </c>
      <c r="AS51" s="27" t="b">
        <f t="shared" ca="1" si="435"/>
        <v>1</v>
      </c>
      <c r="AT51" s="27" t="b">
        <f t="shared" ca="1" si="436"/>
        <v>1</v>
      </c>
      <c r="AU51" s="27">
        <f t="shared" ca="1" si="437"/>
        <v>21</v>
      </c>
      <c r="AV51" s="16" t="e">
        <f t="shared" ca="1" si="438"/>
        <v>#REF!</v>
      </c>
      <c r="AW51" s="15" t="str">
        <f t="shared" ca="1" si="451"/>
        <v>'[dane surowe2c.xlsm]ster'!$C$3</v>
      </c>
      <c r="AX51" s="27" t="b">
        <f t="shared" ca="1" si="439"/>
        <v>0</v>
      </c>
      <c r="AY51" s="27" t="b">
        <f t="shared" ca="1" si="440"/>
        <v>0</v>
      </c>
      <c r="AZ51" s="15">
        <f t="shared" ca="1" si="441"/>
        <v>1</v>
      </c>
      <c r="BA51" s="15">
        <f t="shared" ca="1" si="26"/>
        <v>1</v>
      </c>
      <c r="BB51" s="15" t="str">
        <f t="shared" ca="1" si="442"/>
        <v>'[dane surowe2c.xlsm]ster'!$C$3</v>
      </c>
      <c r="BC51" s="15" t="str">
        <f t="shared" ca="1" si="27"/>
        <v>'[dane surowe2c.xlsm]ster'!$C$3</v>
      </c>
      <c r="BD51" s="15" t="b">
        <f t="shared" ca="1" si="443"/>
        <v>0</v>
      </c>
      <c r="BE51" s="15" t="b">
        <f t="shared" ca="1" si="6"/>
        <v>0</v>
      </c>
      <c r="BF51" s="15" t="str">
        <f t="shared" ca="1" si="7"/>
        <v/>
      </c>
      <c r="BG51" s="15" t="str">
        <f t="shared" ca="1" si="8"/>
        <v/>
      </c>
      <c r="BH51" s="15">
        <f t="array" aca="1" ref="BH51" ca="1">IF(IFERROR( S51,1),1,IF(BC51="","", SUM(IF(ISERROR(INDIRECT(BC51)),1,0))))</f>
        <v>0</v>
      </c>
      <c r="BI51" s="15" t="b">
        <f t="shared" si="444"/>
        <v>0</v>
      </c>
      <c r="BJ51" s="15" t="b">
        <f t="shared" si="445"/>
        <v>1</v>
      </c>
      <c r="BK51" s="15">
        <f t="shared" ca="1" si="9"/>
        <v>2</v>
      </c>
      <c r="BL51" s="15">
        <f t="shared" ca="1" si="10"/>
        <v>2</v>
      </c>
      <c r="BP51" s="15" t="b">
        <f t="shared" si="28"/>
        <v>1</v>
      </c>
      <c r="BQ51" s="15" t="b">
        <f t="shared" ca="1" si="29"/>
        <v>0</v>
      </c>
      <c r="BR51" s="15" t="str">
        <f t="shared" ca="1" si="11"/>
        <v/>
      </c>
      <c r="BS51" s="15">
        <f t="shared" ca="1" si="30"/>
        <v>0</v>
      </c>
      <c r="BT51" s="15" t="str">
        <f t="shared" ca="1" si="12"/>
        <v/>
      </c>
      <c r="BV51" s="15" t="b">
        <f t="shared" ca="1" si="31"/>
        <v>0</v>
      </c>
      <c r="BW51" s="15" t="b">
        <f t="shared" ca="1" si="32"/>
        <v>0</v>
      </c>
      <c r="BX51" s="15" t="b">
        <f t="shared" ca="1" si="33"/>
        <v>0</v>
      </c>
      <c r="BY51" s="15" t="b">
        <f t="shared" ca="1" si="13"/>
        <v>0</v>
      </c>
      <c r="BZ51" s="15" t="b">
        <f t="shared" ca="1" si="34"/>
        <v>0</v>
      </c>
      <c r="CA51" s="15" t="b">
        <f t="shared" ca="1" si="446"/>
        <v>0</v>
      </c>
      <c r="CB51" s="15" t="b">
        <f t="shared" ca="1" si="447"/>
        <v>0</v>
      </c>
      <c r="CC51" s="15" t="b">
        <f t="shared" ca="1" si="448"/>
        <v>0</v>
      </c>
      <c r="CD51" s="15" t="b">
        <f t="shared" ca="1" si="448"/>
        <v>0</v>
      </c>
      <c r="CE51" s="15" t="b">
        <f t="shared" ca="1" si="35"/>
        <v>0</v>
      </c>
      <c r="CF51" s="15" t="b">
        <f t="shared" ca="1" si="449"/>
        <v>0</v>
      </c>
      <c r="CG51" s="15" t="b">
        <f t="shared" ca="1" si="450"/>
        <v>0</v>
      </c>
      <c r="CH51" s="15" t="b">
        <f t="shared" ca="1" si="14"/>
        <v>0</v>
      </c>
      <c r="CI51" s="15" t="b">
        <f t="shared" si="36"/>
        <v>0</v>
      </c>
      <c r="CJ51" s="15" t="b">
        <f t="shared" si="37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424"/>
        <v>0</v>
      </c>
      <c r="CT51" s="22" t="b">
        <f t="shared" ca="1" si="424"/>
        <v>0</v>
      </c>
      <c r="CU51" s="22" t="b">
        <f t="shared" ca="1" si="424"/>
        <v>0</v>
      </c>
      <c r="CV51" s="22" t="b">
        <f t="shared" ca="1" si="424"/>
        <v>0</v>
      </c>
      <c r="CW51" s="22" t="b">
        <f t="shared" ca="1" si="424"/>
        <v>0</v>
      </c>
      <c r="CX51" s="22" t="b">
        <f t="shared" ca="1" si="424"/>
        <v>0</v>
      </c>
      <c r="CY51" s="22" t="b">
        <f t="shared" ca="1" si="424"/>
        <v>0</v>
      </c>
      <c r="CZ51" s="21" t="b">
        <f t="shared" ca="1" si="424"/>
        <v>0</v>
      </c>
      <c r="DB51" s="22" t="b">
        <f t="shared" ca="1" si="38"/>
        <v>0</v>
      </c>
      <c r="DC51" s="22" t="b">
        <f t="shared" ca="1" si="39"/>
        <v>0</v>
      </c>
      <c r="DD51" s="22" t="b">
        <f t="shared" ca="1" si="39"/>
        <v>0</v>
      </c>
      <c r="DE51" s="22" t="b">
        <f t="shared" ca="1" si="39"/>
        <v>0</v>
      </c>
      <c r="DF51" s="22" t="b">
        <f t="shared" ca="1" si="39"/>
        <v>0</v>
      </c>
      <c r="DG51" s="22" t="b">
        <f t="shared" ca="1" si="39"/>
        <v>0</v>
      </c>
      <c r="DH51" s="22" t="b">
        <f t="shared" ca="1" si="39"/>
        <v>0</v>
      </c>
      <c r="DI51" s="22" t="b">
        <f t="shared" ca="1" si="39"/>
        <v>0</v>
      </c>
      <c r="DJ51" s="22" t="b">
        <f t="shared" ca="1" si="39"/>
        <v>0</v>
      </c>
      <c r="DK51" s="22"/>
      <c r="DO51" s="15" t="str">
        <f t="shared" ca="1" si="426"/>
        <v/>
      </c>
      <c r="DP51" s="15" t="str">
        <f t="shared" ca="1" si="426"/>
        <v/>
      </c>
      <c r="DQ51" s="15" t="str">
        <f t="shared" ca="1" si="426"/>
        <v/>
      </c>
      <c r="DR51" s="15" t="str">
        <f t="shared" ca="1" si="426"/>
        <v/>
      </c>
      <c r="DS51" s="15" t="str">
        <f t="shared" ca="1" si="426"/>
        <v/>
      </c>
      <c r="DT51" s="15" t="str">
        <f t="shared" ca="1" si="426"/>
        <v/>
      </c>
      <c r="DU51" s="15" t="str">
        <f t="shared" ca="1" si="426"/>
        <v/>
      </c>
      <c r="DV51" s="15" t="str">
        <f t="shared" ca="1" si="426"/>
        <v/>
      </c>
    </row>
    <row r="52" spans="1:126">
      <c r="A52" s="15">
        <f t="shared" si="19"/>
        <v>40</v>
      </c>
      <c r="B52" s="15" t="str">
        <f ca="1">IF(AD52,IF(BS52&gt;0,BT52,IF(DA52,"Pole zależy od pól, które zależą od zamkniętego workbooka","ok.")),"")</f>
        <v>ok.</v>
      </c>
      <c r="C52" s="15" t="s">
        <v>231</v>
      </c>
      <c r="D52" s="15" t="str">
        <f t="shared" si="21"/>
        <v>Ster NazwaBazyDanychWR</v>
      </c>
      <c r="F52" s="15" t="s">
        <v>232</v>
      </c>
      <c r="G52" s="15" t="s">
        <v>125</v>
      </c>
      <c r="J52" s="19" t="str">
        <f ca="1">CELL(_CELL_ADDRESS_NAME,ster!$D$3)</f>
        <v>'[dane surowe2c.xlsm]ster'!$D$3</v>
      </c>
      <c r="M52" s="19"/>
      <c r="T52" s="15" t="str">
        <f t="shared" ca="1" si="71"/>
        <v>'[dane surowe2c.xlsm]ster'!$D$3</v>
      </c>
      <c r="U52" s="15">
        <f ca="1">IF(AD52,BS52,"")</f>
        <v>0</v>
      </c>
      <c r="AD52" s="16" t="b">
        <f t="shared" si="427"/>
        <v>1</v>
      </c>
      <c r="AE52" s="16" t="b">
        <f t="shared" si="428"/>
        <v>0</v>
      </c>
      <c r="AF52" s="15" t="str">
        <f t="shared" si="68"/>
        <v/>
      </c>
      <c r="AG52" s="15" t="str">
        <f t="shared" ca="1" si="1"/>
        <v/>
      </c>
      <c r="AH52" s="15" t="str">
        <f t="shared" ca="1" si="2"/>
        <v/>
      </c>
      <c r="AI52" s="15" t="b">
        <f t="shared" ca="1" si="3"/>
        <v>0</v>
      </c>
      <c r="AJ52" s="15" t="str">
        <f t="shared" ca="1" si="24"/>
        <v/>
      </c>
      <c r="AK52" s="27" t="str">
        <f t="shared" ca="1" si="429"/>
        <v/>
      </c>
      <c r="AL52" s="15" t="b">
        <f t="shared" ca="1" si="4"/>
        <v>0</v>
      </c>
      <c r="AM52" s="15" t="str">
        <f t="shared" ca="1" si="430"/>
        <v/>
      </c>
      <c r="AN52" s="15">
        <f t="shared" ca="1" si="431"/>
        <v>3</v>
      </c>
      <c r="AO52" s="15" t="str">
        <f t="shared" ca="1" si="25"/>
        <v/>
      </c>
      <c r="AP52" s="15" t="str">
        <f t="shared" ca="1" si="432"/>
        <v/>
      </c>
      <c r="AQ52" s="27">
        <f t="shared" ca="1" si="433"/>
        <v>1</v>
      </c>
      <c r="AR52" s="15" t="b">
        <f t="shared" ca="1" si="434"/>
        <v>1</v>
      </c>
      <c r="AS52" s="27" t="b">
        <f t="shared" ca="1" si="435"/>
        <v>1</v>
      </c>
      <c r="AT52" s="27" t="b">
        <f t="shared" ca="1" si="436"/>
        <v>1</v>
      </c>
      <c r="AU52" s="27">
        <f t="shared" ca="1" si="437"/>
        <v>21</v>
      </c>
      <c r="AV52" s="16" t="e">
        <f t="shared" ca="1" si="438"/>
        <v>#REF!</v>
      </c>
      <c r="AW52" s="15" t="str">
        <f t="shared" ca="1" si="451"/>
        <v>'[dane surowe2c.xlsm]ster'!$D$3</v>
      </c>
      <c r="AX52" s="27" t="b">
        <f t="shared" ca="1" si="439"/>
        <v>0</v>
      </c>
      <c r="AY52" s="27" t="b">
        <f t="shared" ca="1" si="440"/>
        <v>0</v>
      </c>
      <c r="AZ52" s="15">
        <f t="shared" ca="1" si="441"/>
        <v>1</v>
      </c>
      <c r="BA52" s="15">
        <f t="shared" ca="1" si="26"/>
        <v>1</v>
      </c>
      <c r="BB52" s="15" t="str">
        <f t="shared" ca="1" si="442"/>
        <v>'[dane surowe2c.xlsm]ster'!$D$3</v>
      </c>
      <c r="BC52" s="15" t="str">
        <f t="shared" ca="1" si="27"/>
        <v>'[dane surowe2c.xlsm]ster'!$D$3</v>
      </c>
      <c r="BD52" s="15" t="b">
        <f t="shared" ca="1" si="443"/>
        <v>0</v>
      </c>
      <c r="BE52" s="15" t="b">
        <f t="shared" ca="1" si="6"/>
        <v>0</v>
      </c>
      <c r="BF52" s="15" t="str">
        <f t="shared" ca="1" si="7"/>
        <v/>
      </c>
      <c r="BG52" s="15" t="str">
        <f t="shared" ca="1" si="8"/>
        <v/>
      </c>
      <c r="BH52" s="15">
        <f t="array" aca="1" ref="BH52" ca="1">IF(IFERROR( S52,1),1,IF(BC52="","", SUM(IF(ISERROR(INDIRECT(BC52)),1,0))))</f>
        <v>0</v>
      </c>
      <c r="BI52" s="15" t="b">
        <f t="shared" si="444"/>
        <v>0</v>
      </c>
      <c r="BJ52" s="15" t="b">
        <f t="shared" si="445"/>
        <v>1</v>
      </c>
      <c r="BK52" s="15">
        <f t="shared" ca="1" si="9"/>
        <v>2</v>
      </c>
      <c r="BL52" s="15">
        <f t="shared" ca="1" si="10"/>
        <v>2</v>
      </c>
      <c r="BP52" s="15" t="b">
        <f t="shared" si="28"/>
        <v>1</v>
      </c>
      <c r="BQ52" s="15" t="b">
        <f t="shared" ca="1" si="29"/>
        <v>0</v>
      </c>
      <c r="BR52" s="15" t="str">
        <f t="shared" ca="1" si="11"/>
        <v/>
      </c>
      <c r="BS52" s="15">
        <f t="shared" ca="1" si="30"/>
        <v>0</v>
      </c>
      <c r="BT52" s="15" t="str">
        <f t="shared" ca="1" si="12"/>
        <v/>
      </c>
      <c r="BV52" s="15" t="b">
        <f t="shared" ca="1" si="31"/>
        <v>0</v>
      </c>
      <c r="BW52" s="15" t="b">
        <f t="shared" ca="1" si="32"/>
        <v>0</v>
      </c>
      <c r="BX52" s="15" t="b">
        <f t="shared" ca="1" si="33"/>
        <v>0</v>
      </c>
      <c r="BY52" s="15" t="b">
        <f t="shared" ca="1" si="13"/>
        <v>0</v>
      </c>
      <c r="BZ52" s="15" t="b">
        <f t="shared" ca="1" si="34"/>
        <v>0</v>
      </c>
      <c r="CA52" s="15" t="b">
        <f t="shared" ca="1" si="446"/>
        <v>0</v>
      </c>
      <c r="CB52" s="15" t="b">
        <f t="shared" ca="1" si="447"/>
        <v>0</v>
      </c>
      <c r="CC52" s="15" t="b">
        <f t="shared" ca="1" si="448"/>
        <v>0</v>
      </c>
      <c r="CD52" s="15" t="b">
        <f t="shared" ca="1" si="448"/>
        <v>0</v>
      </c>
      <c r="CE52" s="15" t="b">
        <f t="shared" ca="1" si="35"/>
        <v>0</v>
      </c>
      <c r="CF52" s="15" t="b">
        <f t="shared" ca="1" si="449"/>
        <v>0</v>
      </c>
      <c r="CG52" s="15" t="b">
        <f t="shared" ca="1" si="450"/>
        <v>0</v>
      </c>
      <c r="CH52" s="15" t="b">
        <f t="shared" ca="1" si="14"/>
        <v>0</v>
      </c>
      <c r="CI52" s="15" t="b">
        <f t="shared" si="36"/>
        <v>0</v>
      </c>
      <c r="CJ52" s="15" t="b">
        <f t="shared" si="37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68" ca="1" si="452">IF(X52&lt;&gt;"",IFERROR(MATCH(X52,INDIRECT($C$4),0)&lt;0,TRUE),FALSE)</f>
        <v>0</v>
      </c>
      <c r="CN52" s="15" t="b">
        <f t="shared" ca="1" si="452"/>
        <v>0</v>
      </c>
      <c r="CO52" s="15" t="b">
        <f t="shared" ca="1" si="452"/>
        <v>0</v>
      </c>
      <c r="CP52" s="15" t="b">
        <f t="shared" ca="1" si="452"/>
        <v>0</v>
      </c>
      <c r="CQ52" s="15" t="b">
        <f t="shared" ca="1" si="452"/>
        <v>0</v>
      </c>
      <c r="CR52" s="21" t="b">
        <f t="shared" ca="1" si="452"/>
        <v>0</v>
      </c>
      <c r="CS52" s="22" t="b">
        <f t="shared" ca="1" si="424"/>
        <v>0</v>
      </c>
      <c r="CT52" s="22" t="b">
        <f t="shared" ca="1" si="424"/>
        <v>0</v>
      </c>
      <c r="CU52" s="22" t="b">
        <f t="shared" ca="1" si="424"/>
        <v>0</v>
      </c>
      <c r="CV52" s="22" t="b">
        <f t="shared" ca="1" si="424"/>
        <v>0</v>
      </c>
      <c r="CW52" s="22" t="b">
        <f t="shared" ca="1" si="424"/>
        <v>0</v>
      </c>
      <c r="CX52" s="22" t="b">
        <f t="shared" ca="1" si="424"/>
        <v>0</v>
      </c>
      <c r="CY52" s="22" t="b">
        <f t="shared" ca="1" si="424"/>
        <v>0</v>
      </c>
      <c r="CZ52" s="21" t="b">
        <f t="shared" ca="1" si="424"/>
        <v>0</v>
      </c>
      <c r="DB52" s="22" t="b">
        <f t="shared" ca="1" si="38"/>
        <v>0</v>
      </c>
      <c r="DC52" s="22" t="b">
        <f t="shared" ca="1" si="39"/>
        <v>0</v>
      </c>
      <c r="DD52" s="22" t="b">
        <f t="shared" ca="1" si="39"/>
        <v>0</v>
      </c>
      <c r="DE52" s="22" t="b">
        <f t="shared" ca="1" si="39"/>
        <v>0</v>
      </c>
      <c r="DF52" s="22" t="b">
        <f t="shared" ca="1" si="39"/>
        <v>0</v>
      </c>
      <c r="DG52" s="22" t="b">
        <f t="shared" ca="1" si="39"/>
        <v>0</v>
      </c>
      <c r="DH52" s="22" t="b">
        <f t="shared" ca="1" si="39"/>
        <v>0</v>
      </c>
      <c r="DI52" s="22" t="b">
        <f t="shared" ca="1" si="39"/>
        <v>0</v>
      </c>
      <c r="DJ52" s="22" t="b">
        <f t="shared" ca="1" si="39"/>
        <v>0</v>
      </c>
      <c r="DK52" s="22"/>
      <c r="DO52" s="15" t="str">
        <f t="shared" ca="1" si="426"/>
        <v/>
      </c>
      <c r="DP52" s="15" t="str">
        <f t="shared" ca="1" si="426"/>
        <v/>
      </c>
      <c r="DQ52" s="15" t="str">
        <f t="shared" ca="1" si="426"/>
        <v/>
      </c>
      <c r="DR52" s="15" t="str">
        <f t="shared" ca="1" si="426"/>
        <v/>
      </c>
      <c r="DS52" s="15" t="str">
        <f t="shared" ca="1" si="426"/>
        <v/>
      </c>
      <c r="DT52" s="15" t="str">
        <f t="shared" ca="1" si="426"/>
        <v/>
      </c>
      <c r="DU52" s="15" t="str">
        <f t="shared" ca="1" si="426"/>
        <v/>
      </c>
      <c r="DV52" s="15" t="str">
        <f t="shared" ca="1" si="426"/>
        <v/>
      </c>
    </row>
    <row r="53" spans="1:126">
      <c r="A53" s="15">
        <f t="shared" si="19"/>
        <v>41</v>
      </c>
      <c r="B53" s="15" t="str">
        <f t="shared" ref="B53:B60" ca="1" si="453">IF(AD53,IF(BS53&gt;0,BT53,IF(DA53,"Pole zależy od pól, które zależą od zamkniętego workbooka","ok.")),"")</f>
        <v>ok.</v>
      </c>
      <c r="C53" s="15" t="s">
        <v>156</v>
      </c>
      <c r="D53" s="15" t="str">
        <f t="shared" si="21"/>
        <v>Grupy Zakres</v>
      </c>
      <c r="F53" s="15" t="s">
        <v>207</v>
      </c>
      <c r="G53" s="15" t="s">
        <v>125</v>
      </c>
      <c r="J53" s="19" t="str">
        <f ca="1">CELL(_CELL_ADDRESS_NAME,grupy!$B$4)</f>
        <v>'[dane surowe2c.xlsm]grupy'!$B$4</v>
      </c>
      <c r="K53" s="15">
        <f ca="1">ster!$C$16</f>
        <v>0</v>
      </c>
      <c r="L53" s="15">
        <f ca="1">COUNTA(grupy!$B$4:$F$4)</f>
        <v>4</v>
      </c>
      <c r="M53" s="19"/>
      <c r="P53" s="15">
        <v>1</v>
      </c>
      <c r="T53" s="15" t="str">
        <f t="shared" ca="1" si="71"/>
        <v/>
      </c>
      <c r="U53" s="15">
        <f t="shared" ref="U53:U60" ca="1" si="454">IF(AD53,BS53,"")</f>
        <v>0</v>
      </c>
      <c r="AD53" s="16" t="b">
        <f t="shared" si="427"/>
        <v>1</v>
      </c>
      <c r="AE53" s="16" t="b">
        <f t="shared" si="428"/>
        <v>0</v>
      </c>
      <c r="AF53" s="15" t="str">
        <f t="shared" si="68"/>
        <v/>
      </c>
      <c r="AG53" s="15" t="str">
        <f t="shared" ca="1" si="1"/>
        <v/>
      </c>
      <c r="AH53" s="15" t="str">
        <f t="shared" ca="1" si="2"/>
        <v/>
      </c>
      <c r="AI53" s="15" t="b">
        <f t="shared" ca="1" si="3"/>
        <v>0</v>
      </c>
      <c r="AJ53" s="15" t="str">
        <f t="shared" ca="1" si="24"/>
        <v/>
      </c>
      <c r="AK53" s="27" t="str">
        <f t="shared" ca="1" si="429"/>
        <v/>
      </c>
      <c r="AL53" s="15" t="b">
        <f t="shared" ca="1" si="4"/>
        <v>0</v>
      </c>
      <c r="AM53" s="15" t="str">
        <f t="shared" ca="1" si="430"/>
        <v/>
      </c>
      <c r="AN53" s="15">
        <f t="shared" ca="1" si="431"/>
        <v>3</v>
      </c>
      <c r="AO53" s="15" t="str">
        <f t="shared" ca="1" si="25"/>
        <v/>
      </c>
      <c r="AP53" s="15" t="str">
        <f t="shared" ca="1" si="432"/>
        <v/>
      </c>
      <c r="AQ53" s="27">
        <f t="shared" ca="1" si="433"/>
        <v>1</v>
      </c>
      <c r="AR53" s="15" t="b">
        <f t="shared" ca="1" si="434"/>
        <v>1</v>
      </c>
      <c r="AS53" s="27" t="b">
        <f t="shared" ca="1" si="435"/>
        <v>1</v>
      </c>
      <c r="AT53" s="27" t="b">
        <f t="shared" ca="1" si="436"/>
        <v>1</v>
      </c>
      <c r="AU53" s="27">
        <f t="shared" ca="1" si="437"/>
        <v>21</v>
      </c>
      <c r="AV53" s="16" t="e">
        <f t="shared" ca="1" si="438"/>
        <v>#REF!</v>
      </c>
      <c r="AW53" s="15" t="str">
        <f t="shared" ca="1" si="451"/>
        <v>'[dane surowe2c.xlsm]grupy'!$B$4</v>
      </c>
      <c r="AX53" s="27" t="b">
        <f t="shared" ca="1" si="439"/>
        <v>0</v>
      </c>
      <c r="AY53" s="27" t="b">
        <f t="shared" ca="1" si="440"/>
        <v>0</v>
      </c>
      <c r="AZ53" s="15">
        <f t="shared" ca="1" si="441"/>
        <v>4</v>
      </c>
      <c r="BA53" s="15">
        <f t="shared" ca="1" si="26"/>
        <v>0</v>
      </c>
      <c r="BB53" s="15" t="str">
        <f t="shared" ca="1" si="442"/>
        <v>'[dane surowe2c.xlsm]grupy'!$B$4</v>
      </c>
      <c r="BC53" s="15" t="str">
        <f t="shared" ca="1" si="27"/>
        <v/>
      </c>
      <c r="BD53" s="15" t="b">
        <f t="shared" ca="1" si="443"/>
        <v>0</v>
      </c>
      <c r="BE53" s="15" t="b">
        <f t="shared" ca="1" si="6"/>
        <v>0</v>
      </c>
      <c r="BF53" s="15" t="str">
        <f t="shared" ca="1" si="7"/>
        <v/>
      </c>
      <c r="BG53" s="15" t="str">
        <f t="shared" ca="1" si="8"/>
        <v/>
      </c>
      <c r="BH53" s="15" t="str">
        <f t="array" aca="1" ref="BH53" ca="1">IF(IFERROR( S53,1),1,IF(BC53="","", SUM(IF(ISERROR(INDIRECT(BC53)),1,0))))</f>
        <v/>
      </c>
      <c r="BI53" s="15" t="b">
        <f t="shared" si="444"/>
        <v>0</v>
      </c>
      <c r="BJ53" s="15" t="b">
        <f t="shared" si="445"/>
        <v>1</v>
      </c>
      <c r="BK53" s="15">
        <f t="shared" ca="1" si="9"/>
        <v>2</v>
      </c>
      <c r="BL53" s="15">
        <f t="shared" ca="1" si="10"/>
        <v>2</v>
      </c>
      <c r="BP53" s="15" t="b">
        <f t="shared" si="28"/>
        <v>1</v>
      </c>
      <c r="BQ53" s="15" t="b">
        <f t="shared" ca="1" si="29"/>
        <v>0</v>
      </c>
      <c r="BR53" s="15" t="str">
        <f t="shared" ca="1" si="11"/>
        <v/>
      </c>
      <c r="BS53" s="15">
        <f t="shared" ca="1" si="30"/>
        <v>0</v>
      </c>
      <c r="BT53" s="15" t="str">
        <f t="shared" ca="1" si="12"/>
        <v/>
      </c>
      <c r="BV53" s="15" t="b">
        <f t="shared" ca="1" si="31"/>
        <v>0</v>
      </c>
      <c r="BW53" s="15" t="b">
        <f t="shared" ca="1" si="32"/>
        <v>0</v>
      </c>
      <c r="BX53" s="15" t="b">
        <f t="shared" ca="1" si="33"/>
        <v>0</v>
      </c>
      <c r="BY53" s="15" t="b">
        <f t="shared" ca="1" si="13"/>
        <v>0</v>
      </c>
      <c r="BZ53" s="15" t="b">
        <f t="shared" ca="1" si="34"/>
        <v>0</v>
      </c>
      <c r="CA53" s="15" t="b">
        <f t="shared" ca="1" si="446"/>
        <v>0</v>
      </c>
      <c r="CB53" s="15" t="b">
        <f t="shared" ca="1" si="447"/>
        <v>0</v>
      </c>
      <c r="CC53" s="15" t="b">
        <f t="shared" ca="1" si="448"/>
        <v>0</v>
      </c>
      <c r="CD53" s="15" t="b">
        <f t="shared" ca="1" si="448"/>
        <v>0</v>
      </c>
      <c r="CE53" s="15" t="b">
        <f t="shared" ca="1" si="35"/>
        <v>0</v>
      </c>
      <c r="CF53" s="15" t="b">
        <f t="shared" ca="1" si="449"/>
        <v>0</v>
      </c>
      <c r="CG53" s="15" t="b">
        <f t="shared" ca="1" si="450"/>
        <v>0</v>
      </c>
      <c r="CH53" s="15" t="b">
        <f t="shared" ca="1" si="14"/>
        <v>0</v>
      </c>
      <c r="CI53" s="15" t="b">
        <f t="shared" si="36"/>
        <v>0</v>
      </c>
      <c r="CJ53" s="15" t="b">
        <f t="shared" si="37"/>
        <v>0</v>
      </c>
      <c r="CK53" s="15" t="b">
        <f t="shared" ref="CK53:CR70" ca="1" si="455">IF(V53&lt;&gt;"",IFERROR(MATCH(V53,INDIRECT($C$4),0)&lt;0,TRUE),FALSE)</f>
        <v>0</v>
      </c>
      <c r="CL53" s="15" t="b">
        <f t="shared" ca="1" si="455"/>
        <v>0</v>
      </c>
      <c r="CM53" s="15" t="b">
        <f t="shared" ca="1" si="455"/>
        <v>0</v>
      </c>
      <c r="CN53" s="15" t="b">
        <f t="shared" ca="1" si="455"/>
        <v>0</v>
      </c>
      <c r="CO53" s="15" t="b">
        <f t="shared" ca="1" si="455"/>
        <v>0</v>
      </c>
      <c r="CP53" s="15" t="b">
        <f t="shared" ca="1" si="455"/>
        <v>0</v>
      </c>
      <c r="CQ53" s="15" t="b">
        <f t="shared" ca="1" si="452"/>
        <v>0</v>
      </c>
      <c r="CR53" s="21" t="b">
        <f t="shared" ca="1" si="452"/>
        <v>0</v>
      </c>
      <c r="CS53" s="22" t="b">
        <f t="shared" ca="1" si="424"/>
        <v>0</v>
      </c>
      <c r="CT53" s="22" t="b">
        <f t="shared" ca="1" si="424"/>
        <v>0</v>
      </c>
      <c r="CU53" s="22" t="b">
        <f t="shared" ca="1" si="424"/>
        <v>0</v>
      </c>
      <c r="CV53" s="22" t="b">
        <f t="shared" ca="1" si="424"/>
        <v>0</v>
      </c>
      <c r="CW53" s="22" t="b">
        <f t="shared" ca="1" si="424"/>
        <v>0</v>
      </c>
      <c r="CX53" s="22" t="b">
        <f t="shared" ca="1" si="424"/>
        <v>0</v>
      </c>
      <c r="CY53" s="22" t="b">
        <f t="shared" ca="1" si="424"/>
        <v>0</v>
      </c>
      <c r="CZ53" s="21" t="b">
        <f t="shared" ca="1" si="424"/>
        <v>0</v>
      </c>
      <c r="DB53" s="22" t="b">
        <f t="shared" ca="1" si="38"/>
        <v>0</v>
      </c>
      <c r="DC53" s="22" t="b">
        <f t="shared" ca="1" si="39"/>
        <v>0</v>
      </c>
      <c r="DD53" s="22" t="b">
        <f t="shared" ca="1" si="39"/>
        <v>0</v>
      </c>
      <c r="DE53" s="22" t="b">
        <f t="shared" ca="1" si="39"/>
        <v>0</v>
      </c>
      <c r="DF53" s="22" t="b">
        <f t="shared" ca="1" si="39"/>
        <v>0</v>
      </c>
      <c r="DG53" s="22" t="b">
        <f t="shared" ca="1" si="39"/>
        <v>0</v>
      </c>
      <c r="DH53" s="22" t="b">
        <f t="shared" ca="1" si="39"/>
        <v>0</v>
      </c>
      <c r="DI53" s="22" t="b">
        <f t="shared" ca="1" si="39"/>
        <v>0</v>
      </c>
      <c r="DJ53" s="22" t="b">
        <f t="shared" ca="1" si="39"/>
        <v>0</v>
      </c>
      <c r="DK53" s="22"/>
      <c r="DO53" s="15" t="str">
        <f t="shared" ca="1" si="426"/>
        <v/>
      </c>
      <c r="DP53" s="15" t="str">
        <f t="shared" ca="1" si="426"/>
        <v/>
      </c>
      <c r="DQ53" s="15" t="str">
        <f t="shared" ca="1" si="426"/>
        <v/>
      </c>
      <c r="DR53" s="15" t="str">
        <f t="shared" ca="1" si="426"/>
        <v/>
      </c>
      <c r="DS53" s="15" t="str">
        <f t="shared" ca="1" si="426"/>
        <v/>
      </c>
      <c r="DT53" s="15" t="str">
        <f t="shared" ca="1" si="426"/>
        <v/>
      </c>
      <c r="DU53" s="15" t="str">
        <f t="shared" ca="1" si="426"/>
        <v/>
      </c>
      <c r="DV53" s="15" t="str">
        <f t="shared" ca="1" si="426"/>
        <v/>
      </c>
    </row>
    <row r="54" spans="1:126">
      <c r="A54" s="15">
        <f t="shared" si="19"/>
        <v>42</v>
      </c>
      <c r="B54" s="15" t="str">
        <f t="shared" ca="1" si="453"/>
        <v>ok.</v>
      </c>
      <c r="C54" s="15" t="s">
        <v>113</v>
      </c>
      <c r="D54" s="15" t="str">
        <f t="shared" si="21"/>
        <v>Grupy Nazwy</v>
      </c>
      <c r="F54" s="15" t="s">
        <v>193</v>
      </c>
      <c r="G54" s="15" t="s">
        <v>125</v>
      </c>
      <c r="J54" s="19" t="str">
        <f ca="1">CELL(_CELL_ADDRESS_NAME,grupy!$C$4)</f>
        <v>'[dane surowe2c.xlsm]grupy'!$C$4</v>
      </c>
      <c r="K54" s="15">
        <f ca="1">ster!$C$16</f>
        <v>0</v>
      </c>
      <c r="M54" s="19"/>
      <c r="T54" s="15" t="str">
        <f t="shared" ca="1" si="71"/>
        <v/>
      </c>
      <c r="U54" s="15">
        <f t="shared" ca="1" si="454"/>
        <v>0</v>
      </c>
      <c r="AD54" s="16" t="b">
        <f t="shared" si="427"/>
        <v>1</v>
      </c>
      <c r="AE54" s="16" t="b">
        <f t="shared" si="428"/>
        <v>0</v>
      </c>
      <c r="AF54" s="15" t="str">
        <f t="shared" si="68"/>
        <v/>
      </c>
      <c r="AG54" s="15" t="str">
        <f t="shared" ca="1" si="1"/>
        <v/>
      </c>
      <c r="AH54" s="15" t="str">
        <f t="shared" ca="1" si="2"/>
        <v/>
      </c>
      <c r="AI54" s="15" t="b">
        <f t="shared" ca="1" si="3"/>
        <v>0</v>
      </c>
      <c r="AJ54" s="15" t="str">
        <f t="shared" ca="1" si="24"/>
        <v/>
      </c>
      <c r="AK54" s="27" t="str">
        <f t="shared" ca="1" si="429"/>
        <v/>
      </c>
      <c r="AL54" s="15" t="b">
        <f t="shared" ca="1" si="4"/>
        <v>0</v>
      </c>
      <c r="AM54" s="15" t="str">
        <f t="shared" ca="1" si="430"/>
        <v/>
      </c>
      <c r="AN54" s="15">
        <f t="shared" ca="1" si="431"/>
        <v>3</v>
      </c>
      <c r="AO54" s="15" t="str">
        <f t="shared" ca="1" si="25"/>
        <v/>
      </c>
      <c r="AP54" s="15" t="str">
        <f t="shared" ca="1" si="432"/>
        <v/>
      </c>
      <c r="AQ54" s="27">
        <f t="shared" ca="1" si="433"/>
        <v>1</v>
      </c>
      <c r="AR54" s="15" t="b">
        <f t="shared" ca="1" si="434"/>
        <v>1</v>
      </c>
      <c r="AS54" s="27" t="b">
        <f t="shared" ca="1" si="435"/>
        <v>1</v>
      </c>
      <c r="AT54" s="27" t="b">
        <f t="shared" ca="1" si="436"/>
        <v>1</v>
      </c>
      <c r="AU54" s="27">
        <f t="shared" ca="1" si="437"/>
        <v>21</v>
      </c>
      <c r="AV54" s="16" t="e">
        <f t="shared" ca="1" si="438"/>
        <v>#REF!</v>
      </c>
      <c r="AW54" s="15" t="str">
        <f t="shared" ca="1" si="451"/>
        <v>'[dane surowe2c.xlsm]grupy'!$C$4</v>
      </c>
      <c r="AX54" s="27" t="b">
        <f t="shared" ca="1" si="439"/>
        <v>0</v>
      </c>
      <c r="AY54" s="27" t="b">
        <f t="shared" ca="1" si="440"/>
        <v>0</v>
      </c>
      <c r="AZ54" s="15">
        <f t="shared" ca="1" si="441"/>
        <v>1</v>
      </c>
      <c r="BA54" s="15">
        <f t="shared" ca="1" si="26"/>
        <v>0</v>
      </c>
      <c r="BB54" s="15" t="str">
        <f t="shared" ca="1" si="442"/>
        <v>'[dane surowe2c.xlsm]grupy'!$C$4</v>
      </c>
      <c r="BC54" s="15" t="str">
        <f t="shared" ca="1" si="27"/>
        <v/>
      </c>
      <c r="BD54" s="15" t="b">
        <f t="shared" ca="1" si="443"/>
        <v>0</v>
      </c>
      <c r="BE54" s="15" t="b">
        <f t="shared" ca="1" si="6"/>
        <v>0</v>
      </c>
      <c r="BF54" s="15" t="str">
        <f t="shared" ca="1" si="7"/>
        <v/>
      </c>
      <c r="BG54" s="15" t="str">
        <f t="shared" ca="1" si="8"/>
        <v/>
      </c>
      <c r="BH54" s="15" t="str">
        <f t="array" aca="1" ref="BH54" ca="1">IF(IFERROR( S54,1),1,IF(BC54="","", SUM(IF(ISERROR(INDIRECT(BC54)),1,0))))</f>
        <v/>
      </c>
      <c r="BI54" s="15" t="b">
        <f t="shared" si="444"/>
        <v>0</v>
      </c>
      <c r="BJ54" s="15" t="b">
        <f t="shared" si="445"/>
        <v>1</v>
      </c>
      <c r="BK54" s="15">
        <f t="shared" ca="1" si="9"/>
        <v>2</v>
      </c>
      <c r="BL54" s="15">
        <f t="shared" ca="1" si="10"/>
        <v>2</v>
      </c>
      <c r="BP54" s="15" t="b">
        <f t="shared" si="28"/>
        <v>1</v>
      </c>
      <c r="BQ54" s="15" t="b">
        <f t="shared" ca="1" si="29"/>
        <v>0</v>
      </c>
      <c r="BR54" s="15" t="str">
        <f t="shared" ca="1" si="11"/>
        <v/>
      </c>
      <c r="BS54" s="15">
        <f t="shared" ca="1" si="30"/>
        <v>0</v>
      </c>
      <c r="BT54" s="15" t="str">
        <f t="shared" ca="1" si="12"/>
        <v/>
      </c>
      <c r="BV54" s="15" t="b">
        <f t="shared" ca="1" si="31"/>
        <v>0</v>
      </c>
      <c r="BW54" s="15" t="b">
        <f t="shared" ca="1" si="32"/>
        <v>0</v>
      </c>
      <c r="BX54" s="15" t="b">
        <f t="shared" ca="1" si="33"/>
        <v>0</v>
      </c>
      <c r="BY54" s="15" t="b">
        <f t="shared" ca="1" si="13"/>
        <v>0</v>
      </c>
      <c r="BZ54" s="15" t="b">
        <f t="shared" ca="1" si="34"/>
        <v>0</v>
      </c>
      <c r="CA54" s="15" t="b">
        <f t="shared" ca="1" si="446"/>
        <v>0</v>
      </c>
      <c r="CB54" s="15" t="b">
        <f t="shared" ca="1" si="447"/>
        <v>0</v>
      </c>
      <c r="CC54" s="15" t="b">
        <f t="shared" ca="1" si="448"/>
        <v>0</v>
      </c>
      <c r="CD54" s="15" t="b">
        <f t="shared" ca="1" si="448"/>
        <v>0</v>
      </c>
      <c r="CE54" s="15" t="b">
        <f t="shared" ca="1" si="35"/>
        <v>0</v>
      </c>
      <c r="CF54" s="15" t="b">
        <f t="shared" ca="1" si="449"/>
        <v>0</v>
      </c>
      <c r="CG54" s="15" t="b">
        <f t="shared" ca="1" si="450"/>
        <v>0</v>
      </c>
      <c r="CH54" s="15" t="b">
        <f t="shared" ca="1" si="14"/>
        <v>0</v>
      </c>
      <c r="CI54" s="15" t="b">
        <f t="shared" si="36"/>
        <v>0</v>
      </c>
      <c r="CJ54" s="15" t="b">
        <f t="shared" si="37"/>
        <v>0</v>
      </c>
      <c r="CK54" s="15" t="b">
        <f t="shared" ca="1" si="455"/>
        <v>0</v>
      </c>
      <c r="CL54" s="15" t="b">
        <f t="shared" ca="1" si="455"/>
        <v>0</v>
      </c>
      <c r="CM54" s="15" t="b">
        <f t="shared" ca="1" si="455"/>
        <v>0</v>
      </c>
      <c r="CN54" s="15" t="b">
        <f t="shared" ca="1" si="455"/>
        <v>0</v>
      </c>
      <c r="CO54" s="15" t="b">
        <f t="shared" ca="1" si="455"/>
        <v>0</v>
      </c>
      <c r="CP54" s="15" t="b">
        <f t="shared" ca="1" si="455"/>
        <v>0</v>
      </c>
      <c r="CQ54" s="15" t="b">
        <f t="shared" ca="1" si="452"/>
        <v>0</v>
      </c>
      <c r="CR54" s="21" t="b">
        <f t="shared" ca="1" si="452"/>
        <v>0</v>
      </c>
      <c r="CS54" s="22" t="b">
        <f t="shared" ca="1" si="424"/>
        <v>0</v>
      </c>
      <c r="CT54" s="22" t="b">
        <f t="shared" ca="1" si="424"/>
        <v>0</v>
      </c>
      <c r="CU54" s="22" t="b">
        <f t="shared" ca="1" si="424"/>
        <v>0</v>
      </c>
      <c r="CV54" s="22" t="b">
        <f t="shared" ca="1" si="424"/>
        <v>0</v>
      </c>
      <c r="CW54" s="22" t="b">
        <f t="shared" ca="1" si="424"/>
        <v>0</v>
      </c>
      <c r="CX54" s="22" t="b">
        <f t="shared" ca="1" si="424"/>
        <v>0</v>
      </c>
      <c r="CY54" s="22" t="b">
        <f t="shared" ca="1" si="424"/>
        <v>0</v>
      </c>
      <c r="CZ54" s="21" t="b">
        <f t="shared" ca="1" si="424"/>
        <v>0</v>
      </c>
      <c r="DB54" s="22" t="b">
        <f t="shared" ca="1" si="38"/>
        <v>0</v>
      </c>
      <c r="DC54" s="22" t="b">
        <f t="shared" ca="1" si="39"/>
        <v>0</v>
      </c>
      <c r="DD54" s="22" t="b">
        <f t="shared" ca="1" si="39"/>
        <v>0</v>
      </c>
      <c r="DE54" s="22" t="b">
        <f t="shared" ca="1" si="39"/>
        <v>0</v>
      </c>
      <c r="DF54" s="22" t="b">
        <f t="shared" ca="1" si="39"/>
        <v>0</v>
      </c>
      <c r="DG54" s="22" t="b">
        <f t="shared" ca="1" si="39"/>
        <v>0</v>
      </c>
      <c r="DH54" s="22" t="b">
        <f t="shared" ca="1" si="39"/>
        <v>0</v>
      </c>
      <c r="DI54" s="22" t="b">
        <f t="shared" ca="1" si="39"/>
        <v>0</v>
      </c>
      <c r="DJ54" s="22" t="b">
        <f t="shared" ca="1" si="39"/>
        <v>0</v>
      </c>
      <c r="DK54" s="22"/>
      <c r="DO54" s="15" t="str">
        <f t="shared" ca="1" si="426"/>
        <v/>
      </c>
      <c r="DP54" s="15" t="str">
        <f t="shared" ca="1" si="426"/>
        <v/>
      </c>
      <c r="DQ54" s="15" t="str">
        <f t="shared" ca="1" si="426"/>
        <v/>
      </c>
      <c r="DR54" s="15" t="str">
        <f t="shared" ca="1" si="426"/>
        <v/>
      </c>
      <c r="DS54" s="15" t="str">
        <f t="shared" ca="1" si="426"/>
        <v/>
      </c>
      <c r="DT54" s="15" t="str">
        <f t="shared" ca="1" si="426"/>
        <v/>
      </c>
      <c r="DU54" s="15" t="str">
        <f t="shared" ca="1" si="426"/>
        <v/>
      </c>
      <c r="DV54" s="15" t="str">
        <f t="shared" ca="1" si="426"/>
        <v/>
      </c>
    </row>
    <row r="55" spans="1:126">
      <c r="A55" s="15">
        <f t="shared" si="19"/>
        <v>43</v>
      </c>
      <c r="B55" s="15" t="str">
        <f t="shared" si="453"/>
        <v>ok.</v>
      </c>
      <c r="C55" s="15" t="s">
        <v>114</v>
      </c>
      <c r="D55" s="15" t="str">
        <f t="shared" si="21"/>
        <v>Grupy LiczbaZmiennych</v>
      </c>
      <c r="H55" s="15" t="str">
        <f>wew!$B$7</f>
        <v>Hub2.xlsb</v>
      </c>
      <c r="I55" s="15" t="s">
        <v>114</v>
      </c>
      <c r="M55" s="19">
        <v>1</v>
      </c>
      <c r="T55" s="15" t="str">
        <f t="shared" ca="1" si="71"/>
        <v/>
      </c>
      <c r="U55" s="15">
        <f t="shared" si="454"/>
        <v>0</v>
      </c>
      <c r="AD55" s="16" t="b">
        <f t="shared" si="427"/>
        <v>1</v>
      </c>
      <c r="AE55" s="16" t="b">
        <f t="shared" si="428"/>
        <v>1</v>
      </c>
      <c r="AF55" s="15" t="str">
        <f t="shared" si="68"/>
        <v>[Hub2.xlsb]NewZal</v>
      </c>
      <c r="AG55" s="15" t="str">
        <f t="shared" ca="1" si="1"/>
        <v/>
      </c>
      <c r="AH55" s="15" t="str">
        <f t="shared" ca="1" si="2"/>
        <v/>
      </c>
      <c r="AI55" s="15" t="b">
        <f t="shared" ca="1" si="3"/>
        <v>0</v>
      </c>
      <c r="AJ55" s="15" t="e">
        <f t="shared" ca="1" si="24"/>
        <v>#REF!</v>
      </c>
      <c r="AK55" s="27" t="e">
        <f t="shared" ca="1" si="429"/>
        <v>#REF!</v>
      </c>
      <c r="AL55" s="15" t="b">
        <f t="shared" ca="1" si="4"/>
        <v>0</v>
      </c>
      <c r="AM55" s="15" t="e">
        <f t="shared" ca="1" si="430"/>
        <v>#REF!</v>
      </c>
      <c r="AN55" s="15">
        <f t="shared" ca="1" si="431"/>
        <v>3</v>
      </c>
      <c r="AO55" s="15" t="e">
        <f t="shared" ca="1" si="25"/>
        <v>#REF!</v>
      </c>
      <c r="AP55" s="15" t="e">
        <f t="shared" ca="1" si="432"/>
        <v>#REF!</v>
      </c>
      <c r="AQ55" s="27">
        <f t="shared" si="433"/>
        <v>2</v>
      </c>
      <c r="AR55" s="15" t="b">
        <f t="shared" si="434"/>
        <v>0</v>
      </c>
      <c r="AS55" s="27" t="b">
        <f t="shared" si="435"/>
        <v>0</v>
      </c>
      <c r="AT55" s="27" t="b">
        <f t="shared" si="436"/>
        <v>0</v>
      </c>
      <c r="AU55" s="27" t="str">
        <f t="shared" si="437"/>
        <v/>
      </c>
      <c r="AV55" s="16" t="b">
        <f t="shared" si="438"/>
        <v>0</v>
      </c>
      <c r="AW55" s="15" t="str">
        <f t="shared" ca="1" si="451"/>
        <v/>
      </c>
      <c r="AX55" s="27" t="b">
        <f t="shared" ca="1" si="439"/>
        <v>0</v>
      </c>
      <c r="AY55" s="27" t="b">
        <f t="shared" ca="1" si="440"/>
        <v>0</v>
      </c>
      <c r="AZ55" s="15" t="str">
        <f t="shared" ca="1" si="441"/>
        <v>?</v>
      </c>
      <c r="BA55" s="15" t="str">
        <f t="shared" ca="1" si="26"/>
        <v>?</v>
      </c>
      <c r="BB55" s="15" t="e">
        <f t="shared" ca="1" si="442"/>
        <v>#REF!</v>
      </c>
      <c r="BC55" s="15" t="str">
        <f t="shared" ca="1" si="27"/>
        <v/>
      </c>
      <c r="BD55" s="15" t="e">
        <f t="shared" ca="1" si="443"/>
        <v>#VALUE!</v>
      </c>
      <c r="BE55" s="15" t="b">
        <f t="shared" si="6"/>
        <v>0</v>
      </c>
      <c r="BF55" s="15" t="str">
        <f t="shared" ca="1" si="7"/>
        <v/>
      </c>
      <c r="BG55" s="15" t="str">
        <f t="shared" si="8"/>
        <v/>
      </c>
      <c r="BH55" s="15" t="str">
        <f t="array" aca="1" ref="BH55" ca="1">IF(IFERROR( S55,1),1,IF(BC55="","", SUM(IF(ISERROR(INDIRECT(BC55)),1,0))))</f>
        <v/>
      </c>
      <c r="BI55" s="15" t="b">
        <f t="shared" si="444"/>
        <v>0</v>
      </c>
      <c r="BJ55" s="15" t="b">
        <f t="shared" si="445"/>
        <v>0</v>
      </c>
      <c r="BK55" s="15" t="str">
        <f t="shared" si="9"/>
        <v/>
      </c>
      <c r="BL55" s="15">
        <f t="shared" ca="1" si="10"/>
        <v>3</v>
      </c>
      <c r="BP55" s="15" t="b">
        <f t="shared" si="28"/>
        <v>0</v>
      </c>
      <c r="BQ55" s="15" t="b">
        <f t="shared" si="29"/>
        <v>0</v>
      </c>
      <c r="BR55" s="15" t="str">
        <f t="shared" si="11"/>
        <v/>
      </c>
      <c r="BS55" s="15">
        <f t="shared" si="30"/>
        <v>0</v>
      </c>
      <c r="BT55" s="15" t="str">
        <f t="shared" si="12"/>
        <v/>
      </c>
      <c r="BV55" s="15" t="b">
        <f t="shared" ca="1" si="31"/>
        <v>0</v>
      </c>
      <c r="BW55" s="15" t="b">
        <f t="shared" ca="1" si="32"/>
        <v>0</v>
      </c>
      <c r="BX55" s="15" t="b">
        <f t="shared" ca="1" si="33"/>
        <v>1</v>
      </c>
      <c r="BY55" s="15" t="b">
        <f t="shared" ca="1" si="13"/>
        <v>0</v>
      </c>
      <c r="BZ55" s="15" t="b">
        <f t="shared" si="34"/>
        <v>0</v>
      </c>
      <c r="CA55" s="15" t="b">
        <f t="shared" si="446"/>
        <v>0</v>
      </c>
      <c r="CB55" s="15" t="b">
        <f t="shared" ca="1" si="447"/>
        <v>0</v>
      </c>
      <c r="CC55" s="15" t="b">
        <f t="shared" si="448"/>
        <v>0</v>
      </c>
      <c r="CD55" s="15" t="b">
        <f t="shared" si="448"/>
        <v>0</v>
      </c>
      <c r="CE55" s="15" t="b">
        <f t="shared" ca="1" si="35"/>
        <v>0</v>
      </c>
      <c r="CF55" s="15" t="b">
        <f t="shared" si="449"/>
        <v>0</v>
      </c>
      <c r="CG55" s="15" t="b">
        <f t="shared" si="450"/>
        <v>0</v>
      </c>
      <c r="CH55" s="15" t="b">
        <f t="shared" si="14"/>
        <v>0</v>
      </c>
      <c r="CI55" s="15" t="b">
        <f t="shared" si="36"/>
        <v>0</v>
      </c>
      <c r="CJ55" s="15" t="b">
        <f t="shared" si="37"/>
        <v>0</v>
      </c>
      <c r="CK55" s="15" t="b">
        <f t="shared" ca="1" si="455"/>
        <v>0</v>
      </c>
      <c r="CL55" s="15" t="b">
        <f t="shared" ca="1" si="455"/>
        <v>0</v>
      </c>
      <c r="CM55" s="15" t="b">
        <f t="shared" ca="1" si="455"/>
        <v>0</v>
      </c>
      <c r="CN55" s="15" t="b">
        <f t="shared" ca="1" si="455"/>
        <v>0</v>
      </c>
      <c r="CO55" s="15" t="b">
        <f t="shared" ca="1" si="455"/>
        <v>0</v>
      </c>
      <c r="CP55" s="15" t="b">
        <f t="shared" ca="1" si="455"/>
        <v>0</v>
      </c>
      <c r="CQ55" s="15" t="b">
        <f t="shared" ca="1" si="452"/>
        <v>0</v>
      </c>
      <c r="CR55" s="21" t="b">
        <f t="shared" ca="1" si="452"/>
        <v>0</v>
      </c>
      <c r="CS55" s="22" t="b">
        <f t="shared" ca="1" si="424"/>
        <v>0</v>
      </c>
      <c r="CT55" s="22" t="b">
        <f t="shared" ca="1" si="424"/>
        <v>0</v>
      </c>
      <c r="CU55" s="22" t="b">
        <f t="shared" ca="1" si="424"/>
        <v>0</v>
      </c>
      <c r="CV55" s="22" t="b">
        <f t="shared" ca="1" si="424"/>
        <v>0</v>
      </c>
      <c r="CW55" s="22" t="b">
        <f t="shared" ca="1" si="424"/>
        <v>0</v>
      </c>
      <c r="CX55" s="22" t="b">
        <f t="shared" ca="1" si="424"/>
        <v>0</v>
      </c>
      <c r="CY55" s="22" t="b">
        <f t="shared" ca="1" si="424"/>
        <v>0</v>
      </c>
      <c r="CZ55" s="21" t="b">
        <f t="shared" ca="1" si="424"/>
        <v>0</v>
      </c>
      <c r="DB55" s="22" t="b">
        <f t="shared" ca="1" si="38"/>
        <v>0</v>
      </c>
      <c r="DC55" s="22" t="b">
        <f t="shared" ca="1" si="39"/>
        <v>0</v>
      </c>
      <c r="DD55" s="22" t="b">
        <f t="shared" ca="1" si="39"/>
        <v>0</v>
      </c>
      <c r="DE55" s="22" t="b">
        <f t="shared" ca="1" si="39"/>
        <v>0</v>
      </c>
      <c r="DF55" s="22" t="b">
        <f t="shared" ca="1" si="39"/>
        <v>0</v>
      </c>
      <c r="DG55" s="22" t="b">
        <f t="shared" ref="DG55:DJ55" ca="1" si="456">AND(DS55=4)</f>
        <v>0</v>
      </c>
      <c r="DH55" s="22" t="b">
        <f t="shared" ca="1" si="456"/>
        <v>0</v>
      </c>
      <c r="DI55" s="22" t="b">
        <f t="shared" ca="1" si="456"/>
        <v>0</v>
      </c>
      <c r="DJ55" s="22" t="b">
        <f t="shared" ca="1" si="456"/>
        <v>0</v>
      </c>
      <c r="DK55" s="22"/>
      <c r="DO55" s="15" t="str">
        <f t="shared" ca="1" si="426"/>
        <v/>
      </c>
      <c r="DP55" s="15" t="str">
        <f t="shared" ca="1" si="426"/>
        <v/>
      </c>
      <c r="DQ55" s="15" t="str">
        <f t="shared" ca="1" si="426"/>
        <v/>
      </c>
      <c r="DR55" s="15" t="str">
        <f t="shared" ca="1" si="426"/>
        <v/>
      </c>
      <c r="DS55" s="15" t="str">
        <f t="shared" ca="1" si="426"/>
        <v/>
      </c>
      <c r="DT55" s="15" t="str">
        <f t="shared" ca="1" si="426"/>
        <v/>
      </c>
      <c r="DU55" s="15" t="str">
        <f t="shared" ca="1" si="426"/>
        <v/>
      </c>
      <c r="DV55" s="15" t="str">
        <f t="shared" ca="1" si="426"/>
        <v/>
      </c>
    </row>
    <row r="56" spans="1:126">
      <c r="A56" s="15">
        <f t="shared" si="19"/>
        <v>44</v>
      </c>
      <c r="B56" s="15" t="str">
        <f t="shared" si="453"/>
        <v>ok.</v>
      </c>
      <c r="C56" s="15" t="s">
        <v>115</v>
      </c>
      <c r="D56" s="15" t="str">
        <f t="shared" si="21"/>
        <v>Grupy ListaZmiennychSPSS</v>
      </c>
      <c r="H56" s="15" t="str">
        <f>wew!$B$7</f>
        <v>Hub2.xlsb</v>
      </c>
      <c r="I56" s="15" t="s">
        <v>115</v>
      </c>
      <c r="M56" s="19">
        <v>1</v>
      </c>
      <c r="T56" s="15" t="str">
        <f t="shared" ca="1" si="71"/>
        <v/>
      </c>
      <c r="U56" s="15">
        <f t="shared" si="454"/>
        <v>0</v>
      </c>
      <c r="AD56" s="16" t="b">
        <f t="shared" si="427"/>
        <v>1</v>
      </c>
      <c r="AE56" s="16" t="b">
        <f t="shared" si="428"/>
        <v>1</v>
      </c>
      <c r="AF56" s="15" t="str">
        <f t="shared" si="68"/>
        <v>[Hub2.xlsb]NewZal</v>
      </c>
      <c r="AG56" s="15" t="str">
        <f t="shared" ca="1" si="1"/>
        <v/>
      </c>
      <c r="AH56" s="15" t="str">
        <f t="shared" ca="1" si="2"/>
        <v/>
      </c>
      <c r="AI56" s="15" t="b">
        <f t="shared" ca="1" si="3"/>
        <v>0</v>
      </c>
      <c r="AJ56" s="15" t="e">
        <f t="shared" ca="1" si="24"/>
        <v>#REF!</v>
      </c>
      <c r="AK56" s="27" t="e">
        <f t="shared" ca="1" si="429"/>
        <v>#REF!</v>
      </c>
      <c r="AL56" s="15" t="b">
        <f t="shared" ca="1" si="4"/>
        <v>0</v>
      </c>
      <c r="AM56" s="15" t="e">
        <f t="shared" ca="1" si="430"/>
        <v>#REF!</v>
      </c>
      <c r="AN56" s="15">
        <f t="shared" ca="1" si="431"/>
        <v>3</v>
      </c>
      <c r="AO56" s="15" t="e">
        <f t="shared" ca="1" si="25"/>
        <v>#REF!</v>
      </c>
      <c r="AP56" s="15" t="e">
        <f t="shared" ca="1" si="432"/>
        <v>#REF!</v>
      </c>
      <c r="AQ56" s="27">
        <f t="shared" si="433"/>
        <v>2</v>
      </c>
      <c r="AR56" s="15" t="b">
        <f t="shared" si="434"/>
        <v>0</v>
      </c>
      <c r="AS56" s="27" t="b">
        <f t="shared" si="435"/>
        <v>0</v>
      </c>
      <c r="AT56" s="27" t="b">
        <f t="shared" si="436"/>
        <v>0</v>
      </c>
      <c r="AU56" s="27" t="str">
        <f t="shared" si="437"/>
        <v/>
      </c>
      <c r="AV56" s="16" t="b">
        <f t="shared" si="438"/>
        <v>0</v>
      </c>
      <c r="AW56" s="15" t="str">
        <f t="shared" ca="1" si="451"/>
        <v/>
      </c>
      <c r="AX56" s="27" t="b">
        <f t="shared" ca="1" si="439"/>
        <v>0</v>
      </c>
      <c r="AY56" s="27" t="b">
        <f t="shared" ca="1" si="440"/>
        <v>0</v>
      </c>
      <c r="AZ56" s="15" t="str">
        <f t="shared" ca="1" si="441"/>
        <v>?</v>
      </c>
      <c r="BA56" s="15" t="str">
        <f t="shared" ca="1" si="26"/>
        <v>?</v>
      </c>
      <c r="BB56" s="15" t="e">
        <f t="shared" ca="1" si="442"/>
        <v>#REF!</v>
      </c>
      <c r="BC56" s="15" t="str">
        <f t="shared" ca="1" si="27"/>
        <v/>
      </c>
      <c r="BD56" s="15" t="e">
        <f t="shared" ca="1" si="443"/>
        <v>#VALUE!</v>
      </c>
      <c r="BE56" s="15" t="b">
        <f t="shared" si="6"/>
        <v>0</v>
      </c>
      <c r="BF56" s="15" t="str">
        <f t="shared" ca="1" si="7"/>
        <v/>
      </c>
      <c r="BG56" s="15" t="str">
        <f t="shared" si="8"/>
        <v/>
      </c>
      <c r="BH56" s="15" t="str">
        <f t="array" aca="1" ref="BH56" ca="1">IF(IFERROR( S56,1),1,IF(BC56="","", SUM(IF(ISERROR(INDIRECT(BC56)),1,0))))</f>
        <v/>
      </c>
      <c r="BI56" s="15" t="b">
        <f t="shared" si="444"/>
        <v>0</v>
      </c>
      <c r="BJ56" s="15" t="b">
        <f t="shared" si="445"/>
        <v>0</v>
      </c>
      <c r="BK56" s="15" t="str">
        <f t="shared" si="9"/>
        <v/>
      </c>
      <c r="BL56" s="15">
        <f t="shared" ca="1" si="10"/>
        <v>3</v>
      </c>
      <c r="BP56" s="15" t="b">
        <f t="shared" si="28"/>
        <v>0</v>
      </c>
      <c r="BQ56" s="15" t="b">
        <f t="shared" si="29"/>
        <v>0</v>
      </c>
      <c r="BR56" s="15" t="str">
        <f t="shared" si="11"/>
        <v/>
      </c>
      <c r="BS56" s="15">
        <f t="shared" si="30"/>
        <v>0</v>
      </c>
      <c r="BT56" s="15" t="str">
        <f t="shared" si="12"/>
        <v/>
      </c>
      <c r="BV56" s="15" t="b">
        <f t="shared" ca="1" si="31"/>
        <v>0</v>
      </c>
      <c r="BW56" s="15" t="b">
        <f t="shared" ca="1" si="32"/>
        <v>0</v>
      </c>
      <c r="BX56" s="15" t="b">
        <f t="shared" ca="1" si="33"/>
        <v>1</v>
      </c>
      <c r="BY56" s="15" t="b">
        <f t="shared" ca="1" si="13"/>
        <v>0</v>
      </c>
      <c r="BZ56" s="15" t="b">
        <f t="shared" si="34"/>
        <v>0</v>
      </c>
      <c r="CA56" s="15" t="b">
        <f t="shared" si="446"/>
        <v>0</v>
      </c>
      <c r="CB56" s="15" t="b">
        <f t="shared" ca="1" si="447"/>
        <v>0</v>
      </c>
      <c r="CC56" s="15" t="b">
        <f t="shared" si="448"/>
        <v>0</v>
      </c>
      <c r="CD56" s="15" t="b">
        <f t="shared" si="448"/>
        <v>0</v>
      </c>
      <c r="CE56" s="15" t="b">
        <f t="shared" ca="1" si="35"/>
        <v>0</v>
      </c>
      <c r="CF56" s="15" t="b">
        <f t="shared" si="449"/>
        <v>0</v>
      </c>
      <c r="CG56" s="15" t="b">
        <f t="shared" si="450"/>
        <v>0</v>
      </c>
      <c r="CH56" s="15" t="b">
        <f t="shared" si="14"/>
        <v>0</v>
      </c>
      <c r="CI56" s="15" t="b">
        <f t="shared" si="36"/>
        <v>0</v>
      </c>
      <c r="CJ56" s="15" t="b">
        <f t="shared" si="37"/>
        <v>0</v>
      </c>
      <c r="CK56" s="15" t="b">
        <f t="shared" ca="1" si="455"/>
        <v>0</v>
      </c>
      <c r="CL56" s="15" t="b">
        <f t="shared" ca="1" si="455"/>
        <v>0</v>
      </c>
      <c r="CM56" s="15" t="b">
        <f t="shared" ca="1" si="455"/>
        <v>0</v>
      </c>
      <c r="CN56" s="15" t="b">
        <f t="shared" ca="1" si="455"/>
        <v>0</v>
      </c>
      <c r="CO56" s="15" t="b">
        <f t="shared" ca="1" si="455"/>
        <v>0</v>
      </c>
      <c r="CP56" s="15" t="b">
        <f t="shared" ca="1" si="455"/>
        <v>0</v>
      </c>
      <c r="CQ56" s="15" t="b">
        <f t="shared" ca="1" si="452"/>
        <v>0</v>
      </c>
      <c r="CR56" s="21" t="b">
        <f t="shared" ca="1" si="452"/>
        <v>0</v>
      </c>
      <c r="CS56" s="22" t="b">
        <f t="shared" ca="1" si="424"/>
        <v>0</v>
      </c>
      <c r="CT56" s="22" t="b">
        <f t="shared" ca="1" si="424"/>
        <v>0</v>
      </c>
      <c r="CU56" s="22" t="b">
        <f t="shared" ca="1" si="424"/>
        <v>0</v>
      </c>
      <c r="CV56" s="22" t="b">
        <f t="shared" ca="1" si="424"/>
        <v>0</v>
      </c>
      <c r="CW56" s="22" t="b">
        <f t="shared" ca="1" si="424"/>
        <v>0</v>
      </c>
      <c r="CX56" s="22" t="b">
        <f t="shared" ca="1" si="424"/>
        <v>0</v>
      </c>
      <c r="CY56" s="22" t="b">
        <f t="shared" ca="1" si="424"/>
        <v>0</v>
      </c>
      <c r="CZ56" s="21" t="b">
        <f t="shared" ca="1" si="424"/>
        <v>0</v>
      </c>
      <c r="DB56" s="22" t="b">
        <f t="shared" ca="1" si="38"/>
        <v>0</v>
      </c>
      <c r="DC56" s="22" t="b">
        <f t="shared" ref="DC56:DJ70" ca="1" si="457">AND(DO56=4)</f>
        <v>0</v>
      </c>
      <c r="DD56" s="22" t="b">
        <f t="shared" ca="1" si="457"/>
        <v>0</v>
      </c>
      <c r="DE56" s="22" t="b">
        <f t="shared" ca="1" si="457"/>
        <v>0</v>
      </c>
      <c r="DF56" s="22" t="b">
        <f t="shared" ca="1" si="457"/>
        <v>0</v>
      </c>
      <c r="DG56" s="22" t="b">
        <f t="shared" ca="1" si="457"/>
        <v>0</v>
      </c>
      <c r="DH56" s="22" t="b">
        <f t="shared" ca="1" si="457"/>
        <v>0</v>
      </c>
      <c r="DI56" s="22" t="b">
        <f t="shared" ca="1" si="457"/>
        <v>0</v>
      </c>
      <c r="DJ56" s="22" t="b">
        <f t="shared" ca="1" si="457"/>
        <v>0</v>
      </c>
      <c r="DK56" s="22"/>
      <c r="DO56" s="15" t="str">
        <f t="shared" ca="1" si="426"/>
        <v/>
      </c>
      <c r="DP56" s="15" t="str">
        <f t="shared" ca="1" si="426"/>
        <v/>
      </c>
      <c r="DQ56" s="15" t="str">
        <f t="shared" ca="1" si="426"/>
        <v/>
      </c>
      <c r="DR56" s="15" t="str">
        <f t="shared" ca="1" si="426"/>
        <v/>
      </c>
      <c r="DS56" s="15" t="str">
        <f t="shared" ca="1" si="426"/>
        <v/>
      </c>
      <c r="DT56" s="15" t="str">
        <f t="shared" ca="1" si="426"/>
        <v/>
      </c>
      <c r="DU56" s="15" t="str">
        <f t="shared" ca="1" si="426"/>
        <v/>
      </c>
      <c r="DV56" s="15" t="str">
        <f t="shared" ca="1" si="426"/>
        <v/>
      </c>
    </row>
    <row r="57" spans="1:126">
      <c r="A57" s="15">
        <f t="shared" si="19"/>
        <v>45</v>
      </c>
      <c r="B57" s="15" t="str">
        <f t="shared" si="453"/>
        <v>ok.</v>
      </c>
      <c r="C57" s="15" t="s">
        <v>210</v>
      </c>
      <c r="D57" s="15" t="str">
        <f t="shared" si="21"/>
        <v>Grupy ListaZmiennychDab</v>
      </c>
      <c r="H57" s="15" t="str">
        <f>wew!$B$7</f>
        <v>Hub2.xlsb</v>
      </c>
      <c r="I57" s="15" t="s">
        <v>210</v>
      </c>
      <c r="M57" s="19">
        <v>1</v>
      </c>
      <c r="T57" s="15" t="str">
        <f t="shared" ca="1" si="71"/>
        <v/>
      </c>
      <c r="U57" s="15">
        <f t="shared" si="454"/>
        <v>0</v>
      </c>
      <c r="AD57" s="16" t="b">
        <f t="shared" si="427"/>
        <v>1</v>
      </c>
      <c r="AE57" s="16" t="b">
        <f t="shared" si="428"/>
        <v>1</v>
      </c>
      <c r="AF57" s="15" t="str">
        <f t="shared" si="68"/>
        <v>[Hub2.xlsb]NewZal</v>
      </c>
      <c r="AG57" s="15" t="str">
        <f t="shared" ca="1" si="1"/>
        <v/>
      </c>
      <c r="AH57" s="15" t="str">
        <f t="shared" ca="1" si="2"/>
        <v/>
      </c>
      <c r="AI57" s="15" t="b">
        <f t="shared" ca="1" si="3"/>
        <v>0</v>
      </c>
      <c r="AJ57" s="15" t="e">
        <f t="shared" ca="1" si="24"/>
        <v>#REF!</v>
      </c>
      <c r="AK57" s="27" t="e">
        <f t="shared" ca="1" si="429"/>
        <v>#REF!</v>
      </c>
      <c r="AL57" s="15" t="b">
        <f t="shared" ca="1" si="4"/>
        <v>0</v>
      </c>
      <c r="AM57" s="15" t="e">
        <f t="shared" ca="1" si="430"/>
        <v>#REF!</v>
      </c>
      <c r="AN57" s="15">
        <f t="shared" ca="1" si="431"/>
        <v>3</v>
      </c>
      <c r="AO57" s="15" t="e">
        <f t="shared" ca="1" si="25"/>
        <v>#REF!</v>
      </c>
      <c r="AP57" s="15" t="e">
        <f t="shared" ca="1" si="432"/>
        <v>#REF!</v>
      </c>
      <c r="AQ57" s="27">
        <f t="shared" si="433"/>
        <v>2</v>
      </c>
      <c r="AR57" s="15" t="b">
        <f t="shared" si="434"/>
        <v>0</v>
      </c>
      <c r="AS57" s="27" t="b">
        <f t="shared" si="435"/>
        <v>0</v>
      </c>
      <c r="AT57" s="27" t="b">
        <f t="shared" si="436"/>
        <v>0</v>
      </c>
      <c r="AU57" s="27" t="str">
        <f t="shared" si="437"/>
        <v/>
      </c>
      <c r="AV57" s="16" t="b">
        <f t="shared" si="438"/>
        <v>0</v>
      </c>
      <c r="AW57" s="15" t="str">
        <f t="shared" ca="1" si="451"/>
        <v/>
      </c>
      <c r="AX57" s="27" t="b">
        <f t="shared" ca="1" si="439"/>
        <v>0</v>
      </c>
      <c r="AY57" s="27" t="b">
        <f t="shared" ca="1" si="440"/>
        <v>0</v>
      </c>
      <c r="AZ57" s="15" t="str">
        <f t="shared" ca="1" si="441"/>
        <v>?</v>
      </c>
      <c r="BA57" s="15" t="str">
        <f t="shared" ca="1" si="26"/>
        <v>?</v>
      </c>
      <c r="BB57" s="15" t="e">
        <f t="shared" ca="1" si="442"/>
        <v>#REF!</v>
      </c>
      <c r="BC57" s="15" t="str">
        <f t="shared" ca="1" si="27"/>
        <v/>
      </c>
      <c r="BD57" s="15" t="e">
        <f t="shared" ca="1" si="443"/>
        <v>#VALUE!</v>
      </c>
      <c r="BE57" s="15" t="b">
        <f t="shared" si="6"/>
        <v>0</v>
      </c>
      <c r="BF57" s="15" t="str">
        <f t="shared" ca="1" si="7"/>
        <v/>
      </c>
      <c r="BG57" s="15" t="str">
        <f t="shared" si="8"/>
        <v/>
      </c>
      <c r="BH57" s="15" t="str">
        <f t="array" aca="1" ref="BH57" ca="1">IF(IFERROR( S57,1),1,IF(BC57="","", SUM(IF(ISERROR(INDIRECT(BC57)),1,0))))</f>
        <v/>
      </c>
      <c r="BI57" s="15" t="b">
        <f t="shared" si="444"/>
        <v>0</v>
      </c>
      <c r="BJ57" s="15" t="b">
        <f t="shared" si="445"/>
        <v>0</v>
      </c>
      <c r="BK57" s="15" t="str">
        <f t="shared" si="9"/>
        <v/>
      </c>
      <c r="BL57" s="15">
        <f t="shared" ca="1" si="10"/>
        <v>3</v>
      </c>
      <c r="BP57" s="15" t="b">
        <f t="shared" si="28"/>
        <v>0</v>
      </c>
      <c r="BQ57" s="15" t="b">
        <f t="shared" si="29"/>
        <v>0</v>
      </c>
      <c r="BR57" s="15" t="str">
        <f t="shared" si="11"/>
        <v/>
      </c>
      <c r="BS57" s="15">
        <f t="shared" si="30"/>
        <v>0</v>
      </c>
      <c r="BT57" s="15" t="str">
        <f t="shared" si="12"/>
        <v/>
      </c>
      <c r="BV57" s="15" t="b">
        <f t="shared" ca="1" si="31"/>
        <v>0</v>
      </c>
      <c r="BW57" s="15" t="b">
        <f t="shared" ca="1" si="32"/>
        <v>0</v>
      </c>
      <c r="BX57" s="15" t="b">
        <f t="shared" ca="1" si="33"/>
        <v>1</v>
      </c>
      <c r="BY57" s="15" t="b">
        <f t="shared" ca="1" si="13"/>
        <v>0</v>
      </c>
      <c r="BZ57" s="15" t="b">
        <f t="shared" si="34"/>
        <v>0</v>
      </c>
      <c r="CA57" s="15" t="b">
        <f t="shared" si="446"/>
        <v>0</v>
      </c>
      <c r="CB57" s="15" t="b">
        <f t="shared" ca="1" si="447"/>
        <v>0</v>
      </c>
      <c r="CC57" s="15" t="b">
        <f t="shared" si="448"/>
        <v>0</v>
      </c>
      <c r="CD57" s="15" t="b">
        <f t="shared" si="448"/>
        <v>0</v>
      </c>
      <c r="CE57" s="15" t="b">
        <f t="shared" ca="1" si="35"/>
        <v>0</v>
      </c>
      <c r="CF57" s="15" t="b">
        <f t="shared" si="449"/>
        <v>0</v>
      </c>
      <c r="CG57" s="15" t="b">
        <f t="shared" si="450"/>
        <v>0</v>
      </c>
      <c r="CH57" s="15" t="b">
        <f t="shared" si="14"/>
        <v>0</v>
      </c>
      <c r="CI57" s="15" t="b">
        <f t="shared" si="36"/>
        <v>0</v>
      </c>
      <c r="CJ57" s="15" t="b">
        <f t="shared" si="37"/>
        <v>0</v>
      </c>
      <c r="CK57" s="15" t="b">
        <f t="shared" ca="1" si="455"/>
        <v>0</v>
      </c>
      <c r="CL57" s="15" t="b">
        <f t="shared" ca="1" si="455"/>
        <v>0</v>
      </c>
      <c r="CM57" s="15" t="b">
        <f t="shared" ca="1" si="455"/>
        <v>0</v>
      </c>
      <c r="CN57" s="15" t="b">
        <f t="shared" ca="1" si="455"/>
        <v>0</v>
      </c>
      <c r="CO57" s="15" t="b">
        <f t="shared" ca="1" si="455"/>
        <v>0</v>
      </c>
      <c r="CP57" s="15" t="b">
        <f t="shared" ca="1" si="455"/>
        <v>0</v>
      </c>
      <c r="CQ57" s="15" t="b">
        <f t="shared" ca="1" si="452"/>
        <v>0</v>
      </c>
      <c r="CR57" s="21" t="b">
        <f t="shared" ca="1" si="452"/>
        <v>0</v>
      </c>
      <c r="CS57" s="22" t="b">
        <f t="shared" ca="1" si="424"/>
        <v>0</v>
      </c>
      <c r="CT57" s="22" t="b">
        <f t="shared" ca="1" si="424"/>
        <v>0</v>
      </c>
      <c r="CU57" s="22" t="b">
        <f t="shared" ca="1" si="424"/>
        <v>0</v>
      </c>
      <c r="CV57" s="22" t="b">
        <f t="shared" ca="1" si="424"/>
        <v>0</v>
      </c>
      <c r="CW57" s="22" t="b">
        <f t="shared" ca="1" si="424"/>
        <v>0</v>
      </c>
      <c r="CX57" s="22" t="b">
        <f t="shared" ca="1" si="424"/>
        <v>0</v>
      </c>
      <c r="CY57" s="22" t="b">
        <f t="shared" ca="1" si="424"/>
        <v>0</v>
      </c>
      <c r="CZ57" s="21" t="b">
        <f ca="1">AND(DV57&lt;&gt;"",DV57&lt;&gt;0,DV57&lt;&gt;4)</f>
        <v>0</v>
      </c>
      <c r="DB57" s="22" t="b">
        <f t="shared" ca="1" si="38"/>
        <v>0</v>
      </c>
      <c r="DC57" s="22" t="b">
        <f t="shared" ca="1" si="457"/>
        <v>0</v>
      </c>
      <c r="DD57" s="22" t="b">
        <f t="shared" ca="1" si="457"/>
        <v>0</v>
      </c>
      <c r="DE57" s="22" t="b">
        <f t="shared" ca="1" si="457"/>
        <v>0</v>
      </c>
      <c r="DF57" s="22" t="b">
        <f t="shared" ca="1" si="457"/>
        <v>0</v>
      </c>
      <c r="DG57" s="22" t="b">
        <f t="shared" ca="1" si="457"/>
        <v>0</v>
      </c>
      <c r="DH57" s="22" t="b">
        <f t="shared" ca="1" si="457"/>
        <v>0</v>
      </c>
      <c r="DI57" s="22" t="b">
        <f t="shared" ca="1" si="457"/>
        <v>0</v>
      </c>
      <c r="DJ57" s="22" t="b">
        <f t="shared" ca="1" si="457"/>
        <v>0</v>
      </c>
      <c r="DK57" s="22"/>
      <c r="DO57" s="15" t="str">
        <f t="shared" ca="1" si="426"/>
        <v/>
      </c>
      <c r="DP57" s="15" t="str">
        <f t="shared" ca="1" si="426"/>
        <v/>
      </c>
      <c r="DQ57" s="15" t="str">
        <f t="shared" ca="1" si="426"/>
        <v/>
      </c>
      <c r="DR57" s="15" t="str">
        <f t="shared" ca="1" si="426"/>
        <v/>
      </c>
      <c r="DS57" s="15" t="str">
        <f t="shared" ca="1" si="426"/>
        <v/>
      </c>
      <c r="DT57" s="15" t="str">
        <f t="shared" ca="1" si="426"/>
        <v/>
      </c>
      <c r="DU57" s="15" t="str">
        <f t="shared" ca="1" si="426"/>
        <v/>
      </c>
      <c r="DV57" s="15" t="str">
        <f t="shared" ca="1" si="426"/>
        <v/>
      </c>
    </row>
    <row r="58" spans="1:126">
      <c r="A58" s="15">
        <f t="shared" si="19"/>
        <v>46</v>
      </c>
      <c r="B58" s="15" t="str">
        <f t="shared" ca="1" si="453"/>
        <v>ok.</v>
      </c>
      <c r="C58" s="15" t="s">
        <v>116</v>
      </c>
      <c r="D58" s="15" t="str">
        <f t="shared" si="21"/>
        <v>Grupy NazwyNarzednik</v>
      </c>
      <c r="F58" s="15" t="s">
        <v>194</v>
      </c>
      <c r="G58" s="15" t="s">
        <v>125</v>
      </c>
      <c r="J58" s="19" t="str">
        <f ca="1">CELL(_CELL_ADDRESS_NAME,grupy!$G$4)</f>
        <v>'[dane surowe2c.xlsm]grupy'!$G$4</v>
      </c>
      <c r="K58" s="15">
        <f ca="1">ster!$C$16</f>
        <v>0</v>
      </c>
      <c r="M58" s="19"/>
      <c r="T58" s="15" t="str">
        <f t="shared" ca="1" si="71"/>
        <v/>
      </c>
      <c r="U58" s="15">
        <f t="shared" ca="1" si="454"/>
        <v>0</v>
      </c>
      <c r="AD58" s="16" t="b">
        <f t="shared" si="427"/>
        <v>1</v>
      </c>
      <c r="AE58" s="16" t="b">
        <f t="shared" si="428"/>
        <v>0</v>
      </c>
      <c r="AF58" s="15" t="str">
        <f t="shared" si="68"/>
        <v/>
      </c>
      <c r="AG58" s="15" t="str">
        <f t="shared" ca="1" si="1"/>
        <v/>
      </c>
      <c r="AH58" s="15" t="str">
        <f t="shared" ca="1" si="2"/>
        <v/>
      </c>
      <c r="AI58" s="15" t="b">
        <f t="shared" ca="1" si="3"/>
        <v>0</v>
      </c>
      <c r="AJ58" s="15" t="str">
        <f t="shared" ca="1" si="24"/>
        <v/>
      </c>
      <c r="AK58" s="27" t="str">
        <f t="shared" ca="1" si="429"/>
        <v/>
      </c>
      <c r="AL58" s="15" t="b">
        <f t="shared" ca="1" si="4"/>
        <v>0</v>
      </c>
      <c r="AM58" s="15" t="str">
        <f t="shared" ca="1" si="430"/>
        <v/>
      </c>
      <c r="AN58" s="15">
        <f t="shared" ca="1" si="431"/>
        <v>3</v>
      </c>
      <c r="AO58" s="15" t="str">
        <f t="shared" ca="1" si="25"/>
        <v/>
      </c>
      <c r="AP58" s="15" t="str">
        <f t="shared" ca="1" si="432"/>
        <v/>
      </c>
      <c r="AQ58" s="27">
        <f t="shared" ca="1" si="433"/>
        <v>1</v>
      </c>
      <c r="AR58" s="15" t="b">
        <f t="shared" ca="1" si="434"/>
        <v>1</v>
      </c>
      <c r="AS58" s="27" t="b">
        <f t="shared" ca="1" si="435"/>
        <v>1</v>
      </c>
      <c r="AT58" s="27" t="b">
        <f t="shared" ca="1" si="436"/>
        <v>1</v>
      </c>
      <c r="AU58" s="27">
        <f t="shared" ca="1" si="437"/>
        <v>21</v>
      </c>
      <c r="AV58" s="16" t="e">
        <f t="shared" ca="1" si="438"/>
        <v>#REF!</v>
      </c>
      <c r="AW58" s="15" t="str">
        <f t="shared" ca="1" si="451"/>
        <v>'[dane surowe2c.xlsm]grupy'!$G$4</v>
      </c>
      <c r="AX58" s="27" t="b">
        <f t="shared" ca="1" si="439"/>
        <v>0</v>
      </c>
      <c r="AY58" s="27" t="b">
        <f t="shared" ca="1" si="440"/>
        <v>0</v>
      </c>
      <c r="AZ58" s="15">
        <f t="shared" ca="1" si="441"/>
        <v>1</v>
      </c>
      <c r="BA58" s="15">
        <f t="shared" ca="1" si="26"/>
        <v>0</v>
      </c>
      <c r="BB58" s="15" t="str">
        <f t="shared" ca="1" si="442"/>
        <v>'[dane surowe2c.xlsm]grupy'!$G$4</v>
      </c>
      <c r="BC58" s="15" t="str">
        <f t="shared" ca="1" si="27"/>
        <v/>
      </c>
      <c r="BD58" s="15" t="b">
        <f t="shared" ca="1" si="443"/>
        <v>0</v>
      </c>
      <c r="BE58" s="15" t="b">
        <f t="shared" ca="1" si="6"/>
        <v>0</v>
      </c>
      <c r="BF58" s="15" t="str">
        <f t="shared" ca="1" si="7"/>
        <v/>
      </c>
      <c r="BG58" s="15" t="str">
        <f t="shared" ca="1" si="8"/>
        <v/>
      </c>
      <c r="BH58" s="15" t="str">
        <f t="array" aca="1" ref="BH58" ca="1">IF(IFERROR( S58,1),1,IF(BC58="","", SUM(IF(ISERROR(INDIRECT(BC58)),1,0))))</f>
        <v/>
      </c>
      <c r="BI58" s="15" t="b">
        <f t="shared" si="444"/>
        <v>0</v>
      </c>
      <c r="BJ58" s="15" t="b">
        <f t="shared" si="445"/>
        <v>1</v>
      </c>
      <c r="BK58" s="15">
        <f t="shared" ca="1" si="9"/>
        <v>2</v>
      </c>
      <c r="BL58" s="15">
        <f t="shared" ca="1" si="10"/>
        <v>2</v>
      </c>
      <c r="BP58" s="15" t="b">
        <f t="shared" si="28"/>
        <v>1</v>
      </c>
      <c r="BQ58" s="15" t="b">
        <f t="shared" ca="1" si="29"/>
        <v>0</v>
      </c>
      <c r="BR58" s="15" t="str">
        <f t="shared" ca="1" si="11"/>
        <v/>
      </c>
      <c r="BS58" s="15">
        <f t="shared" ca="1" si="30"/>
        <v>0</v>
      </c>
      <c r="BT58" s="15" t="str">
        <f t="shared" ca="1" si="12"/>
        <v/>
      </c>
      <c r="BV58" s="15" t="b">
        <f t="shared" ca="1" si="31"/>
        <v>0</v>
      </c>
      <c r="BW58" s="15" t="b">
        <f t="shared" ca="1" si="32"/>
        <v>0</v>
      </c>
      <c r="BX58" s="15" t="b">
        <f t="shared" ca="1" si="33"/>
        <v>0</v>
      </c>
      <c r="BY58" s="15" t="b">
        <f t="shared" ca="1" si="13"/>
        <v>0</v>
      </c>
      <c r="BZ58" s="15" t="b">
        <f t="shared" ca="1" si="34"/>
        <v>0</v>
      </c>
      <c r="CA58" s="15" t="b">
        <f t="shared" ca="1" si="446"/>
        <v>0</v>
      </c>
      <c r="CB58" s="15" t="b">
        <f t="shared" ca="1" si="447"/>
        <v>0</v>
      </c>
      <c r="CC58" s="15" t="b">
        <f t="shared" ca="1" si="448"/>
        <v>0</v>
      </c>
      <c r="CD58" s="15" t="b">
        <f t="shared" ca="1" si="448"/>
        <v>0</v>
      </c>
      <c r="CE58" s="15" t="b">
        <f t="shared" ca="1" si="35"/>
        <v>0</v>
      </c>
      <c r="CF58" s="15" t="b">
        <f t="shared" ca="1" si="449"/>
        <v>0</v>
      </c>
      <c r="CG58" s="15" t="b">
        <f t="shared" ca="1" si="450"/>
        <v>0</v>
      </c>
      <c r="CH58" s="15" t="b">
        <f t="shared" ca="1" si="14"/>
        <v>0</v>
      </c>
      <c r="CI58" s="15" t="b">
        <f t="shared" si="36"/>
        <v>0</v>
      </c>
      <c r="CJ58" s="15" t="b">
        <f t="shared" si="37"/>
        <v>0</v>
      </c>
      <c r="CK58" s="15" t="b">
        <f t="shared" ca="1" si="455"/>
        <v>0</v>
      </c>
      <c r="CL58" s="15" t="b">
        <f t="shared" ca="1" si="455"/>
        <v>0</v>
      </c>
      <c r="CM58" s="15" t="b">
        <f t="shared" ca="1" si="455"/>
        <v>0</v>
      </c>
      <c r="CN58" s="15" t="b">
        <f t="shared" ca="1" si="455"/>
        <v>0</v>
      </c>
      <c r="CO58" s="15" t="b">
        <f t="shared" ca="1" si="455"/>
        <v>0</v>
      </c>
      <c r="CP58" s="15" t="b">
        <f t="shared" ca="1" si="455"/>
        <v>0</v>
      </c>
      <c r="CQ58" s="15" t="b">
        <f t="shared" ca="1" si="452"/>
        <v>0</v>
      </c>
      <c r="CR58" s="21" t="b">
        <f t="shared" ca="1" si="452"/>
        <v>0</v>
      </c>
      <c r="CS58" s="22" t="b">
        <f t="shared" ref="CS58:CZ70" ca="1" si="458">AND(DO58&lt;&gt;"",DO58&lt;&gt;0,DO58&lt;&gt;4)</f>
        <v>0</v>
      </c>
      <c r="CT58" s="22" t="b">
        <f t="shared" ca="1" si="458"/>
        <v>0</v>
      </c>
      <c r="CU58" s="22" t="b">
        <f t="shared" ca="1" si="458"/>
        <v>0</v>
      </c>
      <c r="CV58" s="22" t="b">
        <f t="shared" ca="1" si="458"/>
        <v>0</v>
      </c>
      <c r="CW58" s="22" t="b">
        <f t="shared" ca="1" si="458"/>
        <v>0</v>
      </c>
      <c r="CX58" s="22" t="b">
        <f t="shared" ca="1" si="458"/>
        <v>0</v>
      </c>
      <c r="CY58" s="22" t="b">
        <f t="shared" ca="1" si="458"/>
        <v>0</v>
      </c>
      <c r="CZ58" s="21" t="b">
        <f t="shared" ca="1" si="458"/>
        <v>0</v>
      </c>
      <c r="DB58" s="22" t="b">
        <f t="shared" ca="1" si="38"/>
        <v>0</v>
      </c>
      <c r="DC58" s="22" t="b">
        <f t="shared" ca="1" si="457"/>
        <v>0</v>
      </c>
      <c r="DD58" s="22" t="b">
        <f t="shared" ca="1" si="457"/>
        <v>0</v>
      </c>
      <c r="DE58" s="22" t="b">
        <f t="shared" ca="1" si="457"/>
        <v>0</v>
      </c>
      <c r="DF58" s="22" t="b">
        <f t="shared" ca="1" si="457"/>
        <v>0</v>
      </c>
      <c r="DG58" s="22" t="b">
        <f t="shared" ca="1" si="457"/>
        <v>0</v>
      </c>
      <c r="DH58" s="22" t="b">
        <f t="shared" ca="1" si="457"/>
        <v>0</v>
      </c>
      <c r="DI58" s="22" t="b">
        <f t="shared" ca="1" si="457"/>
        <v>0</v>
      </c>
      <c r="DJ58" s="22" t="b">
        <f t="shared" ca="1" si="457"/>
        <v>0</v>
      </c>
      <c r="DK58" s="22"/>
      <c r="DO58" s="15" t="str">
        <f t="shared" ca="1" si="426"/>
        <v/>
      </c>
      <c r="DP58" s="15" t="str">
        <f t="shared" ca="1" si="426"/>
        <v/>
      </c>
      <c r="DQ58" s="15" t="str">
        <f t="shared" ca="1" si="426"/>
        <v/>
      </c>
      <c r="DR58" s="15" t="str">
        <f t="shared" ca="1" si="426"/>
        <v/>
      </c>
      <c r="DS58" s="15" t="str">
        <f t="shared" ca="1" si="426"/>
        <v/>
      </c>
      <c r="DT58" s="15" t="str">
        <f t="shared" ca="1" si="426"/>
        <v/>
      </c>
      <c r="DU58" s="15" t="str">
        <f t="shared" ca="1" si="426"/>
        <v/>
      </c>
      <c r="DV58" s="15" t="str">
        <f t="shared" ca="1" si="426"/>
        <v/>
      </c>
    </row>
    <row r="59" spans="1:126">
      <c r="A59" s="15">
        <f t="shared" si="19"/>
        <v>47</v>
      </c>
      <c r="B59" s="15" t="str">
        <f t="shared" ca="1" si="453"/>
        <v>ok.</v>
      </c>
      <c r="C59" s="15" t="s">
        <v>117</v>
      </c>
      <c r="D59" s="15" t="str">
        <f t="shared" si="21"/>
        <v>Grupy NazwyDopelniacz</v>
      </c>
      <c r="F59" s="15" t="s">
        <v>195</v>
      </c>
      <c r="G59" s="15" t="s">
        <v>125</v>
      </c>
      <c r="J59" s="19" t="str">
        <f ca="1">CELL(_CELL_ADDRESS_NAME,grupy!$H$4)</f>
        <v>'[dane surowe2c.xlsm]grupy'!$H$4</v>
      </c>
      <c r="K59" s="15">
        <f ca="1">ster!$C$16</f>
        <v>0</v>
      </c>
      <c r="M59" s="19"/>
      <c r="T59" s="15" t="str">
        <f t="shared" ca="1" si="71"/>
        <v/>
      </c>
      <c r="U59" s="15">
        <f t="shared" ca="1" si="454"/>
        <v>0</v>
      </c>
      <c r="AD59" s="16" t="b">
        <f t="shared" si="427"/>
        <v>1</v>
      </c>
      <c r="AE59" s="16" t="b">
        <f t="shared" si="428"/>
        <v>0</v>
      </c>
      <c r="AF59" s="15" t="str">
        <f t="shared" si="68"/>
        <v/>
      </c>
      <c r="AG59" s="15" t="str">
        <f t="shared" ca="1" si="1"/>
        <v/>
      </c>
      <c r="AH59" s="15" t="str">
        <f t="shared" ca="1" si="2"/>
        <v/>
      </c>
      <c r="AI59" s="15" t="b">
        <f t="shared" ca="1" si="3"/>
        <v>0</v>
      </c>
      <c r="AJ59" s="15" t="str">
        <f t="shared" ca="1" si="24"/>
        <v/>
      </c>
      <c r="AK59" s="27" t="str">
        <f t="shared" ca="1" si="429"/>
        <v/>
      </c>
      <c r="AL59" s="15" t="b">
        <f t="shared" ca="1" si="4"/>
        <v>0</v>
      </c>
      <c r="AM59" s="15" t="str">
        <f t="shared" ca="1" si="430"/>
        <v/>
      </c>
      <c r="AN59" s="15">
        <f t="shared" ca="1" si="431"/>
        <v>3</v>
      </c>
      <c r="AO59" s="15" t="str">
        <f t="shared" ca="1" si="25"/>
        <v/>
      </c>
      <c r="AP59" s="15" t="str">
        <f t="shared" ca="1" si="432"/>
        <v/>
      </c>
      <c r="AQ59" s="27">
        <f t="shared" ca="1" si="433"/>
        <v>1</v>
      </c>
      <c r="AR59" s="15" t="b">
        <f t="shared" ca="1" si="434"/>
        <v>1</v>
      </c>
      <c r="AS59" s="27" t="b">
        <f t="shared" ca="1" si="435"/>
        <v>1</v>
      </c>
      <c r="AT59" s="27" t="b">
        <f t="shared" ca="1" si="436"/>
        <v>1</v>
      </c>
      <c r="AU59" s="27">
        <f t="shared" ca="1" si="437"/>
        <v>21</v>
      </c>
      <c r="AV59" s="16" t="e">
        <f t="shared" ca="1" si="438"/>
        <v>#REF!</v>
      </c>
      <c r="AW59" s="15" t="str">
        <f t="shared" ca="1" si="451"/>
        <v>'[dane surowe2c.xlsm]grupy'!$H$4</v>
      </c>
      <c r="AX59" s="27" t="b">
        <f t="shared" ca="1" si="439"/>
        <v>0</v>
      </c>
      <c r="AY59" s="27" t="b">
        <f t="shared" ca="1" si="440"/>
        <v>0</v>
      </c>
      <c r="AZ59" s="15">
        <f t="shared" ca="1" si="441"/>
        <v>1</v>
      </c>
      <c r="BA59" s="15">
        <f t="shared" ca="1" si="26"/>
        <v>0</v>
      </c>
      <c r="BB59" s="15" t="str">
        <f t="shared" ca="1" si="442"/>
        <v>'[dane surowe2c.xlsm]grupy'!$H$4</v>
      </c>
      <c r="BC59" s="15" t="str">
        <f t="shared" ca="1" si="27"/>
        <v/>
      </c>
      <c r="BD59" s="15" t="b">
        <f t="shared" ca="1" si="443"/>
        <v>0</v>
      </c>
      <c r="BE59" s="15" t="b">
        <f t="shared" ca="1" si="6"/>
        <v>0</v>
      </c>
      <c r="BF59" s="15" t="str">
        <f t="shared" ca="1" si="7"/>
        <v/>
      </c>
      <c r="BG59" s="15" t="str">
        <f t="shared" ca="1" si="8"/>
        <v/>
      </c>
      <c r="BH59" s="15" t="str">
        <f t="array" aca="1" ref="BH59" ca="1">IF(IFERROR( S59,1),1,IF(BC59="","", SUM(IF(ISERROR(INDIRECT(BC59)),1,0))))</f>
        <v/>
      </c>
      <c r="BI59" s="15" t="b">
        <f t="shared" si="444"/>
        <v>0</v>
      </c>
      <c r="BJ59" s="15" t="b">
        <f t="shared" si="445"/>
        <v>1</v>
      </c>
      <c r="BK59" s="15">
        <f t="shared" ca="1" si="9"/>
        <v>2</v>
      </c>
      <c r="BL59" s="15">
        <f t="shared" ca="1" si="10"/>
        <v>2</v>
      </c>
      <c r="BP59" s="15" t="b">
        <f t="shared" si="28"/>
        <v>1</v>
      </c>
      <c r="BQ59" s="15" t="b">
        <f t="shared" ca="1" si="29"/>
        <v>0</v>
      </c>
      <c r="BR59" s="15" t="str">
        <f t="shared" ca="1" si="11"/>
        <v/>
      </c>
      <c r="BS59" s="15">
        <f t="shared" ca="1" si="30"/>
        <v>0</v>
      </c>
      <c r="BT59" s="15" t="str">
        <f t="shared" ca="1" si="12"/>
        <v/>
      </c>
      <c r="BV59" s="15" t="b">
        <f t="shared" ca="1" si="31"/>
        <v>0</v>
      </c>
      <c r="BW59" s="15" t="b">
        <f t="shared" ca="1" si="32"/>
        <v>0</v>
      </c>
      <c r="BX59" s="15" t="b">
        <f t="shared" ca="1" si="33"/>
        <v>0</v>
      </c>
      <c r="BY59" s="15" t="b">
        <f t="shared" ca="1" si="13"/>
        <v>0</v>
      </c>
      <c r="BZ59" s="15" t="b">
        <f t="shared" ca="1" si="34"/>
        <v>0</v>
      </c>
      <c r="CA59" s="15" t="b">
        <f t="shared" ca="1" si="446"/>
        <v>0</v>
      </c>
      <c r="CB59" s="15" t="b">
        <f t="shared" ca="1" si="447"/>
        <v>0</v>
      </c>
      <c r="CC59" s="15" t="b">
        <f t="shared" ca="1" si="448"/>
        <v>0</v>
      </c>
      <c r="CD59" s="15" t="b">
        <f t="shared" ca="1" si="448"/>
        <v>0</v>
      </c>
      <c r="CE59" s="15" t="b">
        <f t="shared" ca="1" si="35"/>
        <v>0</v>
      </c>
      <c r="CF59" s="15" t="b">
        <f t="shared" ca="1" si="449"/>
        <v>0</v>
      </c>
      <c r="CG59" s="15" t="b">
        <f t="shared" ca="1" si="450"/>
        <v>0</v>
      </c>
      <c r="CH59" s="15" t="b">
        <f t="shared" ca="1" si="14"/>
        <v>0</v>
      </c>
      <c r="CI59" s="15" t="b">
        <f t="shared" si="36"/>
        <v>0</v>
      </c>
      <c r="CJ59" s="15" t="b">
        <f t="shared" si="37"/>
        <v>0</v>
      </c>
      <c r="CK59" s="15" t="b">
        <f t="shared" ca="1" si="455"/>
        <v>0</v>
      </c>
      <c r="CL59" s="15" t="b">
        <f t="shared" ca="1" si="455"/>
        <v>0</v>
      </c>
      <c r="CM59" s="15" t="b">
        <f t="shared" ca="1" si="455"/>
        <v>0</v>
      </c>
      <c r="CN59" s="15" t="b">
        <f t="shared" ca="1" si="455"/>
        <v>0</v>
      </c>
      <c r="CO59" s="15" t="b">
        <f t="shared" ca="1" si="455"/>
        <v>0</v>
      </c>
      <c r="CP59" s="15" t="b">
        <f t="shared" ca="1" si="455"/>
        <v>0</v>
      </c>
      <c r="CQ59" s="15" t="b">
        <f t="shared" ca="1" si="452"/>
        <v>0</v>
      </c>
      <c r="CR59" s="21" t="b">
        <f t="shared" ca="1" si="452"/>
        <v>0</v>
      </c>
      <c r="CS59" s="22" t="b">
        <f t="shared" ca="1" si="458"/>
        <v>0</v>
      </c>
      <c r="CT59" s="22" t="b">
        <f t="shared" ca="1" si="458"/>
        <v>0</v>
      </c>
      <c r="CU59" s="22" t="b">
        <f t="shared" ca="1" si="458"/>
        <v>0</v>
      </c>
      <c r="CV59" s="22" t="b">
        <f t="shared" ca="1" si="458"/>
        <v>0</v>
      </c>
      <c r="CW59" s="22" t="b">
        <f t="shared" ca="1" si="458"/>
        <v>0</v>
      </c>
      <c r="CX59" s="22" t="b">
        <f t="shared" ca="1" si="458"/>
        <v>0</v>
      </c>
      <c r="CY59" s="22" t="b">
        <f t="shared" ca="1" si="458"/>
        <v>0</v>
      </c>
      <c r="CZ59" s="21" t="b">
        <f t="shared" ca="1" si="458"/>
        <v>0</v>
      </c>
      <c r="DB59" s="22" t="b">
        <f t="shared" ca="1" si="38"/>
        <v>0</v>
      </c>
      <c r="DC59" s="22" t="b">
        <f t="shared" ca="1" si="457"/>
        <v>0</v>
      </c>
      <c r="DD59" s="22" t="b">
        <f t="shared" ca="1" si="457"/>
        <v>0</v>
      </c>
      <c r="DE59" s="22" t="b">
        <f t="shared" ca="1" si="457"/>
        <v>0</v>
      </c>
      <c r="DF59" s="22" t="b">
        <f t="shared" ca="1" si="457"/>
        <v>0</v>
      </c>
      <c r="DG59" s="22" t="b">
        <f t="shared" ca="1" si="457"/>
        <v>0</v>
      </c>
      <c r="DH59" s="22" t="b">
        <f t="shared" ca="1" si="457"/>
        <v>0</v>
      </c>
      <c r="DI59" s="22" t="b">
        <f t="shared" ca="1" si="457"/>
        <v>0</v>
      </c>
      <c r="DJ59" s="22" t="b">
        <f t="shared" ca="1" si="457"/>
        <v>0</v>
      </c>
      <c r="DK59" s="22"/>
      <c r="DO59" s="15" t="str">
        <f t="shared" ca="1" si="426"/>
        <v/>
      </c>
      <c r="DP59" s="15" t="str">
        <f t="shared" ca="1" si="426"/>
        <v/>
      </c>
      <c r="DQ59" s="15" t="str">
        <f t="shared" ca="1" si="426"/>
        <v/>
      </c>
      <c r="DR59" s="15" t="str">
        <f t="shared" ca="1" si="426"/>
        <v/>
      </c>
      <c r="DS59" s="15" t="str">
        <f t="shared" ca="1" si="426"/>
        <v/>
      </c>
      <c r="DT59" s="15" t="str">
        <f t="shared" ca="1" si="426"/>
        <v/>
      </c>
      <c r="DU59" s="15" t="str">
        <f t="shared" ca="1" si="426"/>
        <v/>
      </c>
      <c r="DV59" s="15" t="str">
        <f t="shared" ca="1" si="426"/>
        <v/>
      </c>
    </row>
    <row r="60" spans="1:126">
      <c r="A60" s="15">
        <f t="shared" si="19"/>
        <v>48</v>
      </c>
      <c r="B60" s="15" t="str">
        <f t="shared" ca="1" si="453"/>
        <v>ok.</v>
      </c>
      <c r="C60" s="15" t="s">
        <v>170</v>
      </c>
      <c r="D60" s="15" t="str">
        <f t="shared" si="21"/>
        <v>Grupy NazwySkroty</v>
      </c>
      <c r="F60" s="15" t="s">
        <v>196</v>
      </c>
      <c r="G60" s="15" t="s">
        <v>125</v>
      </c>
      <c r="J60" s="19" t="str">
        <f ca="1">CELL(_CELL_ADDRESS_NAME,grupy!$I$4)</f>
        <v>'[dane surowe2c.xlsm]grupy'!$I$4</v>
      </c>
      <c r="K60" s="15">
        <f ca="1">ster!$C$16</f>
        <v>0</v>
      </c>
      <c r="M60" s="19"/>
      <c r="T60" s="15" t="str">
        <f ca="1">BC60</f>
        <v/>
      </c>
      <c r="U60" s="15">
        <f t="shared" ca="1" si="454"/>
        <v>0</v>
      </c>
      <c r="AD60" s="16" t="b">
        <f t="shared" si="427"/>
        <v>1</v>
      </c>
      <c r="AE60" s="16" t="b">
        <f t="shared" si="428"/>
        <v>0</v>
      </c>
      <c r="AF60" s="15" t="str">
        <f t="shared" si="68"/>
        <v/>
      </c>
      <c r="AG60" s="15" t="str">
        <f t="shared" ca="1" si="1"/>
        <v/>
      </c>
      <c r="AH60" s="15" t="str">
        <f t="shared" ca="1" si="2"/>
        <v/>
      </c>
      <c r="AI60" s="15" t="b">
        <f t="shared" ca="1" si="3"/>
        <v>0</v>
      </c>
      <c r="AJ60" s="15" t="str">
        <f t="shared" ca="1" si="24"/>
        <v/>
      </c>
      <c r="AK60" s="27" t="str">
        <f t="shared" ca="1" si="429"/>
        <v/>
      </c>
      <c r="AL60" s="15" t="b">
        <f t="shared" ca="1" si="4"/>
        <v>0</v>
      </c>
      <c r="AM60" s="15" t="str">
        <f t="shared" ca="1" si="430"/>
        <v/>
      </c>
      <c r="AN60" s="15">
        <f t="shared" ca="1" si="431"/>
        <v>3</v>
      </c>
      <c r="AO60" s="15" t="str">
        <f t="shared" ca="1" si="25"/>
        <v/>
      </c>
      <c r="AP60" s="15" t="str">
        <f t="shared" ca="1" si="432"/>
        <v/>
      </c>
      <c r="AQ60" s="27">
        <f t="shared" ca="1" si="433"/>
        <v>1</v>
      </c>
      <c r="AR60" s="15" t="b">
        <f t="shared" ca="1" si="434"/>
        <v>1</v>
      </c>
      <c r="AS60" s="27" t="b">
        <f t="shared" ca="1" si="435"/>
        <v>1</v>
      </c>
      <c r="AT60" s="27" t="b">
        <f t="shared" ca="1" si="436"/>
        <v>1</v>
      </c>
      <c r="AU60" s="27">
        <f t="shared" ca="1" si="437"/>
        <v>21</v>
      </c>
      <c r="AV60" s="16" t="e">
        <f t="shared" ca="1" si="438"/>
        <v>#REF!</v>
      </c>
      <c r="AW60" s="15" t="str">
        <f t="shared" ca="1" si="451"/>
        <v>'[dane surowe2c.xlsm]grupy'!$I$4</v>
      </c>
      <c r="AX60" s="27" t="b">
        <f t="shared" ca="1" si="439"/>
        <v>0</v>
      </c>
      <c r="AY60" s="27" t="b">
        <f t="shared" ca="1" si="440"/>
        <v>0</v>
      </c>
      <c r="AZ60" s="15">
        <f t="shared" ca="1" si="441"/>
        <v>1</v>
      </c>
      <c r="BA60" s="15">
        <f t="shared" ca="1" si="26"/>
        <v>0</v>
      </c>
      <c r="BB60" s="15" t="str">
        <f t="shared" ca="1" si="442"/>
        <v>'[dane surowe2c.xlsm]grupy'!$I$4</v>
      </c>
      <c r="BC60" s="15" t="str">
        <f t="shared" ca="1" si="27"/>
        <v/>
      </c>
      <c r="BD60" s="15" t="b">
        <f t="shared" ca="1" si="443"/>
        <v>0</v>
      </c>
      <c r="BE60" s="15" t="b">
        <f t="shared" ca="1" si="6"/>
        <v>0</v>
      </c>
      <c r="BF60" s="15" t="str">
        <f t="shared" ca="1" si="7"/>
        <v/>
      </c>
      <c r="BG60" s="15" t="str">
        <f t="shared" ca="1" si="8"/>
        <v/>
      </c>
      <c r="BH60" s="15" t="str">
        <f t="array" aca="1" ref="BH60" ca="1">IF(IFERROR( S60,1),1,IF(BC60="","", SUM(IF(ISERROR(INDIRECT(BC60)),1,0))))</f>
        <v/>
      </c>
      <c r="BI60" s="15" t="b">
        <f t="shared" si="444"/>
        <v>0</v>
      </c>
      <c r="BJ60" s="15" t="b">
        <f t="shared" si="445"/>
        <v>1</v>
      </c>
      <c r="BK60" s="15">
        <f t="shared" ca="1" si="9"/>
        <v>2</v>
      </c>
      <c r="BL60" s="15">
        <f t="shared" ca="1" si="10"/>
        <v>2</v>
      </c>
      <c r="BP60" s="15" t="b">
        <f t="shared" si="28"/>
        <v>1</v>
      </c>
      <c r="BQ60" s="15" t="b">
        <f t="shared" ca="1" si="29"/>
        <v>0</v>
      </c>
      <c r="BR60" s="15" t="str">
        <f t="shared" ca="1" si="11"/>
        <v/>
      </c>
      <c r="BS60" s="15">
        <f t="shared" ca="1" si="30"/>
        <v>0</v>
      </c>
      <c r="BT60" s="15" t="str">
        <f t="shared" ca="1" si="12"/>
        <v/>
      </c>
      <c r="BV60" s="15" t="b">
        <f t="shared" ca="1" si="31"/>
        <v>0</v>
      </c>
      <c r="BW60" s="15" t="b">
        <f t="shared" ca="1" si="32"/>
        <v>0</v>
      </c>
      <c r="BX60" s="15" t="b">
        <f t="shared" ca="1" si="33"/>
        <v>0</v>
      </c>
      <c r="BY60" s="15" t="b">
        <f t="shared" ca="1" si="13"/>
        <v>0</v>
      </c>
      <c r="BZ60" s="15" t="b">
        <f t="shared" ca="1" si="34"/>
        <v>0</v>
      </c>
      <c r="CA60" s="15" t="b">
        <f t="shared" ca="1" si="446"/>
        <v>0</v>
      </c>
      <c r="CB60" s="15" t="b">
        <f t="shared" ca="1" si="447"/>
        <v>0</v>
      </c>
      <c r="CC60" s="15" t="b">
        <f t="shared" ca="1" si="448"/>
        <v>0</v>
      </c>
      <c r="CD60" s="15" t="b">
        <f t="shared" ca="1" si="448"/>
        <v>0</v>
      </c>
      <c r="CE60" s="15" t="b">
        <f t="shared" ca="1" si="35"/>
        <v>0</v>
      </c>
      <c r="CF60" s="15" t="b">
        <f t="shared" ca="1" si="449"/>
        <v>0</v>
      </c>
      <c r="CG60" s="15" t="b">
        <f t="shared" ca="1" si="450"/>
        <v>0</v>
      </c>
      <c r="CH60" s="15" t="b">
        <f t="shared" ca="1" si="14"/>
        <v>0</v>
      </c>
      <c r="CI60" s="15" t="b">
        <f t="shared" si="36"/>
        <v>0</v>
      </c>
      <c r="CJ60" s="15" t="b">
        <f t="shared" si="37"/>
        <v>0</v>
      </c>
      <c r="CK60" s="15" t="b">
        <f t="shared" ca="1" si="455"/>
        <v>0</v>
      </c>
      <c r="CL60" s="15" t="b">
        <f t="shared" ca="1" si="455"/>
        <v>0</v>
      </c>
      <c r="CM60" s="15" t="b">
        <f t="shared" ca="1" si="455"/>
        <v>0</v>
      </c>
      <c r="CN60" s="15" t="b">
        <f t="shared" ca="1" si="455"/>
        <v>0</v>
      </c>
      <c r="CO60" s="15" t="b">
        <f t="shared" ca="1" si="455"/>
        <v>0</v>
      </c>
      <c r="CP60" s="15" t="b">
        <f t="shared" ca="1" si="455"/>
        <v>0</v>
      </c>
      <c r="CQ60" s="15" t="b">
        <f t="shared" ca="1" si="452"/>
        <v>0</v>
      </c>
      <c r="CR60" s="21" t="b">
        <f t="shared" ca="1" si="452"/>
        <v>0</v>
      </c>
      <c r="CS60" s="22" t="b">
        <f t="shared" ca="1" si="458"/>
        <v>0</v>
      </c>
      <c r="CT60" s="22" t="b">
        <f t="shared" ca="1" si="458"/>
        <v>0</v>
      </c>
      <c r="CU60" s="22" t="b">
        <f t="shared" ca="1" si="458"/>
        <v>0</v>
      </c>
      <c r="CV60" s="22" t="b">
        <f t="shared" ca="1" si="458"/>
        <v>0</v>
      </c>
      <c r="CW60" s="22" t="b">
        <f t="shared" ca="1" si="458"/>
        <v>0</v>
      </c>
      <c r="CX60" s="22" t="b">
        <f t="shared" ca="1" si="458"/>
        <v>0</v>
      </c>
      <c r="CY60" s="22" t="b">
        <f t="shared" ca="1" si="458"/>
        <v>0</v>
      </c>
      <c r="CZ60" s="21" t="b">
        <f t="shared" ca="1" si="458"/>
        <v>0</v>
      </c>
      <c r="DB60" s="22" t="b">
        <f t="shared" ca="1" si="38"/>
        <v>0</v>
      </c>
      <c r="DC60" s="22" t="b">
        <f t="shared" ca="1" si="457"/>
        <v>0</v>
      </c>
      <c r="DD60" s="22" t="b">
        <f t="shared" ca="1" si="457"/>
        <v>0</v>
      </c>
      <c r="DE60" s="22" t="b">
        <f t="shared" ca="1" si="457"/>
        <v>0</v>
      </c>
      <c r="DF60" s="22" t="b">
        <f t="shared" ca="1" si="457"/>
        <v>0</v>
      </c>
      <c r="DG60" s="22" t="b">
        <f t="shared" ca="1" si="457"/>
        <v>0</v>
      </c>
      <c r="DH60" s="22" t="b">
        <f t="shared" ca="1" si="457"/>
        <v>0</v>
      </c>
      <c r="DI60" s="22" t="b">
        <f t="shared" ca="1" si="457"/>
        <v>0</v>
      </c>
      <c r="DJ60" s="22" t="b">
        <f t="shared" ca="1" si="457"/>
        <v>0</v>
      </c>
      <c r="DK60" s="22"/>
      <c r="DO60" s="15" t="str">
        <f t="shared" ca="1" si="426"/>
        <v/>
      </c>
      <c r="DP60" s="15" t="str">
        <f t="shared" ca="1" si="426"/>
        <v/>
      </c>
      <c r="DQ60" s="15" t="str">
        <f t="shared" ca="1" si="426"/>
        <v/>
      </c>
      <c r="DR60" s="15" t="str">
        <f t="shared" ca="1" si="426"/>
        <v/>
      </c>
      <c r="DS60" s="15" t="str">
        <f t="shared" ca="1" si="426"/>
        <v/>
      </c>
      <c r="DT60" s="15" t="str">
        <f t="shared" ca="1" si="426"/>
        <v/>
      </c>
      <c r="DU60" s="15" t="str">
        <f t="shared" ca="1" si="426"/>
        <v/>
      </c>
      <c r="DV60" s="15" t="str">
        <f t="shared" ca="1" si="426"/>
        <v/>
      </c>
    </row>
    <row r="61" spans="1:126">
      <c r="A61" s="15">
        <f t="shared" si="19"/>
        <v>49</v>
      </c>
      <c r="B61" s="15" t="str">
        <f ca="1">IF(AD61,IF(BS61&gt;0,BT61,IF(DA61,"Pole zależy od pól, które zależą od zamkniętego workbooka","ok.")),"")</f>
        <v>ok.</v>
      </c>
      <c r="C61" s="15" t="s">
        <v>234</v>
      </c>
      <c r="D61" s="15" t="str">
        <f t="shared" si="21"/>
        <v>Grupy NazwyRodzaj</v>
      </c>
      <c r="F61" s="15" t="s">
        <v>233</v>
      </c>
      <c r="G61" s="15" t="s">
        <v>125</v>
      </c>
      <c r="J61" s="19" t="str">
        <f ca="1">CELL(_CELL_ADDRESS_NAME,grupy!$J$4)</f>
        <v>'[dane surowe2c.xlsm]grupy'!$J$4</v>
      </c>
      <c r="K61" s="15">
        <f ca="1">ster!$C$16</f>
        <v>0</v>
      </c>
      <c r="M61" s="19"/>
      <c r="T61" s="15" t="str">
        <f ca="1">BC61</f>
        <v/>
      </c>
      <c r="U61" s="15">
        <f ca="1">IF(AD61,BS61,"")</f>
        <v>0</v>
      </c>
      <c r="AD61" s="16" t="b">
        <f t="shared" si="427"/>
        <v>1</v>
      </c>
      <c r="AE61" s="16" t="b">
        <f t="shared" si="428"/>
        <v>0</v>
      </c>
      <c r="AF61" s="15" t="str">
        <f t="shared" si="68"/>
        <v/>
      </c>
      <c r="AG61" s="15" t="str">
        <f t="shared" ca="1" si="1"/>
        <v/>
      </c>
      <c r="AH61" s="15" t="str">
        <f t="shared" ca="1" si="2"/>
        <v/>
      </c>
      <c r="AI61" s="15" t="b">
        <f t="shared" ca="1" si="3"/>
        <v>0</v>
      </c>
      <c r="AJ61" s="15" t="str">
        <f t="shared" ca="1" si="24"/>
        <v/>
      </c>
      <c r="AK61" s="27" t="str">
        <f t="shared" ca="1" si="429"/>
        <v/>
      </c>
      <c r="AL61" s="15" t="b">
        <f t="shared" ca="1" si="4"/>
        <v>0</v>
      </c>
      <c r="AM61" s="15" t="str">
        <f t="shared" ca="1" si="430"/>
        <v/>
      </c>
      <c r="AN61" s="15">
        <f t="shared" ca="1" si="431"/>
        <v>3</v>
      </c>
      <c r="AO61" s="15" t="str">
        <f t="shared" ca="1" si="25"/>
        <v/>
      </c>
      <c r="AP61" s="15" t="str">
        <f t="shared" ca="1" si="432"/>
        <v/>
      </c>
      <c r="AQ61" s="27">
        <f t="shared" ca="1" si="433"/>
        <v>1</v>
      </c>
      <c r="AR61" s="15" t="b">
        <f t="shared" ca="1" si="434"/>
        <v>1</v>
      </c>
      <c r="AS61" s="27" t="b">
        <f t="shared" ca="1" si="435"/>
        <v>1</v>
      </c>
      <c r="AT61" s="27" t="b">
        <f t="shared" ca="1" si="436"/>
        <v>1</v>
      </c>
      <c r="AU61" s="27">
        <f t="shared" ca="1" si="437"/>
        <v>21</v>
      </c>
      <c r="AV61" s="16" t="e">
        <f t="shared" ca="1" si="438"/>
        <v>#REF!</v>
      </c>
      <c r="AW61" s="15" t="str">
        <f t="shared" ca="1" si="451"/>
        <v>'[dane surowe2c.xlsm]grupy'!$J$4</v>
      </c>
      <c r="AX61" s="27" t="b">
        <f t="shared" ca="1" si="439"/>
        <v>0</v>
      </c>
      <c r="AY61" s="27" t="b">
        <f t="shared" ca="1" si="440"/>
        <v>0</v>
      </c>
      <c r="AZ61" s="15">
        <f t="shared" ca="1" si="441"/>
        <v>1</v>
      </c>
      <c r="BA61" s="15">
        <f t="shared" ca="1" si="26"/>
        <v>0</v>
      </c>
      <c r="BB61" s="15" t="str">
        <f t="shared" ca="1" si="442"/>
        <v>'[dane surowe2c.xlsm]grupy'!$J$4</v>
      </c>
      <c r="BC61" s="15" t="str">
        <f t="shared" ca="1" si="27"/>
        <v/>
      </c>
      <c r="BD61" s="15" t="b">
        <f t="shared" ca="1" si="443"/>
        <v>0</v>
      </c>
      <c r="BE61" s="15" t="b">
        <f t="shared" ca="1" si="6"/>
        <v>0</v>
      </c>
      <c r="BF61" s="15" t="str">
        <f t="shared" ca="1" si="7"/>
        <v/>
      </c>
      <c r="BG61" s="15" t="str">
        <f t="shared" ca="1" si="8"/>
        <v/>
      </c>
      <c r="BH61" s="15" t="str">
        <f t="array" aca="1" ref="BH61" ca="1">IF(IFERROR( S61,1),1,IF(BC61="","", SUM(IF(ISERROR(INDIRECT(BC61)),1,0))))</f>
        <v/>
      </c>
      <c r="BI61" s="15" t="b">
        <f t="shared" si="444"/>
        <v>0</v>
      </c>
      <c r="BJ61" s="15" t="b">
        <f t="shared" si="445"/>
        <v>1</v>
      </c>
      <c r="BK61" s="15">
        <f t="shared" ca="1" si="9"/>
        <v>2</v>
      </c>
      <c r="BL61" s="15">
        <f t="shared" ca="1" si="10"/>
        <v>2</v>
      </c>
      <c r="BP61" s="15" t="b">
        <f t="shared" si="28"/>
        <v>1</v>
      </c>
      <c r="BQ61" s="15" t="b">
        <f t="shared" ca="1" si="29"/>
        <v>0</v>
      </c>
      <c r="BR61" s="15" t="str">
        <f t="shared" ca="1" si="11"/>
        <v/>
      </c>
      <c r="BS61" s="15">
        <f t="shared" ca="1" si="30"/>
        <v>0</v>
      </c>
      <c r="BT61" s="15" t="str">
        <f t="shared" ca="1" si="12"/>
        <v/>
      </c>
      <c r="BV61" s="15" t="b">
        <f t="shared" ca="1" si="31"/>
        <v>0</v>
      </c>
      <c r="BW61" s="15" t="b">
        <f t="shared" ca="1" si="32"/>
        <v>0</v>
      </c>
      <c r="BX61" s="15" t="b">
        <f t="shared" ca="1" si="33"/>
        <v>0</v>
      </c>
      <c r="BY61" s="15" t="b">
        <f t="shared" ca="1" si="13"/>
        <v>0</v>
      </c>
      <c r="BZ61" s="15" t="b">
        <f t="shared" ca="1" si="34"/>
        <v>0</v>
      </c>
      <c r="CA61" s="15" t="b">
        <f t="shared" ca="1" si="446"/>
        <v>0</v>
      </c>
      <c r="CB61" s="15" t="b">
        <f t="shared" ca="1" si="447"/>
        <v>0</v>
      </c>
      <c r="CC61" s="15" t="b">
        <f t="shared" ca="1" si="448"/>
        <v>0</v>
      </c>
      <c r="CD61" s="15" t="b">
        <f t="shared" ca="1" si="448"/>
        <v>0</v>
      </c>
      <c r="CE61" s="15" t="b">
        <f t="shared" ca="1" si="35"/>
        <v>0</v>
      </c>
      <c r="CF61" s="15" t="b">
        <f t="shared" ca="1" si="449"/>
        <v>0</v>
      </c>
      <c r="CG61" s="15" t="b">
        <f t="shared" ca="1" si="450"/>
        <v>0</v>
      </c>
      <c r="CH61" s="15" t="b">
        <f t="shared" ca="1" si="14"/>
        <v>0</v>
      </c>
      <c r="CI61" s="15" t="b">
        <f t="shared" si="36"/>
        <v>0</v>
      </c>
      <c r="CJ61" s="15" t="b">
        <f t="shared" si="37"/>
        <v>0</v>
      </c>
      <c r="CK61" s="15" t="b">
        <f t="shared" ca="1" si="455"/>
        <v>0</v>
      </c>
      <c r="CL61" s="15" t="b">
        <f t="shared" ca="1" si="455"/>
        <v>0</v>
      </c>
      <c r="CM61" s="15" t="b">
        <f t="shared" ca="1" si="455"/>
        <v>0</v>
      </c>
      <c r="CN61" s="15" t="b">
        <f t="shared" ca="1" si="455"/>
        <v>0</v>
      </c>
      <c r="CO61" s="15" t="b">
        <f t="shared" ca="1" si="455"/>
        <v>0</v>
      </c>
      <c r="CP61" s="15" t="b">
        <f t="shared" ca="1" si="455"/>
        <v>0</v>
      </c>
      <c r="CQ61" s="15" t="b">
        <f t="shared" ca="1" si="452"/>
        <v>0</v>
      </c>
      <c r="CR61" s="21" t="b">
        <f t="shared" ca="1" si="452"/>
        <v>0</v>
      </c>
      <c r="CS61" s="22" t="b">
        <f t="shared" ca="1" si="458"/>
        <v>0</v>
      </c>
      <c r="CT61" s="22" t="b">
        <f t="shared" ca="1" si="458"/>
        <v>0</v>
      </c>
      <c r="CU61" s="22" t="b">
        <f t="shared" ca="1" si="458"/>
        <v>0</v>
      </c>
      <c r="CV61" s="22" t="b">
        <f t="shared" ca="1" si="458"/>
        <v>0</v>
      </c>
      <c r="CW61" s="22" t="b">
        <f t="shared" ca="1" si="458"/>
        <v>0</v>
      </c>
      <c r="CX61" s="22" t="b">
        <f t="shared" ca="1" si="458"/>
        <v>0</v>
      </c>
      <c r="CY61" s="22" t="b">
        <f t="shared" ca="1" si="458"/>
        <v>0</v>
      </c>
      <c r="CZ61" s="21" t="b">
        <f t="shared" ca="1" si="458"/>
        <v>0</v>
      </c>
      <c r="DB61" s="22" t="b">
        <f t="shared" ca="1" si="38"/>
        <v>0</v>
      </c>
      <c r="DC61" s="22" t="b">
        <f t="shared" ca="1" si="457"/>
        <v>0</v>
      </c>
      <c r="DD61" s="22" t="b">
        <f t="shared" ca="1" si="457"/>
        <v>0</v>
      </c>
      <c r="DE61" s="22" t="b">
        <f t="shared" ca="1" si="457"/>
        <v>0</v>
      </c>
      <c r="DF61" s="22" t="b">
        <f t="shared" ca="1" si="457"/>
        <v>0</v>
      </c>
      <c r="DG61" s="22" t="b">
        <f t="shared" ca="1" si="457"/>
        <v>0</v>
      </c>
      <c r="DH61" s="22" t="b">
        <f t="shared" ca="1" si="457"/>
        <v>0</v>
      </c>
      <c r="DI61" s="22" t="b">
        <f t="shared" ca="1" si="457"/>
        <v>0</v>
      </c>
      <c r="DJ61" s="22" t="b">
        <f t="shared" ca="1" si="457"/>
        <v>0</v>
      </c>
      <c r="DK61" s="22"/>
      <c r="DO61" s="15" t="str">
        <f t="shared" ca="1" si="426"/>
        <v/>
      </c>
      <c r="DP61" s="15" t="str">
        <f t="shared" ca="1" si="426"/>
        <v/>
      </c>
      <c r="DQ61" s="15" t="str">
        <f t="shared" ca="1" si="426"/>
        <v/>
      </c>
      <c r="DR61" s="15" t="str">
        <f t="shared" ca="1" si="426"/>
        <v/>
      </c>
      <c r="DS61" s="15" t="str">
        <f t="shared" ca="1" si="426"/>
        <v/>
      </c>
      <c r="DT61" s="15" t="str">
        <f t="shared" ca="1" si="426"/>
        <v/>
      </c>
      <c r="DU61" s="15" t="str">
        <f t="shared" ca="1" si="426"/>
        <v/>
      </c>
      <c r="DV61" s="15" t="str">
        <f t="shared" ca="1" si="426"/>
        <v/>
      </c>
    </row>
    <row r="62" spans="1:126">
      <c r="A62" s="15">
        <f t="shared" si="19"/>
        <v>50</v>
      </c>
      <c r="B62" s="15" t="str">
        <f t="shared" ref="B62:B82" ca="1" si="459">IF(AD62,IF(BS62&gt;0,BT62,IF(DA62,"Pole zależy od pól, które zależą od zamkniętego workbooka","ok.")),"")</f>
        <v>Pola, od którego zależy dane pole ma błąd</v>
      </c>
      <c r="C62" s="15" t="s">
        <v>118</v>
      </c>
      <c r="D62" s="15" t="str">
        <f t="shared" si="21"/>
        <v>Dane IleZmiennych</v>
      </c>
      <c r="E62" s="15" t="s">
        <v>189</v>
      </c>
      <c r="F62" s="15" t="s">
        <v>183</v>
      </c>
      <c r="G62" s="15" t="s">
        <v>91</v>
      </c>
      <c r="J62" s="19" t="str">
        <f ca="1">CELL(_CELL_ADDRESS_NAME,ster!$B$12)</f>
        <v>'[dane surowe2c.xlsm]ster'!$B$12</v>
      </c>
      <c r="M62" s="19"/>
      <c r="T62" s="15" t="str">
        <f t="shared" ref="T62:T68" ca="1" si="460">BC62</f>
        <v>'[dane surowe2c.xlsm]ster'!$B$12</v>
      </c>
      <c r="U62" s="15">
        <f t="shared" ref="U62:U78" ca="1" si="461">IF(AD62,BS62,"")</f>
        <v>25</v>
      </c>
      <c r="V62" s="15" t="s">
        <v>94</v>
      </c>
      <c r="AD62" s="16" t="b">
        <f t="shared" si="427"/>
        <v>1</v>
      </c>
      <c r="AE62" s="16" t="b">
        <f t="shared" si="428"/>
        <v>0</v>
      </c>
      <c r="AF62" s="15" t="str">
        <f t="shared" si="68"/>
        <v/>
      </c>
      <c r="AG62" s="15" t="str">
        <f t="shared" ca="1" si="1"/>
        <v/>
      </c>
      <c r="AH62" s="15" t="str">
        <f t="shared" ca="1" si="2"/>
        <v/>
      </c>
      <c r="AI62" s="15" t="b">
        <f t="shared" ca="1" si="3"/>
        <v>0</v>
      </c>
      <c r="AJ62" s="15" t="str">
        <f t="shared" ca="1" si="24"/>
        <v/>
      </c>
      <c r="AK62" s="27" t="str">
        <f t="shared" ca="1" si="429"/>
        <v/>
      </c>
      <c r="AL62" s="15" t="b">
        <f t="shared" ca="1" si="4"/>
        <v>0</v>
      </c>
      <c r="AM62" s="15" t="str">
        <f t="shared" ca="1" si="430"/>
        <v/>
      </c>
      <c r="AN62" s="15">
        <f t="shared" ca="1" si="431"/>
        <v>3</v>
      </c>
      <c r="AO62" s="15" t="str">
        <f t="shared" ca="1" si="25"/>
        <v/>
      </c>
      <c r="AP62" s="15" t="str">
        <f t="shared" ca="1" si="432"/>
        <v/>
      </c>
      <c r="AQ62" s="27">
        <f t="shared" ca="1" si="433"/>
        <v>1</v>
      </c>
      <c r="AR62" s="15" t="b">
        <f t="shared" ca="1" si="434"/>
        <v>1</v>
      </c>
      <c r="AS62" s="27" t="b">
        <f t="shared" ca="1" si="435"/>
        <v>1</v>
      </c>
      <c r="AT62" s="27" t="b">
        <f t="shared" ca="1" si="436"/>
        <v>1</v>
      </c>
      <c r="AU62" s="27">
        <f t="shared" ca="1" si="437"/>
        <v>21</v>
      </c>
      <c r="AV62" s="16" t="e">
        <f t="shared" ca="1" si="438"/>
        <v>#REF!</v>
      </c>
      <c r="AW62" s="15" t="str">
        <f t="shared" ca="1" si="451"/>
        <v>'[dane surowe2c.xlsm]ster'!$B$12</v>
      </c>
      <c r="AX62" s="27" t="b">
        <f t="shared" ca="1" si="439"/>
        <v>0</v>
      </c>
      <c r="AY62" s="27" t="b">
        <f t="shared" ca="1" si="440"/>
        <v>0</v>
      </c>
      <c r="AZ62" s="15">
        <f t="shared" ca="1" si="441"/>
        <v>1</v>
      </c>
      <c r="BA62" s="15">
        <f t="shared" ca="1" si="26"/>
        <v>1</v>
      </c>
      <c r="BB62" s="15" t="str">
        <f t="shared" ca="1" si="442"/>
        <v>'[dane surowe2c.xlsm]ster'!$B$12</v>
      </c>
      <c r="BC62" s="15" t="str">
        <f t="shared" ca="1" si="27"/>
        <v>'[dane surowe2c.xlsm]ster'!$B$12</v>
      </c>
      <c r="BD62" s="15" t="b">
        <f t="shared" ca="1" si="443"/>
        <v>0</v>
      </c>
      <c r="BE62" s="15" t="b">
        <f t="shared" ca="1" si="6"/>
        <v>1</v>
      </c>
      <c r="BF62" s="15">
        <f t="shared" ca="1" si="7"/>
        <v>1</v>
      </c>
      <c r="BG62" s="15">
        <f t="shared" ca="1" si="8"/>
        <v>1</v>
      </c>
      <c r="BH62" s="15">
        <f t="array" aca="1" ref="BH62" ca="1">IF(IFERROR( S62,1),1,IF(BC62="","", SUM(IF(ISERROR(INDIRECT(BC62)),1,0))))</f>
        <v>0</v>
      </c>
      <c r="BI62" s="15" t="b">
        <f t="shared" si="444"/>
        <v>1</v>
      </c>
      <c r="BJ62" s="15" t="b">
        <f t="shared" si="445"/>
        <v>0</v>
      </c>
      <c r="BK62" s="15">
        <f t="shared" ca="1" si="9"/>
        <v>1</v>
      </c>
      <c r="BL62" s="15">
        <f t="shared" ca="1" si="10"/>
        <v>1</v>
      </c>
      <c r="BP62" s="15" t="b">
        <f t="shared" si="28"/>
        <v>1</v>
      </c>
      <c r="BQ62" s="15" t="b">
        <f t="shared" ca="1" si="29"/>
        <v>1</v>
      </c>
      <c r="BR62" s="15">
        <f t="shared" ca="1" si="11"/>
        <v>25</v>
      </c>
      <c r="BS62" s="15">
        <f t="shared" ca="1" si="30"/>
        <v>25</v>
      </c>
      <c r="BT62" s="15" t="str">
        <f t="shared" ca="1" si="12"/>
        <v>Pola, od którego zależy dane pole ma błąd</v>
      </c>
      <c r="BV62" s="15" t="b">
        <f t="shared" ca="1" si="31"/>
        <v>0</v>
      </c>
      <c r="BW62" s="15" t="b">
        <f t="shared" ca="1" si="32"/>
        <v>0</v>
      </c>
      <c r="BX62" s="15" t="b">
        <f t="shared" ca="1" si="33"/>
        <v>0</v>
      </c>
      <c r="BY62" s="15" t="b">
        <f t="shared" ca="1" si="13"/>
        <v>0</v>
      </c>
      <c r="BZ62" s="15" t="b">
        <f t="shared" ca="1" si="34"/>
        <v>0</v>
      </c>
      <c r="CA62" s="15" t="b">
        <f t="shared" ca="1" si="446"/>
        <v>0</v>
      </c>
      <c r="CB62" s="15" t="b">
        <f t="shared" ca="1" si="447"/>
        <v>0</v>
      </c>
      <c r="CC62" s="15" t="b">
        <f t="shared" ca="1" si="448"/>
        <v>0</v>
      </c>
      <c r="CD62" s="15" t="b">
        <f t="shared" ca="1" si="448"/>
        <v>0</v>
      </c>
      <c r="CE62" s="15" t="b">
        <f t="shared" ca="1" si="35"/>
        <v>0</v>
      </c>
      <c r="CF62" s="15" t="b">
        <f t="shared" ca="1" si="449"/>
        <v>0</v>
      </c>
      <c r="CG62" s="15" t="b">
        <f t="shared" ca="1" si="450"/>
        <v>0</v>
      </c>
      <c r="CH62" s="15" t="b">
        <f t="shared" ca="1" si="14"/>
        <v>0</v>
      </c>
      <c r="CI62" s="15" t="b">
        <f t="shared" si="36"/>
        <v>0</v>
      </c>
      <c r="CJ62" s="15" t="b">
        <f t="shared" si="37"/>
        <v>0</v>
      </c>
      <c r="CK62" s="15" t="b">
        <f t="shared" ca="1" si="455"/>
        <v>0</v>
      </c>
      <c r="CL62" s="15" t="b">
        <f t="shared" ca="1" si="455"/>
        <v>0</v>
      </c>
      <c r="CM62" s="15" t="b">
        <f t="shared" ca="1" si="455"/>
        <v>0</v>
      </c>
      <c r="CN62" s="15" t="b">
        <f t="shared" ca="1" si="455"/>
        <v>0</v>
      </c>
      <c r="CO62" s="15" t="b">
        <f t="shared" ca="1" si="455"/>
        <v>0</v>
      </c>
      <c r="CP62" s="15" t="b">
        <f t="shared" ca="1" si="455"/>
        <v>0</v>
      </c>
      <c r="CQ62" s="15" t="b">
        <f t="shared" ca="1" si="452"/>
        <v>0</v>
      </c>
      <c r="CR62" s="21" t="b">
        <f t="shared" ca="1" si="452"/>
        <v>0</v>
      </c>
      <c r="CS62" s="22" t="b">
        <f t="shared" ca="1" si="458"/>
        <v>1</v>
      </c>
      <c r="CT62" s="22" t="b">
        <f t="shared" ca="1" si="458"/>
        <v>0</v>
      </c>
      <c r="CU62" s="22" t="b">
        <f t="shared" ca="1" si="458"/>
        <v>0</v>
      </c>
      <c r="CV62" s="22" t="b">
        <f t="shared" ca="1" si="458"/>
        <v>0</v>
      </c>
      <c r="CW62" s="22" t="b">
        <f t="shared" ca="1" si="458"/>
        <v>0</v>
      </c>
      <c r="CX62" s="22" t="b">
        <f t="shared" ca="1" si="458"/>
        <v>0</v>
      </c>
      <c r="CY62" s="22" t="b">
        <f t="shared" ca="1" si="458"/>
        <v>0</v>
      </c>
      <c r="CZ62" s="21" t="b">
        <f t="shared" ca="1" si="458"/>
        <v>0</v>
      </c>
      <c r="DB62" s="22" t="b">
        <f t="shared" ca="1" si="38"/>
        <v>0</v>
      </c>
      <c r="DC62" s="22" t="b">
        <f t="shared" ca="1" si="457"/>
        <v>0</v>
      </c>
      <c r="DD62" s="22" t="b">
        <f t="shared" ca="1" si="457"/>
        <v>0</v>
      </c>
      <c r="DE62" s="22" t="b">
        <f t="shared" ca="1" si="457"/>
        <v>0</v>
      </c>
      <c r="DF62" s="22" t="b">
        <f t="shared" ca="1" si="457"/>
        <v>0</v>
      </c>
      <c r="DG62" s="22" t="b">
        <f t="shared" ca="1" si="457"/>
        <v>0</v>
      </c>
      <c r="DH62" s="22" t="b">
        <f t="shared" ca="1" si="457"/>
        <v>0</v>
      </c>
      <c r="DI62" s="22" t="b">
        <f t="shared" ca="1" si="457"/>
        <v>0</v>
      </c>
      <c r="DJ62" s="22" t="b">
        <f t="shared" ca="1" si="457"/>
        <v>0</v>
      </c>
      <c r="DK62" s="22"/>
      <c r="DO62" s="15">
        <f t="shared" ca="1" si="426"/>
        <v>100</v>
      </c>
      <c r="DP62" s="15" t="str">
        <f t="shared" ca="1" si="426"/>
        <v/>
      </c>
      <c r="DQ62" s="15" t="str">
        <f t="shared" ca="1" si="426"/>
        <v/>
      </c>
      <c r="DR62" s="15" t="str">
        <f t="shared" ca="1" si="426"/>
        <v/>
      </c>
      <c r="DS62" s="15" t="str">
        <f t="shared" ca="1" si="426"/>
        <v/>
      </c>
      <c r="DT62" s="15" t="str">
        <f t="shared" ca="1" si="426"/>
        <v/>
      </c>
      <c r="DU62" s="15" t="str">
        <f t="shared" ca="1" si="426"/>
        <v/>
      </c>
      <c r="DV62" s="15" t="str">
        <f t="shared" ca="1" si="426"/>
        <v/>
      </c>
    </row>
    <row r="63" spans="1:126">
      <c r="A63" s="15">
        <f t="shared" si="19"/>
        <v>51</v>
      </c>
      <c r="B63" s="15" t="str">
        <f t="shared" ca="1" si="459"/>
        <v>Pola, od którego zależy dane pole ma błąd</v>
      </c>
      <c r="C63" s="15" t="s">
        <v>119</v>
      </c>
      <c r="D63" s="15" t="str">
        <f t="shared" si="21"/>
        <v>Dane MaxNrZmiennej</v>
      </c>
      <c r="E63" s="15" t="s">
        <v>190</v>
      </c>
      <c r="F63" s="15" t="s">
        <v>184</v>
      </c>
      <c r="G63" s="15" t="s">
        <v>91</v>
      </c>
      <c r="J63" s="19" t="str">
        <f ca="1">CELL(_CELL_ADDRESS_NAME,ster!$C$12)</f>
        <v>'[dane surowe2c.xlsm]ster'!$C$12</v>
      </c>
      <c r="M63" s="19"/>
      <c r="T63" s="15" t="str">
        <f t="shared" ca="1" si="460"/>
        <v>'[dane surowe2c.xlsm]ster'!$C$12</v>
      </c>
      <c r="U63" s="15">
        <f t="shared" ca="1" si="461"/>
        <v>25</v>
      </c>
      <c r="V63" s="15" t="s">
        <v>94</v>
      </c>
      <c r="AD63" s="16" t="b">
        <f t="shared" si="427"/>
        <v>1</v>
      </c>
      <c r="AE63" s="16" t="b">
        <f t="shared" si="428"/>
        <v>0</v>
      </c>
      <c r="AF63" s="15" t="str">
        <f t="shared" si="68"/>
        <v/>
      </c>
      <c r="AG63" s="15" t="str">
        <f t="shared" ca="1" si="1"/>
        <v/>
      </c>
      <c r="AH63" s="15" t="str">
        <f t="shared" ca="1" si="2"/>
        <v/>
      </c>
      <c r="AI63" s="15" t="b">
        <f t="shared" ca="1" si="3"/>
        <v>0</v>
      </c>
      <c r="AJ63" s="15" t="str">
        <f t="shared" ca="1" si="24"/>
        <v/>
      </c>
      <c r="AK63" s="27" t="str">
        <f t="shared" ca="1" si="429"/>
        <v/>
      </c>
      <c r="AL63" s="15" t="b">
        <f t="shared" ca="1" si="4"/>
        <v>0</v>
      </c>
      <c r="AM63" s="15" t="str">
        <f t="shared" ca="1" si="430"/>
        <v/>
      </c>
      <c r="AN63" s="15">
        <f t="shared" ca="1" si="431"/>
        <v>3</v>
      </c>
      <c r="AO63" s="15" t="str">
        <f t="shared" ca="1" si="25"/>
        <v/>
      </c>
      <c r="AP63" s="15" t="str">
        <f t="shared" ca="1" si="432"/>
        <v/>
      </c>
      <c r="AQ63" s="27">
        <f t="shared" ca="1" si="433"/>
        <v>1</v>
      </c>
      <c r="AR63" s="15" t="b">
        <f t="shared" ca="1" si="434"/>
        <v>1</v>
      </c>
      <c r="AS63" s="27" t="b">
        <f t="shared" ca="1" si="435"/>
        <v>1</v>
      </c>
      <c r="AT63" s="27" t="b">
        <f t="shared" ca="1" si="436"/>
        <v>1</v>
      </c>
      <c r="AU63" s="27">
        <f t="shared" ca="1" si="437"/>
        <v>21</v>
      </c>
      <c r="AV63" s="16" t="e">
        <f t="shared" ca="1" si="438"/>
        <v>#REF!</v>
      </c>
      <c r="AW63" s="15" t="str">
        <f t="shared" ca="1" si="451"/>
        <v>'[dane surowe2c.xlsm]ster'!$C$12</v>
      </c>
      <c r="AX63" s="27" t="b">
        <f t="shared" ca="1" si="439"/>
        <v>0</v>
      </c>
      <c r="AY63" s="27" t="b">
        <f t="shared" ca="1" si="440"/>
        <v>0</v>
      </c>
      <c r="AZ63" s="15">
        <f t="shared" ca="1" si="441"/>
        <v>1</v>
      </c>
      <c r="BA63" s="15">
        <f t="shared" ca="1" si="26"/>
        <v>1</v>
      </c>
      <c r="BB63" s="15" t="str">
        <f t="shared" ca="1" si="442"/>
        <v>'[dane surowe2c.xlsm]ster'!$C$12</v>
      </c>
      <c r="BC63" s="15" t="str">
        <f t="shared" ca="1" si="27"/>
        <v>'[dane surowe2c.xlsm]ster'!$C$12</v>
      </c>
      <c r="BD63" s="15" t="b">
        <f t="shared" ca="1" si="443"/>
        <v>0</v>
      </c>
      <c r="BE63" s="15" t="b">
        <f t="shared" ca="1" si="6"/>
        <v>1</v>
      </c>
      <c r="BF63" s="15">
        <f t="shared" ca="1" si="7"/>
        <v>1</v>
      </c>
      <c r="BG63" s="15">
        <f t="shared" ca="1" si="8"/>
        <v>1</v>
      </c>
      <c r="BH63" s="15">
        <f t="array" aca="1" ref="BH63" ca="1">IF(IFERROR( S63,1),1,IF(BC63="","", SUM(IF(ISERROR(INDIRECT(BC63)),1,0))))</f>
        <v>0</v>
      </c>
      <c r="BI63" s="15" t="b">
        <f t="shared" si="444"/>
        <v>1</v>
      </c>
      <c r="BJ63" s="15" t="b">
        <f t="shared" si="445"/>
        <v>0</v>
      </c>
      <c r="BK63" s="15">
        <f t="shared" ca="1" si="9"/>
        <v>1</v>
      </c>
      <c r="BL63" s="15">
        <f t="shared" ca="1" si="10"/>
        <v>1</v>
      </c>
      <c r="BP63" s="15" t="b">
        <f t="shared" si="28"/>
        <v>1</v>
      </c>
      <c r="BQ63" s="15" t="b">
        <f t="shared" ca="1" si="29"/>
        <v>1</v>
      </c>
      <c r="BR63" s="15">
        <f t="shared" ca="1" si="11"/>
        <v>25</v>
      </c>
      <c r="BS63" s="15">
        <f t="shared" ca="1" si="30"/>
        <v>25</v>
      </c>
      <c r="BT63" s="15" t="str">
        <f t="shared" ca="1" si="12"/>
        <v>Pola, od którego zależy dane pole ma błąd</v>
      </c>
      <c r="BV63" s="15" t="b">
        <f t="shared" ca="1" si="31"/>
        <v>0</v>
      </c>
      <c r="BW63" s="15" t="b">
        <f t="shared" ca="1" si="32"/>
        <v>0</v>
      </c>
      <c r="BX63" s="15" t="b">
        <f t="shared" ca="1" si="33"/>
        <v>0</v>
      </c>
      <c r="BY63" s="15" t="b">
        <f t="shared" ca="1" si="13"/>
        <v>0</v>
      </c>
      <c r="BZ63" s="15" t="b">
        <f t="shared" ca="1" si="34"/>
        <v>0</v>
      </c>
      <c r="CA63" s="15" t="b">
        <f t="shared" ca="1" si="446"/>
        <v>0</v>
      </c>
      <c r="CB63" s="15" t="b">
        <f t="shared" ca="1" si="447"/>
        <v>0</v>
      </c>
      <c r="CC63" s="15" t="b">
        <f t="shared" ca="1" si="448"/>
        <v>0</v>
      </c>
      <c r="CD63" s="15" t="b">
        <f t="shared" ca="1" si="448"/>
        <v>0</v>
      </c>
      <c r="CE63" s="15" t="b">
        <f t="shared" ca="1" si="35"/>
        <v>0</v>
      </c>
      <c r="CF63" s="15" t="b">
        <f t="shared" ca="1" si="449"/>
        <v>0</v>
      </c>
      <c r="CG63" s="15" t="b">
        <f t="shared" ca="1" si="450"/>
        <v>0</v>
      </c>
      <c r="CH63" s="15" t="b">
        <f t="shared" ca="1" si="14"/>
        <v>0</v>
      </c>
      <c r="CI63" s="15" t="b">
        <f t="shared" si="36"/>
        <v>0</v>
      </c>
      <c r="CJ63" s="15" t="b">
        <f t="shared" si="37"/>
        <v>0</v>
      </c>
      <c r="CK63" s="15" t="b">
        <f t="shared" ca="1" si="455"/>
        <v>0</v>
      </c>
      <c r="CL63" s="15" t="b">
        <f t="shared" ca="1" si="455"/>
        <v>0</v>
      </c>
      <c r="CM63" s="15" t="b">
        <f t="shared" ca="1" si="455"/>
        <v>0</v>
      </c>
      <c r="CN63" s="15" t="b">
        <f t="shared" ca="1" si="455"/>
        <v>0</v>
      </c>
      <c r="CO63" s="15" t="b">
        <f t="shared" ca="1" si="455"/>
        <v>0</v>
      </c>
      <c r="CP63" s="15" t="b">
        <f t="shared" ca="1" si="455"/>
        <v>0</v>
      </c>
      <c r="CQ63" s="15" t="b">
        <f t="shared" ca="1" si="452"/>
        <v>0</v>
      </c>
      <c r="CR63" s="21" t="b">
        <f t="shared" ca="1" si="452"/>
        <v>0</v>
      </c>
      <c r="CS63" s="22" t="b">
        <f t="shared" ca="1" si="458"/>
        <v>1</v>
      </c>
      <c r="CT63" s="22" t="b">
        <f t="shared" ca="1" si="458"/>
        <v>0</v>
      </c>
      <c r="CU63" s="22" t="b">
        <f t="shared" ca="1" si="458"/>
        <v>0</v>
      </c>
      <c r="CV63" s="22" t="b">
        <f t="shared" ca="1" si="458"/>
        <v>0</v>
      </c>
      <c r="CW63" s="22" t="b">
        <f t="shared" ca="1" si="458"/>
        <v>0</v>
      </c>
      <c r="CX63" s="22" t="b">
        <f t="shared" ca="1" si="458"/>
        <v>0</v>
      </c>
      <c r="CY63" s="22" t="b">
        <f t="shared" ca="1" si="458"/>
        <v>0</v>
      </c>
      <c r="CZ63" s="21" t="b">
        <f t="shared" ca="1" si="458"/>
        <v>0</v>
      </c>
      <c r="DB63" s="22" t="b">
        <f t="shared" ca="1" si="38"/>
        <v>0</v>
      </c>
      <c r="DC63" s="22" t="b">
        <f t="shared" ca="1" si="457"/>
        <v>0</v>
      </c>
      <c r="DD63" s="22" t="b">
        <f t="shared" ca="1" si="457"/>
        <v>0</v>
      </c>
      <c r="DE63" s="22" t="b">
        <f t="shared" ca="1" si="457"/>
        <v>0</v>
      </c>
      <c r="DF63" s="22" t="b">
        <f t="shared" ca="1" si="457"/>
        <v>0</v>
      </c>
      <c r="DG63" s="22" t="b">
        <f t="shared" ca="1" si="457"/>
        <v>0</v>
      </c>
      <c r="DH63" s="22" t="b">
        <f t="shared" ca="1" si="457"/>
        <v>0</v>
      </c>
      <c r="DI63" s="22" t="b">
        <f t="shared" ca="1" si="457"/>
        <v>0</v>
      </c>
      <c r="DJ63" s="22" t="b">
        <f t="shared" ca="1" si="457"/>
        <v>0</v>
      </c>
      <c r="DK63" s="22"/>
      <c r="DO63" s="15">
        <f t="shared" ca="1" si="426"/>
        <v>100</v>
      </c>
      <c r="DP63" s="15" t="str">
        <f t="shared" ca="1" si="426"/>
        <v/>
      </c>
      <c r="DQ63" s="15" t="str">
        <f t="shared" ca="1" si="426"/>
        <v/>
      </c>
      <c r="DR63" s="15" t="str">
        <f t="shared" ca="1" si="426"/>
        <v/>
      </c>
      <c r="DS63" s="15" t="str">
        <f t="shared" ca="1" si="426"/>
        <v/>
      </c>
      <c r="DT63" s="15" t="str">
        <f t="shared" ca="1" si="426"/>
        <v/>
      </c>
      <c r="DU63" s="15" t="str">
        <f t="shared" ca="1" si="426"/>
        <v/>
      </c>
      <c r="DV63" s="15" t="str">
        <f t="shared" ca="1" si="426"/>
        <v/>
      </c>
    </row>
    <row r="64" spans="1:126">
      <c r="A64" s="15">
        <f t="shared" si="19"/>
        <v>52</v>
      </c>
      <c r="B64" s="15" t="str">
        <f t="shared" ca="1" si="459"/>
        <v>Pola, od którego zależy dane pole ma błąd</v>
      </c>
      <c r="C64" s="15" t="s">
        <v>120</v>
      </c>
      <c r="D64" s="15" t="str">
        <f t="shared" si="21"/>
        <v>Dane LiczbaRespondentowBezFiltra</v>
      </c>
      <c r="F64" s="15" t="s">
        <v>185</v>
      </c>
      <c r="G64" s="15" t="s">
        <v>91</v>
      </c>
      <c r="J64" s="19" t="str">
        <f ca="1">CELL(_CELL_ADDRESS_NAME,ster!$B$14)</f>
        <v>'[dane surowe2c.xlsm]ster'!$B$14</v>
      </c>
      <c r="M64" s="19"/>
      <c r="T64" s="15" t="str">
        <f t="shared" ca="1" si="460"/>
        <v>'[dane surowe2c.xlsm]ster'!$B$14</v>
      </c>
      <c r="U64" s="15">
        <f t="shared" ca="1" si="461"/>
        <v>25</v>
      </c>
      <c r="V64" s="15" t="s">
        <v>94</v>
      </c>
      <c r="AD64" s="16" t="b">
        <f t="shared" si="427"/>
        <v>1</v>
      </c>
      <c r="AE64" s="16" t="b">
        <f t="shared" si="428"/>
        <v>0</v>
      </c>
      <c r="AF64" s="15" t="str">
        <f t="shared" si="68"/>
        <v/>
      </c>
      <c r="AG64" s="15" t="str">
        <f t="shared" ca="1" si="1"/>
        <v/>
      </c>
      <c r="AH64" s="15" t="str">
        <f t="shared" ca="1" si="2"/>
        <v/>
      </c>
      <c r="AI64" s="15" t="b">
        <f t="shared" ca="1" si="3"/>
        <v>0</v>
      </c>
      <c r="AJ64" s="15" t="str">
        <f t="shared" ca="1" si="24"/>
        <v/>
      </c>
      <c r="AK64" s="27" t="str">
        <f t="shared" ca="1" si="429"/>
        <v/>
      </c>
      <c r="AL64" s="15" t="b">
        <f t="shared" ca="1" si="4"/>
        <v>0</v>
      </c>
      <c r="AM64" s="15" t="str">
        <f t="shared" ca="1" si="430"/>
        <v/>
      </c>
      <c r="AN64" s="15">
        <f t="shared" ca="1" si="431"/>
        <v>3</v>
      </c>
      <c r="AO64" s="15" t="str">
        <f t="shared" ca="1" si="25"/>
        <v/>
      </c>
      <c r="AP64" s="15" t="str">
        <f t="shared" ca="1" si="432"/>
        <v/>
      </c>
      <c r="AQ64" s="27">
        <f t="shared" ca="1" si="433"/>
        <v>1</v>
      </c>
      <c r="AR64" s="15" t="b">
        <f t="shared" ca="1" si="434"/>
        <v>1</v>
      </c>
      <c r="AS64" s="27" t="b">
        <f t="shared" ca="1" si="435"/>
        <v>1</v>
      </c>
      <c r="AT64" s="27" t="b">
        <f t="shared" ca="1" si="436"/>
        <v>1</v>
      </c>
      <c r="AU64" s="27">
        <f t="shared" ca="1" si="437"/>
        <v>21</v>
      </c>
      <c r="AV64" s="16" t="e">
        <f t="shared" ca="1" si="438"/>
        <v>#REF!</v>
      </c>
      <c r="AW64" s="15" t="str">
        <f t="shared" ca="1" si="451"/>
        <v>'[dane surowe2c.xlsm]ster'!$B$14</v>
      </c>
      <c r="AX64" s="27" t="b">
        <f t="shared" ca="1" si="439"/>
        <v>0</v>
      </c>
      <c r="AY64" s="27" t="b">
        <f t="shared" ca="1" si="440"/>
        <v>0</v>
      </c>
      <c r="AZ64" s="15">
        <f t="shared" ca="1" si="441"/>
        <v>1</v>
      </c>
      <c r="BA64" s="15">
        <f t="shared" ca="1" si="26"/>
        <v>1</v>
      </c>
      <c r="BB64" s="15" t="str">
        <f t="shared" ca="1" si="442"/>
        <v>'[dane surowe2c.xlsm]ster'!$B$14</v>
      </c>
      <c r="BC64" s="15" t="str">
        <f t="shared" ca="1" si="27"/>
        <v>'[dane surowe2c.xlsm]ster'!$B$14</v>
      </c>
      <c r="BD64" s="15" t="b">
        <f t="shared" ca="1" si="443"/>
        <v>0</v>
      </c>
      <c r="BE64" s="15" t="b">
        <f t="shared" ca="1" si="6"/>
        <v>1</v>
      </c>
      <c r="BF64" s="15">
        <f t="shared" ca="1" si="7"/>
        <v>1</v>
      </c>
      <c r="BG64" s="15">
        <f t="shared" ca="1" si="8"/>
        <v>1</v>
      </c>
      <c r="BH64" s="15">
        <f t="array" aca="1" ref="BH64" ca="1">IF(IFERROR( S64,1),1,IF(BC64="","", SUM(IF(ISERROR(INDIRECT(BC64)),1,0))))</f>
        <v>0</v>
      </c>
      <c r="BI64" s="15" t="b">
        <f t="shared" si="444"/>
        <v>1</v>
      </c>
      <c r="BJ64" s="15" t="b">
        <f t="shared" si="445"/>
        <v>0</v>
      </c>
      <c r="BK64" s="15">
        <f t="shared" ca="1" si="9"/>
        <v>1</v>
      </c>
      <c r="BL64" s="15">
        <f t="shared" ca="1" si="10"/>
        <v>1</v>
      </c>
      <c r="BP64" s="15" t="b">
        <f t="shared" si="28"/>
        <v>1</v>
      </c>
      <c r="BQ64" s="15" t="b">
        <f t="shared" ca="1" si="29"/>
        <v>1</v>
      </c>
      <c r="BR64" s="15">
        <f t="shared" ca="1" si="11"/>
        <v>25</v>
      </c>
      <c r="BS64" s="15">
        <f t="shared" ca="1" si="30"/>
        <v>25</v>
      </c>
      <c r="BT64" s="15" t="str">
        <f t="shared" ca="1" si="12"/>
        <v>Pola, od którego zależy dane pole ma błąd</v>
      </c>
      <c r="BV64" s="15" t="b">
        <f t="shared" ca="1" si="31"/>
        <v>0</v>
      </c>
      <c r="BW64" s="15" t="b">
        <f t="shared" ca="1" si="32"/>
        <v>0</v>
      </c>
      <c r="BX64" s="15" t="b">
        <f t="shared" ca="1" si="33"/>
        <v>0</v>
      </c>
      <c r="BY64" s="15" t="b">
        <f t="shared" ca="1" si="13"/>
        <v>0</v>
      </c>
      <c r="BZ64" s="15" t="b">
        <f t="shared" ca="1" si="34"/>
        <v>0</v>
      </c>
      <c r="CA64" s="15" t="b">
        <f t="shared" ca="1" si="446"/>
        <v>0</v>
      </c>
      <c r="CB64" s="15" t="b">
        <f t="shared" ca="1" si="447"/>
        <v>0</v>
      </c>
      <c r="CC64" s="15" t="b">
        <f t="shared" ca="1" si="448"/>
        <v>0</v>
      </c>
      <c r="CD64" s="15" t="b">
        <f t="shared" ca="1" si="448"/>
        <v>0</v>
      </c>
      <c r="CE64" s="15" t="b">
        <f t="shared" ca="1" si="35"/>
        <v>0</v>
      </c>
      <c r="CF64" s="15" t="b">
        <f t="shared" ca="1" si="449"/>
        <v>0</v>
      </c>
      <c r="CG64" s="15" t="b">
        <f t="shared" ca="1" si="450"/>
        <v>0</v>
      </c>
      <c r="CH64" s="15" t="b">
        <f t="shared" ca="1" si="14"/>
        <v>0</v>
      </c>
      <c r="CI64" s="15" t="b">
        <f t="shared" si="36"/>
        <v>0</v>
      </c>
      <c r="CJ64" s="15" t="b">
        <f t="shared" si="37"/>
        <v>0</v>
      </c>
      <c r="CK64" s="15" t="b">
        <f t="shared" ca="1" si="455"/>
        <v>0</v>
      </c>
      <c r="CL64" s="15" t="b">
        <f t="shared" ca="1" si="455"/>
        <v>0</v>
      </c>
      <c r="CM64" s="15" t="b">
        <f t="shared" ca="1" si="455"/>
        <v>0</v>
      </c>
      <c r="CN64" s="15" t="b">
        <f t="shared" ca="1" si="455"/>
        <v>0</v>
      </c>
      <c r="CO64" s="15" t="b">
        <f t="shared" ca="1" si="455"/>
        <v>0</v>
      </c>
      <c r="CP64" s="15" t="b">
        <f t="shared" ca="1" si="455"/>
        <v>0</v>
      </c>
      <c r="CQ64" s="15" t="b">
        <f t="shared" ca="1" si="452"/>
        <v>0</v>
      </c>
      <c r="CR64" s="21" t="b">
        <f t="shared" ca="1" si="452"/>
        <v>0</v>
      </c>
      <c r="CS64" s="22" t="b">
        <f t="shared" ca="1" si="458"/>
        <v>1</v>
      </c>
      <c r="CT64" s="22" t="b">
        <f t="shared" ca="1" si="458"/>
        <v>0</v>
      </c>
      <c r="CU64" s="22" t="b">
        <f t="shared" ca="1" si="458"/>
        <v>0</v>
      </c>
      <c r="CV64" s="22" t="b">
        <f t="shared" ca="1" si="458"/>
        <v>0</v>
      </c>
      <c r="CW64" s="22" t="b">
        <f t="shared" ca="1" si="458"/>
        <v>0</v>
      </c>
      <c r="CX64" s="22" t="b">
        <f t="shared" ca="1" si="458"/>
        <v>0</v>
      </c>
      <c r="CY64" s="22" t="b">
        <f t="shared" ca="1" si="458"/>
        <v>0</v>
      </c>
      <c r="CZ64" s="21" t="b">
        <f t="shared" ca="1" si="458"/>
        <v>0</v>
      </c>
      <c r="DB64" s="22" t="b">
        <f t="shared" ca="1" si="38"/>
        <v>0</v>
      </c>
      <c r="DC64" s="22" t="b">
        <f t="shared" ca="1" si="457"/>
        <v>0</v>
      </c>
      <c r="DD64" s="22" t="b">
        <f t="shared" ca="1" si="457"/>
        <v>0</v>
      </c>
      <c r="DE64" s="22" t="b">
        <f t="shared" ca="1" si="457"/>
        <v>0</v>
      </c>
      <c r="DF64" s="22" t="b">
        <f t="shared" ca="1" si="457"/>
        <v>0</v>
      </c>
      <c r="DG64" s="22" t="b">
        <f t="shared" ca="1" si="457"/>
        <v>0</v>
      </c>
      <c r="DH64" s="22" t="b">
        <f t="shared" ca="1" si="457"/>
        <v>0</v>
      </c>
      <c r="DI64" s="22" t="b">
        <f t="shared" ca="1" si="457"/>
        <v>0</v>
      </c>
      <c r="DJ64" s="22" t="b">
        <f t="shared" ca="1" si="457"/>
        <v>0</v>
      </c>
      <c r="DK64" s="22"/>
      <c r="DO64" s="15">
        <f t="shared" ca="1" si="426"/>
        <v>100</v>
      </c>
      <c r="DP64" s="15" t="str">
        <f t="shared" ca="1" si="426"/>
        <v/>
      </c>
      <c r="DQ64" s="15" t="str">
        <f t="shared" ca="1" si="426"/>
        <v/>
      </c>
      <c r="DR64" s="15" t="str">
        <f t="shared" ca="1" si="426"/>
        <v/>
      </c>
      <c r="DS64" s="15" t="str">
        <f t="shared" ca="1" si="426"/>
        <v/>
      </c>
      <c r="DT64" s="15" t="str">
        <f t="shared" ca="1" si="426"/>
        <v/>
      </c>
      <c r="DU64" s="15" t="str">
        <f t="shared" ca="1" si="426"/>
        <v/>
      </c>
      <c r="DV64" s="15" t="str">
        <f t="shared" ca="1" si="426"/>
        <v/>
      </c>
    </row>
    <row r="65" spans="1:126">
      <c r="A65" s="15">
        <f t="shared" si="19"/>
        <v>53</v>
      </c>
      <c r="B65" s="15" t="str">
        <f t="shared" ca="1" si="459"/>
        <v>Pola, od którego zależy dane pole ma błąd</v>
      </c>
      <c r="C65" s="15" t="s">
        <v>121</v>
      </c>
      <c r="D65" s="15" t="str">
        <f t="shared" si="21"/>
        <v>Dane MaxNrRespondentaBezFiltra</v>
      </c>
      <c r="F65" s="15" t="s">
        <v>186</v>
      </c>
      <c r="G65" s="15" t="s">
        <v>91</v>
      </c>
      <c r="J65" s="19" t="str">
        <f ca="1">CELL(_CELL_ADDRESS_NAME,ster!$C$14)</f>
        <v>'[dane surowe2c.xlsm]ster'!$C$14</v>
      </c>
      <c r="M65" s="19"/>
      <c r="T65" s="15" t="str">
        <f t="shared" ca="1" si="460"/>
        <v>'[dane surowe2c.xlsm]ster'!$C$14</v>
      </c>
      <c r="U65" s="15">
        <f t="shared" ca="1" si="461"/>
        <v>25</v>
      </c>
      <c r="V65" s="15" t="s">
        <v>94</v>
      </c>
      <c r="AD65" s="16" t="b">
        <f t="shared" si="427"/>
        <v>1</v>
      </c>
      <c r="AE65" s="16" t="b">
        <f t="shared" si="428"/>
        <v>0</v>
      </c>
      <c r="AF65" s="15" t="str">
        <f t="shared" si="68"/>
        <v/>
      </c>
      <c r="AG65" s="15" t="str">
        <f t="shared" ca="1" si="1"/>
        <v/>
      </c>
      <c r="AH65" s="15" t="str">
        <f t="shared" ca="1" si="2"/>
        <v/>
      </c>
      <c r="AI65" s="15" t="b">
        <f t="shared" ca="1" si="3"/>
        <v>0</v>
      </c>
      <c r="AJ65" s="15" t="str">
        <f t="shared" ca="1" si="24"/>
        <v/>
      </c>
      <c r="AK65" s="27" t="str">
        <f t="shared" ca="1" si="429"/>
        <v/>
      </c>
      <c r="AL65" s="15" t="b">
        <f t="shared" ca="1" si="4"/>
        <v>0</v>
      </c>
      <c r="AM65" s="15" t="str">
        <f t="shared" ca="1" si="430"/>
        <v/>
      </c>
      <c r="AN65" s="15">
        <f t="shared" ca="1" si="431"/>
        <v>3</v>
      </c>
      <c r="AO65" s="15" t="str">
        <f t="shared" ca="1" si="25"/>
        <v/>
      </c>
      <c r="AP65" s="15" t="str">
        <f t="shared" ca="1" si="432"/>
        <v/>
      </c>
      <c r="AQ65" s="27">
        <f t="shared" ca="1" si="433"/>
        <v>1</v>
      </c>
      <c r="AR65" s="15" t="b">
        <f t="shared" ca="1" si="434"/>
        <v>1</v>
      </c>
      <c r="AS65" s="27" t="b">
        <f t="shared" ca="1" si="435"/>
        <v>1</v>
      </c>
      <c r="AT65" s="27" t="b">
        <f t="shared" ca="1" si="436"/>
        <v>1</v>
      </c>
      <c r="AU65" s="27">
        <f t="shared" ca="1" si="437"/>
        <v>21</v>
      </c>
      <c r="AV65" s="16" t="e">
        <f t="shared" ca="1" si="438"/>
        <v>#REF!</v>
      </c>
      <c r="AW65" s="15" t="str">
        <f t="shared" ca="1" si="451"/>
        <v>'[dane surowe2c.xlsm]ster'!$C$14</v>
      </c>
      <c r="AX65" s="27" t="b">
        <f t="shared" ca="1" si="439"/>
        <v>0</v>
      </c>
      <c r="AY65" s="27" t="b">
        <f t="shared" ca="1" si="440"/>
        <v>0</v>
      </c>
      <c r="AZ65" s="15">
        <f t="shared" ca="1" si="441"/>
        <v>1</v>
      </c>
      <c r="BA65" s="15">
        <f t="shared" ca="1" si="26"/>
        <v>1</v>
      </c>
      <c r="BB65" s="15" t="str">
        <f t="shared" ca="1" si="442"/>
        <v>'[dane surowe2c.xlsm]ster'!$C$14</v>
      </c>
      <c r="BC65" s="15" t="str">
        <f t="shared" ca="1" si="27"/>
        <v>'[dane surowe2c.xlsm]ster'!$C$14</v>
      </c>
      <c r="BD65" s="15" t="b">
        <f t="shared" ca="1" si="443"/>
        <v>0</v>
      </c>
      <c r="BE65" s="15" t="b">
        <f t="shared" ca="1" si="6"/>
        <v>1</v>
      </c>
      <c r="BF65" s="15">
        <f t="shared" ca="1" si="7"/>
        <v>1</v>
      </c>
      <c r="BG65" s="15">
        <f t="shared" ca="1" si="8"/>
        <v>1</v>
      </c>
      <c r="BH65" s="15">
        <f t="array" aca="1" ref="BH65" ca="1">IF(IFERROR( S65,1),1,IF(BC65="","", SUM(IF(ISERROR(INDIRECT(BC65)),1,0))))</f>
        <v>0</v>
      </c>
      <c r="BI65" s="15" t="b">
        <f t="shared" si="444"/>
        <v>1</v>
      </c>
      <c r="BJ65" s="15" t="b">
        <f t="shared" si="445"/>
        <v>0</v>
      </c>
      <c r="BK65" s="15">
        <f t="shared" ca="1" si="9"/>
        <v>1</v>
      </c>
      <c r="BL65" s="15">
        <f t="shared" ca="1" si="10"/>
        <v>1</v>
      </c>
      <c r="BP65" s="15" t="b">
        <f t="shared" si="28"/>
        <v>1</v>
      </c>
      <c r="BQ65" s="15" t="b">
        <f t="shared" ca="1" si="29"/>
        <v>1</v>
      </c>
      <c r="BR65" s="15">
        <f t="shared" ca="1" si="11"/>
        <v>25</v>
      </c>
      <c r="BS65" s="15">
        <f t="shared" ca="1" si="30"/>
        <v>25</v>
      </c>
      <c r="BT65" s="15" t="str">
        <f t="shared" ca="1" si="12"/>
        <v>Pola, od którego zależy dane pole ma błąd</v>
      </c>
      <c r="BV65" s="15" t="b">
        <f t="shared" ca="1" si="31"/>
        <v>0</v>
      </c>
      <c r="BW65" s="15" t="b">
        <f t="shared" ca="1" si="32"/>
        <v>0</v>
      </c>
      <c r="BX65" s="15" t="b">
        <f t="shared" ca="1" si="33"/>
        <v>0</v>
      </c>
      <c r="BY65" s="15" t="b">
        <f t="shared" ca="1" si="13"/>
        <v>0</v>
      </c>
      <c r="BZ65" s="15" t="b">
        <f t="shared" ca="1" si="34"/>
        <v>0</v>
      </c>
      <c r="CA65" s="15" t="b">
        <f t="shared" ca="1" si="446"/>
        <v>0</v>
      </c>
      <c r="CB65" s="15" t="b">
        <f t="shared" ca="1" si="447"/>
        <v>0</v>
      </c>
      <c r="CC65" s="15" t="b">
        <f t="shared" ca="1" si="448"/>
        <v>0</v>
      </c>
      <c r="CD65" s="15" t="b">
        <f t="shared" ca="1" si="448"/>
        <v>0</v>
      </c>
      <c r="CE65" s="15" t="b">
        <f t="shared" ca="1" si="35"/>
        <v>0</v>
      </c>
      <c r="CF65" s="15" t="b">
        <f t="shared" ca="1" si="449"/>
        <v>0</v>
      </c>
      <c r="CG65" s="15" t="b">
        <f t="shared" ca="1" si="450"/>
        <v>0</v>
      </c>
      <c r="CH65" s="15" t="b">
        <f t="shared" ca="1" si="14"/>
        <v>0</v>
      </c>
      <c r="CI65" s="15" t="b">
        <f t="shared" si="36"/>
        <v>0</v>
      </c>
      <c r="CJ65" s="15" t="b">
        <f t="shared" si="37"/>
        <v>0</v>
      </c>
      <c r="CK65" s="15" t="b">
        <f t="shared" ca="1" si="455"/>
        <v>0</v>
      </c>
      <c r="CL65" s="15" t="b">
        <f t="shared" ca="1" si="455"/>
        <v>0</v>
      </c>
      <c r="CM65" s="15" t="b">
        <f t="shared" ca="1" si="455"/>
        <v>0</v>
      </c>
      <c r="CN65" s="15" t="b">
        <f t="shared" ca="1" si="455"/>
        <v>0</v>
      </c>
      <c r="CO65" s="15" t="b">
        <f t="shared" ca="1" si="455"/>
        <v>0</v>
      </c>
      <c r="CP65" s="15" t="b">
        <f t="shared" ca="1" si="455"/>
        <v>0</v>
      </c>
      <c r="CQ65" s="15" t="b">
        <f t="shared" ca="1" si="452"/>
        <v>0</v>
      </c>
      <c r="CR65" s="21" t="b">
        <f t="shared" ca="1" si="452"/>
        <v>0</v>
      </c>
      <c r="CS65" s="22" t="b">
        <f t="shared" ca="1" si="458"/>
        <v>1</v>
      </c>
      <c r="CT65" s="22" t="b">
        <f t="shared" ca="1" si="458"/>
        <v>0</v>
      </c>
      <c r="CU65" s="22" t="b">
        <f t="shared" ca="1" si="458"/>
        <v>0</v>
      </c>
      <c r="CV65" s="22" t="b">
        <f t="shared" ca="1" si="458"/>
        <v>0</v>
      </c>
      <c r="CW65" s="22" t="b">
        <f t="shared" ca="1" si="458"/>
        <v>0</v>
      </c>
      <c r="CX65" s="22" t="b">
        <f t="shared" ca="1" si="458"/>
        <v>0</v>
      </c>
      <c r="CY65" s="22" t="b">
        <f t="shared" ca="1" si="458"/>
        <v>0</v>
      </c>
      <c r="CZ65" s="21" t="b">
        <f t="shared" ca="1" si="458"/>
        <v>0</v>
      </c>
      <c r="DB65" s="22" t="b">
        <f t="shared" ca="1" si="38"/>
        <v>0</v>
      </c>
      <c r="DC65" s="22" t="b">
        <f t="shared" ca="1" si="457"/>
        <v>0</v>
      </c>
      <c r="DD65" s="22" t="b">
        <f t="shared" ca="1" si="457"/>
        <v>0</v>
      </c>
      <c r="DE65" s="22" t="b">
        <f t="shared" ca="1" si="457"/>
        <v>0</v>
      </c>
      <c r="DF65" s="22" t="b">
        <f t="shared" ca="1" si="457"/>
        <v>0</v>
      </c>
      <c r="DG65" s="22" t="b">
        <f t="shared" ca="1" si="457"/>
        <v>0</v>
      </c>
      <c r="DH65" s="22" t="b">
        <f t="shared" ca="1" si="457"/>
        <v>0</v>
      </c>
      <c r="DI65" s="22" t="b">
        <f t="shared" ca="1" si="457"/>
        <v>0</v>
      </c>
      <c r="DJ65" s="22" t="b">
        <f t="shared" ca="1" si="457"/>
        <v>0</v>
      </c>
      <c r="DK65" s="22"/>
      <c r="DO65" s="15">
        <f t="shared" ca="1" si="426"/>
        <v>100</v>
      </c>
      <c r="DP65" s="15" t="str">
        <f t="shared" ca="1" si="426"/>
        <v/>
      </c>
      <c r="DQ65" s="15" t="str">
        <f t="shared" ca="1" si="426"/>
        <v/>
      </c>
      <c r="DR65" s="15" t="str">
        <f t="shared" ca="1" si="426"/>
        <v/>
      </c>
      <c r="DS65" s="15" t="str">
        <f t="shared" ca="1" si="426"/>
        <v/>
      </c>
      <c r="DT65" s="15" t="str">
        <f t="shared" ca="1" si="426"/>
        <v/>
      </c>
      <c r="DU65" s="15" t="str">
        <f t="shared" ca="1" si="426"/>
        <v/>
      </c>
      <c r="DV65" s="15" t="str">
        <f t="shared" ca="1" si="426"/>
        <v/>
      </c>
    </row>
    <row r="66" spans="1:126">
      <c r="A66" s="15">
        <f t="shared" si="19"/>
        <v>54</v>
      </c>
      <c r="B66" s="15" t="str">
        <f t="shared" ca="1" si="459"/>
        <v>ok.</v>
      </c>
      <c r="C66" s="15" t="s">
        <v>122</v>
      </c>
      <c r="D66" s="15" t="str">
        <f t="shared" si="21"/>
        <v>Dane LiczbaGrup</v>
      </c>
      <c r="G66" s="15" t="s">
        <v>91</v>
      </c>
      <c r="J66" s="19" t="str">
        <f ca="1">CELL(_CELL_ADDRESS_NAME,ster!$B$16)</f>
        <v>'[dane surowe2c.xlsm]ster'!$B$16</v>
      </c>
      <c r="M66" s="19"/>
      <c r="T66" s="15" t="str">
        <f t="shared" ca="1" si="460"/>
        <v>'[dane surowe2c.xlsm]ster'!$B$16</v>
      </c>
      <c r="U66" s="15">
        <f t="shared" ca="1" si="461"/>
        <v>0</v>
      </c>
      <c r="AD66" s="16" t="b">
        <f t="shared" si="427"/>
        <v>1</v>
      </c>
      <c r="AE66" s="16" t="b">
        <f t="shared" si="428"/>
        <v>0</v>
      </c>
      <c r="AF66" s="15" t="str">
        <f t="shared" si="68"/>
        <v/>
      </c>
      <c r="AG66" s="15" t="str">
        <f t="shared" ca="1" si="1"/>
        <v/>
      </c>
      <c r="AH66" s="15" t="str">
        <f t="shared" ca="1" si="2"/>
        <v/>
      </c>
      <c r="AI66" s="15" t="b">
        <f t="shared" ca="1" si="3"/>
        <v>0</v>
      </c>
      <c r="AJ66" s="15" t="str">
        <f t="shared" ca="1" si="24"/>
        <v/>
      </c>
      <c r="AK66" s="27" t="str">
        <f t="shared" ca="1" si="429"/>
        <v/>
      </c>
      <c r="AL66" s="15" t="b">
        <f t="shared" ca="1" si="4"/>
        <v>0</v>
      </c>
      <c r="AM66" s="15" t="str">
        <f t="shared" ca="1" si="430"/>
        <v/>
      </c>
      <c r="AN66" s="15">
        <f t="shared" ca="1" si="431"/>
        <v>3</v>
      </c>
      <c r="AO66" s="15" t="str">
        <f t="shared" ca="1" si="25"/>
        <v/>
      </c>
      <c r="AP66" s="15" t="str">
        <f t="shared" ca="1" si="432"/>
        <v/>
      </c>
      <c r="AQ66" s="27">
        <f t="shared" ca="1" si="433"/>
        <v>1</v>
      </c>
      <c r="AR66" s="15" t="b">
        <f t="shared" ca="1" si="434"/>
        <v>1</v>
      </c>
      <c r="AS66" s="27" t="b">
        <f t="shared" ca="1" si="435"/>
        <v>1</v>
      </c>
      <c r="AT66" s="27" t="b">
        <f t="shared" ca="1" si="436"/>
        <v>1</v>
      </c>
      <c r="AU66" s="27">
        <f t="shared" ca="1" si="437"/>
        <v>21</v>
      </c>
      <c r="AV66" s="16" t="e">
        <f t="shared" ca="1" si="438"/>
        <v>#REF!</v>
      </c>
      <c r="AW66" s="15" t="str">
        <f t="shared" ca="1" si="451"/>
        <v>'[dane surowe2c.xlsm]ster'!$B$16</v>
      </c>
      <c r="AX66" s="27" t="b">
        <f t="shared" ca="1" si="439"/>
        <v>0</v>
      </c>
      <c r="AY66" s="27" t="b">
        <f t="shared" ca="1" si="440"/>
        <v>0</v>
      </c>
      <c r="AZ66" s="15">
        <f t="shared" ca="1" si="441"/>
        <v>1</v>
      </c>
      <c r="BA66" s="15">
        <f t="shared" ca="1" si="26"/>
        <v>1</v>
      </c>
      <c r="BB66" s="15" t="str">
        <f t="shared" ca="1" si="442"/>
        <v>'[dane surowe2c.xlsm]ster'!$B$16</v>
      </c>
      <c r="BC66" s="15" t="str">
        <f t="shared" ca="1" si="27"/>
        <v>'[dane surowe2c.xlsm]ster'!$B$16</v>
      </c>
      <c r="BD66" s="15" t="b">
        <f t="shared" ca="1" si="443"/>
        <v>0</v>
      </c>
      <c r="BE66" s="15" t="b">
        <f t="shared" ca="1" si="6"/>
        <v>1</v>
      </c>
      <c r="BF66" s="15">
        <f t="shared" ca="1" si="7"/>
        <v>1</v>
      </c>
      <c r="BG66" s="15">
        <f t="shared" ca="1" si="8"/>
        <v>1</v>
      </c>
      <c r="BH66" s="15">
        <f t="array" aca="1" ref="BH66" ca="1">IF(IFERROR( S66,1),1,IF(BC66="","", SUM(IF(ISERROR(INDIRECT(BC66)),1,0))))</f>
        <v>0</v>
      </c>
      <c r="BI66" s="15" t="b">
        <f t="shared" si="444"/>
        <v>1</v>
      </c>
      <c r="BJ66" s="15" t="b">
        <f t="shared" si="445"/>
        <v>0</v>
      </c>
      <c r="BK66" s="15">
        <f t="shared" ca="1" si="9"/>
        <v>1</v>
      </c>
      <c r="BL66" s="15">
        <f t="shared" ca="1" si="10"/>
        <v>1</v>
      </c>
      <c r="BP66" s="15" t="b">
        <f t="shared" si="28"/>
        <v>1</v>
      </c>
      <c r="BQ66" s="15" t="b">
        <f t="shared" ca="1" si="29"/>
        <v>0</v>
      </c>
      <c r="BR66" s="15" t="str">
        <f t="shared" ca="1" si="11"/>
        <v/>
      </c>
      <c r="BS66" s="15">
        <f t="shared" ca="1" si="30"/>
        <v>0</v>
      </c>
      <c r="BT66" s="15" t="str">
        <f t="shared" ca="1" si="12"/>
        <v/>
      </c>
      <c r="BV66" s="15" t="b">
        <f t="shared" ca="1" si="31"/>
        <v>0</v>
      </c>
      <c r="BW66" s="15" t="b">
        <f t="shared" ca="1" si="32"/>
        <v>0</v>
      </c>
      <c r="BX66" s="15" t="b">
        <f t="shared" ca="1" si="33"/>
        <v>0</v>
      </c>
      <c r="BY66" s="15" t="b">
        <f t="shared" ca="1" si="13"/>
        <v>0</v>
      </c>
      <c r="BZ66" s="15" t="b">
        <f t="shared" ca="1" si="34"/>
        <v>0</v>
      </c>
      <c r="CA66" s="15" t="b">
        <f t="shared" ca="1" si="446"/>
        <v>0</v>
      </c>
      <c r="CB66" s="15" t="b">
        <f t="shared" ca="1" si="447"/>
        <v>0</v>
      </c>
      <c r="CC66" s="15" t="b">
        <f t="shared" ca="1" si="448"/>
        <v>0</v>
      </c>
      <c r="CD66" s="15" t="b">
        <f t="shared" ca="1" si="448"/>
        <v>0</v>
      </c>
      <c r="CE66" s="15" t="b">
        <f t="shared" ca="1" si="35"/>
        <v>0</v>
      </c>
      <c r="CF66" s="15" t="b">
        <f t="shared" ca="1" si="449"/>
        <v>0</v>
      </c>
      <c r="CG66" s="15" t="b">
        <f t="shared" ca="1" si="450"/>
        <v>0</v>
      </c>
      <c r="CH66" s="15" t="b">
        <f t="shared" ca="1" si="14"/>
        <v>0</v>
      </c>
      <c r="CI66" s="15" t="b">
        <f t="shared" si="36"/>
        <v>0</v>
      </c>
      <c r="CJ66" s="15" t="b">
        <f t="shared" si="37"/>
        <v>0</v>
      </c>
      <c r="CK66" s="15" t="b">
        <f t="shared" ca="1" si="455"/>
        <v>0</v>
      </c>
      <c r="CL66" s="15" t="b">
        <f t="shared" ca="1" si="455"/>
        <v>0</v>
      </c>
      <c r="CM66" s="15" t="b">
        <f t="shared" ca="1" si="455"/>
        <v>0</v>
      </c>
      <c r="CN66" s="15" t="b">
        <f t="shared" ca="1" si="455"/>
        <v>0</v>
      </c>
      <c r="CO66" s="15" t="b">
        <f t="shared" ca="1" si="455"/>
        <v>0</v>
      </c>
      <c r="CP66" s="15" t="b">
        <f t="shared" ca="1" si="455"/>
        <v>0</v>
      </c>
      <c r="CQ66" s="15" t="b">
        <f t="shared" ca="1" si="452"/>
        <v>0</v>
      </c>
      <c r="CR66" s="21" t="b">
        <f t="shared" ca="1" si="452"/>
        <v>0</v>
      </c>
      <c r="CS66" s="22" t="b">
        <f t="shared" ca="1" si="458"/>
        <v>0</v>
      </c>
      <c r="CT66" s="22" t="b">
        <f t="shared" ca="1" si="458"/>
        <v>0</v>
      </c>
      <c r="CU66" s="22" t="b">
        <f t="shared" ca="1" si="458"/>
        <v>0</v>
      </c>
      <c r="CV66" s="22" t="b">
        <f t="shared" ca="1" si="458"/>
        <v>0</v>
      </c>
      <c r="CW66" s="22" t="b">
        <f t="shared" ca="1" si="458"/>
        <v>0</v>
      </c>
      <c r="CX66" s="22" t="b">
        <f t="shared" ca="1" si="458"/>
        <v>0</v>
      </c>
      <c r="CY66" s="22" t="b">
        <f t="shared" ca="1" si="458"/>
        <v>0</v>
      </c>
      <c r="CZ66" s="21" t="b">
        <f t="shared" ca="1" si="458"/>
        <v>0</v>
      </c>
      <c r="DB66" s="22" t="b">
        <f t="shared" ca="1" si="38"/>
        <v>0</v>
      </c>
      <c r="DC66" s="22" t="b">
        <f t="shared" ca="1" si="457"/>
        <v>0</v>
      </c>
      <c r="DD66" s="22" t="b">
        <f t="shared" ca="1" si="457"/>
        <v>0</v>
      </c>
      <c r="DE66" s="22" t="b">
        <f t="shared" ca="1" si="457"/>
        <v>0</v>
      </c>
      <c r="DF66" s="22" t="b">
        <f t="shared" ca="1" si="457"/>
        <v>0</v>
      </c>
      <c r="DG66" s="22" t="b">
        <f t="shared" ca="1" si="457"/>
        <v>0</v>
      </c>
      <c r="DH66" s="22" t="b">
        <f t="shared" ca="1" si="457"/>
        <v>0</v>
      </c>
      <c r="DI66" s="22" t="b">
        <f t="shared" ca="1" si="457"/>
        <v>0</v>
      </c>
      <c r="DJ66" s="22" t="b">
        <f t="shared" ca="1" si="457"/>
        <v>0</v>
      </c>
      <c r="DK66" s="22"/>
      <c r="DO66" s="15" t="str">
        <f t="shared" ca="1" si="426"/>
        <v/>
      </c>
      <c r="DP66" s="15" t="str">
        <f t="shared" ca="1" si="426"/>
        <v/>
      </c>
      <c r="DQ66" s="15" t="str">
        <f t="shared" ca="1" si="426"/>
        <v/>
      </c>
      <c r="DR66" s="15" t="str">
        <f t="shared" ca="1" si="426"/>
        <v/>
      </c>
      <c r="DS66" s="15" t="str">
        <f t="shared" ca="1" si="426"/>
        <v/>
      </c>
      <c r="DT66" s="15" t="str">
        <f t="shared" ca="1" si="426"/>
        <v/>
      </c>
      <c r="DU66" s="15" t="str">
        <f t="shared" ca="1" si="426"/>
        <v/>
      </c>
      <c r="DV66" s="15" t="str">
        <f t="shared" ca="1" si="426"/>
        <v/>
      </c>
    </row>
    <row r="67" spans="1:126">
      <c r="A67" s="15">
        <f t="shared" si="19"/>
        <v>55</v>
      </c>
      <c r="B67" s="15" t="str">
        <f t="shared" ca="1" si="459"/>
        <v>ok.</v>
      </c>
      <c r="C67" s="15" t="s">
        <v>123</v>
      </c>
      <c r="D67" s="15" t="str">
        <f t="shared" si="21"/>
        <v>Dane MaxNrGrupy</v>
      </c>
      <c r="G67" s="15" t="s">
        <v>91</v>
      </c>
      <c r="J67" s="19" t="str">
        <f ca="1">CELL(_CELL_ADDRESS_NAME,ster!$C$16)</f>
        <v>'[dane surowe2c.xlsm]ster'!$C$16</v>
      </c>
      <c r="M67" s="19"/>
      <c r="T67" s="15" t="str">
        <f t="shared" ca="1" si="460"/>
        <v>'[dane surowe2c.xlsm]ster'!$C$16</v>
      </c>
      <c r="U67" s="15">
        <f t="shared" ca="1" si="461"/>
        <v>0</v>
      </c>
      <c r="AD67" s="16" t="b">
        <f t="shared" si="427"/>
        <v>1</v>
      </c>
      <c r="AE67" s="16" t="b">
        <f t="shared" si="428"/>
        <v>0</v>
      </c>
      <c r="AF67" s="15" t="str">
        <f t="shared" si="68"/>
        <v/>
      </c>
      <c r="AG67" s="15" t="str">
        <f t="shared" ca="1" si="1"/>
        <v/>
      </c>
      <c r="AH67" s="15" t="str">
        <f t="shared" ca="1" si="2"/>
        <v/>
      </c>
      <c r="AI67" s="15" t="b">
        <f t="shared" ca="1" si="3"/>
        <v>0</v>
      </c>
      <c r="AJ67" s="15" t="str">
        <f t="shared" ca="1" si="24"/>
        <v/>
      </c>
      <c r="AK67" s="27" t="str">
        <f t="shared" ca="1" si="429"/>
        <v/>
      </c>
      <c r="AL67" s="15" t="b">
        <f t="shared" ca="1" si="4"/>
        <v>0</v>
      </c>
      <c r="AM67" s="15" t="str">
        <f t="shared" ca="1" si="430"/>
        <v/>
      </c>
      <c r="AN67" s="15">
        <f t="shared" ca="1" si="431"/>
        <v>3</v>
      </c>
      <c r="AO67" s="15" t="str">
        <f t="shared" ca="1" si="25"/>
        <v/>
      </c>
      <c r="AP67" s="15" t="str">
        <f t="shared" ca="1" si="432"/>
        <v/>
      </c>
      <c r="AQ67" s="27">
        <f t="shared" ca="1" si="433"/>
        <v>1</v>
      </c>
      <c r="AR67" s="15" t="b">
        <f t="shared" ca="1" si="434"/>
        <v>1</v>
      </c>
      <c r="AS67" s="27" t="b">
        <f t="shared" ca="1" si="435"/>
        <v>1</v>
      </c>
      <c r="AT67" s="27" t="b">
        <f t="shared" ca="1" si="436"/>
        <v>1</v>
      </c>
      <c r="AU67" s="27">
        <f t="shared" ca="1" si="437"/>
        <v>21</v>
      </c>
      <c r="AV67" s="16" t="e">
        <f t="shared" ca="1" si="438"/>
        <v>#REF!</v>
      </c>
      <c r="AW67" s="15" t="str">
        <f t="shared" ca="1" si="451"/>
        <v>'[dane surowe2c.xlsm]ster'!$C$16</v>
      </c>
      <c r="AX67" s="27" t="b">
        <f t="shared" ca="1" si="439"/>
        <v>0</v>
      </c>
      <c r="AY67" s="27" t="b">
        <f t="shared" ca="1" si="440"/>
        <v>0</v>
      </c>
      <c r="AZ67" s="15">
        <f t="shared" ca="1" si="441"/>
        <v>1</v>
      </c>
      <c r="BA67" s="15">
        <f t="shared" ca="1" si="26"/>
        <v>1</v>
      </c>
      <c r="BB67" s="15" t="str">
        <f t="shared" ca="1" si="442"/>
        <v>'[dane surowe2c.xlsm]ster'!$C$16</v>
      </c>
      <c r="BC67" s="15" t="str">
        <f t="shared" ca="1" si="27"/>
        <v>'[dane surowe2c.xlsm]ster'!$C$16</v>
      </c>
      <c r="BD67" s="15" t="b">
        <f t="shared" ca="1" si="443"/>
        <v>0</v>
      </c>
      <c r="BE67" s="15" t="b">
        <f t="shared" ca="1" si="6"/>
        <v>1</v>
      </c>
      <c r="BF67" s="15">
        <f t="shared" ca="1" si="7"/>
        <v>1</v>
      </c>
      <c r="BG67" s="15">
        <f t="shared" ca="1" si="8"/>
        <v>1</v>
      </c>
      <c r="BH67" s="15">
        <f t="array" aca="1" ref="BH67" ca="1">IF(IFERROR( S67,1),1,IF(BC67="","", SUM(IF(ISERROR(INDIRECT(BC67)),1,0))))</f>
        <v>0</v>
      </c>
      <c r="BI67" s="15" t="b">
        <f t="shared" si="444"/>
        <v>1</v>
      </c>
      <c r="BJ67" s="15" t="b">
        <f t="shared" si="445"/>
        <v>0</v>
      </c>
      <c r="BK67" s="15">
        <f t="shared" ca="1" si="9"/>
        <v>1</v>
      </c>
      <c r="BL67" s="15">
        <f t="shared" ca="1" si="10"/>
        <v>1</v>
      </c>
      <c r="BP67" s="15" t="b">
        <f t="shared" si="28"/>
        <v>1</v>
      </c>
      <c r="BQ67" s="15" t="b">
        <f t="shared" ca="1" si="29"/>
        <v>0</v>
      </c>
      <c r="BR67" s="15" t="str">
        <f t="shared" ca="1" si="11"/>
        <v/>
      </c>
      <c r="BS67" s="15">
        <f t="shared" ca="1" si="30"/>
        <v>0</v>
      </c>
      <c r="BT67" s="15" t="str">
        <f t="shared" ca="1" si="12"/>
        <v/>
      </c>
      <c r="BV67" s="15" t="b">
        <f t="shared" ca="1" si="31"/>
        <v>0</v>
      </c>
      <c r="BW67" s="15" t="b">
        <f t="shared" ca="1" si="32"/>
        <v>0</v>
      </c>
      <c r="BX67" s="15" t="b">
        <f t="shared" ca="1" si="33"/>
        <v>0</v>
      </c>
      <c r="BY67" s="15" t="b">
        <f t="shared" ca="1" si="13"/>
        <v>0</v>
      </c>
      <c r="BZ67" s="15" t="b">
        <f t="shared" ca="1" si="34"/>
        <v>0</v>
      </c>
      <c r="CA67" s="15" t="b">
        <f t="shared" ca="1" si="446"/>
        <v>0</v>
      </c>
      <c r="CB67" s="15" t="b">
        <f t="shared" ca="1" si="447"/>
        <v>0</v>
      </c>
      <c r="CC67" s="15" t="b">
        <f t="shared" ca="1" si="448"/>
        <v>0</v>
      </c>
      <c r="CD67" s="15" t="b">
        <f t="shared" ca="1" si="448"/>
        <v>0</v>
      </c>
      <c r="CE67" s="15" t="b">
        <f t="shared" ca="1" si="35"/>
        <v>0</v>
      </c>
      <c r="CF67" s="15" t="b">
        <f t="shared" ca="1" si="449"/>
        <v>0</v>
      </c>
      <c r="CG67" s="15" t="b">
        <f t="shared" ca="1" si="450"/>
        <v>0</v>
      </c>
      <c r="CH67" s="15" t="b">
        <f t="shared" ca="1" si="14"/>
        <v>0</v>
      </c>
      <c r="CI67" s="15" t="b">
        <f t="shared" si="36"/>
        <v>0</v>
      </c>
      <c r="CJ67" s="15" t="b">
        <f t="shared" si="37"/>
        <v>0</v>
      </c>
      <c r="CK67" s="15" t="b">
        <f t="shared" ca="1" si="455"/>
        <v>0</v>
      </c>
      <c r="CL67" s="15" t="b">
        <f t="shared" ca="1" si="455"/>
        <v>0</v>
      </c>
      <c r="CM67" s="15" t="b">
        <f t="shared" ca="1" si="455"/>
        <v>0</v>
      </c>
      <c r="CN67" s="15" t="b">
        <f t="shared" ca="1" si="455"/>
        <v>0</v>
      </c>
      <c r="CO67" s="15" t="b">
        <f t="shared" ca="1" si="455"/>
        <v>0</v>
      </c>
      <c r="CP67" s="15" t="b">
        <f t="shared" ca="1" si="455"/>
        <v>0</v>
      </c>
      <c r="CQ67" s="15" t="b">
        <f t="shared" ca="1" si="452"/>
        <v>0</v>
      </c>
      <c r="CR67" s="21" t="b">
        <f t="shared" ca="1" si="452"/>
        <v>0</v>
      </c>
      <c r="CS67" s="22" t="b">
        <f t="shared" ca="1" si="458"/>
        <v>0</v>
      </c>
      <c r="CT67" s="22" t="b">
        <f t="shared" ca="1" si="458"/>
        <v>0</v>
      </c>
      <c r="CU67" s="22" t="b">
        <f t="shared" ca="1" si="458"/>
        <v>0</v>
      </c>
      <c r="CV67" s="22" t="b">
        <f t="shared" ca="1" si="458"/>
        <v>0</v>
      </c>
      <c r="CW67" s="22" t="b">
        <f t="shared" ca="1" si="458"/>
        <v>0</v>
      </c>
      <c r="CX67" s="22" t="b">
        <f t="shared" ca="1" si="458"/>
        <v>0</v>
      </c>
      <c r="CY67" s="22" t="b">
        <f t="shared" ca="1" si="458"/>
        <v>0</v>
      </c>
      <c r="CZ67" s="21" t="b">
        <f t="shared" ca="1" si="458"/>
        <v>0</v>
      </c>
      <c r="DB67" s="22" t="b">
        <f t="shared" ca="1" si="38"/>
        <v>0</v>
      </c>
      <c r="DC67" s="22" t="b">
        <f t="shared" ca="1" si="457"/>
        <v>0</v>
      </c>
      <c r="DD67" s="22" t="b">
        <f t="shared" ca="1" si="457"/>
        <v>0</v>
      </c>
      <c r="DE67" s="22" t="b">
        <f t="shared" ca="1" si="457"/>
        <v>0</v>
      </c>
      <c r="DF67" s="22" t="b">
        <f t="shared" ca="1" si="457"/>
        <v>0</v>
      </c>
      <c r="DG67" s="22" t="b">
        <f t="shared" ca="1" si="457"/>
        <v>0</v>
      </c>
      <c r="DH67" s="22" t="b">
        <f t="shared" ca="1" si="457"/>
        <v>0</v>
      </c>
      <c r="DI67" s="22" t="b">
        <f t="shared" ca="1" si="457"/>
        <v>0</v>
      </c>
      <c r="DJ67" s="22" t="b">
        <f t="shared" ca="1" si="457"/>
        <v>0</v>
      </c>
      <c r="DK67" s="22"/>
      <c r="DO67" s="15" t="str">
        <f t="shared" ca="1" si="426"/>
        <v/>
      </c>
      <c r="DP67" s="15" t="str">
        <f t="shared" ca="1" si="426"/>
        <v/>
      </c>
      <c r="DQ67" s="15" t="str">
        <f t="shared" ca="1" si="426"/>
        <v/>
      </c>
      <c r="DR67" s="15" t="str">
        <f t="shared" ca="1" si="426"/>
        <v/>
      </c>
      <c r="DS67" s="15" t="str">
        <f t="shared" ca="1" si="426"/>
        <v/>
      </c>
      <c r="DT67" s="15" t="str">
        <f t="shared" ca="1" si="426"/>
        <v/>
      </c>
      <c r="DU67" s="15" t="str">
        <f t="shared" ca="1" si="426"/>
        <v/>
      </c>
      <c r="DV67" s="15" t="str">
        <f t="shared" ca="1" si="426"/>
        <v/>
      </c>
    </row>
    <row r="68" spans="1:126">
      <c r="A68" s="15">
        <f t="shared" si="19"/>
        <v>56</v>
      </c>
      <c r="B68" s="15" t="str">
        <f t="shared" ca="1" si="459"/>
        <v>ok.</v>
      </c>
      <c r="C68" s="15" t="s">
        <v>124</v>
      </c>
      <c r="D68" s="15" t="str">
        <f t="shared" si="21"/>
        <v>Dane UI IleKolumnZGrupami</v>
      </c>
      <c r="F68" s="15" t="s">
        <v>211</v>
      </c>
      <c r="G68" s="15" t="s">
        <v>91</v>
      </c>
      <c r="J68" s="19" t="str">
        <f ca="1">CELL(_CELL_ADDRESS_NAME,wew!$G$11)</f>
        <v>'[dane surowe2c.xlsm]wew'!$G$11</v>
      </c>
      <c r="M68" s="19"/>
      <c r="T68" s="15" t="str">
        <f t="shared" ca="1" si="460"/>
        <v>'[dane surowe2c.xlsm]wew'!$G$11</v>
      </c>
      <c r="U68" s="15">
        <f t="shared" ca="1" si="461"/>
        <v>0</v>
      </c>
      <c r="AD68" s="16" t="b">
        <f t="shared" si="427"/>
        <v>1</v>
      </c>
      <c r="AE68" s="16" t="b">
        <f t="shared" si="428"/>
        <v>0</v>
      </c>
      <c r="AF68" s="15" t="str">
        <f t="shared" si="68"/>
        <v/>
      </c>
      <c r="AG68" s="15" t="str">
        <f t="shared" ca="1" si="1"/>
        <v/>
      </c>
      <c r="AH68" s="15" t="str">
        <f t="shared" ca="1" si="2"/>
        <v/>
      </c>
      <c r="AI68" s="15" t="b">
        <f t="shared" ca="1" si="3"/>
        <v>0</v>
      </c>
      <c r="AJ68" s="15" t="str">
        <f t="shared" ca="1" si="24"/>
        <v/>
      </c>
      <c r="AK68" s="27" t="str">
        <f t="shared" ca="1" si="429"/>
        <v/>
      </c>
      <c r="AL68" s="15" t="b">
        <f t="shared" ca="1" si="4"/>
        <v>0</v>
      </c>
      <c r="AM68" s="15" t="str">
        <f t="shared" ca="1" si="430"/>
        <v/>
      </c>
      <c r="AN68" s="15">
        <f t="shared" ca="1" si="431"/>
        <v>3</v>
      </c>
      <c r="AO68" s="15" t="str">
        <f t="shared" ca="1" si="25"/>
        <v/>
      </c>
      <c r="AP68" s="15" t="str">
        <f t="shared" ca="1" si="432"/>
        <v/>
      </c>
      <c r="AQ68" s="27">
        <f t="shared" ca="1" si="433"/>
        <v>1</v>
      </c>
      <c r="AR68" s="15" t="b">
        <f t="shared" ca="1" si="434"/>
        <v>1</v>
      </c>
      <c r="AS68" s="27" t="b">
        <f t="shared" ca="1" si="435"/>
        <v>1</v>
      </c>
      <c r="AT68" s="27" t="b">
        <f t="shared" ca="1" si="436"/>
        <v>1</v>
      </c>
      <c r="AU68" s="27">
        <f t="shared" ca="1" si="437"/>
        <v>21</v>
      </c>
      <c r="AV68" s="16" t="e">
        <f t="shared" ca="1" si="438"/>
        <v>#REF!</v>
      </c>
      <c r="AW68" s="15" t="str">
        <f t="shared" ca="1" si="451"/>
        <v>'[dane surowe2c.xlsm]wew'!$G$11</v>
      </c>
      <c r="AX68" s="27" t="b">
        <f t="shared" ca="1" si="439"/>
        <v>0</v>
      </c>
      <c r="AY68" s="27" t="b">
        <f t="shared" ca="1" si="440"/>
        <v>0</v>
      </c>
      <c r="AZ68" s="15">
        <f t="shared" ca="1" si="441"/>
        <v>1</v>
      </c>
      <c r="BA68" s="15">
        <f t="shared" ca="1" si="26"/>
        <v>1</v>
      </c>
      <c r="BB68" s="15" t="str">
        <f t="shared" ca="1" si="442"/>
        <v>'[dane surowe2c.xlsm]wew'!$G$11</v>
      </c>
      <c r="BC68" s="15" t="str">
        <f t="shared" ca="1" si="27"/>
        <v>'[dane surowe2c.xlsm]wew'!$G$11</v>
      </c>
      <c r="BD68" s="15" t="b">
        <f t="shared" ca="1" si="443"/>
        <v>0</v>
      </c>
      <c r="BE68" s="15" t="b">
        <f t="shared" ca="1" si="6"/>
        <v>1</v>
      </c>
      <c r="BF68" s="15">
        <f t="shared" ca="1" si="7"/>
        <v>1</v>
      </c>
      <c r="BG68" s="15">
        <f t="shared" ca="1" si="8"/>
        <v>1</v>
      </c>
      <c r="BH68" s="15">
        <f t="array" aca="1" ref="BH68" ca="1">IF(IFERROR( S68,1),1,IF(BC68="","", SUM(IF(ISERROR(INDIRECT(BC68)),1,0))))</f>
        <v>0</v>
      </c>
      <c r="BI68" s="15" t="b">
        <f t="shared" si="444"/>
        <v>1</v>
      </c>
      <c r="BJ68" s="15" t="b">
        <f t="shared" si="445"/>
        <v>0</v>
      </c>
      <c r="BK68" s="15">
        <f t="shared" ca="1" si="9"/>
        <v>1</v>
      </c>
      <c r="BL68" s="15">
        <f t="shared" ca="1" si="10"/>
        <v>1</v>
      </c>
      <c r="BP68" s="15" t="b">
        <f t="shared" si="28"/>
        <v>1</v>
      </c>
      <c r="BQ68" s="15" t="b">
        <f t="shared" ca="1" si="29"/>
        <v>0</v>
      </c>
      <c r="BR68" s="15" t="str">
        <f t="shared" ca="1" si="11"/>
        <v/>
      </c>
      <c r="BS68" s="15">
        <f t="shared" ca="1" si="30"/>
        <v>0</v>
      </c>
      <c r="BT68" s="15" t="str">
        <f t="shared" ca="1" si="12"/>
        <v/>
      </c>
      <c r="BV68" s="15" t="b">
        <f t="shared" ca="1" si="31"/>
        <v>0</v>
      </c>
      <c r="BW68" s="15" t="b">
        <f t="shared" ca="1" si="32"/>
        <v>0</v>
      </c>
      <c r="BX68" s="15" t="b">
        <f t="shared" ca="1" si="33"/>
        <v>0</v>
      </c>
      <c r="BY68" s="15" t="b">
        <f t="shared" ca="1" si="13"/>
        <v>0</v>
      </c>
      <c r="BZ68" s="15" t="b">
        <f t="shared" ca="1" si="34"/>
        <v>0</v>
      </c>
      <c r="CA68" s="15" t="b">
        <f t="shared" ca="1" si="446"/>
        <v>0</v>
      </c>
      <c r="CB68" s="15" t="b">
        <f t="shared" ca="1" si="447"/>
        <v>0</v>
      </c>
      <c r="CC68" s="15" t="b">
        <f t="shared" ca="1" si="448"/>
        <v>0</v>
      </c>
      <c r="CD68" s="15" t="b">
        <f t="shared" ca="1" si="448"/>
        <v>0</v>
      </c>
      <c r="CE68" s="15" t="b">
        <f t="shared" ca="1" si="35"/>
        <v>0</v>
      </c>
      <c r="CF68" s="15" t="b">
        <f t="shared" ca="1" si="449"/>
        <v>0</v>
      </c>
      <c r="CG68" s="15" t="b">
        <f t="shared" ca="1" si="450"/>
        <v>0</v>
      </c>
      <c r="CH68" s="15" t="b">
        <f t="shared" ca="1" si="14"/>
        <v>0</v>
      </c>
      <c r="CI68" s="15" t="b">
        <f t="shared" si="36"/>
        <v>0</v>
      </c>
      <c r="CJ68" s="15" t="b">
        <f t="shared" si="37"/>
        <v>0</v>
      </c>
      <c r="CK68" s="15" t="b">
        <f t="shared" ca="1" si="455"/>
        <v>0</v>
      </c>
      <c r="CL68" s="15" t="b">
        <f t="shared" ca="1" si="455"/>
        <v>0</v>
      </c>
      <c r="CM68" s="15" t="b">
        <f t="shared" ca="1" si="455"/>
        <v>0</v>
      </c>
      <c r="CN68" s="15" t="b">
        <f t="shared" ca="1" si="455"/>
        <v>0</v>
      </c>
      <c r="CO68" s="15" t="b">
        <f t="shared" ca="1" si="455"/>
        <v>0</v>
      </c>
      <c r="CP68" s="15" t="b">
        <f t="shared" ca="1" si="455"/>
        <v>0</v>
      </c>
      <c r="CQ68" s="15" t="b">
        <f t="shared" ca="1" si="452"/>
        <v>0</v>
      </c>
      <c r="CR68" s="21" t="b">
        <f t="shared" ca="1" si="452"/>
        <v>0</v>
      </c>
      <c r="CS68" s="22" t="b">
        <f t="shared" ca="1" si="458"/>
        <v>0</v>
      </c>
      <c r="CT68" s="22" t="b">
        <f t="shared" ca="1" si="458"/>
        <v>0</v>
      </c>
      <c r="CU68" s="22" t="b">
        <f t="shared" ca="1" si="458"/>
        <v>0</v>
      </c>
      <c r="CV68" s="22" t="b">
        <f t="shared" ca="1" si="458"/>
        <v>0</v>
      </c>
      <c r="CW68" s="22" t="b">
        <f t="shared" ca="1" si="458"/>
        <v>0</v>
      </c>
      <c r="CX68" s="22" t="b">
        <f t="shared" ca="1" si="458"/>
        <v>0</v>
      </c>
      <c r="CY68" s="22" t="b">
        <f t="shared" ca="1" si="458"/>
        <v>0</v>
      </c>
      <c r="CZ68" s="21" t="b">
        <f t="shared" ca="1" si="458"/>
        <v>0</v>
      </c>
      <c r="DB68" s="22" t="b">
        <f t="shared" ca="1" si="38"/>
        <v>0</v>
      </c>
      <c r="DC68" s="22" t="b">
        <f t="shared" ca="1" si="457"/>
        <v>0</v>
      </c>
      <c r="DD68" s="22" t="b">
        <f t="shared" ca="1" si="457"/>
        <v>0</v>
      </c>
      <c r="DE68" s="22" t="b">
        <f t="shared" ca="1" si="457"/>
        <v>0</v>
      </c>
      <c r="DF68" s="22" t="b">
        <f t="shared" ca="1" si="457"/>
        <v>0</v>
      </c>
      <c r="DG68" s="22" t="b">
        <f t="shared" ca="1" si="457"/>
        <v>0</v>
      </c>
      <c r="DH68" s="22" t="b">
        <f t="shared" ca="1" si="457"/>
        <v>0</v>
      </c>
      <c r="DI68" s="22" t="b">
        <f t="shared" ca="1" si="457"/>
        <v>0</v>
      </c>
      <c r="DJ68" s="22" t="b">
        <f t="shared" ca="1" si="457"/>
        <v>0</v>
      </c>
      <c r="DK68" s="22"/>
      <c r="DO68" s="15" t="str">
        <f t="shared" ca="1" si="426"/>
        <v/>
      </c>
      <c r="DP68" s="15" t="str">
        <f t="shared" ca="1" si="426"/>
        <v/>
      </c>
      <c r="DQ68" s="15" t="str">
        <f t="shared" ca="1" si="426"/>
        <v/>
      </c>
      <c r="DR68" s="15" t="str">
        <f t="shared" ca="1" si="426"/>
        <v/>
      </c>
      <c r="DS68" s="15" t="str">
        <f t="shared" ca="1" si="426"/>
        <v/>
      </c>
      <c r="DT68" s="15" t="str">
        <f t="shared" ca="1" si="426"/>
        <v/>
      </c>
      <c r="DU68" s="15" t="str">
        <f t="shared" ca="1" si="426"/>
        <v/>
      </c>
      <c r="DV68" s="15" t="str">
        <f t="shared" ref="DV68:DV82" ca="1" si="462">IF(AC68&lt;&gt;"",IFERROR(INDEX(INDIRECT($BS$4),MATCH(AC68,INDIRECT($C$4),0)),100),"")</f>
        <v/>
      </c>
    </row>
    <row r="69" spans="1:126">
      <c r="A69" s="15">
        <f t="shared" si="19"/>
        <v>57</v>
      </c>
      <c r="B69" s="15" t="e">
        <f t="shared" ca="1" si="459"/>
        <v>#REF!</v>
      </c>
      <c r="C69" s="15" t="s">
        <v>224</v>
      </c>
      <c r="D69" s="15" t="str">
        <f t="shared" ref="D69:D85" si="463">IF(C69="","",C69)</f>
        <v>Etykiety NapisyUI</v>
      </c>
      <c r="F69" s="15" t="s">
        <v>225</v>
      </c>
      <c r="G69" s="15" t="s">
        <v>91</v>
      </c>
      <c r="J69" s="19" t="e">
        <f ca="1">CELL(_CELL_ADDRESS_NAME,labels!#REF!)</f>
        <v>#REF!</v>
      </c>
      <c r="K69" s="15">
        <v>2</v>
      </c>
      <c r="L69" s="15">
        <f>2*ster!$C$12</f>
        <v>714</v>
      </c>
      <c r="M69" s="19"/>
      <c r="P69" s="15">
        <v>2</v>
      </c>
      <c r="Q69" s="15">
        <v>1</v>
      </c>
      <c r="T69" s="15" t="str">
        <f t="shared" ref="T69:T90" ca="1" si="464">BC69</f>
        <v/>
      </c>
      <c r="U69" s="15" t="e">
        <f t="shared" ca="1" si="461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465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466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451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714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467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468">IF(AD69,IF(M69="",TRUE,NOT(M69)),FALSE)</f>
        <v>1</v>
      </c>
      <c r="BQ69" s="15" t="e">
        <f t="shared" ref="BQ69:BQ85" ca="1" si="469">IF(BP69,OR(BU69:CZ69),FALSE)</f>
        <v>#REF!</v>
      </c>
      <c r="BR69" s="15" t="e">
        <f ca="1">IF(BQ69,MATCH(TRUE,BU69:CZ69,0),"")</f>
        <v>#REF!</v>
      </c>
      <c r="BS69" s="15" t="e">
        <f t="shared" ref="BS69:BS85" ca="1" si="470">IF(BP69,IF(BQ69,BR69,IF(AQ69=2,AP69,0)),0)</f>
        <v>#REF!</v>
      </c>
      <c r="BT69" s="15" t="e">
        <f t="shared" ref="BT69:BT84" ca="1" si="471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472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448"/>
        <v>#REF!</v>
      </c>
      <c r="CD69" s="15" t="e">
        <f t="shared" ca="1" si="448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455"/>
        <v>0</v>
      </c>
      <c r="CL69" s="15" t="b">
        <f t="shared" ca="1" si="455"/>
        <v>0</v>
      </c>
      <c r="CM69" s="15" t="b">
        <f t="shared" ca="1" si="455"/>
        <v>0</v>
      </c>
      <c r="CN69" s="15" t="b">
        <f t="shared" ca="1" si="455"/>
        <v>0</v>
      </c>
      <c r="CO69" s="15" t="b">
        <f t="shared" ca="1" si="455"/>
        <v>0</v>
      </c>
      <c r="CP69" s="15" t="b">
        <f t="shared" ca="1" si="455"/>
        <v>0</v>
      </c>
      <c r="CQ69" s="15" t="b">
        <f t="shared" ca="1" si="455"/>
        <v>0</v>
      </c>
      <c r="CR69" s="21" t="b">
        <f t="shared" ca="1" si="455"/>
        <v>0</v>
      </c>
      <c r="CS69" s="22" t="b">
        <f t="shared" ca="1" si="458"/>
        <v>0</v>
      </c>
      <c r="CT69" s="22" t="b">
        <f t="shared" ca="1" si="458"/>
        <v>0</v>
      </c>
      <c r="CU69" s="22" t="b">
        <f t="shared" ca="1" si="458"/>
        <v>0</v>
      </c>
      <c r="CV69" s="22" t="b">
        <f t="shared" ca="1" si="458"/>
        <v>0</v>
      </c>
      <c r="CW69" s="22" t="b">
        <f t="shared" ca="1" si="458"/>
        <v>0</v>
      </c>
      <c r="CX69" s="22" t="b">
        <f t="shared" ca="1" si="458"/>
        <v>0</v>
      </c>
      <c r="CY69" s="22" t="b">
        <f t="shared" ca="1" si="458"/>
        <v>0</v>
      </c>
      <c r="CZ69" s="21" t="b">
        <f t="shared" ca="1" si="458"/>
        <v>0</v>
      </c>
      <c r="DB69" s="22" t="b">
        <f ca="1">OR(DC69:DJ69)</f>
        <v>0</v>
      </c>
      <c r="DC69" s="22" t="b">
        <f t="shared" ca="1" si="457"/>
        <v>0</v>
      </c>
      <c r="DD69" s="22" t="b">
        <f t="shared" ca="1" si="457"/>
        <v>0</v>
      </c>
      <c r="DE69" s="22" t="b">
        <f t="shared" ca="1" si="457"/>
        <v>0</v>
      </c>
      <c r="DF69" s="22" t="b">
        <f t="shared" ca="1" si="457"/>
        <v>0</v>
      </c>
      <c r="DG69" s="22" t="b">
        <f t="shared" ca="1" si="457"/>
        <v>0</v>
      </c>
      <c r="DH69" s="22" t="b">
        <f t="shared" ca="1" si="457"/>
        <v>0</v>
      </c>
      <c r="DI69" s="22" t="b">
        <f t="shared" ca="1" si="457"/>
        <v>0</v>
      </c>
      <c r="DJ69" s="22" t="b">
        <f t="shared" ca="1" si="457"/>
        <v>0</v>
      </c>
      <c r="DK69" s="22"/>
      <c r="DO69" s="15" t="str">
        <f t="shared" ref="DO69:DU70" ca="1" si="473">IF(V69&lt;&gt;"",IFERROR(INDEX(INDIRECT($BS$4),MATCH(V69,INDIRECT($C$4),0)),100),"")</f>
        <v/>
      </c>
      <c r="DP69" s="15" t="str">
        <f t="shared" ca="1" si="473"/>
        <v/>
      </c>
      <c r="DQ69" s="15" t="str">
        <f t="shared" ca="1" si="473"/>
        <v/>
      </c>
      <c r="DR69" s="15" t="str">
        <f t="shared" ca="1" si="473"/>
        <v/>
      </c>
      <c r="DS69" s="15" t="str">
        <f t="shared" ca="1" si="473"/>
        <v/>
      </c>
      <c r="DT69" s="15" t="str">
        <f t="shared" ca="1" si="473"/>
        <v/>
      </c>
      <c r="DU69" s="15" t="str">
        <f t="shared" ca="1" si="473"/>
        <v/>
      </c>
      <c r="DV69" s="15" t="str">
        <f t="shared" ca="1" si="462"/>
        <v/>
      </c>
    </row>
    <row r="70" spans="1:126">
      <c r="A70" s="15">
        <f t="shared" si="19"/>
        <v>58</v>
      </c>
      <c r="B70" s="15" t="e">
        <f t="shared" ca="1" si="459"/>
        <v>#REF!</v>
      </c>
      <c r="C70" s="15" t="s">
        <v>226</v>
      </c>
      <c r="D70" s="15" t="str">
        <f t="shared" si="463"/>
        <v>Etykiety Tresc</v>
      </c>
      <c r="F70" s="15" t="s">
        <v>227</v>
      </c>
      <c r="G70" s="15" t="s">
        <v>125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714</v>
      </c>
      <c r="M70" s="19"/>
      <c r="T70" s="15" t="str">
        <f t="shared" ca="1" si="464"/>
        <v/>
      </c>
      <c r="U70" s="15" t="e">
        <f t="shared" ca="1" si="461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465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466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451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714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467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468"/>
        <v>1</v>
      </c>
      <c r="BQ70" s="15" t="e">
        <f t="shared" ca="1" si="469"/>
        <v>#REF!</v>
      </c>
      <c r="BR70" s="15" t="e">
        <f ca="1">IF(BQ70,MATCH(TRUE,BU70:CZ70,0),"")</f>
        <v>#REF!</v>
      </c>
      <c r="BS70" s="15" t="e">
        <f t="shared" ca="1" si="470"/>
        <v>#REF!</v>
      </c>
      <c r="BT70" s="15" t="e">
        <f t="shared" ca="1" si="471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472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448"/>
        <v>#REF!</v>
      </c>
      <c r="CD70" s="15" t="e">
        <f t="shared" ca="1" si="448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455"/>
        <v>0</v>
      </c>
      <c r="CL70" s="15" t="b">
        <f t="shared" ca="1" si="455"/>
        <v>0</v>
      </c>
      <c r="CM70" s="15" t="b">
        <f t="shared" ca="1" si="455"/>
        <v>0</v>
      </c>
      <c r="CN70" s="15" t="b">
        <f t="shared" ca="1" si="455"/>
        <v>0</v>
      </c>
      <c r="CO70" s="15" t="b">
        <f t="shared" ca="1" si="455"/>
        <v>0</v>
      </c>
      <c r="CP70" s="15" t="b">
        <f t="shared" ca="1" si="455"/>
        <v>0</v>
      </c>
      <c r="CQ70" s="15" t="b">
        <f t="shared" ca="1" si="455"/>
        <v>0</v>
      </c>
      <c r="CR70" s="21" t="b">
        <f t="shared" ca="1" si="455"/>
        <v>0</v>
      </c>
      <c r="CS70" s="22" t="b">
        <f t="shared" ca="1" si="458"/>
        <v>0</v>
      </c>
      <c r="CT70" s="22" t="b">
        <f t="shared" ca="1" si="458"/>
        <v>0</v>
      </c>
      <c r="CU70" s="22" t="b">
        <f t="shared" ca="1" si="458"/>
        <v>0</v>
      </c>
      <c r="CV70" s="22" t="b">
        <f t="shared" ca="1" si="458"/>
        <v>0</v>
      </c>
      <c r="CW70" s="22" t="b">
        <f t="shared" ca="1" si="458"/>
        <v>0</v>
      </c>
      <c r="CX70" s="22" t="b">
        <f t="shared" ca="1" si="458"/>
        <v>0</v>
      </c>
      <c r="CY70" s="22" t="b">
        <f t="shared" ca="1" si="458"/>
        <v>0</v>
      </c>
      <c r="CZ70" s="21" t="b">
        <f t="shared" ca="1" si="458"/>
        <v>0</v>
      </c>
      <c r="DB70" s="22" t="b">
        <f ca="1">OR(DC70:DJ70)</f>
        <v>0</v>
      </c>
      <c r="DC70" s="22" t="b">
        <f t="shared" ca="1" si="457"/>
        <v>0</v>
      </c>
      <c r="DD70" s="22" t="b">
        <f t="shared" ca="1" si="457"/>
        <v>0</v>
      </c>
      <c r="DE70" s="22" t="b">
        <f t="shared" ca="1" si="457"/>
        <v>0</v>
      </c>
      <c r="DF70" s="22" t="b">
        <f t="shared" ca="1" si="457"/>
        <v>0</v>
      </c>
      <c r="DG70" s="22" t="b">
        <f t="shared" ca="1" si="457"/>
        <v>0</v>
      </c>
      <c r="DH70" s="22" t="b">
        <f t="shared" ca="1" si="457"/>
        <v>0</v>
      </c>
      <c r="DI70" s="22" t="b">
        <f t="shared" ca="1" si="457"/>
        <v>0</v>
      </c>
      <c r="DJ70" s="22" t="b">
        <f t="shared" ca="1" si="457"/>
        <v>0</v>
      </c>
      <c r="DK70" s="22"/>
      <c r="DO70" s="15" t="str">
        <f t="shared" ca="1" si="473"/>
        <v/>
      </c>
      <c r="DP70" s="15" t="str">
        <f t="shared" ca="1" si="473"/>
        <v/>
      </c>
      <c r="DQ70" s="15" t="str">
        <f t="shared" ca="1" si="473"/>
        <v/>
      </c>
      <c r="DR70" s="15" t="str">
        <f t="shared" ca="1" si="473"/>
        <v/>
      </c>
      <c r="DS70" s="15" t="str">
        <f t="shared" ca="1" si="473"/>
        <v/>
      </c>
      <c r="DT70" s="15" t="str">
        <f t="shared" ca="1" si="473"/>
        <v/>
      </c>
      <c r="DU70" s="15" t="str">
        <f t="shared" ca="1" si="473"/>
        <v/>
      </c>
      <c r="DV70" s="15" t="str">
        <f t="shared" ca="1" si="462"/>
        <v/>
      </c>
    </row>
    <row r="71" spans="1:126">
      <c r="A71" s="15">
        <f t="shared" si="19"/>
        <v>59</v>
      </c>
      <c r="B71" s="15" t="str">
        <f t="shared" ca="1" si="459"/>
        <v>Pola, od którego zależy dane pole ma błąd</v>
      </c>
      <c r="C71" s="15" t="s">
        <v>262</v>
      </c>
      <c r="D71" s="15" t="str">
        <f t="shared" si="463"/>
        <v>MaxWierszEtykiet</v>
      </c>
      <c r="G71" s="15" t="s">
        <v>91</v>
      </c>
      <c r="J71" s="19" t="str">
        <f ca="1">CELL(_CELL_ADDRESS_NAME,ster!$B$20)</f>
        <v>'[dane surowe2c.xlsm]ster'!$B$20</v>
      </c>
      <c r="M71" s="19"/>
      <c r="T71" s="15" t="str">
        <f t="shared" ca="1" si="464"/>
        <v>'[dane surowe2c.xlsm]ster'!$B$20</v>
      </c>
      <c r="U71" s="15">
        <f t="shared" ca="1" si="461"/>
        <v>25</v>
      </c>
      <c r="V71" s="15" t="s">
        <v>226</v>
      </c>
      <c r="AD71" s="16" t="b">
        <f t="shared" ref="AD71:AD90" si="474">C71&lt;&gt;""</f>
        <v>1</v>
      </c>
      <c r="AE71" s="16" t="b">
        <f t="shared" ref="AE71:AE90" si="475">AND(I71&lt;&gt;"",H71&lt;&gt;"")</f>
        <v>0</v>
      </c>
      <c r="AF71" s="15" t="str">
        <f t="shared" ref="AF71:AF90" si="476">IF(AE71,"[" &amp; H71 &amp; "]" &amp; $B$2,"")</f>
        <v/>
      </c>
      <c r="AG71" s="15" t="str">
        <f t="shared" ref="AG71:AG90" ca="1" si="477">IF(AND(AE71,NOT(BX71)),INDIRECT(ADDRESS(ROW($D$4),COLUMN($D$4),,,AF71)),"")</f>
        <v/>
      </c>
      <c r="AH71" s="15" t="str">
        <f t="shared" ref="AH71:AH90" ca="1" si="478">IF(AND(AE71,NOT(BX71)),MATCH(I71,INDIRECT(AG71),0),"")</f>
        <v/>
      </c>
      <c r="AI71" s="15" t="b">
        <f t="shared" ref="AI71:AI90" ca="1" si="479">AND(AE71,NOT(BX71),NOT(BY71))</f>
        <v>0</v>
      </c>
      <c r="AJ71" s="15" t="str">
        <f t="shared" ca="1" si="465"/>
        <v/>
      </c>
      <c r="AK71" s="27" t="str">
        <f t="shared" ref="AK71:AK90" ca="1" si="480">IF(AE71,INDEX(INDIRECT(AJ71),AH71),"")</f>
        <v/>
      </c>
      <c r="AL71" s="15" t="b">
        <f t="shared" ref="AL71:AL90" ca="1" si="481">AND(AE71,NOT(OR(BX71,BY71)))</f>
        <v>0</v>
      </c>
      <c r="AM71" s="15" t="str">
        <f t="shared" ref="AM71:AM90" ca="1" si="482">IF(AE71,INDIRECT(ADDRESS(ROW($BK$4),COLUMN($BK$4),,,AF71)),"")</f>
        <v/>
      </c>
      <c r="AN71" s="15">
        <f t="shared" ref="AN71:AN90" ca="1" si="483">IFERROR(IF(AE71,INDEX(INDIRECT(AM71),AH71),3),3)</f>
        <v>3</v>
      </c>
      <c r="AO71" s="15" t="str">
        <f t="shared" ca="1" si="466"/>
        <v/>
      </c>
      <c r="AP71" s="15" t="str">
        <f t="shared" ref="AP71:AP90" ca="1" si="484">IF(AQ71=2,INDEX(INDIRECT(AO71),AH71),"")</f>
        <v/>
      </c>
      <c r="AQ71" s="27">
        <f t="shared" ref="AQ71:AQ90" ca="1" si="485">IF(AND(AE71,NOT(AR71)),2,IF(AND(AR71,NOT(AE71)),1,IF(AND(NOT(AE71),NOT(AR71)),4,3)))</f>
        <v>1</v>
      </c>
      <c r="AR71" s="15" t="b">
        <f t="shared" ref="AR71:AR90" ca="1" si="486">AND(J71&lt;&gt;"",AD71)</f>
        <v>1</v>
      </c>
      <c r="AS71" s="27" t="b">
        <f t="shared" ref="AS71:AS90" ca="1" si="487">NOT(ISERROR(FIND("[",J71)))</f>
        <v>1</v>
      </c>
      <c r="AT71" s="27" t="b">
        <f t="shared" ref="AT71:AT90" ca="1" si="488">MID(J71,1,1)="'"</f>
        <v>1</v>
      </c>
      <c r="AU71" s="27">
        <f t="shared" ref="AU71:AU90" ca="1" si="489">IF(AS71,FIND("]",J71),"")</f>
        <v>21</v>
      </c>
      <c r="AV71" s="16" t="e">
        <f t="shared" ref="AV71:AV90" ca="1" si="490">IF(AS71,MID(J71,1,AU71)&lt;&gt;$V$2,FALSE)</f>
        <v>#REF!</v>
      </c>
      <c r="AW71" s="15" t="str">
        <f t="shared" ca="1" si="451"/>
        <v>'[dane surowe2c.xlsm]ster'!$B$20</v>
      </c>
      <c r="AX71" s="27" t="b">
        <f t="shared" ref="AX71:AX90" ca="1" si="491">IF(AR71,ROWS(INDIRECT(AW71))&gt;1)</f>
        <v>0</v>
      </c>
      <c r="AY71" s="27" t="b">
        <f t="shared" ref="AY71:AY90" ca="1" si="492">IF(AR71,COLUMNS(INDIRECT(AW71))&gt;1)</f>
        <v>0</v>
      </c>
      <c r="AZ71" s="15">
        <f t="shared" ref="AZ71:AZ90" ca="1" si="493">IF($AE71,IF(NOT(AI71),"?",COLUMNS(INDIRECT($AK71))),IF($AD71,IF(L71="",1,L71)))</f>
        <v>1</v>
      </c>
      <c r="BA71" s="15">
        <f t="shared" ref="BA71:BA90" ca="1" si="494">IF($AE71,IF(NOT(AI71),"?",ROWS(INDIRECT($AK71))),IF($AD71,IF(K71="",1,K71)))</f>
        <v>1</v>
      </c>
      <c r="BB71" s="15" t="str">
        <f t="shared" ref="BB71:BB90" ca="1" si="495">IF(AD71,CHOOSE(AQ71,AW71,AK71,"?"),"")</f>
        <v>'[dane surowe2c.xlsm]ster'!$B$20</v>
      </c>
      <c r="BC71" s="15" t="str">
        <f t="shared" ca="1" si="467"/>
        <v>'[dane surowe2c.xlsm]ster'!$B$20</v>
      </c>
      <c r="BD71" s="15" t="b">
        <f t="shared" ref="BD71:BD90" ca="1" si="496">AZ71*BA71&gt;1</f>
        <v>0</v>
      </c>
      <c r="BE71" s="15" t="b">
        <f t="shared" ref="BE71:BE90" ca="1" si="497">IF(AND(AD71,AQ71=1),IF(Q71="",BI71, IF(Q71,TRUE,FALSE)),FALSE)</f>
        <v>1</v>
      </c>
      <c r="BF71" s="15">
        <f t="shared" ref="BF71:BF90" ca="1" si="498">IF(BE71,COUNTA(INDIRECT(BC71)),"")</f>
        <v>1</v>
      </c>
      <c r="BG71" s="15">
        <f t="shared" ref="BG71:BG90" ca="1" si="499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500">G71="r"</f>
        <v>1</v>
      </c>
      <c r="BJ71" s="15" t="b">
        <f t="shared" ref="BJ71:BJ90" si="501">G71="W"</f>
        <v>0</v>
      </c>
      <c r="BK71" s="15">
        <f t="shared" ref="BK71:BK90" ca="1" si="502">IF(AR71,IF(AND(BI71,NOT(BJ71)),1,IF(AND(BJ71,NOT(BI71)),2,3)),"")</f>
        <v>1</v>
      </c>
      <c r="BL71" s="15">
        <f t="shared" ref="BL71:BL90" ca="1" si="503">CHOOSE(AQ71,BK71,AN71,3,4)</f>
        <v>1</v>
      </c>
      <c r="BP71" s="15" t="b">
        <f t="shared" si="468"/>
        <v>1</v>
      </c>
      <c r="BQ71" s="15" t="b">
        <f t="shared" ca="1" si="469"/>
        <v>1</v>
      </c>
      <c r="BR71" s="15">
        <f t="shared" ref="BR71:BR90" ca="1" si="504">IF(BQ71,MATCH(TRUE,BU71:CZ71,0),"")</f>
        <v>25</v>
      </c>
      <c r="BS71" s="15">
        <f t="shared" ca="1" si="470"/>
        <v>25</v>
      </c>
      <c r="BT71" s="15" t="str">
        <f t="shared" ca="1" si="471"/>
        <v>Pola, od którego zależy dane pole ma błąd</v>
      </c>
      <c r="BV71" s="15" t="b">
        <f t="shared" ref="BV71:BV90" ca="1" si="505">IFERROR(IF($AD71,COUNTIF(INDIRECT($C$4),C71)&gt;1,FALSE),FALSE)</f>
        <v>0</v>
      </c>
      <c r="BW71" s="15" t="b">
        <f t="shared" ref="BW71:BW90" ca="1" si="506">IFERROR(IF($AD71,IF(D71&lt;&gt;"",COUNTIF(INDIRECT($D$4),D71)&gt;1,FALSE),FALSE),FALSE)</f>
        <v>0</v>
      </c>
      <c r="BX71" s="15" t="b">
        <f t="shared" ca="1" si="472"/>
        <v>0</v>
      </c>
      <c r="BY71" s="15" t="b">
        <f t="shared" ref="BY71:BY90" ca="1" si="507">IFERROR(IF(AND(AE71,NOT(BX71)),IF(ISERROR(AH71),TRUE,FALSE)),FALSE)</f>
        <v>0</v>
      </c>
      <c r="BZ71" s="15" t="b">
        <f t="shared" ref="BZ71:BZ90" ca="1" si="508">IFERROR(IF(BE71,BF71&lt;&gt;BG71,FALSE),FALSE)</f>
        <v>0</v>
      </c>
      <c r="CA71" s="15" t="b">
        <f t="shared" ref="CA71:CA90" ca="1" si="509">AND(AR71,AE71,AD71)</f>
        <v>0</v>
      </c>
      <c r="CB71" s="15" t="b">
        <f t="shared" ref="CB71:CB90" ca="1" si="510">ISERROR(COUNT(INDIRECT(J71)))</f>
        <v>0</v>
      </c>
      <c r="CC71" s="15" t="b">
        <f t="shared" ref="CC71:CD71" ca="1" si="511">AND(AD71,AQ71=2,Q71&lt;&gt;"")</f>
        <v>0</v>
      </c>
      <c r="CD71" s="15" t="b">
        <f t="shared" ca="1" si="511"/>
        <v>0</v>
      </c>
      <c r="CE71" s="15" t="b">
        <f t="shared" ref="CE71:CE90" ca="1" si="512">IF(AD71, IF(AQ71=1, IF(OR(R71,DB71,AK71="" ),FALSE,OR(ISERROR(INDIRECT(T71)))),FALSE),FALSE)</f>
        <v>0</v>
      </c>
      <c r="CF71" s="15" t="b">
        <f t="shared" ref="CF71:CF90" ca="1" si="513">AND($AD71,$AQ71=2,COUNTA( S71)=1)</f>
        <v>0</v>
      </c>
      <c r="CG71" s="15" t="b">
        <f t="shared" ref="CG71:CG90" ca="1" si="514">AND(AND(AQ71&lt;&gt;1,AQ71&lt;&gt;3),G71&lt;&gt;"")</f>
        <v>0</v>
      </c>
      <c r="CH71" s="15" t="b">
        <f t="shared" ref="CH71:CH90" ca="1" si="515">AND(AQ71=1,BK71=3)</f>
        <v>0</v>
      </c>
      <c r="CI71" s="15" t="b">
        <f t="shared" ref="CI71:CI90" si="516">ISERROR(S71)</f>
        <v>0</v>
      </c>
      <c r="CJ71" s="15" t="b">
        <f t="shared" ref="CJ71:CJ90" si="517">IFERROR(IF(S71,TRUE,FALSE),FALSE)</f>
        <v>0</v>
      </c>
      <c r="CK71" s="15" t="b">
        <f t="shared" ref="CK71:CM71" ca="1" si="518">IF(V71&lt;&gt;"",IFERROR(MATCH(V71,INDIRECT($C$4),0)&lt;0,TRUE),FALSE)</f>
        <v>0</v>
      </c>
      <c r="CL71" s="15" t="b">
        <f t="shared" ca="1" si="518"/>
        <v>0</v>
      </c>
      <c r="CM71" s="15" t="b">
        <f t="shared" ca="1" si="518"/>
        <v>0</v>
      </c>
      <c r="CN71" s="15" t="b">
        <f t="shared" ref="CN71:CR71" ca="1" si="519">IF(Y71&lt;&gt;"",IFERROR(MATCH(Y71,INDIRECT($C$4),0)&lt;0,TRUE),FALSE)</f>
        <v>0</v>
      </c>
      <c r="CO71" s="15" t="b">
        <f t="shared" ca="1" si="519"/>
        <v>0</v>
      </c>
      <c r="CP71" s="15" t="b">
        <f t="shared" ca="1" si="519"/>
        <v>0</v>
      </c>
      <c r="CQ71" s="15" t="b">
        <f t="shared" ca="1" si="519"/>
        <v>0</v>
      </c>
      <c r="CR71" s="21" t="b">
        <f t="shared" ca="1" si="519"/>
        <v>0</v>
      </c>
      <c r="CS71" s="22" t="b">
        <f t="shared" ref="CS71:CZ71" ca="1" si="520">AND(DO71&lt;&gt;"",DO71&lt;&gt;0,DO71&lt;&gt;4)</f>
        <v>1</v>
      </c>
      <c r="CT71" s="22" t="b">
        <f t="shared" ca="1" si="520"/>
        <v>0</v>
      </c>
      <c r="CU71" s="22" t="b">
        <f t="shared" ca="1" si="520"/>
        <v>0</v>
      </c>
      <c r="CV71" s="22" t="b">
        <f t="shared" ca="1" si="520"/>
        <v>0</v>
      </c>
      <c r="CW71" s="22" t="b">
        <f t="shared" ca="1" si="520"/>
        <v>0</v>
      </c>
      <c r="CX71" s="22" t="b">
        <f t="shared" ca="1" si="520"/>
        <v>0</v>
      </c>
      <c r="CY71" s="22" t="b">
        <f t="shared" ca="1" si="520"/>
        <v>0</v>
      </c>
      <c r="CZ71" s="21" t="b">
        <f t="shared" ca="1" si="520"/>
        <v>0</v>
      </c>
      <c r="DB71" s="22" t="b">
        <f t="shared" ref="DB71:DB90" ca="1" si="521">OR(DC71:DJ71)</f>
        <v>0</v>
      </c>
      <c r="DC71" s="22" t="b">
        <f t="shared" ref="DC71:DI71" ca="1" si="522">AND(DO71=4)</f>
        <v>0</v>
      </c>
      <c r="DD71" s="22" t="b">
        <f t="shared" ca="1" si="522"/>
        <v>0</v>
      </c>
      <c r="DE71" s="22" t="b">
        <f t="shared" ca="1" si="522"/>
        <v>0</v>
      </c>
      <c r="DF71" s="22" t="b">
        <f t="shared" ca="1" si="522"/>
        <v>0</v>
      </c>
      <c r="DG71" s="22" t="b">
        <f t="shared" ca="1" si="522"/>
        <v>0</v>
      </c>
      <c r="DH71" s="22" t="b">
        <f t="shared" ca="1" si="522"/>
        <v>0</v>
      </c>
      <c r="DI71" s="22" t="b">
        <f t="shared" ca="1" si="522"/>
        <v>0</v>
      </c>
      <c r="DJ71" s="22" t="b">
        <f t="shared" ref="DJ71:DJ97" ca="1" si="523">AND(DV71=4)</f>
        <v>0</v>
      </c>
      <c r="DK71" s="22"/>
      <c r="DO71" s="15">
        <f t="shared" ref="DO71:DU71" ca="1" si="524">IF(V71&lt;&gt;"",IFERROR(INDEX(INDIRECT($BS$4),MATCH(V71,INDIRECT($C$4),0)),100),"")</f>
        <v>100</v>
      </c>
      <c r="DP71" s="15" t="str">
        <f t="shared" ca="1" si="524"/>
        <v/>
      </c>
      <c r="DQ71" s="15" t="str">
        <f t="shared" ca="1" si="524"/>
        <v/>
      </c>
      <c r="DR71" s="15" t="str">
        <f t="shared" ca="1" si="524"/>
        <v/>
      </c>
      <c r="DS71" s="15" t="str">
        <f t="shared" ca="1" si="524"/>
        <v/>
      </c>
      <c r="DT71" s="15" t="str">
        <f t="shared" ca="1" si="524"/>
        <v/>
      </c>
      <c r="DU71" s="15" t="str">
        <f t="shared" ca="1" si="524"/>
        <v/>
      </c>
      <c r="DV71" s="15" t="str">
        <f t="shared" ca="1" si="462"/>
        <v/>
      </c>
    </row>
    <row r="72" spans="1:126">
      <c r="A72" s="15">
        <f t="shared" si="19"/>
        <v>60</v>
      </c>
      <c r="B72" s="15" t="str">
        <f t="shared" si="459"/>
        <v/>
      </c>
      <c r="D72" s="15" t="str">
        <f t="shared" si="463"/>
        <v/>
      </c>
      <c r="M72" s="19"/>
      <c r="T72" s="15" t="str">
        <f t="shared" ca="1" si="464"/>
        <v/>
      </c>
      <c r="U72" s="15" t="str">
        <f t="shared" si="461"/>
        <v/>
      </c>
      <c r="AD72" s="16" t="b">
        <f t="shared" si="474"/>
        <v>0</v>
      </c>
      <c r="AE72" s="16" t="b">
        <f t="shared" si="475"/>
        <v>0</v>
      </c>
      <c r="AF72" s="15" t="str">
        <f t="shared" si="476"/>
        <v/>
      </c>
      <c r="AG72" s="15" t="str">
        <f t="shared" ca="1" si="477"/>
        <v/>
      </c>
      <c r="AH72" s="15" t="str">
        <f t="shared" ca="1" si="478"/>
        <v/>
      </c>
      <c r="AI72" s="15" t="b">
        <f t="shared" ca="1" si="479"/>
        <v>0</v>
      </c>
      <c r="AJ72" s="15" t="str">
        <f t="shared" ca="1" si="465"/>
        <v/>
      </c>
      <c r="AK72" s="27" t="str">
        <f t="shared" ca="1" si="480"/>
        <v/>
      </c>
      <c r="AL72" s="15" t="b">
        <f t="shared" ca="1" si="481"/>
        <v>0</v>
      </c>
      <c r="AM72" s="15" t="str">
        <f t="shared" ca="1" si="482"/>
        <v/>
      </c>
      <c r="AN72" s="15">
        <f t="shared" ca="1" si="483"/>
        <v>3</v>
      </c>
      <c r="AO72" s="15" t="str">
        <f t="shared" ca="1" si="466"/>
        <v/>
      </c>
      <c r="AP72" s="15" t="str">
        <f t="shared" ca="1" si="484"/>
        <v/>
      </c>
      <c r="AQ72" s="27">
        <f t="shared" si="485"/>
        <v>4</v>
      </c>
      <c r="AR72" s="15" t="b">
        <f t="shared" si="486"/>
        <v>0</v>
      </c>
      <c r="AS72" s="27" t="b">
        <f t="shared" si="487"/>
        <v>0</v>
      </c>
      <c r="AT72" s="27" t="b">
        <f t="shared" si="488"/>
        <v>0</v>
      </c>
      <c r="AU72" s="27" t="str">
        <f t="shared" si="489"/>
        <v/>
      </c>
      <c r="AV72" s="16" t="b">
        <f t="shared" si="490"/>
        <v>0</v>
      </c>
      <c r="AW72" s="15" t="str">
        <f t="shared" ca="1" si="451"/>
        <v/>
      </c>
      <c r="AX72" s="27" t="b">
        <f t="shared" ca="1" si="491"/>
        <v>0</v>
      </c>
      <c r="AY72" s="27" t="b">
        <f t="shared" ca="1" si="492"/>
        <v>0</v>
      </c>
      <c r="AZ72" s="15" t="b">
        <f t="shared" ca="1" si="493"/>
        <v>0</v>
      </c>
      <c r="BA72" s="15" t="b">
        <f t="shared" ca="1" si="494"/>
        <v>0</v>
      </c>
      <c r="BB72" s="15" t="str">
        <f t="shared" si="495"/>
        <v/>
      </c>
      <c r="BC72" s="15" t="str">
        <f t="shared" ca="1" si="467"/>
        <v/>
      </c>
      <c r="BD72" s="15" t="b">
        <f t="shared" ca="1" si="496"/>
        <v>0</v>
      </c>
      <c r="BE72" s="15" t="b">
        <f t="shared" si="497"/>
        <v>0</v>
      </c>
      <c r="BF72" s="15" t="str">
        <f t="shared" ca="1" si="498"/>
        <v/>
      </c>
      <c r="BG72" s="15" t="str">
        <f t="shared" si="499"/>
        <v/>
      </c>
      <c r="BH72" s="15" t="str">
        <f t="array" aca="1" ref="BH72" ca="1">IF(IFERROR( S72,1),1,IF(BC72="","", SUM(IF(ISERROR(INDIRECT(BC72)),1,0))))</f>
        <v/>
      </c>
      <c r="BI72" s="15" t="b">
        <f t="shared" si="500"/>
        <v>0</v>
      </c>
      <c r="BJ72" s="15" t="b">
        <f t="shared" si="501"/>
        <v>0</v>
      </c>
      <c r="BK72" s="15" t="str">
        <f t="shared" si="502"/>
        <v/>
      </c>
      <c r="BL72" s="15">
        <f t="shared" si="503"/>
        <v>4</v>
      </c>
      <c r="BP72" s="15" t="b">
        <f t="shared" si="468"/>
        <v>0</v>
      </c>
      <c r="BQ72" s="15" t="b">
        <f t="shared" si="469"/>
        <v>0</v>
      </c>
      <c r="BR72" s="15" t="str">
        <f t="shared" si="504"/>
        <v/>
      </c>
      <c r="BS72" s="15">
        <f t="shared" si="470"/>
        <v>0</v>
      </c>
      <c r="BT72" s="15" t="str">
        <f t="shared" si="471"/>
        <v/>
      </c>
      <c r="BV72" s="15" t="b">
        <f t="shared" ca="1" si="505"/>
        <v>0</v>
      </c>
      <c r="BW72" s="15" t="b">
        <f t="shared" ca="1" si="506"/>
        <v>0</v>
      </c>
      <c r="BX72" s="15" t="b">
        <f t="shared" ca="1" si="472"/>
        <v>0</v>
      </c>
      <c r="BY72" s="15" t="b">
        <f t="shared" ca="1" si="507"/>
        <v>0</v>
      </c>
      <c r="BZ72" s="15" t="b">
        <f t="shared" si="508"/>
        <v>0</v>
      </c>
      <c r="CA72" s="15" t="b">
        <f t="shared" si="509"/>
        <v>0</v>
      </c>
      <c r="CB72" s="15" t="b">
        <f t="shared" ca="1" si="510"/>
        <v>0</v>
      </c>
      <c r="CC72" s="15" t="b">
        <f t="shared" ref="CC72:CD97" si="525">AND(AD72,AQ72=2,Q72&lt;&gt;"")</f>
        <v>0</v>
      </c>
      <c r="CD72" s="15" t="b">
        <f t="shared" si="525"/>
        <v>0</v>
      </c>
      <c r="CE72" s="15" t="b">
        <f t="shared" ca="1" si="512"/>
        <v>0</v>
      </c>
      <c r="CF72" s="15" t="b">
        <f t="shared" si="513"/>
        <v>0</v>
      </c>
      <c r="CG72" s="15" t="b">
        <f t="shared" si="514"/>
        <v>0</v>
      </c>
      <c r="CH72" s="15" t="b">
        <f t="shared" si="515"/>
        <v>0</v>
      </c>
      <c r="CI72" s="15" t="b">
        <f t="shared" si="516"/>
        <v>0</v>
      </c>
      <c r="CJ72" s="15" t="b">
        <f t="shared" si="517"/>
        <v>0</v>
      </c>
      <c r="CK72" s="15" t="b">
        <f t="shared" ref="CK72:CR97" ca="1" si="526">IF(V72&lt;&gt;"",IFERROR(MATCH(V72,INDIRECT($C$4),0)&lt;0,TRUE),FALSE)</f>
        <v>0</v>
      </c>
      <c r="CL72" s="15" t="b">
        <f t="shared" ca="1" si="526"/>
        <v>0</v>
      </c>
      <c r="CM72" s="15" t="b">
        <f t="shared" ca="1" si="526"/>
        <v>0</v>
      </c>
      <c r="CN72" s="15" t="b">
        <f t="shared" ca="1" si="526"/>
        <v>0</v>
      </c>
      <c r="CO72" s="15" t="b">
        <f t="shared" ca="1" si="526"/>
        <v>0</v>
      </c>
      <c r="CP72" s="15" t="b">
        <f t="shared" ca="1" si="526"/>
        <v>0</v>
      </c>
      <c r="CQ72" s="15" t="b">
        <f t="shared" ca="1" si="526"/>
        <v>0</v>
      </c>
      <c r="CR72" s="21" t="b">
        <f t="shared" ca="1" si="526"/>
        <v>0</v>
      </c>
      <c r="CS72" s="22" t="b">
        <f t="shared" ref="CS72:CZ97" ca="1" si="527">AND(DO72&lt;&gt;"",DO72&lt;&gt;0,DO72&lt;&gt;4)</f>
        <v>0</v>
      </c>
      <c r="CT72" s="22" t="b">
        <f t="shared" ca="1" si="527"/>
        <v>0</v>
      </c>
      <c r="CU72" s="22" t="b">
        <f t="shared" ca="1" si="527"/>
        <v>0</v>
      </c>
      <c r="CV72" s="22" t="b">
        <f t="shared" ca="1" si="527"/>
        <v>0</v>
      </c>
      <c r="CW72" s="22" t="b">
        <f t="shared" ca="1" si="527"/>
        <v>0</v>
      </c>
      <c r="CX72" s="22" t="b">
        <f t="shared" ca="1" si="527"/>
        <v>0</v>
      </c>
      <c r="CY72" s="22" t="b">
        <f t="shared" ca="1" si="527"/>
        <v>0</v>
      </c>
      <c r="CZ72" s="21" t="b">
        <f t="shared" ca="1" si="527"/>
        <v>0</v>
      </c>
      <c r="DB72" s="22" t="b">
        <f t="shared" ca="1" si="521"/>
        <v>0</v>
      </c>
      <c r="DC72" s="22" t="b">
        <f t="shared" ref="DC72:DI97" ca="1" si="528">AND(DO72=4)</f>
        <v>0</v>
      </c>
      <c r="DD72" s="22" t="b">
        <f t="shared" ca="1" si="528"/>
        <v>0</v>
      </c>
      <c r="DE72" s="22" t="b">
        <f t="shared" ca="1" si="528"/>
        <v>0</v>
      </c>
      <c r="DF72" s="22" t="b">
        <f t="shared" ca="1" si="528"/>
        <v>0</v>
      </c>
      <c r="DG72" s="22" t="b">
        <f t="shared" ca="1" si="528"/>
        <v>0</v>
      </c>
      <c r="DH72" s="22" t="b">
        <f t="shared" ca="1" si="528"/>
        <v>0</v>
      </c>
      <c r="DI72" s="22" t="b">
        <f t="shared" ca="1" si="528"/>
        <v>0</v>
      </c>
      <c r="DJ72" s="22" t="b">
        <f t="shared" ca="1" si="523"/>
        <v>0</v>
      </c>
      <c r="DK72" s="22"/>
      <c r="DO72" s="15" t="str">
        <f t="shared" ref="DO72:DV97" ca="1" si="529">IF(V72&lt;&gt;"",IFERROR(INDEX(INDIRECT($BS$4),MATCH(V72,INDIRECT($C$4),0)),100),"")</f>
        <v/>
      </c>
      <c r="DP72" s="15" t="str">
        <f t="shared" ca="1" si="529"/>
        <v/>
      </c>
      <c r="DQ72" s="15" t="str">
        <f t="shared" ca="1" si="529"/>
        <v/>
      </c>
      <c r="DR72" s="15" t="str">
        <f t="shared" ca="1" si="529"/>
        <v/>
      </c>
      <c r="DS72" s="15" t="str">
        <f t="shared" ca="1" si="529"/>
        <v/>
      </c>
      <c r="DT72" s="15" t="str">
        <f t="shared" ca="1" si="529"/>
        <v/>
      </c>
      <c r="DU72" s="15" t="str">
        <f t="shared" ca="1" si="529"/>
        <v/>
      </c>
      <c r="DV72" s="15" t="str">
        <f t="shared" ca="1" si="462"/>
        <v/>
      </c>
    </row>
    <row r="73" spans="1:126">
      <c r="A73" s="15">
        <f t="shared" si="19"/>
        <v>61</v>
      </c>
      <c r="B73" s="15" t="str">
        <f t="shared" si="459"/>
        <v/>
      </c>
      <c r="D73" s="15" t="str">
        <f t="shared" si="463"/>
        <v/>
      </c>
      <c r="M73" s="19"/>
      <c r="T73" s="15" t="str">
        <f t="shared" ca="1" si="464"/>
        <v/>
      </c>
      <c r="U73" s="15" t="str">
        <f t="shared" si="461"/>
        <v/>
      </c>
      <c r="AD73" s="16" t="b">
        <f t="shared" si="474"/>
        <v>0</v>
      </c>
      <c r="AE73" s="16" t="b">
        <f t="shared" si="475"/>
        <v>0</v>
      </c>
      <c r="AF73" s="15" t="str">
        <f t="shared" si="476"/>
        <v/>
      </c>
      <c r="AG73" s="15" t="str">
        <f t="shared" ca="1" si="477"/>
        <v/>
      </c>
      <c r="AH73" s="15" t="str">
        <f t="shared" ca="1" si="478"/>
        <v/>
      </c>
      <c r="AI73" s="15" t="b">
        <f t="shared" ca="1" si="479"/>
        <v>0</v>
      </c>
      <c r="AJ73" s="15" t="str">
        <f t="shared" ca="1" si="465"/>
        <v/>
      </c>
      <c r="AK73" s="27" t="str">
        <f t="shared" ca="1" si="480"/>
        <v/>
      </c>
      <c r="AL73" s="15" t="b">
        <f t="shared" ca="1" si="481"/>
        <v>0</v>
      </c>
      <c r="AM73" s="15" t="str">
        <f t="shared" ca="1" si="482"/>
        <v/>
      </c>
      <c r="AN73" s="15">
        <f t="shared" ca="1" si="483"/>
        <v>3</v>
      </c>
      <c r="AO73" s="15" t="str">
        <f t="shared" ca="1" si="466"/>
        <v/>
      </c>
      <c r="AP73" s="15" t="str">
        <f t="shared" ca="1" si="484"/>
        <v/>
      </c>
      <c r="AQ73" s="27">
        <f t="shared" si="485"/>
        <v>4</v>
      </c>
      <c r="AR73" s="15" t="b">
        <f t="shared" si="486"/>
        <v>0</v>
      </c>
      <c r="AS73" s="27" t="b">
        <f t="shared" si="487"/>
        <v>0</v>
      </c>
      <c r="AT73" s="27" t="b">
        <f t="shared" si="488"/>
        <v>0</v>
      </c>
      <c r="AU73" s="27" t="str">
        <f t="shared" si="489"/>
        <v/>
      </c>
      <c r="AV73" s="16" t="b">
        <f t="shared" si="490"/>
        <v>0</v>
      </c>
      <c r="AW73" s="15" t="str">
        <f t="shared" ca="1" si="451"/>
        <v/>
      </c>
      <c r="AX73" s="27" t="b">
        <f t="shared" ca="1" si="491"/>
        <v>0</v>
      </c>
      <c r="AY73" s="27" t="b">
        <f t="shared" ca="1" si="492"/>
        <v>0</v>
      </c>
      <c r="AZ73" s="15" t="b">
        <f t="shared" ca="1" si="493"/>
        <v>0</v>
      </c>
      <c r="BA73" s="15" t="b">
        <f t="shared" ca="1" si="494"/>
        <v>0</v>
      </c>
      <c r="BB73" s="15" t="str">
        <f t="shared" si="495"/>
        <v/>
      </c>
      <c r="BC73" s="15" t="str">
        <f t="shared" ca="1" si="467"/>
        <v/>
      </c>
      <c r="BD73" s="15" t="b">
        <f t="shared" ca="1" si="496"/>
        <v>0</v>
      </c>
      <c r="BE73" s="15" t="b">
        <f t="shared" si="497"/>
        <v>0</v>
      </c>
      <c r="BF73" s="15" t="str">
        <f t="shared" ca="1" si="498"/>
        <v/>
      </c>
      <c r="BG73" s="15" t="str">
        <f t="shared" si="499"/>
        <v/>
      </c>
      <c r="BH73" s="15" t="str">
        <f t="array" aca="1" ref="BH73" ca="1">IF(IFERROR( S73,1),1,IF(BC73="","", SUM(IF(ISERROR(INDIRECT(BC73)),1,0))))</f>
        <v/>
      </c>
      <c r="BI73" s="15" t="b">
        <f t="shared" si="500"/>
        <v>0</v>
      </c>
      <c r="BJ73" s="15" t="b">
        <f t="shared" si="501"/>
        <v>0</v>
      </c>
      <c r="BK73" s="15" t="str">
        <f t="shared" si="502"/>
        <v/>
      </c>
      <c r="BL73" s="15">
        <f t="shared" si="503"/>
        <v>4</v>
      </c>
      <c r="BP73" s="15" t="b">
        <f t="shared" si="468"/>
        <v>0</v>
      </c>
      <c r="BQ73" s="15" t="b">
        <f t="shared" si="469"/>
        <v>0</v>
      </c>
      <c r="BR73" s="15" t="str">
        <f t="shared" si="504"/>
        <v/>
      </c>
      <c r="BS73" s="15">
        <f t="shared" si="470"/>
        <v>0</v>
      </c>
      <c r="BT73" s="15" t="str">
        <f t="shared" si="471"/>
        <v/>
      </c>
      <c r="BV73" s="15" t="b">
        <f t="shared" ca="1" si="505"/>
        <v>0</v>
      </c>
      <c r="BW73" s="15" t="b">
        <f t="shared" ca="1" si="506"/>
        <v>0</v>
      </c>
      <c r="BX73" s="15" t="b">
        <f t="shared" ca="1" si="472"/>
        <v>0</v>
      </c>
      <c r="BY73" s="15" t="b">
        <f t="shared" ca="1" si="507"/>
        <v>0</v>
      </c>
      <c r="BZ73" s="15" t="b">
        <f t="shared" si="508"/>
        <v>0</v>
      </c>
      <c r="CA73" s="15" t="b">
        <f t="shared" si="509"/>
        <v>0</v>
      </c>
      <c r="CB73" s="15" t="b">
        <f t="shared" ca="1" si="510"/>
        <v>0</v>
      </c>
      <c r="CC73" s="15" t="b">
        <f t="shared" si="525"/>
        <v>0</v>
      </c>
      <c r="CD73" s="15" t="b">
        <f t="shared" si="525"/>
        <v>0</v>
      </c>
      <c r="CE73" s="15" t="b">
        <f t="shared" ca="1" si="512"/>
        <v>0</v>
      </c>
      <c r="CF73" s="15" t="b">
        <f t="shared" si="513"/>
        <v>0</v>
      </c>
      <c r="CG73" s="15" t="b">
        <f t="shared" si="514"/>
        <v>0</v>
      </c>
      <c r="CH73" s="15" t="b">
        <f t="shared" si="515"/>
        <v>0</v>
      </c>
      <c r="CI73" s="15" t="b">
        <f t="shared" si="516"/>
        <v>0</v>
      </c>
      <c r="CJ73" s="15" t="b">
        <f t="shared" si="517"/>
        <v>0</v>
      </c>
      <c r="CK73" s="15" t="b">
        <f t="shared" ca="1" si="526"/>
        <v>0</v>
      </c>
      <c r="CL73" s="15" t="b">
        <f t="shared" ca="1" si="526"/>
        <v>0</v>
      </c>
      <c r="CM73" s="15" t="b">
        <f t="shared" ca="1" si="526"/>
        <v>0</v>
      </c>
      <c r="CN73" s="15" t="b">
        <f t="shared" ca="1" si="526"/>
        <v>0</v>
      </c>
      <c r="CO73" s="15" t="b">
        <f t="shared" ca="1" si="526"/>
        <v>0</v>
      </c>
      <c r="CP73" s="15" t="b">
        <f t="shared" ca="1" si="526"/>
        <v>0</v>
      </c>
      <c r="CQ73" s="15" t="b">
        <f t="shared" ca="1" si="526"/>
        <v>0</v>
      </c>
      <c r="CR73" s="21" t="b">
        <f t="shared" ca="1" si="526"/>
        <v>0</v>
      </c>
      <c r="CS73" s="22" t="b">
        <f t="shared" ca="1" si="527"/>
        <v>0</v>
      </c>
      <c r="CT73" s="22" t="b">
        <f t="shared" ca="1" si="527"/>
        <v>0</v>
      </c>
      <c r="CU73" s="22" t="b">
        <f t="shared" ca="1" si="527"/>
        <v>0</v>
      </c>
      <c r="CV73" s="22" t="b">
        <f t="shared" ca="1" si="527"/>
        <v>0</v>
      </c>
      <c r="CW73" s="22" t="b">
        <f t="shared" ca="1" si="527"/>
        <v>0</v>
      </c>
      <c r="CX73" s="22" t="b">
        <f t="shared" ca="1" si="527"/>
        <v>0</v>
      </c>
      <c r="CY73" s="22" t="b">
        <f t="shared" ca="1" si="527"/>
        <v>0</v>
      </c>
      <c r="CZ73" s="21" t="b">
        <f t="shared" ca="1" si="527"/>
        <v>0</v>
      </c>
      <c r="DB73" s="22" t="b">
        <f t="shared" ca="1" si="521"/>
        <v>0</v>
      </c>
      <c r="DC73" s="22" t="b">
        <f t="shared" ca="1" si="528"/>
        <v>0</v>
      </c>
      <c r="DD73" s="22" t="b">
        <f t="shared" ca="1" si="528"/>
        <v>0</v>
      </c>
      <c r="DE73" s="22" t="b">
        <f t="shared" ca="1" si="528"/>
        <v>0</v>
      </c>
      <c r="DF73" s="22" t="b">
        <f t="shared" ca="1" si="528"/>
        <v>0</v>
      </c>
      <c r="DG73" s="22" t="b">
        <f t="shared" ca="1" si="528"/>
        <v>0</v>
      </c>
      <c r="DH73" s="22" t="b">
        <f t="shared" ca="1" si="528"/>
        <v>0</v>
      </c>
      <c r="DI73" s="22" t="b">
        <f t="shared" ca="1" si="528"/>
        <v>0</v>
      </c>
      <c r="DJ73" s="22" t="b">
        <f t="shared" ca="1" si="523"/>
        <v>0</v>
      </c>
      <c r="DK73" s="22"/>
      <c r="DO73" s="15" t="str">
        <f t="shared" ca="1" si="529"/>
        <v/>
      </c>
      <c r="DP73" s="15" t="str">
        <f t="shared" ca="1" si="529"/>
        <v/>
      </c>
      <c r="DQ73" s="15" t="str">
        <f t="shared" ca="1" si="529"/>
        <v/>
      </c>
      <c r="DR73" s="15" t="str">
        <f t="shared" ca="1" si="529"/>
        <v/>
      </c>
      <c r="DS73" s="15" t="str">
        <f t="shared" ca="1" si="529"/>
        <v/>
      </c>
      <c r="DT73" s="15" t="str">
        <f t="shared" ca="1" si="529"/>
        <v/>
      </c>
      <c r="DU73" s="15" t="str">
        <f t="shared" ca="1" si="529"/>
        <v/>
      </c>
      <c r="DV73" s="15" t="str">
        <f t="shared" ca="1" si="462"/>
        <v/>
      </c>
    </row>
    <row r="74" spans="1:126">
      <c r="A74" s="15">
        <f t="shared" si="19"/>
        <v>62</v>
      </c>
      <c r="B74" s="15" t="str">
        <f t="shared" si="459"/>
        <v/>
      </c>
      <c r="D74" s="15" t="str">
        <f t="shared" si="463"/>
        <v/>
      </c>
      <c r="M74" s="19"/>
      <c r="T74" s="15" t="str">
        <f t="shared" ca="1" si="464"/>
        <v/>
      </c>
      <c r="U74" s="15" t="str">
        <f t="shared" si="461"/>
        <v/>
      </c>
      <c r="AD74" s="16" t="b">
        <f t="shared" si="474"/>
        <v>0</v>
      </c>
      <c r="AE74" s="16" t="b">
        <f t="shared" si="475"/>
        <v>0</v>
      </c>
      <c r="AF74" s="15" t="str">
        <f t="shared" si="476"/>
        <v/>
      </c>
      <c r="AG74" s="15" t="str">
        <f t="shared" ca="1" si="477"/>
        <v/>
      </c>
      <c r="AH74" s="15" t="str">
        <f t="shared" ca="1" si="478"/>
        <v/>
      </c>
      <c r="AI74" s="15" t="b">
        <f t="shared" ca="1" si="479"/>
        <v>0</v>
      </c>
      <c r="AJ74" s="15" t="str">
        <f t="shared" ca="1" si="465"/>
        <v/>
      </c>
      <c r="AK74" s="27" t="str">
        <f t="shared" ca="1" si="480"/>
        <v/>
      </c>
      <c r="AL74" s="15" t="b">
        <f t="shared" ca="1" si="481"/>
        <v>0</v>
      </c>
      <c r="AM74" s="15" t="str">
        <f t="shared" ca="1" si="482"/>
        <v/>
      </c>
      <c r="AN74" s="15">
        <f t="shared" ca="1" si="483"/>
        <v>3</v>
      </c>
      <c r="AO74" s="15" t="str">
        <f t="shared" ca="1" si="466"/>
        <v/>
      </c>
      <c r="AP74" s="15" t="str">
        <f t="shared" ca="1" si="484"/>
        <v/>
      </c>
      <c r="AQ74" s="27">
        <f t="shared" si="485"/>
        <v>4</v>
      </c>
      <c r="AR74" s="15" t="b">
        <f t="shared" si="486"/>
        <v>0</v>
      </c>
      <c r="AS74" s="27" t="b">
        <f t="shared" si="487"/>
        <v>0</v>
      </c>
      <c r="AT74" s="27" t="b">
        <f t="shared" si="488"/>
        <v>0</v>
      </c>
      <c r="AU74" s="27" t="str">
        <f t="shared" si="489"/>
        <v/>
      </c>
      <c r="AV74" s="16" t="b">
        <f t="shared" si="490"/>
        <v>0</v>
      </c>
      <c r="AW74" s="15" t="str">
        <f t="shared" ca="1" si="451"/>
        <v/>
      </c>
      <c r="AX74" s="27" t="b">
        <f t="shared" ca="1" si="491"/>
        <v>0</v>
      </c>
      <c r="AY74" s="27" t="b">
        <f t="shared" ca="1" si="492"/>
        <v>0</v>
      </c>
      <c r="AZ74" s="15" t="b">
        <f t="shared" ca="1" si="493"/>
        <v>0</v>
      </c>
      <c r="BA74" s="15" t="b">
        <f t="shared" ca="1" si="494"/>
        <v>0</v>
      </c>
      <c r="BB74" s="15" t="str">
        <f t="shared" si="495"/>
        <v/>
      </c>
      <c r="BC74" s="15" t="str">
        <f t="shared" ca="1" si="467"/>
        <v/>
      </c>
      <c r="BD74" s="15" t="b">
        <f t="shared" ca="1" si="496"/>
        <v>0</v>
      </c>
      <c r="BE74" s="15" t="b">
        <f t="shared" si="497"/>
        <v>0</v>
      </c>
      <c r="BF74" s="15" t="str">
        <f t="shared" ca="1" si="498"/>
        <v/>
      </c>
      <c r="BG74" s="15" t="str">
        <f t="shared" si="499"/>
        <v/>
      </c>
      <c r="BH74" s="15" t="str">
        <f t="array" aca="1" ref="BH74" ca="1">IF(IFERROR( S74,1),1,IF(BC74="","", SUM(IF(ISERROR(INDIRECT(BC74)),1,0))))</f>
        <v/>
      </c>
      <c r="BI74" s="15" t="b">
        <f t="shared" si="500"/>
        <v>0</v>
      </c>
      <c r="BJ74" s="15" t="b">
        <f t="shared" si="501"/>
        <v>0</v>
      </c>
      <c r="BK74" s="15" t="str">
        <f t="shared" si="502"/>
        <v/>
      </c>
      <c r="BL74" s="15">
        <f t="shared" si="503"/>
        <v>4</v>
      </c>
      <c r="BP74" s="15" t="b">
        <f t="shared" si="468"/>
        <v>0</v>
      </c>
      <c r="BQ74" s="15" t="b">
        <f t="shared" si="469"/>
        <v>0</v>
      </c>
      <c r="BR74" s="15" t="str">
        <f t="shared" si="504"/>
        <v/>
      </c>
      <c r="BS74" s="15">
        <f t="shared" si="470"/>
        <v>0</v>
      </c>
      <c r="BT74" s="15" t="str">
        <f t="shared" si="471"/>
        <v/>
      </c>
      <c r="BV74" s="15" t="b">
        <f t="shared" ca="1" si="505"/>
        <v>0</v>
      </c>
      <c r="BW74" s="15" t="b">
        <f t="shared" ca="1" si="506"/>
        <v>0</v>
      </c>
      <c r="BX74" s="15" t="b">
        <f t="shared" ca="1" si="472"/>
        <v>0</v>
      </c>
      <c r="BY74" s="15" t="b">
        <f t="shared" ca="1" si="507"/>
        <v>0</v>
      </c>
      <c r="BZ74" s="15" t="b">
        <f t="shared" si="508"/>
        <v>0</v>
      </c>
      <c r="CA74" s="15" t="b">
        <f t="shared" si="509"/>
        <v>0</v>
      </c>
      <c r="CB74" s="15" t="b">
        <f t="shared" ca="1" si="510"/>
        <v>0</v>
      </c>
      <c r="CC74" s="15" t="b">
        <f t="shared" si="525"/>
        <v>0</v>
      </c>
      <c r="CD74" s="15" t="b">
        <f t="shared" si="525"/>
        <v>0</v>
      </c>
      <c r="CE74" s="15" t="b">
        <f t="shared" ca="1" si="512"/>
        <v>0</v>
      </c>
      <c r="CF74" s="15" t="b">
        <f t="shared" si="513"/>
        <v>0</v>
      </c>
      <c r="CG74" s="15" t="b">
        <f t="shared" si="514"/>
        <v>0</v>
      </c>
      <c r="CH74" s="15" t="b">
        <f t="shared" si="515"/>
        <v>0</v>
      </c>
      <c r="CI74" s="15" t="b">
        <f t="shared" si="516"/>
        <v>0</v>
      </c>
      <c r="CJ74" s="15" t="b">
        <f t="shared" si="517"/>
        <v>0</v>
      </c>
      <c r="CK74" s="15" t="b">
        <f t="shared" ca="1" si="526"/>
        <v>0</v>
      </c>
      <c r="CL74" s="15" t="b">
        <f t="shared" ca="1" si="526"/>
        <v>0</v>
      </c>
      <c r="CM74" s="15" t="b">
        <f t="shared" ca="1" si="526"/>
        <v>0</v>
      </c>
      <c r="CN74" s="15" t="b">
        <f t="shared" ca="1" si="526"/>
        <v>0</v>
      </c>
      <c r="CO74" s="15" t="b">
        <f t="shared" ca="1" si="526"/>
        <v>0</v>
      </c>
      <c r="CP74" s="15" t="b">
        <f t="shared" ca="1" si="526"/>
        <v>0</v>
      </c>
      <c r="CQ74" s="15" t="b">
        <f t="shared" ca="1" si="526"/>
        <v>0</v>
      </c>
      <c r="CR74" s="21" t="b">
        <f t="shared" ca="1" si="526"/>
        <v>0</v>
      </c>
      <c r="CS74" s="22" t="b">
        <f t="shared" ca="1" si="527"/>
        <v>0</v>
      </c>
      <c r="CT74" s="22" t="b">
        <f t="shared" ca="1" si="527"/>
        <v>0</v>
      </c>
      <c r="CU74" s="22" t="b">
        <f t="shared" ca="1" si="527"/>
        <v>0</v>
      </c>
      <c r="CV74" s="22" t="b">
        <f t="shared" ca="1" si="527"/>
        <v>0</v>
      </c>
      <c r="CW74" s="22" t="b">
        <f t="shared" ca="1" si="527"/>
        <v>0</v>
      </c>
      <c r="CX74" s="22" t="b">
        <f t="shared" ca="1" si="527"/>
        <v>0</v>
      </c>
      <c r="CY74" s="22" t="b">
        <f t="shared" ca="1" si="527"/>
        <v>0</v>
      </c>
      <c r="CZ74" s="21" t="b">
        <f t="shared" ca="1" si="527"/>
        <v>0</v>
      </c>
      <c r="DB74" s="22" t="b">
        <f t="shared" ca="1" si="521"/>
        <v>0</v>
      </c>
      <c r="DC74" s="22" t="b">
        <f t="shared" ca="1" si="528"/>
        <v>0</v>
      </c>
      <c r="DD74" s="22" t="b">
        <f t="shared" ca="1" si="528"/>
        <v>0</v>
      </c>
      <c r="DE74" s="22" t="b">
        <f t="shared" ca="1" si="528"/>
        <v>0</v>
      </c>
      <c r="DF74" s="22" t="b">
        <f t="shared" ca="1" si="528"/>
        <v>0</v>
      </c>
      <c r="DG74" s="22" t="b">
        <f t="shared" ca="1" si="528"/>
        <v>0</v>
      </c>
      <c r="DH74" s="22" t="b">
        <f t="shared" ca="1" si="528"/>
        <v>0</v>
      </c>
      <c r="DI74" s="22" t="b">
        <f t="shared" ca="1" si="528"/>
        <v>0</v>
      </c>
      <c r="DJ74" s="22" t="b">
        <f t="shared" ca="1" si="523"/>
        <v>0</v>
      </c>
      <c r="DK74" s="22"/>
      <c r="DO74" s="15" t="str">
        <f t="shared" ca="1" si="529"/>
        <v/>
      </c>
      <c r="DP74" s="15" t="str">
        <f t="shared" ca="1" si="529"/>
        <v/>
      </c>
      <c r="DQ74" s="15" t="str">
        <f t="shared" ca="1" si="529"/>
        <v/>
      </c>
      <c r="DR74" s="15" t="str">
        <f t="shared" ca="1" si="529"/>
        <v/>
      </c>
      <c r="DS74" s="15" t="str">
        <f t="shared" ca="1" si="529"/>
        <v/>
      </c>
      <c r="DT74" s="15" t="str">
        <f t="shared" ca="1" si="529"/>
        <v/>
      </c>
      <c r="DU74" s="15" t="str">
        <f t="shared" ca="1" si="529"/>
        <v/>
      </c>
      <c r="DV74" s="15" t="str">
        <f t="shared" ca="1" si="462"/>
        <v/>
      </c>
    </row>
    <row r="75" spans="1:126">
      <c r="A75" s="15">
        <f t="shared" si="19"/>
        <v>63</v>
      </c>
      <c r="B75" s="15" t="str">
        <f t="shared" si="459"/>
        <v/>
      </c>
      <c r="D75" s="15" t="str">
        <f t="shared" si="463"/>
        <v/>
      </c>
      <c r="M75" s="19"/>
      <c r="T75" s="15" t="str">
        <f t="shared" ca="1" si="464"/>
        <v/>
      </c>
      <c r="U75" s="15" t="str">
        <f t="shared" si="461"/>
        <v/>
      </c>
      <c r="AD75" s="16" t="b">
        <f t="shared" si="474"/>
        <v>0</v>
      </c>
      <c r="AE75" s="16" t="b">
        <f t="shared" si="475"/>
        <v>0</v>
      </c>
      <c r="AF75" s="15" t="str">
        <f t="shared" si="476"/>
        <v/>
      </c>
      <c r="AG75" s="15" t="str">
        <f t="shared" ca="1" si="477"/>
        <v/>
      </c>
      <c r="AH75" s="15" t="str">
        <f t="shared" ca="1" si="478"/>
        <v/>
      </c>
      <c r="AI75" s="15" t="b">
        <f t="shared" ca="1" si="479"/>
        <v>0</v>
      </c>
      <c r="AJ75" s="15" t="str">
        <f t="shared" ca="1" si="465"/>
        <v/>
      </c>
      <c r="AK75" s="27" t="str">
        <f t="shared" ca="1" si="480"/>
        <v/>
      </c>
      <c r="AL75" s="15" t="b">
        <f t="shared" ca="1" si="481"/>
        <v>0</v>
      </c>
      <c r="AM75" s="15" t="str">
        <f t="shared" ca="1" si="482"/>
        <v/>
      </c>
      <c r="AN75" s="15">
        <f t="shared" ca="1" si="483"/>
        <v>3</v>
      </c>
      <c r="AO75" s="15" t="str">
        <f t="shared" ca="1" si="466"/>
        <v/>
      </c>
      <c r="AP75" s="15" t="str">
        <f t="shared" ca="1" si="484"/>
        <v/>
      </c>
      <c r="AQ75" s="27">
        <f t="shared" si="485"/>
        <v>4</v>
      </c>
      <c r="AR75" s="15" t="b">
        <f t="shared" si="486"/>
        <v>0</v>
      </c>
      <c r="AS75" s="27" t="b">
        <f t="shared" si="487"/>
        <v>0</v>
      </c>
      <c r="AT75" s="27" t="b">
        <f t="shared" si="488"/>
        <v>0</v>
      </c>
      <c r="AU75" s="27" t="str">
        <f t="shared" si="489"/>
        <v/>
      </c>
      <c r="AV75" s="16" t="b">
        <f t="shared" si="490"/>
        <v>0</v>
      </c>
      <c r="AW75" s="15" t="str">
        <f t="shared" ca="1" si="451"/>
        <v/>
      </c>
      <c r="AX75" s="27" t="b">
        <f t="shared" ca="1" si="491"/>
        <v>0</v>
      </c>
      <c r="AY75" s="27" t="b">
        <f t="shared" ca="1" si="492"/>
        <v>0</v>
      </c>
      <c r="AZ75" s="15" t="b">
        <f t="shared" ca="1" si="493"/>
        <v>0</v>
      </c>
      <c r="BA75" s="15" t="b">
        <f t="shared" ca="1" si="494"/>
        <v>0</v>
      </c>
      <c r="BB75" s="15" t="str">
        <f t="shared" si="495"/>
        <v/>
      </c>
      <c r="BC75" s="15" t="str">
        <f t="shared" ca="1" si="467"/>
        <v/>
      </c>
      <c r="BD75" s="15" t="b">
        <f t="shared" ca="1" si="496"/>
        <v>0</v>
      </c>
      <c r="BE75" s="15" t="b">
        <f t="shared" si="497"/>
        <v>0</v>
      </c>
      <c r="BF75" s="15" t="str">
        <f t="shared" ca="1" si="498"/>
        <v/>
      </c>
      <c r="BG75" s="15" t="str">
        <f t="shared" si="499"/>
        <v/>
      </c>
      <c r="BH75" s="15" t="str">
        <f t="array" aca="1" ref="BH75" ca="1">IF(IFERROR( S75,1),1,IF(BC75="","", SUM(IF(ISERROR(INDIRECT(BC75)),1,0))))</f>
        <v/>
      </c>
      <c r="BI75" s="15" t="b">
        <f t="shared" si="500"/>
        <v>0</v>
      </c>
      <c r="BJ75" s="15" t="b">
        <f t="shared" si="501"/>
        <v>0</v>
      </c>
      <c r="BK75" s="15" t="str">
        <f t="shared" si="502"/>
        <v/>
      </c>
      <c r="BL75" s="15">
        <f t="shared" si="503"/>
        <v>4</v>
      </c>
      <c r="BP75" s="15" t="b">
        <f t="shared" si="468"/>
        <v>0</v>
      </c>
      <c r="BQ75" s="15" t="b">
        <f t="shared" si="469"/>
        <v>0</v>
      </c>
      <c r="BR75" s="15" t="str">
        <f t="shared" si="504"/>
        <v/>
      </c>
      <c r="BS75" s="15">
        <f t="shared" si="470"/>
        <v>0</v>
      </c>
      <c r="BT75" s="15" t="str">
        <f t="shared" si="471"/>
        <v/>
      </c>
      <c r="BV75" s="15" t="b">
        <f t="shared" ca="1" si="505"/>
        <v>0</v>
      </c>
      <c r="BW75" s="15" t="b">
        <f t="shared" ca="1" si="506"/>
        <v>0</v>
      </c>
      <c r="BX75" s="15" t="b">
        <f t="shared" ca="1" si="472"/>
        <v>0</v>
      </c>
      <c r="BY75" s="15" t="b">
        <f t="shared" ca="1" si="507"/>
        <v>0</v>
      </c>
      <c r="BZ75" s="15" t="b">
        <f t="shared" si="508"/>
        <v>0</v>
      </c>
      <c r="CA75" s="15" t="b">
        <f t="shared" si="509"/>
        <v>0</v>
      </c>
      <c r="CB75" s="15" t="b">
        <f t="shared" ca="1" si="510"/>
        <v>0</v>
      </c>
      <c r="CC75" s="15" t="b">
        <f t="shared" si="525"/>
        <v>0</v>
      </c>
      <c r="CD75" s="15" t="b">
        <f t="shared" si="525"/>
        <v>0</v>
      </c>
      <c r="CE75" s="15" t="b">
        <f t="shared" ca="1" si="512"/>
        <v>0</v>
      </c>
      <c r="CF75" s="15" t="b">
        <f t="shared" si="513"/>
        <v>0</v>
      </c>
      <c r="CG75" s="15" t="b">
        <f t="shared" si="514"/>
        <v>0</v>
      </c>
      <c r="CH75" s="15" t="b">
        <f t="shared" si="515"/>
        <v>0</v>
      </c>
      <c r="CI75" s="15" t="b">
        <f t="shared" si="516"/>
        <v>0</v>
      </c>
      <c r="CJ75" s="15" t="b">
        <f t="shared" si="517"/>
        <v>0</v>
      </c>
      <c r="CK75" s="15" t="b">
        <f t="shared" ca="1" si="526"/>
        <v>0</v>
      </c>
      <c r="CL75" s="15" t="b">
        <f t="shared" ca="1" si="526"/>
        <v>0</v>
      </c>
      <c r="CM75" s="15" t="b">
        <f t="shared" ca="1" si="526"/>
        <v>0</v>
      </c>
      <c r="CN75" s="15" t="b">
        <f t="shared" ca="1" si="526"/>
        <v>0</v>
      </c>
      <c r="CO75" s="15" t="b">
        <f t="shared" ca="1" si="526"/>
        <v>0</v>
      </c>
      <c r="CP75" s="15" t="b">
        <f t="shared" ca="1" si="526"/>
        <v>0</v>
      </c>
      <c r="CQ75" s="15" t="b">
        <f t="shared" ca="1" si="526"/>
        <v>0</v>
      </c>
      <c r="CR75" s="21" t="b">
        <f t="shared" ca="1" si="526"/>
        <v>0</v>
      </c>
      <c r="CS75" s="22" t="b">
        <f t="shared" ca="1" si="527"/>
        <v>0</v>
      </c>
      <c r="CT75" s="22" t="b">
        <f t="shared" ca="1" si="527"/>
        <v>0</v>
      </c>
      <c r="CU75" s="22" t="b">
        <f t="shared" ca="1" si="527"/>
        <v>0</v>
      </c>
      <c r="CV75" s="22" t="b">
        <f t="shared" ca="1" si="527"/>
        <v>0</v>
      </c>
      <c r="CW75" s="22" t="b">
        <f t="shared" ca="1" si="527"/>
        <v>0</v>
      </c>
      <c r="CX75" s="22" t="b">
        <f t="shared" ca="1" si="527"/>
        <v>0</v>
      </c>
      <c r="CY75" s="22" t="b">
        <f t="shared" ca="1" si="527"/>
        <v>0</v>
      </c>
      <c r="CZ75" s="21" t="b">
        <f t="shared" ca="1" si="527"/>
        <v>0</v>
      </c>
      <c r="DB75" s="22" t="b">
        <f t="shared" ca="1" si="521"/>
        <v>0</v>
      </c>
      <c r="DC75" s="22" t="b">
        <f t="shared" ca="1" si="528"/>
        <v>0</v>
      </c>
      <c r="DD75" s="22" t="b">
        <f t="shared" ca="1" si="528"/>
        <v>0</v>
      </c>
      <c r="DE75" s="22" t="b">
        <f t="shared" ca="1" si="528"/>
        <v>0</v>
      </c>
      <c r="DF75" s="22" t="b">
        <f t="shared" ca="1" si="528"/>
        <v>0</v>
      </c>
      <c r="DG75" s="22" t="b">
        <f t="shared" ca="1" si="528"/>
        <v>0</v>
      </c>
      <c r="DH75" s="22" t="b">
        <f t="shared" ca="1" si="528"/>
        <v>0</v>
      </c>
      <c r="DI75" s="22" t="b">
        <f t="shared" ca="1" si="528"/>
        <v>0</v>
      </c>
      <c r="DJ75" s="22" t="b">
        <f t="shared" ca="1" si="523"/>
        <v>0</v>
      </c>
      <c r="DK75" s="22"/>
      <c r="DO75" s="15" t="str">
        <f t="shared" ca="1" si="529"/>
        <v/>
      </c>
      <c r="DP75" s="15" t="str">
        <f t="shared" ca="1" si="529"/>
        <v/>
      </c>
      <c r="DQ75" s="15" t="str">
        <f t="shared" ca="1" si="529"/>
        <v/>
      </c>
      <c r="DR75" s="15" t="str">
        <f t="shared" ca="1" si="529"/>
        <v/>
      </c>
      <c r="DS75" s="15" t="str">
        <f t="shared" ca="1" si="529"/>
        <v/>
      </c>
      <c r="DT75" s="15" t="str">
        <f t="shared" ca="1" si="529"/>
        <v/>
      </c>
      <c r="DU75" s="15" t="str">
        <f t="shared" ca="1" si="529"/>
        <v/>
      </c>
      <c r="DV75" s="15" t="str">
        <f t="shared" ca="1" si="462"/>
        <v/>
      </c>
    </row>
    <row r="76" spans="1:126">
      <c r="A76" s="15">
        <f t="shared" si="19"/>
        <v>64</v>
      </c>
      <c r="B76" s="15" t="str">
        <f t="shared" si="459"/>
        <v/>
      </c>
      <c r="D76" s="15" t="str">
        <f t="shared" si="463"/>
        <v/>
      </c>
      <c r="M76" s="19"/>
      <c r="T76" s="15" t="str">
        <f t="shared" ca="1" si="464"/>
        <v/>
      </c>
      <c r="U76" s="15" t="str">
        <f t="shared" si="461"/>
        <v/>
      </c>
      <c r="AD76" s="16" t="b">
        <f t="shared" si="474"/>
        <v>0</v>
      </c>
      <c r="AE76" s="16" t="b">
        <f t="shared" si="475"/>
        <v>0</v>
      </c>
      <c r="AF76" s="15" t="str">
        <f t="shared" si="476"/>
        <v/>
      </c>
      <c r="AG76" s="15" t="str">
        <f t="shared" ca="1" si="477"/>
        <v/>
      </c>
      <c r="AH76" s="15" t="str">
        <f t="shared" ca="1" si="478"/>
        <v/>
      </c>
      <c r="AI76" s="15" t="b">
        <f t="shared" ca="1" si="479"/>
        <v>0</v>
      </c>
      <c r="AJ76" s="15" t="str">
        <f t="shared" ca="1" si="465"/>
        <v/>
      </c>
      <c r="AK76" s="27" t="str">
        <f t="shared" ca="1" si="480"/>
        <v/>
      </c>
      <c r="AL76" s="15" t="b">
        <f t="shared" ca="1" si="481"/>
        <v>0</v>
      </c>
      <c r="AM76" s="15" t="str">
        <f t="shared" ca="1" si="482"/>
        <v/>
      </c>
      <c r="AN76" s="15">
        <f t="shared" ca="1" si="483"/>
        <v>3</v>
      </c>
      <c r="AO76" s="15" t="str">
        <f t="shared" ca="1" si="466"/>
        <v/>
      </c>
      <c r="AP76" s="15" t="str">
        <f t="shared" ca="1" si="484"/>
        <v/>
      </c>
      <c r="AQ76" s="27">
        <f t="shared" si="485"/>
        <v>4</v>
      </c>
      <c r="AR76" s="15" t="b">
        <f t="shared" si="486"/>
        <v>0</v>
      </c>
      <c r="AS76" s="27" t="b">
        <f t="shared" si="487"/>
        <v>0</v>
      </c>
      <c r="AT76" s="27" t="b">
        <f t="shared" si="488"/>
        <v>0</v>
      </c>
      <c r="AU76" s="27" t="str">
        <f t="shared" si="489"/>
        <v/>
      </c>
      <c r="AV76" s="16" t="b">
        <f t="shared" si="490"/>
        <v>0</v>
      </c>
      <c r="AW76" s="15" t="str">
        <f t="shared" ca="1" si="451"/>
        <v/>
      </c>
      <c r="AX76" s="27" t="b">
        <f t="shared" ca="1" si="491"/>
        <v>0</v>
      </c>
      <c r="AY76" s="27" t="b">
        <f t="shared" ca="1" si="492"/>
        <v>0</v>
      </c>
      <c r="AZ76" s="15" t="b">
        <f t="shared" ca="1" si="493"/>
        <v>0</v>
      </c>
      <c r="BA76" s="15" t="b">
        <f t="shared" ca="1" si="494"/>
        <v>0</v>
      </c>
      <c r="BB76" s="15" t="str">
        <f t="shared" si="495"/>
        <v/>
      </c>
      <c r="BC76" s="15" t="str">
        <f t="shared" ca="1" si="467"/>
        <v/>
      </c>
      <c r="BD76" s="15" t="b">
        <f t="shared" ca="1" si="496"/>
        <v>0</v>
      </c>
      <c r="BE76" s="15" t="b">
        <f t="shared" si="497"/>
        <v>0</v>
      </c>
      <c r="BF76" s="15" t="str">
        <f t="shared" ca="1" si="498"/>
        <v/>
      </c>
      <c r="BG76" s="15" t="str">
        <f t="shared" si="499"/>
        <v/>
      </c>
      <c r="BH76" s="15" t="str">
        <f t="array" aca="1" ref="BH76" ca="1">IF(IFERROR( S76,1),1,IF(BC76="","", SUM(IF(ISERROR(INDIRECT(BC76)),1,0))))</f>
        <v/>
      </c>
      <c r="BI76" s="15" t="b">
        <f t="shared" si="500"/>
        <v>0</v>
      </c>
      <c r="BJ76" s="15" t="b">
        <f t="shared" si="501"/>
        <v>0</v>
      </c>
      <c r="BK76" s="15" t="str">
        <f t="shared" si="502"/>
        <v/>
      </c>
      <c r="BL76" s="15">
        <f t="shared" si="503"/>
        <v>4</v>
      </c>
      <c r="BP76" s="15" t="b">
        <f t="shared" si="468"/>
        <v>0</v>
      </c>
      <c r="BQ76" s="15" t="b">
        <f t="shared" si="469"/>
        <v>0</v>
      </c>
      <c r="BR76" s="15" t="str">
        <f t="shared" si="504"/>
        <v/>
      </c>
      <c r="BS76" s="15">
        <f t="shared" si="470"/>
        <v>0</v>
      </c>
      <c r="BT76" s="15" t="str">
        <f t="shared" si="471"/>
        <v/>
      </c>
      <c r="BV76" s="15" t="b">
        <f t="shared" ca="1" si="505"/>
        <v>0</v>
      </c>
      <c r="BW76" s="15" t="b">
        <f t="shared" ca="1" si="506"/>
        <v>0</v>
      </c>
      <c r="BX76" s="15" t="b">
        <f t="shared" ca="1" si="472"/>
        <v>0</v>
      </c>
      <c r="BY76" s="15" t="b">
        <f t="shared" ca="1" si="507"/>
        <v>0</v>
      </c>
      <c r="BZ76" s="15" t="b">
        <f t="shared" si="508"/>
        <v>0</v>
      </c>
      <c r="CA76" s="15" t="b">
        <f t="shared" si="509"/>
        <v>0</v>
      </c>
      <c r="CB76" s="15" t="b">
        <f t="shared" ca="1" si="510"/>
        <v>0</v>
      </c>
      <c r="CC76" s="15" t="b">
        <f t="shared" si="525"/>
        <v>0</v>
      </c>
      <c r="CD76" s="15" t="b">
        <f t="shared" si="525"/>
        <v>0</v>
      </c>
      <c r="CE76" s="15" t="b">
        <f t="shared" ca="1" si="512"/>
        <v>0</v>
      </c>
      <c r="CF76" s="15" t="b">
        <f t="shared" si="513"/>
        <v>0</v>
      </c>
      <c r="CG76" s="15" t="b">
        <f t="shared" si="514"/>
        <v>0</v>
      </c>
      <c r="CH76" s="15" t="b">
        <f t="shared" si="515"/>
        <v>0</v>
      </c>
      <c r="CI76" s="15" t="b">
        <f t="shared" si="516"/>
        <v>0</v>
      </c>
      <c r="CJ76" s="15" t="b">
        <f t="shared" si="517"/>
        <v>0</v>
      </c>
      <c r="CK76" s="15" t="b">
        <f t="shared" ca="1" si="526"/>
        <v>0</v>
      </c>
      <c r="CL76" s="15" t="b">
        <f t="shared" ca="1" si="526"/>
        <v>0</v>
      </c>
      <c r="CM76" s="15" t="b">
        <f t="shared" ca="1" si="526"/>
        <v>0</v>
      </c>
      <c r="CN76" s="15" t="b">
        <f t="shared" ca="1" si="526"/>
        <v>0</v>
      </c>
      <c r="CO76" s="15" t="b">
        <f t="shared" ca="1" si="526"/>
        <v>0</v>
      </c>
      <c r="CP76" s="15" t="b">
        <f t="shared" ca="1" si="526"/>
        <v>0</v>
      </c>
      <c r="CQ76" s="15" t="b">
        <f t="shared" ca="1" si="526"/>
        <v>0</v>
      </c>
      <c r="CR76" s="21" t="b">
        <f t="shared" ca="1" si="526"/>
        <v>0</v>
      </c>
      <c r="CS76" s="22" t="b">
        <f t="shared" ca="1" si="527"/>
        <v>0</v>
      </c>
      <c r="CT76" s="22" t="b">
        <f t="shared" ca="1" si="527"/>
        <v>0</v>
      </c>
      <c r="CU76" s="22" t="b">
        <f t="shared" ca="1" si="527"/>
        <v>0</v>
      </c>
      <c r="CV76" s="22" t="b">
        <f t="shared" ca="1" si="527"/>
        <v>0</v>
      </c>
      <c r="CW76" s="22" t="b">
        <f t="shared" ca="1" si="527"/>
        <v>0</v>
      </c>
      <c r="CX76" s="22" t="b">
        <f t="shared" ca="1" si="527"/>
        <v>0</v>
      </c>
      <c r="CY76" s="22" t="b">
        <f t="shared" ca="1" si="527"/>
        <v>0</v>
      </c>
      <c r="CZ76" s="21" t="b">
        <f t="shared" ca="1" si="527"/>
        <v>0</v>
      </c>
      <c r="DB76" s="22" t="b">
        <f t="shared" ca="1" si="521"/>
        <v>0</v>
      </c>
      <c r="DC76" s="22" t="b">
        <f t="shared" ca="1" si="528"/>
        <v>0</v>
      </c>
      <c r="DD76" s="22" t="b">
        <f t="shared" ca="1" si="528"/>
        <v>0</v>
      </c>
      <c r="DE76" s="22" t="b">
        <f t="shared" ca="1" si="528"/>
        <v>0</v>
      </c>
      <c r="DF76" s="22" t="b">
        <f t="shared" ca="1" si="528"/>
        <v>0</v>
      </c>
      <c r="DG76" s="22" t="b">
        <f t="shared" ca="1" si="528"/>
        <v>0</v>
      </c>
      <c r="DH76" s="22" t="b">
        <f t="shared" ca="1" si="528"/>
        <v>0</v>
      </c>
      <c r="DI76" s="22" t="b">
        <f t="shared" ca="1" si="528"/>
        <v>0</v>
      </c>
      <c r="DJ76" s="22" t="b">
        <f t="shared" ca="1" si="523"/>
        <v>0</v>
      </c>
      <c r="DK76" s="22"/>
      <c r="DO76" s="15" t="str">
        <f t="shared" ca="1" si="529"/>
        <v/>
      </c>
      <c r="DP76" s="15" t="str">
        <f t="shared" ca="1" si="529"/>
        <v/>
      </c>
      <c r="DQ76" s="15" t="str">
        <f t="shared" ca="1" si="529"/>
        <v/>
      </c>
      <c r="DR76" s="15" t="str">
        <f t="shared" ca="1" si="529"/>
        <v/>
      </c>
      <c r="DS76" s="15" t="str">
        <f t="shared" ca="1" si="529"/>
        <v/>
      </c>
      <c r="DT76" s="15" t="str">
        <f t="shared" ca="1" si="529"/>
        <v/>
      </c>
      <c r="DU76" s="15" t="str">
        <f t="shared" ca="1" si="529"/>
        <v/>
      </c>
      <c r="DV76" s="15" t="str">
        <f t="shared" ca="1" si="462"/>
        <v/>
      </c>
    </row>
    <row r="77" spans="1:126">
      <c r="A77" s="15">
        <f t="shared" si="19"/>
        <v>65</v>
      </c>
      <c r="B77" s="15" t="str">
        <f t="shared" si="459"/>
        <v/>
      </c>
      <c r="D77" s="15" t="str">
        <f t="shared" si="463"/>
        <v/>
      </c>
      <c r="M77" s="19"/>
      <c r="T77" s="15" t="str">
        <f t="shared" ca="1" si="464"/>
        <v/>
      </c>
      <c r="U77" s="15" t="str">
        <f t="shared" si="461"/>
        <v/>
      </c>
      <c r="AD77" s="16" t="b">
        <f t="shared" si="474"/>
        <v>0</v>
      </c>
      <c r="AE77" s="16" t="b">
        <f t="shared" si="475"/>
        <v>0</v>
      </c>
      <c r="AF77" s="15" t="str">
        <f t="shared" si="476"/>
        <v/>
      </c>
      <c r="AG77" s="15" t="str">
        <f t="shared" ca="1" si="477"/>
        <v/>
      </c>
      <c r="AH77" s="15" t="str">
        <f t="shared" ca="1" si="478"/>
        <v/>
      </c>
      <c r="AI77" s="15" t="b">
        <f t="shared" ca="1" si="479"/>
        <v>0</v>
      </c>
      <c r="AJ77" s="15" t="str">
        <f t="shared" ca="1" si="465"/>
        <v/>
      </c>
      <c r="AK77" s="27" t="str">
        <f t="shared" ca="1" si="480"/>
        <v/>
      </c>
      <c r="AL77" s="15" t="b">
        <f t="shared" ca="1" si="481"/>
        <v>0</v>
      </c>
      <c r="AM77" s="15" t="str">
        <f t="shared" ca="1" si="482"/>
        <v/>
      </c>
      <c r="AN77" s="15">
        <f t="shared" ca="1" si="483"/>
        <v>3</v>
      </c>
      <c r="AO77" s="15" t="str">
        <f t="shared" ca="1" si="466"/>
        <v/>
      </c>
      <c r="AP77" s="15" t="str">
        <f t="shared" ca="1" si="484"/>
        <v/>
      </c>
      <c r="AQ77" s="27">
        <f t="shared" si="485"/>
        <v>4</v>
      </c>
      <c r="AR77" s="15" t="b">
        <f t="shared" si="486"/>
        <v>0</v>
      </c>
      <c r="AS77" s="27" t="b">
        <f t="shared" si="487"/>
        <v>0</v>
      </c>
      <c r="AT77" s="27" t="b">
        <f t="shared" si="488"/>
        <v>0</v>
      </c>
      <c r="AU77" s="27" t="str">
        <f t="shared" si="489"/>
        <v/>
      </c>
      <c r="AV77" s="16" t="b">
        <f t="shared" si="490"/>
        <v>0</v>
      </c>
      <c r="AW77" s="15" t="str">
        <f t="shared" ref="AW77:AW97" ca="1" si="530">IF(AR77,CELL(_CELL_ADDRESS_NAME,INDIRECT(J77)),"")</f>
        <v/>
      </c>
      <c r="AX77" s="27" t="b">
        <f t="shared" ca="1" si="491"/>
        <v>0</v>
      </c>
      <c r="AY77" s="27" t="b">
        <f t="shared" ca="1" si="492"/>
        <v>0</v>
      </c>
      <c r="AZ77" s="15" t="b">
        <f t="shared" ca="1" si="493"/>
        <v>0</v>
      </c>
      <c r="BA77" s="15" t="b">
        <f t="shared" ca="1" si="494"/>
        <v>0</v>
      </c>
      <c r="BB77" s="15" t="str">
        <f t="shared" si="495"/>
        <v/>
      </c>
      <c r="BC77" s="15" t="str">
        <f t="shared" ca="1" si="467"/>
        <v/>
      </c>
      <c r="BD77" s="15" t="b">
        <f t="shared" ca="1" si="496"/>
        <v>0</v>
      </c>
      <c r="BE77" s="15" t="b">
        <f t="shared" si="497"/>
        <v>0</v>
      </c>
      <c r="BF77" s="15" t="str">
        <f t="shared" ca="1" si="498"/>
        <v/>
      </c>
      <c r="BG77" s="15" t="str">
        <f t="shared" si="499"/>
        <v/>
      </c>
      <c r="BH77" s="15" t="str">
        <f t="array" aca="1" ref="BH77" ca="1">IF(IFERROR( S77,1),1,IF(BC77="","", SUM(IF(ISERROR(INDIRECT(BC77)),1,0))))</f>
        <v/>
      </c>
      <c r="BI77" s="15" t="b">
        <f t="shared" si="500"/>
        <v>0</v>
      </c>
      <c r="BJ77" s="15" t="b">
        <f t="shared" si="501"/>
        <v>0</v>
      </c>
      <c r="BK77" s="15" t="str">
        <f t="shared" si="502"/>
        <v/>
      </c>
      <c r="BL77" s="15">
        <f t="shared" si="503"/>
        <v>4</v>
      </c>
      <c r="BP77" s="15" t="b">
        <f t="shared" si="468"/>
        <v>0</v>
      </c>
      <c r="BQ77" s="15" t="b">
        <f t="shared" si="469"/>
        <v>0</v>
      </c>
      <c r="BR77" s="15" t="str">
        <f t="shared" si="504"/>
        <v/>
      </c>
      <c r="BS77" s="15">
        <f t="shared" si="470"/>
        <v>0</v>
      </c>
      <c r="BT77" s="15" t="str">
        <f t="shared" si="471"/>
        <v/>
      </c>
      <c r="BV77" s="15" t="b">
        <f t="shared" ca="1" si="505"/>
        <v>0</v>
      </c>
      <c r="BW77" s="15" t="b">
        <f t="shared" ca="1" si="506"/>
        <v>0</v>
      </c>
      <c r="BX77" s="15" t="b">
        <f t="shared" ca="1" si="472"/>
        <v>0</v>
      </c>
      <c r="BY77" s="15" t="b">
        <f t="shared" ca="1" si="507"/>
        <v>0</v>
      </c>
      <c r="BZ77" s="15" t="b">
        <f t="shared" si="508"/>
        <v>0</v>
      </c>
      <c r="CA77" s="15" t="b">
        <f t="shared" si="509"/>
        <v>0</v>
      </c>
      <c r="CB77" s="15" t="b">
        <f t="shared" ca="1" si="510"/>
        <v>0</v>
      </c>
      <c r="CC77" s="15" t="b">
        <f t="shared" si="525"/>
        <v>0</v>
      </c>
      <c r="CD77" s="15" t="b">
        <f t="shared" si="525"/>
        <v>0</v>
      </c>
      <c r="CE77" s="15" t="b">
        <f t="shared" ca="1" si="512"/>
        <v>0</v>
      </c>
      <c r="CF77" s="15" t="b">
        <f t="shared" si="513"/>
        <v>0</v>
      </c>
      <c r="CG77" s="15" t="b">
        <f t="shared" si="514"/>
        <v>0</v>
      </c>
      <c r="CH77" s="15" t="b">
        <f t="shared" si="515"/>
        <v>0</v>
      </c>
      <c r="CI77" s="15" t="b">
        <f t="shared" si="516"/>
        <v>0</v>
      </c>
      <c r="CJ77" s="15" t="b">
        <f t="shared" si="517"/>
        <v>0</v>
      </c>
      <c r="CK77" s="15" t="b">
        <f t="shared" ca="1" si="526"/>
        <v>0</v>
      </c>
      <c r="CL77" s="15" t="b">
        <f t="shared" ca="1" si="526"/>
        <v>0</v>
      </c>
      <c r="CM77" s="15" t="b">
        <f t="shared" ca="1" si="526"/>
        <v>0</v>
      </c>
      <c r="CN77" s="15" t="b">
        <f t="shared" ca="1" si="526"/>
        <v>0</v>
      </c>
      <c r="CO77" s="15" t="b">
        <f t="shared" ca="1" si="526"/>
        <v>0</v>
      </c>
      <c r="CP77" s="15" t="b">
        <f t="shared" ca="1" si="526"/>
        <v>0</v>
      </c>
      <c r="CQ77" s="15" t="b">
        <f t="shared" ca="1" si="526"/>
        <v>0</v>
      </c>
      <c r="CR77" s="21" t="b">
        <f t="shared" ca="1" si="526"/>
        <v>0</v>
      </c>
      <c r="CS77" s="22" t="b">
        <f t="shared" ca="1" si="527"/>
        <v>0</v>
      </c>
      <c r="CT77" s="22" t="b">
        <f t="shared" ca="1" si="527"/>
        <v>0</v>
      </c>
      <c r="CU77" s="22" t="b">
        <f t="shared" ca="1" si="527"/>
        <v>0</v>
      </c>
      <c r="CV77" s="22" t="b">
        <f t="shared" ca="1" si="527"/>
        <v>0</v>
      </c>
      <c r="CW77" s="22" t="b">
        <f t="shared" ca="1" si="527"/>
        <v>0</v>
      </c>
      <c r="CX77" s="22" t="b">
        <f t="shared" ca="1" si="527"/>
        <v>0</v>
      </c>
      <c r="CY77" s="22" t="b">
        <f t="shared" ca="1" si="527"/>
        <v>0</v>
      </c>
      <c r="CZ77" s="21" t="b">
        <f t="shared" ca="1" si="527"/>
        <v>0</v>
      </c>
      <c r="DB77" s="22" t="b">
        <f t="shared" ca="1" si="521"/>
        <v>0</v>
      </c>
      <c r="DC77" s="22" t="b">
        <f t="shared" ca="1" si="528"/>
        <v>0</v>
      </c>
      <c r="DD77" s="22" t="b">
        <f t="shared" ca="1" si="528"/>
        <v>0</v>
      </c>
      <c r="DE77" s="22" t="b">
        <f t="shared" ca="1" si="528"/>
        <v>0</v>
      </c>
      <c r="DF77" s="22" t="b">
        <f t="shared" ca="1" si="528"/>
        <v>0</v>
      </c>
      <c r="DG77" s="22" t="b">
        <f t="shared" ca="1" si="528"/>
        <v>0</v>
      </c>
      <c r="DH77" s="22" t="b">
        <f t="shared" ca="1" si="528"/>
        <v>0</v>
      </c>
      <c r="DI77" s="22" t="b">
        <f t="shared" ca="1" si="528"/>
        <v>0</v>
      </c>
      <c r="DJ77" s="22" t="b">
        <f t="shared" ca="1" si="523"/>
        <v>0</v>
      </c>
      <c r="DK77" s="22"/>
      <c r="DO77" s="15" t="str">
        <f t="shared" ca="1" si="529"/>
        <v/>
      </c>
      <c r="DP77" s="15" t="str">
        <f t="shared" ca="1" si="529"/>
        <v/>
      </c>
      <c r="DQ77" s="15" t="str">
        <f t="shared" ca="1" si="529"/>
        <v/>
      </c>
      <c r="DR77" s="15" t="str">
        <f t="shared" ca="1" si="529"/>
        <v/>
      </c>
      <c r="DS77" s="15" t="str">
        <f t="shared" ca="1" si="529"/>
        <v/>
      </c>
      <c r="DT77" s="15" t="str">
        <f t="shared" ca="1" si="529"/>
        <v/>
      </c>
      <c r="DU77" s="15" t="str">
        <f t="shared" ca="1" si="529"/>
        <v/>
      </c>
      <c r="DV77" s="15" t="str">
        <f t="shared" ca="1" si="462"/>
        <v/>
      </c>
    </row>
    <row r="78" spans="1:126">
      <c r="A78" s="15">
        <f t="shared" ref="A78:A97" si="531">ROW(A77)+1-ROW(A$12)</f>
        <v>66</v>
      </c>
      <c r="B78" s="15" t="str">
        <f t="shared" si="459"/>
        <v/>
      </c>
      <c r="D78" s="15" t="str">
        <f t="shared" si="463"/>
        <v/>
      </c>
      <c r="M78" s="19"/>
      <c r="T78" s="15" t="str">
        <f t="shared" ca="1" si="464"/>
        <v/>
      </c>
      <c r="U78" s="15" t="str">
        <f t="shared" si="461"/>
        <v/>
      </c>
      <c r="AD78" s="16" t="b">
        <f t="shared" si="474"/>
        <v>0</v>
      </c>
      <c r="AE78" s="16" t="b">
        <f t="shared" si="475"/>
        <v>0</v>
      </c>
      <c r="AF78" s="15" t="str">
        <f t="shared" si="476"/>
        <v/>
      </c>
      <c r="AG78" s="15" t="str">
        <f t="shared" ca="1" si="477"/>
        <v/>
      </c>
      <c r="AH78" s="15" t="str">
        <f t="shared" ca="1" si="478"/>
        <v/>
      </c>
      <c r="AI78" s="15" t="b">
        <f t="shared" ca="1" si="479"/>
        <v>0</v>
      </c>
      <c r="AJ78" s="15" t="str">
        <f t="shared" ca="1" si="465"/>
        <v/>
      </c>
      <c r="AK78" s="27" t="str">
        <f t="shared" ca="1" si="480"/>
        <v/>
      </c>
      <c r="AL78" s="15" t="b">
        <f t="shared" ca="1" si="481"/>
        <v>0</v>
      </c>
      <c r="AM78" s="15" t="str">
        <f t="shared" ca="1" si="482"/>
        <v/>
      </c>
      <c r="AN78" s="15">
        <f t="shared" ca="1" si="483"/>
        <v>3</v>
      </c>
      <c r="AO78" s="15" t="str">
        <f t="shared" ca="1" si="466"/>
        <v/>
      </c>
      <c r="AP78" s="15" t="str">
        <f t="shared" ca="1" si="484"/>
        <v/>
      </c>
      <c r="AQ78" s="27">
        <f t="shared" si="485"/>
        <v>4</v>
      </c>
      <c r="AR78" s="15" t="b">
        <f t="shared" si="486"/>
        <v>0</v>
      </c>
      <c r="AS78" s="27" t="b">
        <f t="shared" si="487"/>
        <v>0</v>
      </c>
      <c r="AT78" s="27" t="b">
        <f t="shared" si="488"/>
        <v>0</v>
      </c>
      <c r="AU78" s="27" t="str">
        <f t="shared" si="489"/>
        <v/>
      </c>
      <c r="AV78" s="16" t="b">
        <f t="shared" si="490"/>
        <v>0</v>
      </c>
      <c r="AW78" s="15" t="str">
        <f t="shared" ca="1" si="530"/>
        <v/>
      </c>
      <c r="AX78" s="27" t="b">
        <f t="shared" ca="1" si="491"/>
        <v>0</v>
      </c>
      <c r="AY78" s="27" t="b">
        <f t="shared" ca="1" si="492"/>
        <v>0</v>
      </c>
      <c r="AZ78" s="15" t="b">
        <f t="shared" ca="1" si="493"/>
        <v>0</v>
      </c>
      <c r="BA78" s="15" t="b">
        <f t="shared" ca="1" si="494"/>
        <v>0</v>
      </c>
      <c r="BB78" s="15" t="str">
        <f t="shared" si="495"/>
        <v/>
      </c>
      <c r="BC78" s="15" t="str">
        <f t="shared" ca="1" si="467"/>
        <v/>
      </c>
      <c r="BD78" s="15" t="b">
        <f t="shared" ca="1" si="496"/>
        <v>0</v>
      </c>
      <c r="BE78" s="15" t="b">
        <f t="shared" si="497"/>
        <v>0</v>
      </c>
      <c r="BF78" s="15" t="str">
        <f t="shared" ca="1" si="498"/>
        <v/>
      </c>
      <c r="BG78" s="15" t="str">
        <f t="shared" si="499"/>
        <v/>
      </c>
      <c r="BH78" s="15" t="str">
        <f t="array" aca="1" ref="BH78" ca="1">IF(IFERROR( S78,1),1,IF(BC78="","", SUM(IF(ISERROR(INDIRECT(BC78)),1,0))))</f>
        <v/>
      </c>
      <c r="BI78" s="15" t="b">
        <f t="shared" si="500"/>
        <v>0</v>
      </c>
      <c r="BJ78" s="15" t="b">
        <f t="shared" si="501"/>
        <v>0</v>
      </c>
      <c r="BK78" s="15" t="str">
        <f t="shared" si="502"/>
        <v/>
      </c>
      <c r="BL78" s="15">
        <f t="shared" si="503"/>
        <v>4</v>
      </c>
      <c r="BP78" s="15" t="b">
        <f t="shared" si="468"/>
        <v>0</v>
      </c>
      <c r="BQ78" s="15" t="b">
        <f t="shared" si="469"/>
        <v>0</v>
      </c>
      <c r="BR78" s="15" t="str">
        <f t="shared" si="504"/>
        <v/>
      </c>
      <c r="BS78" s="15">
        <f t="shared" si="470"/>
        <v>0</v>
      </c>
      <c r="BT78" s="15" t="str">
        <f t="shared" si="471"/>
        <v/>
      </c>
      <c r="BV78" s="15" t="b">
        <f t="shared" ca="1" si="505"/>
        <v>0</v>
      </c>
      <c r="BW78" s="15" t="b">
        <f t="shared" ca="1" si="506"/>
        <v>0</v>
      </c>
      <c r="BX78" s="15" t="b">
        <f t="shared" ca="1" si="472"/>
        <v>0</v>
      </c>
      <c r="BY78" s="15" t="b">
        <f t="shared" ca="1" si="507"/>
        <v>0</v>
      </c>
      <c r="BZ78" s="15" t="b">
        <f t="shared" si="508"/>
        <v>0</v>
      </c>
      <c r="CA78" s="15" t="b">
        <f t="shared" si="509"/>
        <v>0</v>
      </c>
      <c r="CB78" s="15" t="b">
        <f t="shared" ca="1" si="510"/>
        <v>0</v>
      </c>
      <c r="CC78" s="15" t="b">
        <f t="shared" si="525"/>
        <v>0</v>
      </c>
      <c r="CD78" s="15" t="b">
        <f t="shared" si="525"/>
        <v>0</v>
      </c>
      <c r="CE78" s="15" t="b">
        <f t="shared" ca="1" si="512"/>
        <v>0</v>
      </c>
      <c r="CF78" s="15" t="b">
        <f t="shared" si="513"/>
        <v>0</v>
      </c>
      <c r="CG78" s="15" t="b">
        <f t="shared" si="514"/>
        <v>0</v>
      </c>
      <c r="CH78" s="15" t="b">
        <f t="shared" si="515"/>
        <v>0</v>
      </c>
      <c r="CI78" s="15" t="b">
        <f t="shared" si="516"/>
        <v>0</v>
      </c>
      <c r="CJ78" s="15" t="b">
        <f t="shared" si="517"/>
        <v>0</v>
      </c>
      <c r="CK78" s="15" t="b">
        <f t="shared" ca="1" si="526"/>
        <v>0</v>
      </c>
      <c r="CL78" s="15" t="b">
        <f t="shared" ca="1" si="526"/>
        <v>0</v>
      </c>
      <c r="CM78" s="15" t="b">
        <f t="shared" ca="1" si="526"/>
        <v>0</v>
      </c>
      <c r="CN78" s="15" t="b">
        <f t="shared" ca="1" si="526"/>
        <v>0</v>
      </c>
      <c r="CO78" s="15" t="b">
        <f t="shared" ca="1" si="526"/>
        <v>0</v>
      </c>
      <c r="CP78" s="15" t="b">
        <f t="shared" ca="1" si="526"/>
        <v>0</v>
      </c>
      <c r="CQ78" s="15" t="b">
        <f t="shared" ca="1" si="526"/>
        <v>0</v>
      </c>
      <c r="CR78" s="21" t="b">
        <f t="shared" ca="1" si="526"/>
        <v>0</v>
      </c>
      <c r="CS78" s="22" t="b">
        <f t="shared" ca="1" si="527"/>
        <v>0</v>
      </c>
      <c r="CT78" s="22" t="b">
        <f t="shared" ca="1" si="527"/>
        <v>0</v>
      </c>
      <c r="CU78" s="22" t="b">
        <f t="shared" ca="1" si="527"/>
        <v>0</v>
      </c>
      <c r="CV78" s="22" t="b">
        <f t="shared" ca="1" si="527"/>
        <v>0</v>
      </c>
      <c r="CW78" s="22" t="b">
        <f t="shared" ca="1" si="527"/>
        <v>0</v>
      </c>
      <c r="CX78" s="22" t="b">
        <f t="shared" ca="1" si="527"/>
        <v>0</v>
      </c>
      <c r="CY78" s="22" t="b">
        <f t="shared" ca="1" si="527"/>
        <v>0</v>
      </c>
      <c r="CZ78" s="21" t="b">
        <f t="shared" ca="1" si="527"/>
        <v>0</v>
      </c>
      <c r="DB78" s="22" t="b">
        <f t="shared" ca="1" si="521"/>
        <v>0</v>
      </c>
      <c r="DC78" s="22" t="b">
        <f t="shared" ca="1" si="528"/>
        <v>0</v>
      </c>
      <c r="DD78" s="22" t="b">
        <f t="shared" ca="1" si="528"/>
        <v>0</v>
      </c>
      <c r="DE78" s="22" t="b">
        <f t="shared" ca="1" si="528"/>
        <v>0</v>
      </c>
      <c r="DF78" s="22" t="b">
        <f t="shared" ca="1" si="528"/>
        <v>0</v>
      </c>
      <c r="DG78" s="22" t="b">
        <f t="shared" ca="1" si="528"/>
        <v>0</v>
      </c>
      <c r="DH78" s="22" t="b">
        <f t="shared" ca="1" si="528"/>
        <v>0</v>
      </c>
      <c r="DI78" s="22" t="b">
        <f t="shared" ca="1" si="528"/>
        <v>0</v>
      </c>
      <c r="DJ78" s="22" t="b">
        <f t="shared" ca="1" si="523"/>
        <v>0</v>
      </c>
      <c r="DK78" s="22"/>
      <c r="DO78" s="15" t="str">
        <f t="shared" ca="1" si="529"/>
        <v/>
      </c>
      <c r="DP78" s="15" t="str">
        <f t="shared" ca="1" si="529"/>
        <v/>
      </c>
      <c r="DQ78" s="15" t="str">
        <f t="shared" ca="1" si="529"/>
        <v/>
      </c>
      <c r="DR78" s="15" t="str">
        <f t="shared" ca="1" si="529"/>
        <v/>
      </c>
      <c r="DS78" s="15" t="str">
        <f t="shared" ca="1" si="529"/>
        <v/>
      </c>
      <c r="DT78" s="15" t="str">
        <f t="shared" ca="1" si="529"/>
        <v/>
      </c>
      <c r="DU78" s="15" t="str">
        <f t="shared" ca="1" si="529"/>
        <v/>
      </c>
      <c r="DV78" s="15" t="str">
        <f t="shared" ca="1" si="462"/>
        <v/>
      </c>
    </row>
    <row r="79" spans="1:126">
      <c r="A79" s="15">
        <f t="shared" si="531"/>
        <v>67</v>
      </c>
      <c r="B79" s="15" t="str">
        <f t="shared" si="459"/>
        <v/>
      </c>
      <c r="D79" s="15" t="str">
        <f t="shared" si="463"/>
        <v/>
      </c>
      <c r="M79" s="19"/>
      <c r="T79" s="15" t="str">
        <f t="shared" ca="1" si="464"/>
        <v/>
      </c>
      <c r="U79" s="15" t="str">
        <f t="shared" ref="U79:U97" si="532">IF(AD79,BS79,"")</f>
        <v/>
      </c>
      <c r="AD79" s="16" t="b">
        <f t="shared" si="474"/>
        <v>0</v>
      </c>
      <c r="AE79" s="16" t="b">
        <f t="shared" si="475"/>
        <v>0</v>
      </c>
      <c r="AF79" s="15" t="str">
        <f t="shared" si="476"/>
        <v/>
      </c>
      <c r="AG79" s="15" t="str">
        <f t="shared" ca="1" si="477"/>
        <v/>
      </c>
      <c r="AH79" s="15" t="str">
        <f t="shared" ca="1" si="478"/>
        <v/>
      </c>
      <c r="AI79" s="15" t="b">
        <f t="shared" ca="1" si="479"/>
        <v>0</v>
      </c>
      <c r="AJ79" s="15" t="str">
        <f t="shared" ca="1" si="465"/>
        <v/>
      </c>
      <c r="AK79" s="27" t="str">
        <f t="shared" ca="1" si="480"/>
        <v/>
      </c>
      <c r="AL79" s="15" t="b">
        <f t="shared" ca="1" si="481"/>
        <v>0</v>
      </c>
      <c r="AM79" s="15" t="str">
        <f t="shared" ca="1" si="482"/>
        <v/>
      </c>
      <c r="AN79" s="15">
        <f t="shared" ca="1" si="483"/>
        <v>3</v>
      </c>
      <c r="AO79" s="15" t="str">
        <f t="shared" ca="1" si="466"/>
        <v/>
      </c>
      <c r="AP79" s="15" t="str">
        <f t="shared" ca="1" si="484"/>
        <v/>
      </c>
      <c r="AQ79" s="27">
        <f t="shared" si="485"/>
        <v>4</v>
      </c>
      <c r="AR79" s="15" t="b">
        <f t="shared" si="486"/>
        <v>0</v>
      </c>
      <c r="AS79" s="27" t="b">
        <f t="shared" si="487"/>
        <v>0</v>
      </c>
      <c r="AT79" s="27" t="b">
        <f t="shared" si="488"/>
        <v>0</v>
      </c>
      <c r="AU79" s="27" t="str">
        <f t="shared" si="489"/>
        <v/>
      </c>
      <c r="AV79" s="16" t="b">
        <f t="shared" si="490"/>
        <v>0</v>
      </c>
      <c r="AW79" s="15" t="str">
        <f t="shared" ca="1" si="530"/>
        <v/>
      </c>
      <c r="AX79" s="27" t="b">
        <f t="shared" ca="1" si="491"/>
        <v>0</v>
      </c>
      <c r="AY79" s="27" t="b">
        <f t="shared" ca="1" si="492"/>
        <v>0</v>
      </c>
      <c r="AZ79" s="15" t="b">
        <f t="shared" ca="1" si="493"/>
        <v>0</v>
      </c>
      <c r="BA79" s="15" t="b">
        <f t="shared" ca="1" si="494"/>
        <v>0</v>
      </c>
      <c r="BB79" s="15" t="str">
        <f t="shared" si="495"/>
        <v/>
      </c>
      <c r="BC79" s="15" t="str">
        <f t="shared" ca="1" si="467"/>
        <v/>
      </c>
      <c r="BD79" s="15" t="b">
        <f t="shared" ca="1" si="496"/>
        <v>0</v>
      </c>
      <c r="BE79" s="15" t="b">
        <f t="shared" si="497"/>
        <v>0</v>
      </c>
      <c r="BF79" s="15" t="str">
        <f t="shared" ca="1" si="498"/>
        <v/>
      </c>
      <c r="BG79" s="15" t="str">
        <f t="shared" si="499"/>
        <v/>
      </c>
      <c r="BH79" s="15" t="str">
        <f t="array" aca="1" ref="BH79" ca="1">IF(IFERROR( S79,1),1,IF(BC79="","", SUM(IF(ISERROR(INDIRECT(BC79)),1,0))))</f>
        <v/>
      </c>
      <c r="BI79" s="15" t="b">
        <f t="shared" si="500"/>
        <v>0</v>
      </c>
      <c r="BJ79" s="15" t="b">
        <f t="shared" si="501"/>
        <v>0</v>
      </c>
      <c r="BK79" s="15" t="str">
        <f t="shared" si="502"/>
        <v/>
      </c>
      <c r="BL79" s="15">
        <f t="shared" si="503"/>
        <v>4</v>
      </c>
      <c r="BP79" s="15" t="b">
        <f t="shared" si="468"/>
        <v>0</v>
      </c>
      <c r="BQ79" s="15" t="b">
        <f t="shared" si="469"/>
        <v>0</v>
      </c>
      <c r="BR79" s="15" t="str">
        <f t="shared" si="504"/>
        <v/>
      </c>
      <c r="BS79" s="15">
        <f t="shared" si="470"/>
        <v>0</v>
      </c>
      <c r="BT79" s="15" t="str">
        <f t="shared" si="471"/>
        <v/>
      </c>
      <c r="BV79" s="15" t="b">
        <f t="shared" ca="1" si="505"/>
        <v>0</v>
      </c>
      <c r="BW79" s="15" t="b">
        <f t="shared" ca="1" si="506"/>
        <v>0</v>
      </c>
      <c r="BX79" s="15" t="b">
        <f t="shared" ca="1" si="472"/>
        <v>0</v>
      </c>
      <c r="BY79" s="15" t="b">
        <f t="shared" ca="1" si="507"/>
        <v>0</v>
      </c>
      <c r="BZ79" s="15" t="b">
        <f t="shared" si="508"/>
        <v>0</v>
      </c>
      <c r="CA79" s="15" t="b">
        <f t="shared" si="509"/>
        <v>0</v>
      </c>
      <c r="CB79" s="15" t="b">
        <f t="shared" ca="1" si="510"/>
        <v>0</v>
      </c>
      <c r="CC79" s="15" t="b">
        <f t="shared" si="525"/>
        <v>0</v>
      </c>
      <c r="CD79" s="15" t="b">
        <f t="shared" si="525"/>
        <v>0</v>
      </c>
      <c r="CE79" s="15" t="b">
        <f t="shared" ca="1" si="512"/>
        <v>0</v>
      </c>
      <c r="CF79" s="15" t="b">
        <f t="shared" si="513"/>
        <v>0</v>
      </c>
      <c r="CG79" s="15" t="b">
        <f t="shared" si="514"/>
        <v>0</v>
      </c>
      <c r="CH79" s="15" t="b">
        <f t="shared" si="515"/>
        <v>0</v>
      </c>
      <c r="CI79" s="15" t="b">
        <f t="shared" si="516"/>
        <v>0</v>
      </c>
      <c r="CJ79" s="15" t="b">
        <f t="shared" si="517"/>
        <v>0</v>
      </c>
      <c r="CK79" s="15" t="b">
        <f t="shared" ca="1" si="526"/>
        <v>0</v>
      </c>
      <c r="CL79" s="15" t="b">
        <f t="shared" ca="1" si="526"/>
        <v>0</v>
      </c>
      <c r="CM79" s="15" t="b">
        <f t="shared" ca="1" si="526"/>
        <v>0</v>
      </c>
      <c r="CN79" s="15" t="b">
        <f t="shared" ca="1" si="526"/>
        <v>0</v>
      </c>
      <c r="CO79" s="15" t="b">
        <f t="shared" ca="1" si="526"/>
        <v>0</v>
      </c>
      <c r="CP79" s="15" t="b">
        <f t="shared" ca="1" si="526"/>
        <v>0</v>
      </c>
      <c r="CQ79" s="15" t="b">
        <f t="shared" ca="1" si="526"/>
        <v>0</v>
      </c>
      <c r="CR79" s="21" t="b">
        <f t="shared" ca="1" si="526"/>
        <v>0</v>
      </c>
      <c r="CS79" s="22" t="b">
        <f t="shared" ca="1" si="527"/>
        <v>0</v>
      </c>
      <c r="CT79" s="22" t="b">
        <f t="shared" ca="1" si="527"/>
        <v>0</v>
      </c>
      <c r="CU79" s="22" t="b">
        <f t="shared" ca="1" si="527"/>
        <v>0</v>
      </c>
      <c r="CV79" s="22" t="b">
        <f t="shared" ca="1" si="527"/>
        <v>0</v>
      </c>
      <c r="CW79" s="22" t="b">
        <f t="shared" ca="1" si="527"/>
        <v>0</v>
      </c>
      <c r="CX79" s="22" t="b">
        <f t="shared" ca="1" si="527"/>
        <v>0</v>
      </c>
      <c r="CY79" s="22" t="b">
        <f t="shared" ca="1" si="527"/>
        <v>0</v>
      </c>
      <c r="CZ79" s="21" t="b">
        <f t="shared" ca="1" si="527"/>
        <v>0</v>
      </c>
      <c r="DB79" s="22" t="b">
        <f t="shared" ca="1" si="521"/>
        <v>0</v>
      </c>
      <c r="DC79" s="22" t="b">
        <f t="shared" ca="1" si="528"/>
        <v>0</v>
      </c>
      <c r="DD79" s="22" t="b">
        <f t="shared" ca="1" si="528"/>
        <v>0</v>
      </c>
      <c r="DE79" s="22" t="b">
        <f t="shared" ca="1" si="528"/>
        <v>0</v>
      </c>
      <c r="DF79" s="22" t="b">
        <f t="shared" ca="1" si="528"/>
        <v>0</v>
      </c>
      <c r="DG79" s="22" t="b">
        <f t="shared" ca="1" si="528"/>
        <v>0</v>
      </c>
      <c r="DH79" s="22" t="b">
        <f t="shared" ca="1" si="528"/>
        <v>0</v>
      </c>
      <c r="DI79" s="22" t="b">
        <f t="shared" ca="1" si="528"/>
        <v>0</v>
      </c>
      <c r="DJ79" s="22" t="b">
        <f t="shared" ca="1" si="523"/>
        <v>0</v>
      </c>
      <c r="DK79" s="22"/>
      <c r="DO79" s="15" t="str">
        <f t="shared" ca="1" si="529"/>
        <v/>
      </c>
      <c r="DP79" s="15" t="str">
        <f t="shared" ca="1" si="529"/>
        <v/>
      </c>
      <c r="DQ79" s="15" t="str">
        <f t="shared" ca="1" si="529"/>
        <v/>
      </c>
      <c r="DR79" s="15" t="str">
        <f t="shared" ca="1" si="529"/>
        <v/>
      </c>
      <c r="DS79" s="15" t="str">
        <f t="shared" ca="1" si="529"/>
        <v/>
      </c>
      <c r="DT79" s="15" t="str">
        <f t="shared" ca="1" si="529"/>
        <v/>
      </c>
      <c r="DU79" s="15" t="str">
        <f t="shared" ca="1" si="529"/>
        <v/>
      </c>
      <c r="DV79" s="15" t="str">
        <f t="shared" ca="1" si="462"/>
        <v/>
      </c>
    </row>
    <row r="80" spans="1:126">
      <c r="A80" s="15">
        <f t="shared" si="531"/>
        <v>68</v>
      </c>
      <c r="B80" s="15" t="str">
        <f t="shared" si="459"/>
        <v/>
      </c>
      <c r="D80" s="15" t="str">
        <f t="shared" si="463"/>
        <v/>
      </c>
      <c r="M80" s="19"/>
      <c r="T80" s="15" t="str">
        <f t="shared" ca="1" si="464"/>
        <v/>
      </c>
      <c r="U80" s="15" t="str">
        <f t="shared" si="532"/>
        <v/>
      </c>
      <c r="AD80" s="16" t="b">
        <f t="shared" si="474"/>
        <v>0</v>
      </c>
      <c r="AE80" s="16" t="b">
        <f t="shared" si="475"/>
        <v>0</v>
      </c>
      <c r="AF80" s="15" t="str">
        <f t="shared" si="476"/>
        <v/>
      </c>
      <c r="AG80" s="15" t="str">
        <f t="shared" ca="1" si="477"/>
        <v/>
      </c>
      <c r="AH80" s="15" t="str">
        <f t="shared" ca="1" si="478"/>
        <v/>
      </c>
      <c r="AI80" s="15" t="b">
        <f t="shared" ca="1" si="479"/>
        <v>0</v>
      </c>
      <c r="AJ80" s="15" t="str">
        <f t="shared" ca="1" si="465"/>
        <v/>
      </c>
      <c r="AK80" s="27" t="str">
        <f t="shared" ca="1" si="480"/>
        <v/>
      </c>
      <c r="AL80" s="15" t="b">
        <f t="shared" ca="1" si="481"/>
        <v>0</v>
      </c>
      <c r="AM80" s="15" t="str">
        <f t="shared" ca="1" si="482"/>
        <v/>
      </c>
      <c r="AN80" s="15">
        <f t="shared" ca="1" si="483"/>
        <v>3</v>
      </c>
      <c r="AO80" s="15" t="str">
        <f t="shared" ca="1" si="466"/>
        <v/>
      </c>
      <c r="AP80" s="15" t="str">
        <f t="shared" ca="1" si="484"/>
        <v/>
      </c>
      <c r="AQ80" s="27">
        <f t="shared" si="485"/>
        <v>4</v>
      </c>
      <c r="AR80" s="15" t="b">
        <f t="shared" si="486"/>
        <v>0</v>
      </c>
      <c r="AS80" s="27" t="b">
        <f t="shared" si="487"/>
        <v>0</v>
      </c>
      <c r="AT80" s="27" t="b">
        <f t="shared" si="488"/>
        <v>0</v>
      </c>
      <c r="AU80" s="27" t="str">
        <f t="shared" si="489"/>
        <v/>
      </c>
      <c r="AV80" s="16" t="b">
        <f t="shared" si="490"/>
        <v>0</v>
      </c>
      <c r="AW80" s="15" t="str">
        <f t="shared" ca="1" si="530"/>
        <v/>
      </c>
      <c r="AX80" s="27" t="b">
        <f t="shared" ca="1" si="491"/>
        <v>0</v>
      </c>
      <c r="AY80" s="27" t="b">
        <f t="shared" ca="1" si="492"/>
        <v>0</v>
      </c>
      <c r="AZ80" s="15" t="b">
        <f t="shared" ca="1" si="493"/>
        <v>0</v>
      </c>
      <c r="BA80" s="15" t="b">
        <f t="shared" ca="1" si="494"/>
        <v>0</v>
      </c>
      <c r="BB80" s="15" t="str">
        <f t="shared" si="495"/>
        <v/>
      </c>
      <c r="BC80" s="15" t="str">
        <f t="shared" ca="1" si="467"/>
        <v/>
      </c>
      <c r="BD80" s="15" t="b">
        <f t="shared" ca="1" si="496"/>
        <v>0</v>
      </c>
      <c r="BE80" s="15" t="b">
        <f t="shared" si="497"/>
        <v>0</v>
      </c>
      <c r="BF80" s="15" t="str">
        <f t="shared" ca="1" si="498"/>
        <v/>
      </c>
      <c r="BG80" s="15" t="str">
        <f t="shared" si="499"/>
        <v/>
      </c>
      <c r="BH80" s="15" t="str">
        <f t="array" aca="1" ref="BH80" ca="1">IF(IFERROR( S80,1),1,IF(BC80="","", SUM(IF(ISERROR(INDIRECT(BC80)),1,0))))</f>
        <v/>
      </c>
      <c r="BI80" s="15" t="b">
        <f t="shared" si="500"/>
        <v>0</v>
      </c>
      <c r="BJ80" s="15" t="b">
        <f t="shared" si="501"/>
        <v>0</v>
      </c>
      <c r="BK80" s="15" t="str">
        <f t="shared" si="502"/>
        <v/>
      </c>
      <c r="BL80" s="15">
        <f t="shared" si="503"/>
        <v>4</v>
      </c>
      <c r="BP80" s="15" t="b">
        <f t="shared" si="468"/>
        <v>0</v>
      </c>
      <c r="BQ80" s="15" t="b">
        <f t="shared" si="469"/>
        <v>0</v>
      </c>
      <c r="BR80" s="15" t="str">
        <f t="shared" si="504"/>
        <v/>
      </c>
      <c r="BS80" s="15">
        <f t="shared" si="470"/>
        <v>0</v>
      </c>
      <c r="BT80" s="15" t="str">
        <f t="shared" si="471"/>
        <v/>
      </c>
      <c r="BV80" s="15" t="b">
        <f t="shared" ca="1" si="505"/>
        <v>0</v>
      </c>
      <c r="BW80" s="15" t="b">
        <f t="shared" ca="1" si="506"/>
        <v>0</v>
      </c>
      <c r="BX80" s="15" t="b">
        <f t="shared" ca="1" si="472"/>
        <v>0</v>
      </c>
      <c r="BY80" s="15" t="b">
        <f t="shared" ca="1" si="507"/>
        <v>0</v>
      </c>
      <c r="BZ80" s="15" t="b">
        <f t="shared" si="508"/>
        <v>0</v>
      </c>
      <c r="CA80" s="15" t="b">
        <f t="shared" si="509"/>
        <v>0</v>
      </c>
      <c r="CB80" s="15" t="b">
        <f t="shared" ca="1" si="510"/>
        <v>0</v>
      </c>
      <c r="CC80" s="15" t="b">
        <f t="shared" si="525"/>
        <v>0</v>
      </c>
      <c r="CD80" s="15" t="b">
        <f t="shared" si="525"/>
        <v>0</v>
      </c>
      <c r="CE80" s="15" t="b">
        <f t="shared" ca="1" si="512"/>
        <v>0</v>
      </c>
      <c r="CF80" s="15" t="b">
        <f t="shared" si="513"/>
        <v>0</v>
      </c>
      <c r="CG80" s="15" t="b">
        <f t="shared" si="514"/>
        <v>0</v>
      </c>
      <c r="CH80" s="15" t="b">
        <f t="shared" si="515"/>
        <v>0</v>
      </c>
      <c r="CI80" s="15" t="b">
        <f t="shared" si="516"/>
        <v>0</v>
      </c>
      <c r="CJ80" s="15" t="b">
        <f t="shared" si="517"/>
        <v>0</v>
      </c>
      <c r="CK80" s="15" t="b">
        <f t="shared" ca="1" si="526"/>
        <v>0</v>
      </c>
      <c r="CL80" s="15" t="b">
        <f t="shared" ca="1" si="526"/>
        <v>0</v>
      </c>
      <c r="CM80" s="15" t="b">
        <f t="shared" ca="1" si="526"/>
        <v>0</v>
      </c>
      <c r="CN80" s="15" t="b">
        <f t="shared" ca="1" si="526"/>
        <v>0</v>
      </c>
      <c r="CO80" s="15" t="b">
        <f t="shared" ca="1" si="526"/>
        <v>0</v>
      </c>
      <c r="CP80" s="15" t="b">
        <f t="shared" ca="1" si="526"/>
        <v>0</v>
      </c>
      <c r="CQ80" s="15" t="b">
        <f t="shared" ca="1" si="526"/>
        <v>0</v>
      </c>
      <c r="CR80" s="21" t="b">
        <f t="shared" ca="1" si="526"/>
        <v>0</v>
      </c>
      <c r="CS80" s="22" t="b">
        <f t="shared" ca="1" si="527"/>
        <v>0</v>
      </c>
      <c r="CT80" s="22" t="b">
        <f t="shared" ca="1" si="527"/>
        <v>0</v>
      </c>
      <c r="CU80" s="22" t="b">
        <f t="shared" ca="1" si="527"/>
        <v>0</v>
      </c>
      <c r="CV80" s="22" t="b">
        <f t="shared" ca="1" si="527"/>
        <v>0</v>
      </c>
      <c r="CW80" s="22" t="b">
        <f t="shared" ca="1" si="527"/>
        <v>0</v>
      </c>
      <c r="CX80" s="22" t="b">
        <f t="shared" ca="1" si="527"/>
        <v>0</v>
      </c>
      <c r="CY80" s="22" t="b">
        <f t="shared" ca="1" si="527"/>
        <v>0</v>
      </c>
      <c r="CZ80" s="21" t="b">
        <f t="shared" ca="1" si="527"/>
        <v>0</v>
      </c>
      <c r="DB80" s="22" t="b">
        <f t="shared" ca="1" si="521"/>
        <v>0</v>
      </c>
      <c r="DC80" s="22" t="b">
        <f t="shared" ca="1" si="528"/>
        <v>0</v>
      </c>
      <c r="DD80" s="22" t="b">
        <f t="shared" ca="1" si="528"/>
        <v>0</v>
      </c>
      <c r="DE80" s="22" t="b">
        <f t="shared" ca="1" si="528"/>
        <v>0</v>
      </c>
      <c r="DF80" s="22" t="b">
        <f t="shared" ca="1" si="528"/>
        <v>0</v>
      </c>
      <c r="DG80" s="22" t="b">
        <f t="shared" ca="1" si="528"/>
        <v>0</v>
      </c>
      <c r="DH80" s="22" t="b">
        <f t="shared" ca="1" si="528"/>
        <v>0</v>
      </c>
      <c r="DI80" s="22" t="b">
        <f t="shared" ca="1" si="528"/>
        <v>0</v>
      </c>
      <c r="DJ80" s="22" t="b">
        <f t="shared" ca="1" si="523"/>
        <v>0</v>
      </c>
      <c r="DK80" s="22"/>
      <c r="DO80" s="15" t="str">
        <f t="shared" ca="1" si="529"/>
        <v/>
      </c>
      <c r="DP80" s="15" t="str">
        <f t="shared" ca="1" si="529"/>
        <v/>
      </c>
      <c r="DQ80" s="15" t="str">
        <f t="shared" ca="1" si="529"/>
        <v/>
      </c>
      <c r="DR80" s="15" t="str">
        <f t="shared" ca="1" si="529"/>
        <v/>
      </c>
      <c r="DS80" s="15" t="str">
        <f t="shared" ca="1" si="529"/>
        <v/>
      </c>
      <c r="DT80" s="15" t="str">
        <f t="shared" ca="1" si="529"/>
        <v/>
      </c>
      <c r="DU80" s="15" t="str">
        <f t="shared" ca="1" si="529"/>
        <v/>
      </c>
      <c r="DV80" s="15" t="str">
        <f t="shared" ca="1" si="462"/>
        <v/>
      </c>
    </row>
    <row r="81" spans="1:126">
      <c r="A81" s="15">
        <f t="shared" si="531"/>
        <v>69</v>
      </c>
      <c r="B81" s="15" t="str">
        <f t="shared" si="459"/>
        <v/>
      </c>
      <c r="D81" s="15" t="str">
        <f t="shared" si="463"/>
        <v/>
      </c>
      <c r="M81" s="19"/>
      <c r="T81" s="15" t="str">
        <f t="shared" ca="1" si="464"/>
        <v/>
      </c>
      <c r="U81" s="15" t="str">
        <f t="shared" si="532"/>
        <v/>
      </c>
      <c r="AD81" s="16" t="b">
        <f t="shared" si="474"/>
        <v>0</v>
      </c>
      <c r="AE81" s="16" t="b">
        <f t="shared" si="475"/>
        <v>0</v>
      </c>
      <c r="AF81" s="15" t="str">
        <f t="shared" si="476"/>
        <v/>
      </c>
      <c r="AG81" s="15" t="str">
        <f t="shared" ca="1" si="477"/>
        <v/>
      </c>
      <c r="AH81" s="15" t="str">
        <f t="shared" ca="1" si="478"/>
        <v/>
      </c>
      <c r="AI81" s="15" t="b">
        <f t="shared" ca="1" si="479"/>
        <v>0</v>
      </c>
      <c r="AJ81" s="15" t="str">
        <f t="shared" ca="1" si="465"/>
        <v/>
      </c>
      <c r="AK81" s="27" t="str">
        <f t="shared" ca="1" si="480"/>
        <v/>
      </c>
      <c r="AL81" s="15" t="b">
        <f t="shared" ca="1" si="481"/>
        <v>0</v>
      </c>
      <c r="AM81" s="15" t="str">
        <f t="shared" ca="1" si="482"/>
        <v/>
      </c>
      <c r="AN81" s="15">
        <f t="shared" ca="1" si="483"/>
        <v>3</v>
      </c>
      <c r="AO81" s="15" t="str">
        <f t="shared" ca="1" si="466"/>
        <v/>
      </c>
      <c r="AP81" s="15" t="str">
        <f t="shared" ca="1" si="484"/>
        <v/>
      </c>
      <c r="AQ81" s="27">
        <f t="shared" si="485"/>
        <v>4</v>
      </c>
      <c r="AR81" s="15" t="b">
        <f t="shared" si="486"/>
        <v>0</v>
      </c>
      <c r="AS81" s="27" t="b">
        <f t="shared" si="487"/>
        <v>0</v>
      </c>
      <c r="AT81" s="27" t="b">
        <f t="shared" si="488"/>
        <v>0</v>
      </c>
      <c r="AU81" s="27" t="str">
        <f t="shared" si="489"/>
        <v/>
      </c>
      <c r="AV81" s="16" t="b">
        <f t="shared" si="490"/>
        <v>0</v>
      </c>
      <c r="AW81" s="15" t="str">
        <f t="shared" ca="1" si="530"/>
        <v/>
      </c>
      <c r="AX81" s="27" t="b">
        <f t="shared" ca="1" si="491"/>
        <v>0</v>
      </c>
      <c r="AY81" s="27" t="b">
        <f t="shared" ca="1" si="492"/>
        <v>0</v>
      </c>
      <c r="AZ81" s="15" t="b">
        <f t="shared" ca="1" si="493"/>
        <v>0</v>
      </c>
      <c r="BA81" s="15" t="b">
        <f t="shared" ca="1" si="494"/>
        <v>0</v>
      </c>
      <c r="BB81" s="15" t="str">
        <f t="shared" si="495"/>
        <v/>
      </c>
      <c r="BC81" s="15" t="str">
        <f t="shared" ca="1" si="467"/>
        <v/>
      </c>
      <c r="BD81" s="15" t="b">
        <f t="shared" ca="1" si="496"/>
        <v>0</v>
      </c>
      <c r="BE81" s="15" t="b">
        <f t="shared" si="497"/>
        <v>0</v>
      </c>
      <c r="BF81" s="15" t="str">
        <f t="shared" ca="1" si="498"/>
        <v/>
      </c>
      <c r="BG81" s="15" t="str">
        <f t="shared" si="499"/>
        <v/>
      </c>
      <c r="BH81" s="15" t="str">
        <f t="array" aca="1" ref="BH81" ca="1">IF(IFERROR( S81,1),1,IF(BC81="","", SUM(IF(ISERROR(INDIRECT(BC81)),1,0))))</f>
        <v/>
      </c>
      <c r="BI81" s="15" t="b">
        <f t="shared" si="500"/>
        <v>0</v>
      </c>
      <c r="BJ81" s="15" t="b">
        <f t="shared" si="501"/>
        <v>0</v>
      </c>
      <c r="BK81" s="15" t="str">
        <f t="shared" si="502"/>
        <v/>
      </c>
      <c r="BL81" s="15">
        <f t="shared" si="503"/>
        <v>4</v>
      </c>
      <c r="BP81" s="15" t="b">
        <f t="shared" si="468"/>
        <v>0</v>
      </c>
      <c r="BQ81" s="15" t="b">
        <f t="shared" si="469"/>
        <v>0</v>
      </c>
      <c r="BR81" s="15" t="str">
        <f t="shared" si="504"/>
        <v/>
      </c>
      <c r="BS81" s="15">
        <f t="shared" si="470"/>
        <v>0</v>
      </c>
      <c r="BT81" s="15" t="str">
        <f t="shared" si="471"/>
        <v/>
      </c>
      <c r="BV81" s="15" t="b">
        <f t="shared" ca="1" si="505"/>
        <v>0</v>
      </c>
      <c r="BW81" s="15" t="b">
        <f t="shared" ca="1" si="506"/>
        <v>0</v>
      </c>
      <c r="BX81" s="15" t="b">
        <f t="shared" ca="1" si="472"/>
        <v>0</v>
      </c>
      <c r="BY81" s="15" t="b">
        <f t="shared" ca="1" si="507"/>
        <v>0</v>
      </c>
      <c r="BZ81" s="15" t="b">
        <f t="shared" si="508"/>
        <v>0</v>
      </c>
      <c r="CA81" s="15" t="b">
        <f t="shared" si="509"/>
        <v>0</v>
      </c>
      <c r="CB81" s="15" t="b">
        <f t="shared" ca="1" si="510"/>
        <v>0</v>
      </c>
      <c r="CC81" s="15" t="b">
        <f t="shared" si="525"/>
        <v>0</v>
      </c>
      <c r="CD81" s="15" t="b">
        <f t="shared" si="525"/>
        <v>0</v>
      </c>
      <c r="CE81" s="15" t="b">
        <f t="shared" ca="1" si="512"/>
        <v>0</v>
      </c>
      <c r="CF81" s="15" t="b">
        <f t="shared" si="513"/>
        <v>0</v>
      </c>
      <c r="CG81" s="15" t="b">
        <f t="shared" si="514"/>
        <v>0</v>
      </c>
      <c r="CH81" s="15" t="b">
        <f t="shared" si="515"/>
        <v>0</v>
      </c>
      <c r="CI81" s="15" t="b">
        <f t="shared" si="516"/>
        <v>0</v>
      </c>
      <c r="CJ81" s="15" t="b">
        <f t="shared" si="517"/>
        <v>0</v>
      </c>
      <c r="CK81" s="15" t="b">
        <f t="shared" ca="1" si="526"/>
        <v>0</v>
      </c>
      <c r="CL81" s="15" t="b">
        <f t="shared" ca="1" si="526"/>
        <v>0</v>
      </c>
      <c r="CM81" s="15" t="b">
        <f t="shared" ca="1" si="526"/>
        <v>0</v>
      </c>
      <c r="CN81" s="15" t="b">
        <f t="shared" ca="1" si="526"/>
        <v>0</v>
      </c>
      <c r="CO81" s="15" t="b">
        <f t="shared" ca="1" si="526"/>
        <v>0</v>
      </c>
      <c r="CP81" s="15" t="b">
        <f t="shared" ca="1" si="526"/>
        <v>0</v>
      </c>
      <c r="CQ81" s="15" t="b">
        <f t="shared" ca="1" si="526"/>
        <v>0</v>
      </c>
      <c r="CR81" s="21" t="b">
        <f t="shared" ca="1" si="526"/>
        <v>0</v>
      </c>
      <c r="CS81" s="22" t="b">
        <f t="shared" ca="1" si="527"/>
        <v>0</v>
      </c>
      <c r="CT81" s="22" t="b">
        <f t="shared" ca="1" si="527"/>
        <v>0</v>
      </c>
      <c r="CU81" s="22" t="b">
        <f t="shared" ca="1" si="527"/>
        <v>0</v>
      </c>
      <c r="CV81" s="22" t="b">
        <f t="shared" ca="1" si="527"/>
        <v>0</v>
      </c>
      <c r="CW81" s="22" t="b">
        <f t="shared" ca="1" si="527"/>
        <v>0</v>
      </c>
      <c r="CX81" s="22" t="b">
        <f t="shared" ca="1" si="527"/>
        <v>0</v>
      </c>
      <c r="CY81" s="22" t="b">
        <f t="shared" ca="1" si="527"/>
        <v>0</v>
      </c>
      <c r="CZ81" s="21" t="b">
        <f t="shared" ca="1" si="527"/>
        <v>0</v>
      </c>
      <c r="DB81" s="22" t="b">
        <f t="shared" ca="1" si="521"/>
        <v>0</v>
      </c>
      <c r="DC81" s="22" t="b">
        <f t="shared" ca="1" si="528"/>
        <v>0</v>
      </c>
      <c r="DD81" s="22" t="b">
        <f t="shared" ca="1" si="528"/>
        <v>0</v>
      </c>
      <c r="DE81" s="22" t="b">
        <f t="shared" ca="1" si="528"/>
        <v>0</v>
      </c>
      <c r="DF81" s="22" t="b">
        <f t="shared" ca="1" si="528"/>
        <v>0</v>
      </c>
      <c r="DG81" s="22" t="b">
        <f t="shared" ca="1" si="528"/>
        <v>0</v>
      </c>
      <c r="DH81" s="22" t="b">
        <f t="shared" ca="1" si="528"/>
        <v>0</v>
      </c>
      <c r="DI81" s="22" t="b">
        <f t="shared" ca="1" si="528"/>
        <v>0</v>
      </c>
      <c r="DJ81" s="22" t="b">
        <f t="shared" ca="1" si="523"/>
        <v>0</v>
      </c>
      <c r="DK81" s="22"/>
      <c r="DO81" s="15" t="str">
        <f t="shared" ca="1" si="529"/>
        <v/>
      </c>
      <c r="DP81" s="15" t="str">
        <f t="shared" ca="1" si="529"/>
        <v/>
      </c>
      <c r="DQ81" s="15" t="str">
        <f t="shared" ca="1" si="529"/>
        <v/>
      </c>
      <c r="DR81" s="15" t="str">
        <f t="shared" ca="1" si="529"/>
        <v/>
      </c>
      <c r="DS81" s="15" t="str">
        <f t="shared" ca="1" si="529"/>
        <v/>
      </c>
      <c r="DT81" s="15" t="str">
        <f t="shared" ca="1" si="529"/>
        <v/>
      </c>
      <c r="DU81" s="15" t="str">
        <f t="shared" ca="1" si="529"/>
        <v/>
      </c>
      <c r="DV81" s="15" t="str">
        <f t="shared" ca="1" si="462"/>
        <v/>
      </c>
    </row>
    <row r="82" spans="1:126">
      <c r="A82" s="15">
        <f t="shared" si="531"/>
        <v>70</v>
      </c>
      <c r="B82" s="15" t="str">
        <f t="shared" si="459"/>
        <v/>
      </c>
      <c r="D82" s="15" t="str">
        <f t="shared" si="463"/>
        <v/>
      </c>
      <c r="M82" s="19"/>
      <c r="T82" s="15" t="str">
        <f t="shared" ca="1" si="464"/>
        <v/>
      </c>
      <c r="U82" s="15" t="str">
        <f t="shared" si="532"/>
        <v/>
      </c>
      <c r="AD82" s="16" t="b">
        <f t="shared" si="474"/>
        <v>0</v>
      </c>
      <c r="AE82" s="16" t="b">
        <f t="shared" si="475"/>
        <v>0</v>
      </c>
      <c r="AF82" s="15" t="str">
        <f t="shared" si="476"/>
        <v/>
      </c>
      <c r="AG82" s="15" t="str">
        <f t="shared" ca="1" si="477"/>
        <v/>
      </c>
      <c r="AH82" s="15" t="str">
        <f t="shared" ca="1" si="478"/>
        <v/>
      </c>
      <c r="AI82" s="15" t="b">
        <f t="shared" ca="1" si="479"/>
        <v>0</v>
      </c>
      <c r="AJ82" s="15" t="str">
        <f t="shared" ca="1" si="465"/>
        <v/>
      </c>
      <c r="AK82" s="27" t="str">
        <f t="shared" ca="1" si="480"/>
        <v/>
      </c>
      <c r="AL82" s="15" t="b">
        <f t="shared" ca="1" si="481"/>
        <v>0</v>
      </c>
      <c r="AM82" s="15" t="str">
        <f t="shared" ca="1" si="482"/>
        <v/>
      </c>
      <c r="AN82" s="15">
        <f t="shared" ca="1" si="483"/>
        <v>3</v>
      </c>
      <c r="AO82" s="15" t="str">
        <f t="shared" ca="1" si="466"/>
        <v/>
      </c>
      <c r="AP82" s="15" t="str">
        <f t="shared" ca="1" si="484"/>
        <v/>
      </c>
      <c r="AQ82" s="27">
        <f t="shared" si="485"/>
        <v>4</v>
      </c>
      <c r="AR82" s="15" t="b">
        <f t="shared" si="486"/>
        <v>0</v>
      </c>
      <c r="AS82" s="27" t="b">
        <f t="shared" si="487"/>
        <v>0</v>
      </c>
      <c r="AT82" s="27" t="b">
        <f t="shared" si="488"/>
        <v>0</v>
      </c>
      <c r="AU82" s="27" t="str">
        <f t="shared" si="489"/>
        <v/>
      </c>
      <c r="AV82" s="16" t="b">
        <f t="shared" si="490"/>
        <v>0</v>
      </c>
      <c r="AW82" s="15" t="str">
        <f t="shared" ca="1" si="530"/>
        <v/>
      </c>
      <c r="AX82" s="27" t="b">
        <f t="shared" ca="1" si="491"/>
        <v>0</v>
      </c>
      <c r="AY82" s="27" t="b">
        <f t="shared" ca="1" si="492"/>
        <v>0</v>
      </c>
      <c r="AZ82" s="15" t="b">
        <f t="shared" ca="1" si="493"/>
        <v>0</v>
      </c>
      <c r="BA82" s="15" t="b">
        <f t="shared" ca="1" si="494"/>
        <v>0</v>
      </c>
      <c r="BB82" s="15" t="str">
        <f t="shared" si="495"/>
        <v/>
      </c>
      <c r="BC82" s="15" t="str">
        <f t="shared" ca="1" si="467"/>
        <v/>
      </c>
      <c r="BD82" s="15" t="b">
        <f t="shared" ca="1" si="496"/>
        <v>0</v>
      </c>
      <c r="BE82" s="15" t="b">
        <f t="shared" si="497"/>
        <v>0</v>
      </c>
      <c r="BF82" s="15" t="str">
        <f t="shared" ca="1" si="498"/>
        <v/>
      </c>
      <c r="BG82" s="15" t="str">
        <f t="shared" si="499"/>
        <v/>
      </c>
      <c r="BH82" s="15" t="str">
        <f t="array" aca="1" ref="BH82" ca="1">IF(IFERROR( S82,1),1,IF(BC82="","", SUM(IF(ISERROR(INDIRECT(BC82)),1,0))))</f>
        <v/>
      </c>
      <c r="BI82" s="15" t="b">
        <f t="shared" si="500"/>
        <v>0</v>
      </c>
      <c r="BJ82" s="15" t="b">
        <f t="shared" si="501"/>
        <v>0</v>
      </c>
      <c r="BK82" s="15" t="str">
        <f t="shared" si="502"/>
        <v/>
      </c>
      <c r="BL82" s="15">
        <f t="shared" si="503"/>
        <v>4</v>
      </c>
      <c r="BP82" s="15" t="b">
        <f t="shared" si="468"/>
        <v>0</v>
      </c>
      <c r="BQ82" s="15" t="b">
        <f t="shared" si="469"/>
        <v>0</v>
      </c>
      <c r="BR82" s="15" t="str">
        <f t="shared" si="504"/>
        <v/>
      </c>
      <c r="BS82" s="15">
        <f t="shared" si="470"/>
        <v>0</v>
      </c>
      <c r="BT82" s="15" t="str">
        <f t="shared" si="471"/>
        <v/>
      </c>
      <c r="BV82" s="15" t="b">
        <f t="shared" ca="1" si="505"/>
        <v>0</v>
      </c>
      <c r="BW82" s="15" t="b">
        <f t="shared" ca="1" si="506"/>
        <v>0</v>
      </c>
      <c r="BX82" s="15" t="b">
        <f t="shared" ca="1" si="472"/>
        <v>0</v>
      </c>
      <c r="BY82" s="15" t="b">
        <f t="shared" ca="1" si="507"/>
        <v>0</v>
      </c>
      <c r="BZ82" s="15" t="b">
        <f t="shared" si="508"/>
        <v>0</v>
      </c>
      <c r="CA82" s="15" t="b">
        <f t="shared" si="509"/>
        <v>0</v>
      </c>
      <c r="CB82" s="15" t="b">
        <f t="shared" ca="1" si="510"/>
        <v>0</v>
      </c>
      <c r="CC82" s="15" t="b">
        <f t="shared" si="525"/>
        <v>0</v>
      </c>
      <c r="CD82" s="15" t="b">
        <f t="shared" si="525"/>
        <v>0</v>
      </c>
      <c r="CE82" s="15" t="b">
        <f t="shared" ca="1" si="512"/>
        <v>0</v>
      </c>
      <c r="CF82" s="15" t="b">
        <f t="shared" si="513"/>
        <v>0</v>
      </c>
      <c r="CG82" s="15" t="b">
        <f t="shared" si="514"/>
        <v>0</v>
      </c>
      <c r="CH82" s="15" t="b">
        <f t="shared" si="515"/>
        <v>0</v>
      </c>
      <c r="CI82" s="15" t="b">
        <f t="shared" si="516"/>
        <v>0</v>
      </c>
      <c r="CJ82" s="15" t="b">
        <f t="shared" si="517"/>
        <v>0</v>
      </c>
      <c r="CK82" s="15" t="b">
        <f t="shared" ca="1" si="526"/>
        <v>0</v>
      </c>
      <c r="CL82" s="15" t="b">
        <f t="shared" ca="1" si="526"/>
        <v>0</v>
      </c>
      <c r="CM82" s="15" t="b">
        <f t="shared" ca="1" si="526"/>
        <v>0</v>
      </c>
      <c r="CN82" s="15" t="b">
        <f t="shared" ca="1" si="526"/>
        <v>0</v>
      </c>
      <c r="CO82" s="15" t="b">
        <f t="shared" ca="1" si="526"/>
        <v>0</v>
      </c>
      <c r="CP82" s="15" t="b">
        <f t="shared" ca="1" si="526"/>
        <v>0</v>
      </c>
      <c r="CQ82" s="15" t="b">
        <f t="shared" ca="1" si="526"/>
        <v>0</v>
      </c>
      <c r="CR82" s="21" t="b">
        <f t="shared" ca="1" si="526"/>
        <v>0</v>
      </c>
      <c r="CS82" s="22" t="b">
        <f t="shared" ca="1" si="527"/>
        <v>0</v>
      </c>
      <c r="CT82" s="22" t="b">
        <f t="shared" ca="1" si="527"/>
        <v>0</v>
      </c>
      <c r="CU82" s="22" t="b">
        <f t="shared" ca="1" si="527"/>
        <v>0</v>
      </c>
      <c r="CV82" s="22" t="b">
        <f t="shared" ca="1" si="527"/>
        <v>0</v>
      </c>
      <c r="CW82" s="22" t="b">
        <f t="shared" ca="1" si="527"/>
        <v>0</v>
      </c>
      <c r="CX82" s="22" t="b">
        <f t="shared" ca="1" si="527"/>
        <v>0</v>
      </c>
      <c r="CY82" s="22" t="b">
        <f t="shared" ca="1" si="527"/>
        <v>0</v>
      </c>
      <c r="CZ82" s="21" t="b">
        <f t="shared" ca="1" si="527"/>
        <v>0</v>
      </c>
      <c r="DB82" s="22" t="b">
        <f t="shared" ca="1" si="521"/>
        <v>0</v>
      </c>
      <c r="DC82" s="22" t="b">
        <f t="shared" ca="1" si="528"/>
        <v>0</v>
      </c>
      <c r="DD82" s="22" t="b">
        <f t="shared" ca="1" si="528"/>
        <v>0</v>
      </c>
      <c r="DE82" s="22" t="b">
        <f t="shared" ca="1" si="528"/>
        <v>0</v>
      </c>
      <c r="DF82" s="22" t="b">
        <f t="shared" ca="1" si="528"/>
        <v>0</v>
      </c>
      <c r="DG82" s="22" t="b">
        <f t="shared" ca="1" si="528"/>
        <v>0</v>
      </c>
      <c r="DH82" s="22" t="b">
        <f t="shared" ca="1" si="528"/>
        <v>0</v>
      </c>
      <c r="DI82" s="22" t="b">
        <f t="shared" ca="1" si="528"/>
        <v>0</v>
      </c>
      <c r="DJ82" s="22" t="b">
        <f t="shared" ca="1" si="523"/>
        <v>0</v>
      </c>
      <c r="DK82" s="22"/>
      <c r="DO82" s="15" t="str">
        <f t="shared" ca="1" si="529"/>
        <v/>
      </c>
      <c r="DP82" s="15" t="str">
        <f t="shared" ca="1" si="529"/>
        <v/>
      </c>
      <c r="DQ82" s="15" t="str">
        <f t="shared" ca="1" si="529"/>
        <v/>
      </c>
      <c r="DR82" s="15" t="str">
        <f t="shared" ca="1" si="529"/>
        <v/>
      </c>
      <c r="DS82" s="15" t="str">
        <f t="shared" ca="1" si="529"/>
        <v/>
      </c>
      <c r="DT82" s="15" t="str">
        <f t="shared" ca="1" si="529"/>
        <v/>
      </c>
      <c r="DU82" s="15" t="str">
        <f t="shared" ca="1" si="529"/>
        <v/>
      </c>
      <c r="DV82" s="15" t="str">
        <f t="shared" ca="1" si="462"/>
        <v/>
      </c>
    </row>
    <row r="83" spans="1:126">
      <c r="A83" s="15">
        <f t="shared" si="531"/>
        <v>71</v>
      </c>
      <c r="B83" s="15" t="str">
        <f t="shared" ref="B83:B97" si="533">IF(AD83,IF(BS83&gt;0,BT83,IF(DA83,"Pole zależy od pól, które zależą od zamkniętego workbooka","ok.")),"")</f>
        <v/>
      </c>
      <c r="D83" s="15" t="str">
        <f t="shared" si="463"/>
        <v/>
      </c>
      <c r="M83" s="19"/>
      <c r="T83" s="15" t="str">
        <f t="shared" ca="1" si="464"/>
        <v/>
      </c>
      <c r="U83" s="15" t="str">
        <f t="shared" si="532"/>
        <v/>
      </c>
      <c r="AD83" s="16" t="b">
        <f t="shared" si="474"/>
        <v>0</v>
      </c>
      <c r="AE83" s="16" t="b">
        <f t="shared" si="475"/>
        <v>0</v>
      </c>
      <c r="AF83" s="15" t="str">
        <f t="shared" si="476"/>
        <v/>
      </c>
      <c r="AG83" s="15" t="str">
        <f t="shared" ca="1" si="477"/>
        <v/>
      </c>
      <c r="AH83" s="15" t="str">
        <f t="shared" ca="1" si="478"/>
        <v/>
      </c>
      <c r="AI83" s="15" t="b">
        <f t="shared" ca="1" si="479"/>
        <v>0</v>
      </c>
      <c r="AJ83" s="15" t="str">
        <f t="shared" ca="1" si="465"/>
        <v/>
      </c>
      <c r="AK83" s="27" t="str">
        <f t="shared" ca="1" si="480"/>
        <v/>
      </c>
      <c r="AL83" s="15" t="b">
        <f t="shared" ca="1" si="481"/>
        <v>0</v>
      </c>
      <c r="AM83" s="15" t="str">
        <f t="shared" ca="1" si="482"/>
        <v/>
      </c>
      <c r="AN83" s="15">
        <f t="shared" ca="1" si="483"/>
        <v>3</v>
      </c>
      <c r="AO83" s="15" t="str">
        <f t="shared" ca="1" si="466"/>
        <v/>
      </c>
      <c r="AP83" s="15" t="str">
        <f t="shared" ca="1" si="484"/>
        <v/>
      </c>
      <c r="AQ83" s="27">
        <f t="shared" si="485"/>
        <v>4</v>
      </c>
      <c r="AR83" s="15" t="b">
        <f t="shared" si="486"/>
        <v>0</v>
      </c>
      <c r="AS83" s="27" t="b">
        <f t="shared" si="487"/>
        <v>0</v>
      </c>
      <c r="AT83" s="27" t="b">
        <f t="shared" si="488"/>
        <v>0</v>
      </c>
      <c r="AU83" s="27" t="str">
        <f t="shared" si="489"/>
        <v/>
      </c>
      <c r="AV83" s="16" t="b">
        <f t="shared" si="490"/>
        <v>0</v>
      </c>
      <c r="AW83" s="15" t="str">
        <f t="shared" ca="1" si="530"/>
        <v/>
      </c>
      <c r="AX83" s="27" t="b">
        <f t="shared" ca="1" si="491"/>
        <v>0</v>
      </c>
      <c r="AY83" s="27" t="b">
        <f t="shared" ca="1" si="492"/>
        <v>0</v>
      </c>
      <c r="AZ83" s="15" t="b">
        <f t="shared" ca="1" si="493"/>
        <v>0</v>
      </c>
      <c r="BA83" s="15" t="b">
        <f t="shared" ca="1" si="494"/>
        <v>0</v>
      </c>
      <c r="BB83" s="15" t="str">
        <f t="shared" si="495"/>
        <v/>
      </c>
      <c r="BC83" s="15" t="str">
        <f t="shared" ca="1" si="467"/>
        <v/>
      </c>
      <c r="BD83" s="15" t="b">
        <f t="shared" ca="1" si="496"/>
        <v>0</v>
      </c>
      <c r="BE83" s="15" t="b">
        <f t="shared" si="497"/>
        <v>0</v>
      </c>
      <c r="BF83" s="15" t="str">
        <f t="shared" ca="1" si="498"/>
        <v/>
      </c>
      <c r="BG83" s="15" t="str">
        <f t="shared" si="499"/>
        <v/>
      </c>
      <c r="BH83" s="15" t="str">
        <f t="array" aca="1" ref="BH83" ca="1">IF(IFERROR( S83,1),1,IF(BC83="","", SUM(IF(ISERROR(INDIRECT(BC83)),1,0))))</f>
        <v/>
      </c>
      <c r="BI83" s="15" t="b">
        <f t="shared" si="500"/>
        <v>0</v>
      </c>
      <c r="BJ83" s="15" t="b">
        <f t="shared" si="501"/>
        <v>0</v>
      </c>
      <c r="BK83" s="15" t="str">
        <f t="shared" si="502"/>
        <v/>
      </c>
      <c r="BL83" s="15">
        <f t="shared" si="503"/>
        <v>4</v>
      </c>
      <c r="BP83" s="15" t="b">
        <f t="shared" si="468"/>
        <v>0</v>
      </c>
      <c r="BQ83" s="15" t="b">
        <f t="shared" si="469"/>
        <v>0</v>
      </c>
      <c r="BR83" s="15" t="str">
        <f t="shared" si="504"/>
        <v/>
      </c>
      <c r="BS83" s="15">
        <f t="shared" si="470"/>
        <v>0</v>
      </c>
      <c r="BT83" s="15" t="str">
        <f t="shared" si="471"/>
        <v/>
      </c>
      <c r="BV83" s="15" t="b">
        <f t="shared" ca="1" si="505"/>
        <v>0</v>
      </c>
      <c r="BW83" s="15" t="b">
        <f t="shared" ca="1" si="506"/>
        <v>0</v>
      </c>
      <c r="BX83" s="15" t="b">
        <f t="shared" ca="1" si="472"/>
        <v>0</v>
      </c>
      <c r="BY83" s="15" t="b">
        <f t="shared" ca="1" si="507"/>
        <v>0</v>
      </c>
      <c r="BZ83" s="15" t="b">
        <f t="shared" si="508"/>
        <v>0</v>
      </c>
      <c r="CA83" s="15" t="b">
        <f t="shared" si="509"/>
        <v>0</v>
      </c>
      <c r="CB83" s="15" t="b">
        <f t="shared" ca="1" si="510"/>
        <v>0</v>
      </c>
      <c r="CC83" s="15" t="b">
        <f t="shared" si="525"/>
        <v>0</v>
      </c>
      <c r="CD83" s="15" t="b">
        <f t="shared" si="525"/>
        <v>0</v>
      </c>
      <c r="CE83" s="15" t="b">
        <f t="shared" ca="1" si="512"/>
        <v>0</v>
      </c>
      <c r="CF83" s="15" t="b">
        <f t="shared" si="513"/>
        <v>0</v>
      </c>
      <c r="CG83" s="15" t="b">
        <f t="shared" si="514"/>
        <v>0</v>
      </c>
      <c r="CH83" s="15" t="b">
        <f t="shared" si="515"/>
        <v>0</v>
      </c>
      <c r="CI83" s="15" t="b">
        <f t="shared" si="516"/>
        <v>0</v>
      </c>
      <c r="CJ83" s="15" t="b">
        <f t="shared" si="517"/>
        <v>0</v>
      </c>
      <c r="CK83" s="15" t="b">
        <f t="shared" ca="1" si="526"/>
        <v>0</v>
      </c>
      <c r="CL83" s="15" t="b">
        <f t="shared" ca="1" si="526"/>
        <v>0</v>
      </c>
      <c r="CM83" s="15" t="b">
        <f t="shared" ca="1" si="526"/>
        <v>0</v>
      </c>
      <c r="CN83" s="15" t="b">
        <f t="shared" ca="1" si="526"/>
        <v>0</v>
      </c>
      <c r="CO83" s="15" t="b">
        <f t="shared" ca="1" si="526"/>
        <v>0</v>
      </c>
      <c r="CP83" s="15" t="b">
        <f t="shared" ca="1" si="526"/>
        <v>0</v>
      </c>
      <c r="CQ83" s="15" t="b">
        <f t="shared" ca="1" si="526"/>
        <v>0</v>
      </c>
      <c r="CR83" s="21" t="b">
        <f t="shared" ca="1" si="526"/>
        <v>0</v>
      </c>
      <c r="CS83" s="22" t="b">
        <f t="shared" ca="1" si="527"/>
        <v>0</v>
      </c>
      <c r="CT83" s="22" t="b">
        <f t="shared" ca="1" si="527"/>
        <v>0</v>
      </c>
      <c r="CU83" s="22" t="b">
        <f t="shared" ca="1" si="527"/>
        <v>0</v>
      </c>
      <c r="CV83" s="22" t="b">
        <f t="shared" ca="1" si="527"/>
        <v>0</v>
      </c>
      <c r="CW83" s="22" t="b">
        <f t="shared" ca="1" si="527"/>
        <v>0</v>
      </c>
      <c r="CX83" s="22" t="b">
        <f t="shared" ca="1" si="527"/>
        <v>0</v>
      </c>
      <c r="CY83" s="22" t="b">
        <f t="shared" ca="1" si="527"/>
        <v>0</v>
      </c>
      <c r="CZ83" s="21" t="b">
        <f t="shared" ca="1" si="527"/>
        <v>0</v>
      </c>
      <c r="DB83" s="22" t="b">
        <f t="shared" ca="1" si="521"/>
        <v>0</v>
      </c>
      <c r="DC83" s="22" t="b">
        <f t="shared" ca="1" si="528"/>
        <v>0</v>
      </c>
      <c r="DD83" s="22" t="b">
        <f t="shared" ca="1" si="528"/>
        <v>0</v>
      </c>
      <c r="DE83" s="22" t="b">
        <f t="shared" ca="1" si="528"/>
        <v>0</v>
      </c>
      <c r="DF83" s="22" t="b">
        <f t="shared" ca="1" si="528"/>
        <v>0</v>
      </c>
      <c r="DG83" s="22" t="b">
        <f t="shared" ca="1" si="528"/>
        <v>0</v>
      </c>
      <c r="DH83" s="22" t="b">
        <f t="shared" ca="1" si="528"/>
        <v>0</v>
      </c>
      <c r="DI83" s="22" t="b">
        <f t="shared" ca="1" si="528"/>
        <v>0</v>
      </c>
      <c r="DJ83" s="22" t="b">
        <f t="shared" ca="1" si="523"/>
        <v>0</v>
      </c>
      <c r="DK83" s="22"/>
      <c r="DO83" s="15" t="str">
        <f t="shared" ca="1" si="529"/>
        <v/>
      </c>
      <c r="DP83" s="15" t="str">
        <f t="shared" ca="1" si="529"/>
        <v/>
      </c>
      <c r="DQ83" s="15" t="str">
        <f t="shared" ca="1" si="529"/>
        <v/>
      </c>
      <c r="DR83" s="15" t="str">
        <f t="shared" ca="1" si="529"/>
        <v/>
      </c>
      <c r="DS83" s="15" t="str">
        <f t="shared" ca="1" si="529"/>
        <v/>
      </c>
      <c r="DT83" s="15" t="str">
        <f t="shared" ca="1" si="529"/>
        <v/>
      </c>
      <c r="DU83" s="15" t="str">
        <f t="shared" ca="1" si="529"/>
        <v/>
      </c>
      <c r="DV83" s="15" t="str">
        <f t="shared" ca="1" si="529"/>
        <v/>
      </c>
    </row>
    <row r="84" spans="1:126">
      <c r="A84" s="15">
        <f t="shared" si="531"/>
        <v>72</v>
      </c>
      <c r="B84" s="15" t="str">
        <f t="shared" si="533"/>
        <v/>
      </c>
      <c r="D84" s="15" t="str">
        <f t="shared" si="463"/>
        <v/>
      </c>
      <c r="M84" s="19"/>
      <c r="T84" s="15" t="str">
        <f t="shared" ca="1" si="464"/>
        <v/>
      </c>
      <c r="U84" s="15" t="str">
        <f t="shared" si="532"/>
        <v/>
      </c>
      <c r="AD84" s="16" t="b">
        <f t="shared" si="474"/>
        <v>0</v>
      </c>
      <c r="AE84" s="16" t="b">
        <f t="shared" si="475"/>
        <v>0</v>
      </c>
      <c r="AF84" s="15" t="str">
        <f t="shared" si="476"/>
        <v/>
      </c>
      <c r="AG84" s="15" t="str">
        <f t="shared" ca="1" si="477"/>
        <v/>
      </c>
      <c r="AH84" s="15" t="str">
        <f t="shared" ca="1" si="478"/>
        <v/>
      </c>
      <c r="AI84" s="15" t="b">
        <f t="shared" ca="1" si="479"/>
        <v>0</v>
      </c>
      <c r="AJ84" s="15" t="str">
        <f t="shared" ca="1" si="465"/>
        <v/>
      </c>
      <c r="AK84" s="27" t="str">
        <f t="shared" ca="1" si="480"/>
        <v/>
      </c>
      <c r="AL84" s="15" t="b">
        <f t="shared" ca="1" si="481"/>
        <v>0</v>
      </c>
      <c r="AM84" s="15" t="str">
        <f t="shared" ca="1" si="482"/>
        <v/>
      </c>
      <c r="AN84" s="15">
        <f t="shared" ca="1" si="483"/>
        <v>3</v>
      </c>
      <c r="AO84" s="15" t="str">
        <f t="shared" ca="1" si="466"/>
        <v/>
      </c>
      <c r="AP84" s="15" t="str">
        <f t="shared" ca="1" si="484"/>
        <v/>
      </c>
      <c r="AQ84" s="27">
        <f t="shared" si="485"/>
        <v>4</v>
      </c>
      <c r="AR84" s="15" t="b">
        <f t="shared" si="486"/>
        <v>0</v>
      </c>
      <c r="AS84" s="27" t="b">
        <f t="shared" si="487"/>
        <v>0</v>
      </c>
      <c r="AT84" s="27" t="b">
        <f t="shared" si="488"/>
        <v>0</v>
      </c>
      <c r="AU84" s="27" t="str">
        <f t="shared" si="489"/>
        <v/>
      </c>
      <c r="AV84" s="16" t="b">
        <f t="shared" si="490"/>
        <v>0</v>
      </c>
      <c r="AW84" s="15" t="str">
        <f t="shared" ca="1" si="530"/>
        <v/>
      </c>
      <c r="AX84" s="27" t="b">
        <f t="shared" ca="1" si="491"/>
        <v>0</v>
      </c>
      <c r="AY84" s="27" t="b">
        <f t="shared" ca="1" si="492"/>
        <v>0</v>
      </c>
      <c r="AZ84" s="15" t="b">
        <f t="shared" ca="1" si="493"/>
        <v>0</v>
      </c>
      <c r="BA84" s="15" t="b">
        <f t="shared" ca="1" si="494"/>
        <v>0</v>
      </c>
      <c r="BB84" s="15" t="str">
        <f t="shared" si="495"/>
        <v/>
      </c>
      <c r="BC84" s="15" t="str">
        <f t="shared" ca="1" si="467"/>
        <v/>
      </c>
      <c r="BD84" s="15" t="b">
        <f t="shared" ca="1" si="496"/>
        <v>0</v>
      </c>
      <c r="BE84" s="15" t="b">
        <f t="shared" si="497"/>
        <v>0</v>
      </c>
      <c r="BF84" s="15" t="str">
        <f t="shared" ca="1" si="498"/>
        <v/>
      </c>
      <c r="BG84" s="15" t="str">
        <f t="shared" si="499"/>
        <v/>
      </c>
      <c r="BH84" s="15" t="str">
        <f t="array" aca="1" ref="BH84" ca="1">IF(IFERROR( S84,1),1,IF(BC84="","", SUM(IF(ISERROR(INDIRECT(BC84)),1,0))))</f>
        <v/>
      </c>
      <c r="BI84" s="15" t="b">
        <f t="shared" si="500"/>
        <v>0</v>
      </c>
      <c r="BJ84" s="15" t="b">
        <f t="shared" si="501"/>
        <v>0</v>
      </c>
      <c r="BK84" s="15" t="str">
        <f t="shared" si="502"/>
        <v/>
      </c>
      <c r="BL84" s="15">
        <f t="shared" si="503"/>
        <v>4</v>
      </c>
      <c r="BP84" s="15" t="b">
        <f t="shared" si="468"/>
        <v>0</v>
      </c>
      <c r="BQ84" s="15" t="b">
        <f t="shared" si="469"/>
        <v>0</v>
      </c>
      <c r="BR84" s="15" t="str">
        <f t="shared" si="504"/>
        <v/>
      </c>
      <c r="BS84" s="15">
        <f t="shared" si="470"/>
        <v>0</v>
      </c>
      <c r="BT84" s="15" t="str">
        <f t="shared" si="471"/>
        <v/>
      </c>
      <c r="BV84" s="15" t="b">
        <f t="shared" ca="1" si="505"/>
        <v>0</v>
      </c>
      <c r="BW84" s="15" t="b">
        <f t="shared" ca="1" si="506"/>
        <v>0</v>
      </c>
      <c r="BX84" s="15" t="b">
        <f t="shared" ca="1" si="472"/>
        <v>0</v>
      </c>
      <c r="BY84" s="15" t="b">
        <f t="shared" ca="1" si="507"/>
        <v>0</v>
      </c>
      <c r="BZ84" s="15" t="b">
        <f t="shared" si="508"/>
        <v>0</v>
      </c>
      <c r="CA84" s="15" t="b">
        <f t="shared" si="509"/>
        <v>0</v>
      </c>
      <c r="CB84" s="15" t="b">
        <f t="shared" ca="1" si="510"/>
        <v>0</v>
      </c>
      <c r="CC84" s="15" t="b">
        <f t="shared" si="525"/>
        <v>0</v>
      </c>
      <c r="CD84" s="15" t="b">
        <f t="shared" si="525"/>
        <v>0</v>
      </c>
      <c r="CE84" s="15" t="b">
        <f t="shared" ca="1" si="512"/>
        <v>0</v>
      </c>
      <c r="CF84" s="15" t="b">
        <f t="shared" si="513"/>
        <v>0</v>
      </c>
      <c r="CG84" s="15" t="b">
        <f t="shared" si="514"/>
        <v>0</v>
      </c>
      <c r="CH84" s="15" t="b">
        <f t="shared" si="515"/>
        <v>0</v>
      </c>
      <c r="CI84" s="15" t="b">
        <f t="shared" si="516"/>
        <v>0</v>
      </c>
      <c r="CJ84" s="15" t="b">
        <f t="shared" si="517"/>
        <v>0</v>
      </c>
      <c r="CK84" s="15" t="b">
        <f t="shared" ca="1" si="526"/>
        <v>0</v>
      </c>
      <c r="CL84" s="15" t="b">
        <f t="shared" ca="1" si="526"/>
        <v>0</v>
      </c>
      <c r="CM84" s="15" t="b">
        <f t="shared" ca="1" si="526"/>
        <v>0</v>
      </c>
      <c r="CN84" s="15" t="b">
        <f t="shared" ca="1" si="526"/>
        <v>0</v>
      </c>
      <c r="CO84" s="15" t="b">
        <f t="shared" ca="1" si="526"/>
        <v>0</v>
      </c>
      <c r="CP84" s="15" t="b">
        <f t="shared" ca="1" si="526"/>
        <v>0</v>
      </c>
      <c r="CQ84" s="15" t="b">
        <f t="shared" ca="1" si="526"/>
        <v>0</v>
      </c>
      <c r="CR84" s="21" t="b">
        <f t="shared" ca="1" si="526"/>
        <v>0</v>
      </c>
      <c r="CS84" s="22" t="b">
        <f t="shared" ca="1" si="527"/>
        <v>0</v>
      </c>
      <c r="CT84" s="22" t="b">
        <f t="shared" ca="1" si="527"/>
        <v>0</v>
      </c>
      <c r="CU84" s="22" t="b">
        <f t="shared" ca="1" si="527"/>
        <v>0</v>
      </c>
      <c r="CV84" s="22" t="b">
        <f t="shared" ca="1" si="527"/>
        <v>0</v>
      </c>
      <c r="CW84" s="22" t="b">
        <f t="shared" ca="1" si="527"/>
        <v>0</v>
      </c>
      <c r="CX84" s="22" t="b">
        <f t="shared" ca="1" si="527"/>
        <v>0</v>
      </c>
      <c r="CY84" s="22" t="b">
        <f t="shared" ca="1" si="527"/>
        <v>0</v>
      </c>
      <c r="CZ84" s="21" t="b">
        <f t="shared" ca="1" si="527"/>
        <v>0</v>
      </c>
      <c r="DB84" s="22" t="b">
        <f t="shared" ca="1" si="521"/>
        <v>0</v>
      </c>
      <c r="DC84" s="22" t="b">
        <f t="shared" ca="1" si="528"/>
        <v>0</v>
      </c>
      <c r="DD84" s="22" t="b">
        <f t="shared" ca="1" si="528"/>
        <v>0</v>
      </c>
      <c r="DE84" s="22" t="b">
        <f t="shared" ca="1" si="528"/>
        <v>0</v>
      </c>
      <c r="DF84" s="22" t="b">
        <f t="shared" ca="1" si="528"/>
        <v>0</v>
      </c>
      <c r="DG84" s="22" t="b">
        <f t="shared" ca="1" si="528"/>
        <v>0</v>
      </c>
      <c r="DH84" s="22" t="b">
        <f t="shared" ca="1" si="528"/>
        <v>0</v>
      </c>
      <c r="DI84" s="22" t="b">
        <f t="shared" ca="1" si="528"/>
        <v>0</v>
      </c>
      <c r="DJ84" s="22" t="b">
        <f t="shared" ca="1" si="523"/>
        <v>0</v>
      </c>
      <c r="DK84" s="22"/>
      <c r="DO84" s="15" t="str">
        <f t="shared" ca="1" si="529"/>
        <v/>
      </c>
      <c r="DP84" s="15" t="str">
        <f t="shared" ca="1" si="529"/>
        <v/>
      </c>
      <c r="DQ84" s="15" t="str">
        <f t="shared" ca="1" si="529"/>
        <v/>
      </c>
      <c r="DR84" s="15" t="str">
        <f t="shared" ca="1" si="529"/>
        <v/>
      </c>
      <c r="DS84" s="15" t="str">
        <f t="shared" ca="1" si="529"/>
        <v/>
      </c>
      <c r="DT84" s="15" t="str">
        <f t="shared" ca="1" si="529"/>
        <v/>
      </c>
      <c r="DU84" s="15" t="str">
        <f t="shared" ca="1" si="529"/>
        <v/>
      </c>
      <c r="DV84" s="15" t="str">
        <f t="shared" ca="1" si="529"/>
        <v/>
      </c>
    </row>
    <row r="85" spans="1:126">
      <c r="A85" s="15">
        <f t="shared" si="531"/>
        <v>73</v>
      </c>
      <c r="B85" s="15" t="str">
        <f t="shared" si="533"/>
        <v/>
      </c>
      <c r="D85" s="15" t="str">
        <f t="shared" si="463"/>
        <v/>
      </c>
      <c r="M85" s="19"/>
      <c r="T85" s="15" t="str">
        <f t="shared" ca="1" si="464"/>
        <v/>
      </c>
      <c r="U85" s="15" t="str">
        <f t="shared" si="532"/>
        <v/>
      </c>
      <c r="AD85" s="16" t="b">
        <f t="shared" si="474"/>
        <v>0</v>
      </c>
      <c r="AE85" s="16" t="b">
        <f t="shared" si="475"/>
        <v>0</v>
      </c>
      <c r="AF85" s="15" t="str">
        <f t="shared" si="476"/>
        <v/>
      </c>
      <c r="AG85" s="15" t="str">
        <f t="shared" ca="1" si="477"/>
        <v/>
      </c>
      <c r="AH85" s="15" t="str">
        <f t="shared" ca="1" si="478"/>
        <v/>
      </c>
      <c r="AI85" s="15" t="b">
        <f t="shared" ca="1" si="479"/>
        <v>0</v>
      </c>
      <c r="AJ85" s="15" t="str">
        <f t="shared" ca="1" si="465"/>
        <v/>
      </c>
      <c r="AK85" s="27" t="str">
        <f t="shared" ca="1" si="480"/>
        <v/>
      </c>
      <c r="AL85" s="15" t="b">
        <f t="shared" ca="1" si="481"/>
        <v>0</v>
      </c>
      <c r="AM85" s="15" t="str">
        <f t="shared" ca="1" si="482"/>
        <v/>
      </c>
      <c r="AN85" s="15">
        <f t="shared" ca="1" si="483"/>
        <v>3</v>
      </c>
      <c r="AO85" s="15" t="str">
        <f t="shared" ca="1" si="466"/>
        <v/>
      </c>
      <c r="AP85" s="15" t="str">
        <f t="shared" ca="1" si="484"/>
        <v/>
      </c>
      <c r="AQ85" s="27">
        <f t="shared" si="485"/>
        <v>4</v>
      </c>
      <c r="AR85" s="15" t="b">
        <f t="shared" si="486"/>
        <v>0</v>
      </c>
      <c r="AS85" s="27" t="b">
        <f t="shared" si="487"/>
        <v>0</v>
      </c>
      <c r="AT85" s="27" t="b">
        <f t="shared" si="488"/>
        <v>0</v>
      </c>
      <c r="AU85" s="27" t="str">
        <f t="shared" si="489"/>
        <v/>
      </c>
      <c r="AV85" s="16" t="b">
        <f t="shared" si="490"/>
        <v>0</v>
      </c>
      <c r="AW85" s="15" t="str">
        <f t="shared" ca="1" si="530"/>
        <v/>
      </c>
      <c r="AX85" s="27" t="b">
        <f t="shared" ca="1" si="491"/>
        <v>0</v>
      </c>
      <c r="AY85" s="27" t="b">
        <f t="shared" ca="1" si="492"/>
        <v>0</v>
      </c>
      <c r="AZ85" s="15" t="b">
        <f t="shared" ca="1" si="493"/>
        <v>0</v>
      </c>
      <c r="BA85" s="15" t="b">
        <f t="shared" ca="1" si="494"/>
        <v>0</v>
      </c>
      <c r="BB85" s="15" t="str">
        <f t="shared" si="495"/>
        <v/>
      </c>
      <c r="BC85" s="15" t="str">
        <f t="shared" ca="1" si="467"/>
        <v/>
      </c>
      <c r="BD85" s="15" t="b">
        <f t="shared" ca="1" si="496"/>
        <v>0</v>
      </c>
      <c r="BE85" s="15" t="b">
        <f t="shared" si="497"/>
        <v>0</v>
      </c>
      <c r="BF85" s="15" t="str">
        <f t="shared" ca="1" si="498"/>
        <v/>
      </c>
      <c r="BG85" s="15" t="str">
        <f t="shared" si="499"/>
        <v/>
      </c>
      <c r="BH85" s="15" t="str">
        <f t="array" aca="1" ref="BH85" ca="1">IF(IFERROR( S85,1),1,IF(BC85="","", SUM(IF(ISERROR(INDIRECT(BC85)),1,0))))</f>
        <v/>
      </c>
      <c r="BI85" s="15" t="b">
        <f t="shared" si="500"/>
        <v>0</v>
      </c>
      <c r="BJ85" s="15" t="b">
        <f t="shared" si="501"/>
        <v>0</v>
      </c>
      <c r="BK85" s="15" t="str">
        <f t="shared" si="502"/>
        <v/>
      </c>
      <c r="BL85" s="15">
        <f t="shared" si="503"/>
        <v>4</v>
      </c>
      <c r="BP85" s="15" t="b">
        <f t="shared" si="468"/>
        <v>0</v>
      </c>
      <c r="BQ85" s="15" t="b">
        <f t="shared" si="469"/>
        <v>0</v>
      </c>
      <c r="BR85" s="15" t="str">
        <f t="shared" si="504"/>
        <v/>
      </c>
      <c r="BS85" s="15">
        <f t="shared" si="470"/>
        <v>0</v>
      </c>
      <c r="BT85" s="15" t="str">
        <f t="shared" ref="BT85:BT97" si="534">IF(BS85&gt;0,INDEX(BU$10:CZ$10,BS85),"")</f>
        <v/>
      </c>
      <c r="BV85" s="15" t="b">
        <f t="shared" ca="1" si="505"/>
        <v>0</v>
      </c>
      <c r="BW85" s="15" t="b">
        <f t="shared" ca="1" si="506"/>
        <v>0</v>
      </c>
      <c r="BX85" s="15" t="b">
        <f t="shared" ca="1" si="472"/>
        <v>0</v>
      </c>
      <c r="BY85" s="15" t="b">
        <f t="shared" ca="1" si="507"/>
        <v>0</v>
      </c>
      <c r="BZ85" s="15" t="b">
        <f t="shared" si="508"/>
        <v>0</v>
      </c>
      <c r="CA85" s="15" t="b">
        <f t="shared" si="509"/>
        <v>0</v>
      </c>
      <c r="CB85" s="15" t="b">
        <f t="shared" ca="1" si="510"/>
        <v>0</v>
      </c>
      <c r="CC85" s="15" t="b">
        <f t="shared" si="525"/>
        <v>0</v>
      </c>
      <c r="CD85" s="15" t="b">
        <f t="shared" si="525"/>
        <v>0</v>
      </c>
      <c r="CE85" s="15" t="b">
        <f t="shared" ca="1" si="512"/>
        <v>0</v>
      </c>
      <c r="CF85" s="15" t="b">
        <f t="shared" si="513"/>
        <v>0</v>
      </c>
      <c r="CG85" s="15" t="b">
        <f t="shared" si="514"/>
        <v>0</v>
      </c>
      <c r="CH85" s="15" t="b">
        <f t="shared" si="515"/>
        <v>0</v>
      </c>
      <c r="CI85" s="15" t="b">
        <f t="shared" si="516"/>
        <v>0</v>
      </c>
      <c r="CJ85" s="15" t="b">
        <f t="shared" si="517"/>
        <v>0</v>
      </c>
      <c r="CK85" s="15" t="b">
        <f t="shared" ca="1" si="526"/>
        <v>0</v>
      </c>
      <c r="CL85" s="15" t="b">
        <f t="shared" ca="1" si="526"/>
        <v>0</v>
      </c>
      <c r="CM85" s="15" t="b">
        <f t="shared" ca="1" si="526"/>
        <v>0</v>
      </c>
      <c r="CN85" s="15" t="b">
        <f t="shared" ca="1" si="526"/>
        <v>0</v>
      </c>
      <c r="CO85" s="15" t="b">
        <f t="shared" ca="1" si="526"/>
        <v>0</v>
      </c>
      <c r="CP85" s="15" t="b">
        <f t="shared" ca="1" si="526"/>
        <v>0</v>
      </c>
      <c r="CQ85" s="15" t="b">
        <f t="shared" ca="1" si="526"/>
        <v>0</v>
      </c>
      <c r="CR85" s="21" t="b">
        <f t="shared" ca="1" si="526"/>
        <v>0</v>
      </c>
      <c r="CS85" s="22" t="b">
        <f t="shared" ca="1" si="527"/>
        <v>0</v>
      </c>
      <c r="CT85" s="22" t="b">
        <f t="shared" ca="1" si="527"/>
        <v>0</v>
      </c>
      <c r="CU85" s="22" t="b">
        <f t="shared" ca="1" si="527"/>
        <v>0</v>
      </c>
      <c r="CV85" s="22" t="b">
        <f t="shared" ca="1" si="527"/>
        <v>0</v>
      </c>
      <c r="CW85" s="22" t="b">
        <f t="shared" ca="1" si="527"/>
        <v>0</v>
      </c>
      <c r="CX85" s="22" t="b">
        <f t="shared" ca="1" si="527"/>
        <v>0</v>
      </c>
      <c r="CY85" s="22" t="b">
        <f t="shared" ca="1" si="527"/>
        <v>0</v>
      </c>
      <c r="CZ85" s="21" t="b">
        <f t="shared" ca="1" si="527"/>
        <v>0</v>
      </c>
      <c r="DB85" s="22" t="b">
        <f t="shared" ca="1" si="521"/>
        <v>0</v>
      </c>
      <c r="DC85" s="22" t="b">
        <f t="shared" ca="1" si="528"/>
        <v>0</v>
      </c>
      <c r="DD85" s="22" t="b">
        <f t="shared" ca="1" si="528"/>
        <v>0</v>
      </c>
      <c r="DE85" s="22" t="b">
        <f t="shared" ca="1" si="528"/>
        <v>0</v>
      </c>
      <c r="DF85" s="22" t="b">
        <f t="shared" ca="1" si="528"/>
        <v>0</v>
      </c>
      <c r="DG85" s="22" t="b">
        <f t="shared" ca="1" si="528"/>
        <v>0</v>
      </c>
      <c r="DH85" s="22" t="b">
        <f t="shared" ca="1" si="528"/>
        <v>0</v>
      </c>
      <c r="DI85" s="22" t="b">
        <f t="shared" ca="1" si="528"/>
        <v>0</v>
      </c>
      <c r="DJ85" s="22" t="b">
        <f t="shared" ca="1" si="523"/>
        <v>0</v>
      </c>
      <c r="DK85" s="22"/>
      <c r="DO85" s="15" t="str">
        <f t="shared" ca="1" si="529"/>
        <v/>
      </c>
      <c r="DP85" s="15" t="str">
        <f t="shared" ca="1" si="529"/>
        <v/>
      </c>
      <c r="DQ85" s="15" t="str">
        <f t="shared" ca="1" si="529"/>
        <v/>
      </c>
      <c r="DR85" s="15" t="str">
        <f t="shared" ca="1" si="529"/>
        <v/>
      </c>
      <c r="DS85" s="15" t="str">
        <f t="shared" ca="1" si="529"/>
        <v/>
      </c>
      <c r="DT85" s="15" t="str">
        <f t="shared" ca="1" si="529"/>
        <v/>
      </c>
      <c r="DU85" s="15" t="str">
        <f t="shared" ca="1" si="529"/>
        <v/>
      </c>
      <c r="DV85" s="15" t="str">
        <f t="shared" ca="1" si="529"/>
        <v/>
      </c>
    </row>
    <row r="86" spans="1:126">
      <c r="A86" s="15">
        <f t="shared" si="531"/>
        <v>74</v>
      </c>
      <c r="B86" s="15" t="str">
        <f t="shared" si="533"/>
        <v/>
      </c>
      <c r="D86" s="15" t="str">
        <f t="shared" ref="D86:D97" si="535">IF(C86="","",C86)</f>
        <v/>
      </c>
      <c r="M86" s="19"/>
      <c r="T86" s="15" t="str">
        <f t="shared" ca="1" si="464"/>
        <v/>
      </c>
      <c r="U86" s="15" t="str">
        <f t="shared" si="532"/>
        <v/>
      </c>
      <c r="AD86" s="16" t="b">
        <f t="shared" si="474"/>
        <v>0</v>
      </c>
      <c r="AE86" s="16" t="b">
        <f t="shared" si="475"/>
        <v>0</v>
      </c>
      <c r="AF86" s="15" t="str">
        <f t="shared" si="476"/>
        <v/>
      </c>
      <c r="AG86" s="15" t="str">
        <f t="shared" ca="1" si="477"/>
        <v/>
      </c>
      <c r="AH86" s="15" t="str">
        <f t="shared" ca="1" si="478"/>
        <v/>
      </c>
      <c r="AI86" s="15" t="b">
        <f t="shared" ca="1" si="479"/>
        <v>0</v>
      </c>
      <c r="AJ86" s="15" t="str">
        <f t="shared" ref="AJ86:AJ97" ca="1" si="536">IF(AE86,INDIRECT(ADDRESS(ROW($T$4),COLUMN($T$4),,,AF86)),"")</f>
        <v/>
      </c>
      <c r="AK86" s="27" t="str">
        <f t="shared" ca="1" si="480"/>
        <v/>
      </c>
      <c r="AL86" s="15" t="b">
        <f t="shared" ca="1" si="481"/>
        <v>0</v>
      </c>
      <c r="AM86" s="15" t="str">
        <f t="shared" ca="1" si="482"/>
        <v/>
      </c>
      <c r="AN86" s="15">
        <f t="shared" ca="1" si="483"/>
        <v>3</v>
      </c>
      <c r="AO86" s="15" t="str">
        <f t="shared" ref="AO86:AO97" ca="1" si="537">IF(AE86,INDIRECT(ADDRESS(ROW($BS$4),COLUMN($BS$4),,,AF86)),"")</f>
        <v/>
      </c>
      <c r="AP86" s="15" t="str">
        <f t="shared" ca="1" si="484"/>
        <v/>
      </c>
      <c r="AQ86" s="27">
        <f t="shared" si="485"/>
        <v>4</v>
      </c>
      <c r="AR86" s="15" t="b">
        <f t="shared" si="486"/>
        <v>0</v>
      </c>
      <c r="AS86" s="27" t="b">
        <f t="shared" si="487"/>
        <v>0</v>
      </c>
      <c r="AT86" s="27" t="b">
        <f t="shared" si="488"/>
        <v>0</v>
      </c>
      <c r="AU86" s="27" t="str">
        <f t="shared" si="489"/>
        <v/>
      </c>
      <c r="AV86" s="16" t="b">
        <f t="shared" si="490"/>
        <v>0</v>
      </c>
      <c r="AW86" s="15" t="str">
        <f t="shared" ca="1" si="530"/>
        <v/>
      </c>
      <c r="AX86" s="27" t="b">
        <f t="shared" ca="1" si="491"/>
        <v>0</v>
      </c>
      <c r="AY86" s="27" t="b">
        <f t="shared" ca="1" si="492"/>
        <v>0</v>
      </c>
      <c r="AZ86" s="15" t="b">
        <f t="shared" ca="1" si="493"/>
        <v>0</v>
      </c>
      <c r="BA86" s="15" t="b">
        <f t="shared" ca="1" si="494"/>
        <v>0</v>
      </c>
      <c r="BB86" s="15" t="str">
        <f t="shared" si="495"/>
        <v/>
      </c>
      <c r="BC86" s="15" t="str">
        <f t="shared" ref="BC86:BC97" ca="1" si="538">IFERROR(IF(MIN(AZ86:BA86)&lt;=0,"",  BB86 &amp; IF(AND(OR(AZ86&gt;1,BA86&gt;1),AQ86=1), ":" &amp; ADDRESS(ROW(INDIRECT(BB86)) +BA86-1,COLUMN(INDIRECT(BB86))+AZ86-1),"")),"")</f>
        <v/>
      </c>
      <c r="BD86" s="15" t="b">
        <f t="shared" ca="1" si="496"/>
        <v>0</v>
      </c>
      <c r="BE86" s="15" t="b">
        <f t="shared" si="497"/>
        <v>0</v>
      </c>
      <c r="BF86" s="15" t="str">
        <f t="shared" ca="1" si="498"/>
        <v/>
      </c>
      <c r="BG86" s="15" t="str">
        <f t="shared" si="499"/>
        <v/>
      </c>
      <c r="BH86" s="15" t="str">
        <f t="array" aca="1" ref="BH86" ca="1">IF(IFERROR( S86,1),1,IF(BC86="","", SUM(IF(ISERROR(INDIRECT(BC86)),1,0))))</f>
        <v/>
      </c>
      <c r="BI86" s="15" t="b">
        <f t="shared" si="500"/>
        <v>0</v>
      </c>
      <c r="BJ86" s="15" t="b">
        <f t="shared" si="501"/>
        <v>0</v>
      </c>
      <c r="BK86" s="15" t="str">
        <f t="shared" si="502"/>
        <v/>
      </c>
      <c r="BL86" s="15">
        <f t="shared" si="503"/>
        <v>4</v>
      </c>
      <c r="BP86" s="15" t="b">
        <f t="shared" ref="BP86:BP97" si="539">IF(AD86,IF(M86="",TRUE,NOT(M86)),FALSE)</f>
        <v>0</v>
      </c>
      <c r="BQ86" s="15" t="b">
        <f t="shared" ref="BQ86:BQ97" si="540">IF(BP86,OR(BU86:CZ86),FALSE)</f>
        <v>0</v>
      </c>
      <c r="BR86" s="15" t="str">
        <f t="shared" si="504"/>
        <v/>
      </c>
      <c r="BS86" s="15">
        <f t="shared" ref="BS86:BS97" si="541">IF(BP86,IF(BQ86,BR86,IF(AQ86=2,AP86,0)),0)</f>
        <v>0</v>
      </c>
      <c r="BT86" s="15" t="str">
        <f t="shared" si="534"/>
        <v/>
      </c>
      <c r="BV86" s="15" t="b">
        <f t="shared" ca="1" si="505"/>
        <v>0</v>
      </c>
      <c r="BW86" s="15" t="b">
        <f t="shared" ca="1" si="506"/>
        <v>0</v>
      </c>
      <c r="BX86" s="15" t="b">
        <f t="shared" ref="BX86:BX97" ca="1" si="542">IFERROR(IF(AE86,IFERROR(INDIRECT(ADDRESS(ROW($B$2),COLUMN($B$2),4,,AF86))&lt;&gt;$B$2,TRUE)),FALSE)</f>
        <v>0</v>
      </c>
      <c r="BY86" s="15" t="b">
        <f t="shared" ca="1" si="507"/>
        <v>0</v>
      </c>
      <c r="BZ86" s="15" t="b">
        <f t="shared" si="508"/>
        <v>0</v>
      </c>
      <c r="CA86" s="15" t="b">
        <f t="shared" si="509"/>
        <v>0</v>
      </c>
      <c r="CB86" s="15" t="b">
        <f t="shared" ca="1" si="510"/>
        <v>0</v>
      </c>
      <c r="CC86" s="15" t="b">
        <f t="shared" si="525"/>
        <v>0</v>
      </c>
      <c r="CD86" s="15" t="b">
        <f t="shared" si="525"/>
        <v>0</v>
      </c>
      <c r="CE86" s="15" t="b">
        <f t="shared" ca="1" si="512"/>
        <v>0</v>
      </c>
      <c r="CF86" s="15" t="b">
        <f t="shared" si="513"/>
        <v>0</v>
      </c>
      <c r="CG86" s="15" t="b">
        <f t="shared" si="514"/>
        <v>0</v>
      </c>
      <c r="CH86" s="15" t="b">
        <f t="shared" si="515"/>
        <v>0</v>
      </c>
      <c r="CI86" s="15" t="b">
        <f t="shared" si="516"/>
        <v>0</v>
      </c>
      <c r="CJ86" s="15" t="b">
        <f t="shared" si="517"/>
        <v>0</v>
      </c>
      <c r="CK86" s="15" t="b">
        <f t="shared" ca="1" si="526"/>
        <v>0</v>
      </c>
      <c r="CL86" s="15" t="b">
        <f t="shared" ca="1" si="526"/>
        <v>0</v>
      </c>
      <c r="CM86" s="15" t="b">
        <f t="shared" ca="1" si="526"/>
        <v>0</v>
      </c>
      <c r="CN86" s="15" t="b">
        <f t="shared" ca="1" si="526"/>
        <v>0</v>
      </c>
      <c r="CO86" s="15" t="b">
        <f t="shared" ca="1" si="526"/>
        <v>0</v>
      </c>
      <c r="CP86" s="15" t="b">
        <f t="shared" ca="1" si="526"/>
        <v>0</v>
      </c>
      <c r="CQ86" s="15" t="b">
        <f t="shared" ca="1" si="526"/>
        <v>0</v>
      </c>
      <c r="CR86" s="21" t="b">
        <f t="shared" ca="1" si="526"/>
        <v>0</v>
      </c>
      <c r="CS86" s="22" t="b">
        <f t="shared" ca="1" si="527"/>
        <v>0</v>
      </c>
      <c r="CT86" s="22" t="b">
        <f t="shared" ca="1" si="527"/>
        <v>0</v>
      </c>
      <c r="CU86" s="22" t="b">
        <f t="shared" ca="1" si="527"/>
        <v>0</v>
      </c>
      <c r="CV86" s="22" t="b">
        <f t="shared" ca="1" si="527"/>
        <v>0</v>
      </c>
      <c r="CW86" s="22" t="b">
        <f t="shared" ca="1" si="527"/>
        <v>0</v>
      </c>
      <c r="CX86" s="22" t="b">
        <f t="shared" ca="1" si="527"/>
        <v>0</v>
      </c>
      <c r="CY86" s="22" t="b">
        <f t="shared" ca="1" si="527"/>
        <v>0</v>
      </c>
      <c r="CZ86" s="21" t="b">
        <f t="shared" ca="1" si="527"/>
        <v>0</v>
      </c>
      <c r="DB86" s="22" t="b">
        <f t="shared" ca="1" si="521"/>
        <v>0</v>
      </c>
      <c r="DC86" s="22" t="b">
        <f t="shared" ca="1" si="528"/>
        <v>0</v>
      </c>
      <c r="DD86" s="22" t="b">
        <f t="shared" ca="1" si="528"/>
        <v>0</v>
      </c>
      <c r="DE86" s="22" t="b">
        <f t="shared" ca="1" si="528"/>
        <v>0</v>
      </c>
      <c r="DF86" s="22" t="b">
        <f t="shared" ca="1" si="528"/>
        <v>0</v>
      </c>
      <c r="DG86" s="22" t="b">
        <f t="shared" ca="1" si="528"/>
        <v>0</v>
      </c>
      <c r="DH86" s="22" t="b">
        <f t="shared" ca="1" si="528"/>
        <v>0</v>
      </c>
      <c r="DI86" s="22" t="b">
        <f t="shared" ca="1" si="528"/>
        <v>0</v>
      </c>
      <c r="DJ86" s="22" t="b">
        <f t="shared" ca="1" si="523"/>
        <v>0</v>
      </c>
      <c r="DK86" s="22"/>
      <c r="DO86" s="15" t="str">
        <f t="shared" ca="1" si="529"/>
        <v/>
      </c>
      <c r="DP86" s="15" t="str">
        <f t="shared" ca="1" si="529"/>
        <v/>
      </c>
      <c r="DQ86" s="15" t="str">
        <f t="shared" ca="1" si="529"/>
        <v/>
      </c>
      <c r="DR86" s="15" t="str">
        <f t="shared" ca="1" si="529"/>
        <v/>
      </c>
      <c r="DS86" s="15" t="str">
        <f t="shared" ca="1" si="529"/>
        <v/>
      </c>
      <c r="DT86" s="15" t="str">
        <f t="shared" ca="1" si="529"/>
        <v/>
      </c>
      <c r="DU86" s="15" t="str">
        <f t="shared" ca="1" si="529"/>
        <v/>
      </c>
      <c r="DV86" s="15" t="str">
        <f t="shared" ca="1" si="529"/>
        <v/>
      </c>
    </row>
    <row r="87" spans="1:126">
      <c r="A87" s="15">
        <f t="shared" si="531"/>
        <v>75</v>
      </c>
      <c r="B87" s="15" t="str">
        <f t="shared" si="533"/>
        <v/>
      </c>
      <c r="D87" s="15" t="str">
        <f t="shared" si="535"/>
        <v/>
      </c>
      <c r="M87" s="19"/>
      <c r="T87" s="15" t="str">
        <f t="shared" ca="1" si="464"/>
        <v/>
      </c>
      <c r="U87" s="15" t="str">
        <f t="shared" si="532"/>
        <v/>
      </c>
      <c r="AD87" s="16" t="b">
        <f t="shared" si="474"/>
        <v>0</v>
      </c>
      <c r="AE87" s="16" t="b">
        <f t="shared" si="475"/>
        <v>0</v>
      </c>
      <c r="AF87" s="15" t="str">
        <f t="shared" si="476"/>
        <v/>
      </c>
      <c r="AG87" s="15" t="str">
        <f t="shared" ca="1" si="477"/>
        <v/>
      </c>
      <c r="AH87" s="15" t="str">
        <f t="shared" ca="1" si="478"/>
        <v/>
      </c>
      <c r="AI87" s="15" t="b">
        <f t="shared" ca="1" si="479"/>
        <v>0</v>
      </c>
      <c r="AJ87" s="15" t="str">
        <f t="shared" ca="1" si="536"/>
        <v/>
      </c>
      <c r="AK87" s="27" t="str">
        <f t="shared" ca="1" si="480"/>
        <v/>
      </c>
      <c r="AL87" s="15" t="b">
        <f t="shared" ca="1" si="481"/>
        <v>0</v>
      </c>
      <c r="AM87" s="15" t="str">
        <f t="shared" ca="1" si="482"/>
        <v/>
      </c>
      <c r="AN87" s="15">
        <f t="shared" ca="1" si="483"/>
        <v>3</v>
      </c>
      <c r="AO87" s="15" t="str">
        <f t="shared" ca="1" si="537"/>
        <v/>
      </c>
      <c r="AP87" s="15" t="str">
        <f t="shared" ca="1" si="484"/>
        <v/>
      </c>
      <c r="AQ87" s="27">
        <f t="shared" si="485"/>
        <v>4</v>
      </c>
      <c r="AR87" s="15" t="b">
        <f t="shared" si="486"/>
        <v>0</v>
      </c>
      <c r="AS87" s="27" t="b">
        <f t="shared" si="487"/>
        <v>0</v>
      </c>
      <c r="AT87" s="27" t="b">
        <f t="shared" si="488"/>
        <v>0</v>
      </c>
      <c r="AU87" s="27" t="str">
        <f t="shared" si="489"/>
        <v/>
      </c>
      <c r="AV87" s="16" t="b">
        <f t="shared" si="490"/>
        <v>0</v>
      </c>
      <c r="AW87" s="15" t="str">
        <f t="shared" ca="1" si="530"/>
        <v/>
      </c>
      <c r="AX87" s="27" t="b">
        <f t="shared" ca="1" si="491"/>
        <v>0</v>
      </c>
      <c r="AY87" s="27" t="b">
        <f t="shared" ca="1" si="492"/>
        <v>0</v>
      </c>
      <c r="AZ87" s="15" t="b">
        <f t="shared" ca="1" si="493"/>
        <v>0</v>
      </c>
      <c r="BA87" s="15" t="b">
        <f t="shared" ca="1" si="494"/>
        <v>0</v>
      </c>
      <c r="BB87" s="15" t="str">
        <f t="shared" si="495"/>
        <v/>
      </c>
      <c r="BC87" s="15" t="str">
        <f t="shared" ca="1" si="538"/>
        <v/>
      </c>
      <c r="BD87" s="15" t="b">
        <f t="shared" ca="1" si="496"/>
        <v>0</v>
      </c>
      <c r="BE87" s="15" t="b">
        <f t="shared" si="497"/>
        <v>0</v>
      </c>
      <c r="BF87" s="15" t="str">
        <f t="shared" ca="1" si="498"/>
        <v/>
      </c>
      <c r="BG87" s="15" t="str">
        <f t="shared" si="499"/>
        <v/>
      </c>
      <c r="BH87" s="15" t="str">
        <f t="array" aca="1" ref="BH87" ca="1">IF(IFERROR( S87,1),1,IF(BC87="","", SUM(IF(ISERROR(INDIRECT(BC87)),1,0))))</f>
        <v/>
      </c>
      <c r="BI87" s="15" t="b">
        <f t="shared" si="500"/>
        <v>0</v>
      </c>
      <c r="BJ87" s="15" t="b">
        <f t="shared" si="501"/>
        <v>0</v>
      </c>
      <c r="BK87" s="15" t="str">
        <f t="shared" si="502"/>
        <v/>
      </c>
      <c r="BL87" s="15">
        <f t="shared" si="503"/>
        <v>4</v>
      </c>
      <c r="BP87" s="15" t="b">
        <f t="shared" si="539"/>
        <v>0</v>
      </c>
      <c r="BQ87" s="15" t="b">
        <f t="shared" si="540"/>
        <v>0</v>
      </c>
      <c r="BR87" s="15" t="str">
        <f t="shared" si="504"/>
        <v/>
      </c>
      <c r="BS87" s="15">
        <f t="shared" si="541"/>
        <v>0</v>
      </c>
      <c r="BT87" s="15" t="str">
        <f t="shared" si="534"/>
        <v/>
      </c>
      <c r="BV87" s="15" t="b">
        <f t="shared" ca="1" si="505"/>
        <v>0</v>
      </c>
      <c r="BW87" s="15" t="b">
        <f t="shared" ca="1" si="506"/>
        <v>0</v>
      </c>
      <c r="BX87" s="15" t="b">
        <f t="shared" ca="1" si="542"/>
        <v>0</v>
      </c>
      <c r="BY87" s="15" t="b">
        <f t="shared" ca="1" si="507"/>
        <v>0</v>
      </c>
      <c r="BZ87" s="15" t="b">
        <f t="shared" si="508"/>
        <v>0</v>
      </c>
      <c r="CA87" s="15" t="b">
        <f t="shared" si="509"/>
        <v>0</v>
      </c>
      <c r="CB87" s="15" t="b">
        <f t="shared" ca="1" si="510"/>
        <v>0</v>
      </c>
      <c r="CC87" s="15" t="b">
        <f t="shared" si="525"/>
        <v>0</v>
      </c>
      <c r="CD87" s="15" t="b">
        <f t="shared" si="525"/>
        <v>0</v>
      </c>
      <c r="CE87" s="15" t="b">
        <f t="shared" ca="1" si="512"/>
        <v>0</v>
      </c>
      <c r="CF87" s="15" t="b">
        <f t="shared" si="513"/>
        <v>0</v>
      </c>
      <c r="CG87" s="15" t="b">
        <f t="shared" si="514"/>
        <v>0</v>
      </c>
      <c r="CH87" s="15" t="b">
        <f t="shared" si="515"/>
        <v>0</v>
      </c>
      <c r="CI87" s="15" t="b">
        <f t="shared" si="516"/>
        <v>0</v>
      </c>
      <c r="CJ87" s="15" t="b">
        <f t="shared" si="517"/>
        <v>0</v>
      </c>
      <c r="CK87" s="15" t="b">
        <f t="shared" ca="1" si="526"/>
        <v>0</v>
      </c>
      <c r="CL87" s="15" t="b">
        <f t="shared" ca="1" si="526"/>
        <v>0</v>
      </c>
      <c r="CM87" s="15" t="b">
        <f t="shared" ca="1" si="526"/>
        <v>0</v>
      </c>
      <c r="CN87" s="15" t="b">
        <f t="shared" ca="1" si="526"/>
        <v>0</v>
      </c>
      <c r="CO87" s="15" t="b">
        <f t="shared" ca="1" si="526"/>
        <v>0</v>
      </c>
      <c r="CP87" s="15" t="b">
        <f t="shared" ca="1" si="526"/>
        <v>0</v>
      </c>
      <c r="CQ87" s="15" t="b">
        <f t="shared" ca="1" si="526"/>
        <v>0</v>
      </c>
      <c r="CR87" s="21" t="b">
        <f t="shared" ca="1" si="526"/>
        <v>0</v>
      </c>
      <c r="CS87" s="22" t="b">
        <f t="shared" ca="1" si="527"/>
        <v>0</v>
      </c>
      <c r="CT87" s="22" t="b">
        <f t="shared" ca="1" si="527"/>
        <v>0</v>
      </c>
      <c r="CU87" s="22" t="b">
        <f t="shared" ca="1" si="527"/>
        <v>0</v>
      </c>
      <c r="CV87" s="22" t="b">
        <f t="shared" ca="1" si="527"/>
        <v>0</v>
      </c>
      <c r="CW87" s="22" t="b">
        <f t="shared" ca="1" si="527"/>
        <v>0</v>
      </c>
      <c r="CX87" s="22" t="b">
        <f t="shared" ca="1" si="527"/>
        <v>0</v>
      </c>
      <c r="CY87" s="22" t="b">
        <f t="shared" ca="1" si="527"/>
        <v>0</v>
      </c>
      <c r="CZ87" s="21" t="b">
        <f t="shared" ca="1" si="527"/>
        <v>0</v>
      </c>
      <c r="DB87" s="22" t="b">
        <f t="shared" ca="1" si="521"/>
        <v>0</v>
      </c>
      <c r="DC87" s="22" t="b">
        <f t="shared" ca="1" si="528"/>
        <v>0</v>
      </c>
      <c r="DD87" s="22" t="b">
        <f t="shared" ca="1" si="528"/>
        <v>0</v>
      </c>
      <c r="DE87" s="22" t="b">
        <f t="shared" ca="1" si="528"/>
        <v>0</v>
      </c>
      <c r="DF87" s="22" t="b">
        <f t="shared" ca="1" si="528"/>
        <v>0</v>
      </c>
      <c r="DG87" s="22" t="b">
        <f t="shared" ca="1" si="528"/>
        <v>0</v>
      </c>
      <c r="DH87" s="22" t="b">
        <f t="shared" ca="1" si="528"/>
        <v>0</v>
      </c>
      <c r="DI87" s="22" t="b">
        <f t="shared" ca="1" si="528"/>
        <v>0</v>
      </c>
      <c r="DJ87" s="22" t="b">
        <f t="shared" ca="1" si="523"/>
        <v>0</v>
      </c>
      <c r="DK87" s="22"/>
      <c r="DO87" s="15" t="str">
        <f t="shared" ca="1" si="529"/>
        <v/>
      </c>
      <c r="DP87" s="15" t="str">
        <f t="shared" ca="1" si="529"/>
        <v/>
      </c>
      <c r="DQ87" s="15" t="str">
        <f t="shared" ca="1" si="529"/>
        <v/>
      </c>
      <c r="DR87" s="15" t="str">
        <f t="shared" ca="1" si="529"/>
        <v/>
      </c>
      <c r="DS87" s="15" t="str">
        <f t="shared" ca="1" si="529"/>
        <v/>
      </c>
      <c r="DT87" s="15" t="str">
        <f t="shared" ca="1" si="529"/>
        <v/>
      </c>
      <c r="DU87" s="15" t="str">
        <f t="shared" ca="1" si="529"/>
        <v/>
      </c>
      <c r="DV87" s="15" t="str">
        <f t="shared" ca="1" si="529"/>
        <v/>
      </c>
    </row>
    <row r="88" spans="1:126">
      <c r="A88" s="15">
        <f t="shared" si="531"/>
        <v>76</v>
      </c>
      <c r="B88" s="15" t="str">
        <f t="shared" si="533"/>
        <v/>
      </c>
      <c r="D88" s="15" t="str">
        <f t="shared" si="535"/>
        <v/>
      </c>
      <c r="M88" s="19"/>
      <c r="T88" s="15" t="str">
        <f t="shared" ca="1" si="464"/>
        <v/>
      </c>
      <c r="U88" s="15" t="str">
        <f t="shared" si="532"/>
        <v/>
      </c>
      <c r="AD88" s="16" t="b">
        <f t="shared" si="474"/>
        <v>0</v>
      </c>
      <c r="AE88" s="16" t="b">
        <f t="shared" si="475"/>
        <v>0</v>
      </c>
      <c r="AF88" s="15" t="str">
        <f t="shared" si="476"/>
        <v/>
      </c>
      <c r="AG88" s="15" t="str">
        <f t="shared" ca="1" si="477"/>
        <v/>
      </c>
      <c r="AH88" s="15" t="str">
        <f t="shared" ca="1" si="478"/>
        <v/>
      </c>
      <c r="AI88" s="15" t="b">
        <f t="shared" ca="1" si="479"/>
        <v>0</v>
      </c>
      <c r="AJ88" s="15" t="str">
        <f t="shared" ca="1" si="536"/>
        <v/>
      </c>
      <c r="AK88" s="27" t="str">
        <f t="shared" ca="1" si="480"/>
        <v/>
      </c>
      <c r="AL88" s="15" t="b">
        <f t="shared" ca="1" si="481"/>
        <v>0</v>
      </c>
      <c r="AM88" s="15" t="str">
        <f t="shared" ca="1" si="482"/>
        <v/>
      </c>
      <c r="AN88" s="15">
        <f t="shared" ca="1" si="483"/>
        <v>3</v>
      </c>
      <c r="AO88" s="15" t="str">
        <f t="shared" ca="1" si="537"/>
        <v/>
      </c>
      <c r="AP88" s="15" t="str">
        <f t="shared" ca="1" si="484"/>
        <v/>
      </c>
      <c r="AQ88" s="27">
        <f t="shared" si="485"/>
        <v>4</v>
      </c>
      <c r="AR88" s="15" t="b">
        <f t="shared" si="486"/>
        <v>0</v>
      </c>
      <c r="AS88" s="27" t="b">
        <f t="shared" si="487"/>
        <v>0</v>
      </c>
      <c r="AT88" s="27" t="b">
        <f t="shared" si="488"/>
        <v>0</v>
      </c>
      <c r="AU88" s="27" t="str">
        <f t="shared" si="489"/>
        <v/>
      </c>
      <c r="AV88" s="16" t="b">
        <f t="shared" si="490"/>
        <v>0</v>
      </c>
      <c r="AW88" s="15" t="str">
        <f t="shared" ca="1" si="530"/>
        <v/>
      </c>
      <c r="AX88" s="27" t="b">
        <f t="shared" ca="1" si="491"/>
        <v>0</v>
      </c>
      <c r="AY88" s="27" t="b">
        <f t="shared" ca="1" si="492"/>
        <v>0</v>
      </c>
      <c r="AZ88" s="15" t="b">
        <f t="shared" ca="1" si="493"/>
        <v>0</v>
      </c>
      <c r="BA88" s="15" t="b">
        <f t="shared" ca="1" si="494"/>
        <v>0</v>
      </c>
      <c r="BB88" s="15" t="str">
        <f t="shared" si="495"/>
        <v/>
      </c>
      <c r="BC88" s="15" t="str">
        <f t="shared" ca="1" si="538"/>
        <v/>
      </c>
      <c r="BD88" s="15" t="b">
        <f t="shared" ca="1" si="496"/>
        <v>0</v>
      </c>
      <c r="BE88" s="15" t="b">
        <f t="shared" si="497"/>
        <v>0</v>
      </c>
      <c r="BF88" s="15" t="str">
        <f t="shared" ca="1" si="498"/>
        <v/>
      </c>
      <c r="BG88" s="15" t="str">
        <f t="shared" si="499"/>
        <v/>
      </c>
      <c r="BH88" s="15" t="str">
        <f t="array" aca="1" ref="BH88" ca="1">IF(IFERROR( S88,1),1,IF(BC88="","", SUM(IF(ISERROR(INDIRECT(BC88)),1,0))))</f>
        <v/>
      </c>
      <c r="BI88" s="15" t="b">
        <f t="shared" si="500"/>
        <v>0</v>
      </c>
      <c r="BJ88" s="15" t="b">
        <f t="shared" si="501"/>
        <v>0</v>
      </c>
      <c r="BK88" s="15" t="str">
        <f t="shared" si="502"/>
        <v/>
      </c>
      <c r="BL88" s="15">
        <f t="shared" si="503"/>
        <v>4</v>
      </c>
      <c r="BP88" s="15" t="b">
        <f t="shared" si="539"/>
        <v>0</v>
      </c>
      <c r="BQ88" s="15" t="b">
        <f t="shared" si="540"/>
        <v>0</v>
      </c>
      <c r="BR88" s="15" t="str">
        <f t="shared" si="504"/>
        <v/>
      </c>
      <c r="BS88" s="15">
        <f t="shared" si="541"/>
        <v>0</v>
      </c>
      <c r="BT88" s="15" t="str">
        <f t="shared" si="534"/>
        <v/>
      </c>
      <c r="BV88" s="15" t="b">
        <f t="shared" ca="1" si="505"/>
        <v>0</v>
      </c>
      <c r="BW88" s="15" t="b">
        <f t="shared" ca="1" si="506"/>
        <v>0</v>
      </c>
      <c r="BX88" s="15" t="b">
        <f t="shared" ca="1" si="542"/>
        <v>0</v>
      </c>
      <c r="BY88" s="15" t="b">
        <f t="shared" ca="1" si="507"/>
        <v>0</v>
      </c>
      <c r="BZ88" s="15" t="b">
        <f t="shared" si="508"/>
        <v>0</v>
      </c>
      <c r="CA88" s="15" t="b">
        <f t="shared" si="509"/>
        <v>0</v>
      </c>
      <c r="CB88" s="15" t="b">
        <f t="shared" ca="1" si="510"/>
        <v>0</v>
      </c>
      <c r="CC88" s="15" t="b">
        <f t="shared" si="525"/>
        <v>0</v>
      </c>
      <c r="CD88" s="15" t="b">
        <f t="shared" si="525"/>
        <v>0</v>
      </c>
      <c r="CE88" s="15" t="b">
        <f t="shared" ca="1" si="512"/>
        <v>0</v>
      </c>
      <c r="CF88" s="15" t="b">
        <f t="shared" si="513"/>
        <v>0</v>
      </c>
      <c r="CG88" s="15" t="b">
        <f t="shared" si="514"/>
        <v>0</v>
      </c>
      <c r="CH88" s="15" t="b">
        <f t="shared" si="515"/>
        <v>0</v>
      </c>
      <c r="CI88" s="15" t="b">
        <f t="shared" si="516"/>
        <v>0</v>
      </c>
      <c r="CJ88" s="15" t="b">
        <f t="shared" si="517"/>
        <v>0</v>
      </c>
      <c r="CK88" s="15" t="b">
        <f t="shared" ca="1" si="526"/>
        <v>0</v>
      </c>
      <c r="CL88" s="15" t="b">
        <f t="shared" ca="1" si="526"/>
        <v>0</v>
      </c>
      <c r="CM88" s="15" t="b">
        <f t="shared" ca="1" si="526"/>
        <v>0</v>
      </c>
      <c r="CN88" s="15" t="b">
        <f t="shared" ca="1" si="526"/>
        <v>0</v>
      </c>
      <c r="CO88" s="15" t="b">
        <f t="shared" ca="1" si="526"/>
        <v>0</v>
      </c>
      <c r="CP88" s="15" t="b">
        <f t="shared" ca="1" si="526"/>
        <v>0</v>
      </c>
      <c r="CQ88" s="15" t="b">
        <f t="shared" ca="1" si="526"/>
        <v>0</v>
      </c>
      <c r="CR88" s="21" t="b">
        <f t="shared" ca="1" si="526"/>
        <v>0</v>
      </c>
      <c r="CS88" s="22" t="b">
        <f t="shared" ca="1" si="527"/>
        <v>0</v>
      </c>
      <c r="CT88" s="22" t="b">
        <f t="shared" ca="1" si="527"/>
        <v>0</v>
      </c>
      <c r="CU88" s="22" t="b">
        <f t="shared" ca="1" si="527"/>
        <v>0</v>
      </c>
      <c r="CV88" s="22" t="b">
        <f t="shared" ca="1" si="527"/>
        <v>0</v>
      </c>
      <c r="CW88" s="22" t="b">
        <f t="shared" ca="1" si="527"/>
        <v>0</v>
      </c>
      <c r="CX88" s="22" t="b">
        <f t="shared" ca="1" si="527"/>
        <v>0</v>
      </c>
      <c r="CY88" s="22" t="b">
        <f t="shared" ca="1" si="527"/>
        <v>0</v>
      </c>
      <c r="CZ88" s="21" t="b">
        <f t="shared" ca="1" si="527"/>
        <v>0</v>
      </c>
      <c r="DB88" s="22" t="b">
        <f t="shared" ca="1" si="521"/>
        <v>0</v>
      </c>
      <c r="DC88" s="22" t="b">
        <f t="shared" ca="1" si="528"/>
        <v>0</v>
      </c>
      <c r="DD88" s="22" t="b">
        <f t="shared" ca="1" si="528"/>
        <v>0</v>
      </c>
      <c r="DE88" s="22" t="b">
        <f t="shared" ca="1" si="528"/>
        <v>0</v>
      </c>
      <c r="DF88" s="22" t="b">
        <f t="shared" ca="1" si="528"/>
        <v>0</v>
      </c>
      <c r="DG88" s="22" t="b">
        <f t="shared" ca="1" si="528"/>
        <v>0</v>
      </c>
      <c r="DH88" s="22" t="b">
        <f t="shared" ca="1" si="528"/>
        <v>0</v>
      </c>
      <c r="DI88" s="22" t="b">
        <f t="shared" ca="1" si="528"/>
        <v>0</v>
      </c>
      <c r="DJ88" s="22" t="b">
        <f t="shared" ca="1" si="523"/>
        <v>0</v>
      </c>
      <c r="DK88" s="22"/>
      <c r="DO88" s="15" t="str">
        <f t="shared" ca="1" si="529"/>
        <v/>
      </c>
      <c r="DP88" s="15" t="str">
        <f t="shared" ca="1" si="529"/>
        <v/>
      </c>
      <c r="DQ88" s="15" t="str">
        <f t="shared" ca="1" si="529"/>
        <v/>
      </c>
      <c r="DR88" s="15" t="str">
        <f t="shared" ca="1" si="529"/>
        <v/>
      </c>
      <c r="DS88" s="15" t="str">
        <f t="shared" ca="1" si="529"/>
        <v/>
      </c>
      <c r="DT88" s="15" t="str">
        <f t="shared" ca="1" si="529"/>
        <v/>
      </c>
      <c r="DU88" s="15" t="str">
        <f t="shared" ca="1" si="529"/>
        <v/>
      </c>
      <c r="DV88" s="15" t="str">
        <f t="shared" ca="1" si="529"/>
        <v/>
      </c>
    </row>
    <row r="89" spans="1:126">
      <c r="A89" s="15">
        <f t="shared" si="531"/>
        <v>77</v>
      </c>
      <c r="B89" s="15" t="str">
        <f t="shared" si="533"/>
        <v/>
      </c>
      <c r="D89" s="15" t="str">
        <f t="shared" si="535"/>
        <v/>
      </c>
      <c r="M89" s="19"/>
      <c r="T89" s="15" t="str">
        <f t="shared" ca="1" si="464"/>
        <v/>
      </c>
      <c r="U89" s="15" t="str">
        <f t="shared" si="532"/>
        <v/>
      </c>
      <c r="AD89" s="16" t="b">
        <f t="shared" si="474"/>
        <v>0</v>
      </c>
      <c r="AE89" s="16" t="b">
        <f t="shared" si="475"/>
        <v>0</v>
      </c>
      <c r="AF89" s="15" t="str">
        <f t="shared" si="476"/>
        <v/>
      </c>
      <c r="AG89" s="15" t="str">
        <f t="shared" ca="1" si="477"/>
        <v/>
      </c>
      <c r="AH89" s="15" t="str">
        <f t="shared" ca="1" si="478"/>
        <v/>
      </c>
      <c r="AI89" s="15" t="b">
        <f t="shared" ca="1" si="479"/>
        <v>0</v>
      </c>
      <c r="AJ89" s="15" t="str">
        <f t="shared" ca="1" si="536"/>
        <v/>
      </c>
      <c r="AK89" s="27" t="str">
        <f t="shared" ca="1" si="480"/>
        <v/>
      </c>
      <c r="AL89" s="15" t="b">
        <f t="shared" ca="1" si="481"/>
        <v>0</v>
      </c>
      <c r="AM89" s="15" t="str">
        <f t="shared" ca="1" si="482"/>
        <v/>
      </c>
      <c r="AN89" s="15">
        <f t="shared" ca="1" si="483"/>
        <v>3</v>
      </c>
      <c r="AO89" s="15" t="str">
        <f t="shared" ca="1" si="537"/>
        <v/>
      </c>
      <c r="AP89" s="15" t="str">
        <f t="shared" ca="1" si="484"/>
        <v/>
      </c>
      <c r="AQ89" s="27">
        <f t="shared" si="485"/>
        <v>4</v>
      </c>
      <c r="AR89" s="15" t="b">
        <f t="shared" si="486"/>
        <v>0</v>
      </c>
      <c r="AS89" s="27" t="b">
        <f t="shared" si="487"/>
        <v>0</v>
      </c>
      <c r="AT89" s="27" t="b">
        <f t="shared" si="488"/>
        <v>0</v>
      </c>
      <c r="AU89" s="27" t="str">
        <f t="shared" si="489"/>
        <v/>
      </c>
      <c r="AV89" s="16" t="b">
        <f t="shared" si="490"/>
        <v>0</v>
      </c>
      <c r="AW89" s="15" t="str">
        <f t="shared" ca="1" si="530"/>
        <v/>
      </c>
      <c r="AX89" s="27" t="b">
        <f t="shared" ca="1" si="491"/>
        <v>0</v>
      </c>
      <c r="AY89" s="27" t="b">
        <f t="shared" ca="1" si="492"/>
        <v>0</v>
      </c>
      <c r="AZ89" s="15" t="b">
        <f t="shared" ca="1" si="493"/>
        <v>0</v>
      </c>
      <c r="BA89" s="15" t="b">
        <f t="shared" ca="1" si="494"/>
        <v>0</v>
      </c>
      <c r="BB89" s="15" t="str">
        <f t="shared" si="495"/>
        <v/>
      </c>
      <c r="BC89" s="15" t="str">
        <f t="shared" ca="1" si="538"/>
        <v/>
      </c>
      <c r="BD89" s="15" t="b">
        <f t="shared" ca="1" si="496"/>
        <v>0</v>
      </c>
      <c r="BE89" s="15" t="b">
        <f t="shared" si="497"/>
        <v>0</v>
      </c>
      <c r="BF89" s="15" t="str">
        <f t="shared" ca="1" si="498"/>
        <v/>
      </c>
      <c r="BG89" s="15" t="str">
        <f t="shared" si="499"/>
        <v/>
      </c>
      <c r="BH89" s="15" t="str">
        <f t="array" aca="1" ref="BH89" ca="1">IF(IFERROR( S89,1),1,IF(BC89="","", SUM(IF(ISERROR(INDIRECT(BC89)),1,0))))</f>
        <v/>
      </c>
      <c r="BI89" s="15" t="b">
        <f t="shared" si="500"/>
        <v>0</v>
      </c>
      <c r="BJ89" s="15" t="b">
        <f t="shared" si="501"/>
        <v>0</v>
      </c>
      <c r="BK89" s="15" t="str">
        <f t="shared" si="502"/>
        <v/>
      </c>
      <c r="BL89" s="15">
        <f t="shared" si="503"/>
        <v>4</v>
      </c>
      <c r="BP89" s="15" t="b">
        <f t="shared" si="539"/>
        <v>0</v>
      </c>
      <c r="BQ89" s="15" t="b">
        <f t="shared" si="540"/>
        <v>0</v>
      </c>
      <c r="BR89" s="15" t="str">
        <f t="shared" si="504"/>
        <v/>
      </c>
      <c r="BS89" s="15">
        <f t="shared" si="541"/>
        <v>0</v>
      </c>
      <c r="BT89" s="15" t="str">
        <f t="shared" si="534"/>
        <v/>
      </c>
      <c r="BV89" s="15" t="b">
        <f t="shared" ca="1" si="505"/>
        <v>0</v>
      </c>
      <c r="BW89" s="15" t="b">
        <f t="shared" ca="1" si="506"/>
        <v>0</v>
      </c>
      <c r="BX89" s="15" t="b">
        <f t="shared" ca="1" si="542"/>
        <v>0</v>
      </c>
      <c r="BY89" s="15" t="b">
        <f t="shared" ca="1" si="507"/>
        <v>0</v>
      </c>
      <c r="BZ89" s="15" t="b">
        <f t="shared" si="508"/>
        <v>0</v>
      </c>
      <c r="CA89" s="15" t="b">
        <f t="shared" si="509"/>
        <v>0</v>
      </c>
      <c r="CB89" s="15" t="b">
        <f t="shared" ca="1" si="510"/>
        <v>0</v>
      </c>
      <c r="CC89" s="15" t="b">
        <f t="shared" si="525"/>
        <v>0</v>
      </c>
      <c r="CD89" s="15" t="b">
        <f t="shared" si="525"/>
        <v>0</v>
      </c>
      <c r="CE89" s="15" t="b">
        <f t="shared" ca="1" si="512"/>
        <v>0</v>
      </c>
      <c r="CF89" s="15" t="b">
        <f t="shared" si="513"/>
        <v>0</v>
      </c>
      <c r="CG89" s="15" t="b">
        <f t="shared" si="514"/>
        <v>0</v>
      </c>
      <c r="CH89" s="15" t="b">
        <f t="shared" si="515"/>
        <v>0</v>
      </c>
      <c r="CI89" s="15" t="b">
        <f t="shared" si="516"/>
        <v>0</v>
      </c>
      <c r="CJ89" s="15" t="b">
        <f t="shared" si="517"/>
        <v>0</v>
      </c>
      <c r="CK89" s="15" t="b">
        <f t="shared" ca="1" si="526"/>
        <v>0</v>
      </c>
      <c r="CL89" s="15" t="b">
        <f t="shared" ca="1" si="526"/>
        <v>0</v>
      </c>
      <c r="CM89" s="15" t="b">
        <f t="shared" ca="1" si="526"/>
        <v>0</v>
      </c>
      <c r="CN89" s="15" t="b">
        <f t="shared" ca="1" si="526"/>
        <v>0</v>
      </c>
      <c r="CO89" s="15" t="b">
        <f t="shared" ca="1" si="526"/>
        <v>0</v>
      </c>
      <c r="CP89" s="15" t="b">
        <f t="shared" ca="1" si="526"/>
        <v>0</v>
      </c>
      <c r="CQ89" s="15" t="b">
        <f t="shared" ca="1" si="526"/>
        <v>0</v>
      </c>
      <c r="CR89" s="21" t="b">
        <f t="shared" ca="1" si="526"/>
        <v>0</v>
      </c>
      <c r="CS89" s="22" t="b">
        <f t="shared" ca="1" si="527"/>
        <v>0</v>
      </c>
      <c r="CT89" s="22" t="b">
        <f t="shared" ca="1" si="527"/>
        <v>0</v>
      </c>
      <c r="CU89" s="22" t="b">
        <f t="shared" ca="1" si="527"/>
        <v>0</v>
      </c>
      <c r="CV89" s="22" t="b">
        <f t="shared" ca="1" si="527"/>
        <v>0</v>
      </c>
      <c r="CW89" s="22" t="b">
        <f t="shared" ca="1" si="527"/>
        <v>0</v>
      </c>
      <c r="CX89" s="22" t="b">
        <f t="shared" ca="1" si="527"/>
        <v>0</v>
      </c>
      <c r="CY89" s="22" t="b">
        <f t="shared" ca="1" si="527"/>
        <v>0</v>
      </c>
      <c r="CZ89" s="21" t="b">
        <f t="shared" ca="1" si="527"/>
        <v>0</v>
      </c>
      <c r="DB89" s="22" t="b">
        <f t="shared" ca="1" si="521"/>
        <v>0</v>
      </c>
      <c r="DC89" s="22" t="b">
        <f t="shared" ca="1" si="528"/>
        <v>0</v>
      </c>
      <c r="DD89" s="22" t="b">
        <f t="shared" ca="1" si="528"/>
        <v>0</v>
      </c>
      <c r="DE89" s="22" t="b">
        <f t="shared" ca="1" si="528"/>
        <v>0</v>
      </c>
      <c r="DF89" s="22" t="b">
        <f t="shared" ca="1" si="528"/>
        <v>0</v>
      </c>
      <c r="DG89" s="22" t="b">
        <f t="shared" ca="1" si="528"/>
        <v>0</v>
      </c>
      <c r="DH89" s="22" t="b">
        <f t="shared" ca="1" si="528"/>
        <v>0</v>
      </c>
      <c r="DI89" s="22" t="b">
        <f t="shared" ca="1" si="528"/>
        <v>0</v>
      </c>
      <c r="DJ89" s="22" t="b">
        <f t="shared" ca="1" si="523"/>
        <v>0</v>
      </c>
      <c r="DK89" s="22"/>
      <c r="DO89" s="15" t="str">
        <f t="shared" ca="1" si="529"/>
        <v/>
      </c>
      <c r="DP89" s="15" t="str">
        <f t="shared" ca="1" si="529"/>
        <v/>
      </c>
      <c r="DQ89" s="15" t="str">
        <f t="shared" ca="1" si="529"/>
        <v/>
      </c>
      <c r="DR89" s="15" t="str">
        <f t="shared" ca="1" si="529"/>
        <v/>
      </c>
      <c r="DS89" s="15" t="str">
        <f t="shared" ca="1" si="529"/>
        <v/>
      </c>
      <c r="DT89" s="15" t="str">
        <f t="shared" ca="1" si="529"/>
        <v/>
      </c>
      <c r="DU89" s="15" t="str">
        <f t="shared" ca="1" si="529"/>
        <v/>
      </c>
      <c r="DV89" s="15" t="str">
        <f t="shared" ca="1" si="529"/>
        <v/>
      </c>
    </row>
    <row r="90" spans="1:126">
      <c r="A90" s="15">
        <f t="shared" si="531"/>
        <v>78</v>
      </c>
      <c r="B90" s="15" t="str">
        <f t="shared" si="533"/>
        <v/>
      </c>
      <c r="D90" s="15" t="str">
        <f t="shared" si="535"/>
        <v/>
      </c>
      <c r="M90" s="19"/>
      <c r="T90" s="15" t="str">
        <f t="shared" ca="1" si="464"/>
        <v/>
      </c>
      <c r="U90" s="15" t="str">
        <f t="shared" si="532"/>
        <v/>
      </c>
      <c r="AD90" s="16" t="b">
        <f t="shared" si="474"/>
        <v>0</v>
      </c>
      <c r="AE90" s="16" t="b">
        <f t="shared" si="475"/>
        <v>0</v>
      </c>
      <c r="AF90" s="15" t="str">
        <f t="shared" si="476"/>
        <v/>
      </c>
      <c r="AG90" s="15" t="str">
        <f t="shared" ca="1" si="477"/>
        <v/>
      </c>
      <c r="AH90" s="15" t="str">
        <f t="shared" ca="1" si="478"/>
        <v/>
      </c>
      <c r="AI90" s="15" t="b">
        <f t="shared" ca="1" si="479"/>
        <v>0</v>
      </c>
      <c r="AJ90" s="15" t="str">
        <f t="shared" ca="1" si="536"/>
        <v/>
      </c>
      <c r="AK90" s="27" t="str">
        <f t="shared" ca="1" si="480"/>
        <v/>
      </c>
      <c r="AL90" s="15" t="b">
        <f t="shared" ca="1" si="481"/>
        <v>0</v>
      </c>
      <c r="AM90" s="15" t="str">
        <f t="shared" ca="1" si="482"/>
        <v/>
      </c>
      <c r="AN90" s="15">
        <f t="shared" ca="1" si="483"/>
        <v>3</v>
      </c>
      <c r="AO90" s="15" t="str">
        <f t="shared" ca="1" si="537"/>
        <v/>
      </c>
      <c r="AP90" s="15" t="str">
        <f t="shared" ca="1" si="484"/>
        <v/>
      </c>
      <c r="AQ90" s="27">
        <f t="shared" si="485"/>
        <v>4</v>
      </c>
      <c r="AR90" s="15" t="b">
        <f t="shared" si="486"/>
        <v>0</v>
      </c>
      <c r="AS90" s="27" t="b">
        <f t="shared" si="487"/>
        <v>0</v>
      </c>
      <c r="AT90" s="27" t="b">
        <f t="shared" si="488"/>
        <v>0</v>
      </c>
      <c r="AU90" s="27" t="str">
        <f t="shared" si="489"/>
        <v/>
      </c>
      <c r="AV90" s="16" t="b">
        <f t="shared" si="490"/>
        <v>0</v>
      </c>
      <c r="AW90" s="15" t="str">
        <f t="shared" ca="1" si="530"/>
        <v/>
      </c>
      <c r="AX90" s="27" t="b">
        <f t="shared" ca="1" si="491"/>
        <v>0</v>
      </c>
      <c r="AY90" s="27" t="b">
        <f t="shared" ca="1" si="492"/>
        <v>0</v>
      </c>
      <c r="AZ90" s="15" t="b">
        <f t="shared" ca="1" si="493"/>
        <v>0</v>
      </c>
      <c r="BA90" s="15" t="b">
        <f t="shared" ca="1" si="494"/>
        <v>0</v>
      </c>
      <c r="BB90" s="15" t="str">
        <f t="shared" si="495"/>
        <v/>
      </c>
      <c r="BC90" s="15" t="str">
        <f t="shared" ca="1" si="538"/>
        <v/>
      </c>
      <c r="BD90" s="15" t="b">
        <f t="shared" ca="1" si="496"/>
        <v>0</v>
      </c>
      <c r="BE90" s="15" t="b">
        <f t="shared" si="497"/>
        <v>0</v>
      </c>
      <c r="BF90" s="15" t="str">
        <f t="shared" ca="1" si="498"/>
        <v/>
      </c>
      <c r="BG90" s="15" t="str">
        <f t="shared" si="499"/>
        <v/>
      </c>
      <c r="BH90" s="15" t="str">
        <f t="array" aca="1" ref="BH90" ca="1">IF(IFERROR( S90,1),1,IF(BC90="","", SUM(IF(ISERROR(INDIRECT(BC90)),1,0))))</f>
        <v/>
      </c>
      <c r="BI90" s="15" t="b">
        <f t="shared" si="500"/>
        <v>0</v>
      </c>
      <c r="BJ90" s="15" t="b">
        <f t="shared" si="501"/>
        <v>0</v>
      </c>
      <c r="BK90" s="15" t="str">
        <f t="shared" si="502"/>
        <v/>
      </c>
      <c r="BL90" s="15">
        <f t="shared" si="503"/>
        <v>4</v>
      </c>
      <c r="BP90" s="15" t="b">
        <f t="shared" si="539"/>
        <v>0</v>
      </c>
      <c r="BQ90" s="15" t="b">
        <f t="shared" si="540"/>
        <v>0</v>
      </c>
      <c r="BR90" s="15" t="str">
        <f t="shared" si="504"/>
        <v/>
      </c>
      <c r="BS90" s="15">
        <f t="shared" si="541"/>
        <v>0</v>
      </c>
      <c r="BT90" s="15" t="str">
        <f t="shared" si="534"/>
        <v/>
      </c>
      <c r="BV90" s="15" t="b">
        <f t="shared" ca="1" si="505"/>
        <v>0</v>
      </c>
      <c r="BW90" s="15" t="b">
        <f t="shared" ca="1" si="506"/>
        <v>0</v>
      </c>
      <c r="BX90" s="15" t="b">
        <f t="shared" ca="1" si="542"/>
        <v>0</v>
      </c>
      <c r="BY90" s="15" t="b">
        <f t="shared" ca="1" si="507"/>
        <v>0</v>
      </c>
      <c r="BZ90" s="15" t="b">
        <f t="shared" si="508"/>
        <v>0</v>
      </c>
      <c r="CA90" s="15" t="b">
        <f t="shared" si="509"/>
        <v>0</v>
      </c>
      <c r="CB90" s="15" t="b">
        <f t="shared" ca="1" si="510"/>
        <v>0</v>
      </c>
      <c r="CC90" s="15" t="b">
        <f t="shared" si="525"/>
        <v>0</v>
      </c>
      <c r="CD90" s="15" t="b">
        <f t="shared" si="525"/>
        <v>0</v>
      </c>
      <c r="CE90" s="15" t="b">
        <f t="shared" ca="1" si="512"/>
        <v>0</v>
      </c>
      <c r="CF90" s="15" t="b">
        <f t="shared" si="513"/>
        <v>0</v>
      </c>
      <c r="CG90" s="15" t="b">
        <f t="shared" si="514"/>
        <v>0</v>
      </c>
      <c r="CH90" s="15" t="b">
        <f t="shared" si="515"/>
        <v>0</v>
      </c>
      <c r="CI90" s="15" t="b">
        <f t="shared" si="516"/>
        <v>0</v>
      </c>
      <c r="CJ90" s="15" t="b">
        <f t="shared" si="517"/>
        <v>0</v>
      </c>
      <c r="CK90" s="15" t="b">
        <f t="shared" ca="1" si="526"/>
        <v>0</v>
      </c>
      <c r="CL90" s="15" t="b">
        <f t="shared" ca="1" si="526"/>
        <v>0</v>
      </c>
      <c r="CM90" s="15" t="b">
        <f t="shared" ca="1" si="526"/>
        <v>0</v>
      </c>
      <c r="CN90" s="15" t="b">
        <f t="shared" ca="1" si="526"/>
        <v>0</v>
      </c>
      <c r="CO90" s="15" t="b">
        <f t="shared" ca="1" si="526"/>
        <v>0</v>
      </c>
      <c r="CP90" s="15" t="b">
        <f t="shared" ca="1" si="526"/>
        <v>0</v>
      </c>
      <c r="CQ90" s="15" t="b">
        <f t="shared" ca="1" si="526"/>
        <v>0</v>
      </c>
      <c r="CR90" s="21" t="b">
        <f t="shared" ca="1" si="526"/>
        <v>0</v>
      </c>
      <c r="CS90" s="22" t="b">
        <f t="shared" ca="1" si="527"/>
        <v>0</v>
      </c>
      <c r="CT90" s="22" t="b">
        <f t="shared" ca="1" si="527"/>
        <v>0</v>
      </c>
      <c r="CU90" s="22" t="b">
        <f t="shared" ca="1" si="527"/>
        <v>0</v>
      </c>
      <c r="CV90" s="22" t="b">
        <f t="shared" ca="1" si="527"/>
        <v>0</v>
      </c>
      <c r="CW90" s="22" t="b">
        <f t="shared" ca="1" si="527"/>
        <v>0</v>
      </c>
      <c r="CX90" s="22" t="b">
        <f t="shared" ca="1" si="527"/>
        <v>0</v>
      </c>
      <c r="CY90" s="22" t="b">
        <f t="shared" ca="1" si="527"/>
        <v>0</v>
      </c>
      <c r="CZ90" s="21" t="b">
        <f t="shared" ca="1" si="527"/>
        <v>0</v>
      </c>
      <c r="DB90" s="22" t="b">
        <f t="shared" ca="1" si="521"/>
        <v>0</v>
      </c>
      <c r="DC90" s="22" t="b">
        <f t="shared" ca="1" si="528"/>
        <v>0</v>
      </c>
      <c r="DD90" s="22" t="b">
        <f t="shared" ca="1" si="528"/>
        <v>0</v>
      </c>
      <c r="DE90" s="22" t="b">
        <f t="shared" ca="1" si="528"/>
        <v>0</v>
      </c>
      <c r="DF90" s="22" t="b">
        <f t="shared" ca="1" si="528"/>
        <v>0</v>
      </c>
      <c r="DG90" s="22" t="b">
        <f t="shared" ca="1" si="528"/>
        <v>0</v>
      </c>
      <c r="DH90" s="22" t="b">
        <f t="shared" ca="1" si="528"/>
        <v>0</v>
      </c>
      <c r="DI90" s="22" t="b">
        <f t="shared" ca="1" si="528"/>
        <v>0</v>
      </c>
      <c r="DJ90" s="22" t="b">
        <f t="shared" ca="1" si="523"/>
        <v>0</v>
      </c>
      <c r="DK90" s="22"/>
      <c r="DO90" s="15" t="str">
        <f t="shared" ca="1" si="529"/>
        <v/>
      </c>
      <c r="DP90" s="15" t="str">
        <f t="shared" ca="1" si="529"/>
        <v/>
      </c>
      <c r="DQ90" s="15" t="str">
        <f t="shared" ca="1" si="529"/>
        <v/>
      </c>
      <c r="DR90" s="15" t="str">
        <f t="shared" ca="1" si="529"/>
        <v/>
      </c>
      <c r="DS90" s="15" t="str">
        <f t="shared" ca="1" si="529"/>
        <v/>
      </c>
      <c r="DT90" s="15" t="str">
        <f t="shared" ca="1" si="529"/>
        <v/>
      </c>
      <c r="DU90" s="15" t="str">
        <f t="shared" ca="1" si="529"/>
        <v/>
      </c>
      <c r="DV90" s="15" t="str">
        <f t="shared" ca="1" si="529"/>
        <v/>
      </c>
    </row>
    <row r="91" spans="1:126">
      <c r="A91" s="15">
        <f t="shared" si="531"/>
        <v>79</v>
      </c>
      <c r="B91" s="15" t="str">
        <f t="shared" si="533"/>
        <v/>
      </c>
      <c r="D91" s="15" t="str">
        <f t="shared" si="535"/>
        <v/>
      </c>
      <c r="M91" s="19"/>
      <c r="T91" s="15" t="str">
        <f t="shared" ref="T91:T97" ca="1" si="543">BC91</f>
        <v/>
      </c>
      <c r="U91" s="15" t="str">
        <f t="shared" si="532"/>
        <v/>
      </c>
      <c r="AD91" s="16" t="b">
        <f t="shared" ref="AD91:AD97" si="544">C91&lt;&gt;""</f>
        <v>0</v>
      </c>
      <c r="AE91" s="16" t="b">
        <f t="shared" ref="AE91:AE97" si="545">AND(I91&lt;&gt;"",H91&lt;&gt;"")</f>
        <v>0</v>
      </c>
      <c r="AF91" s="15" t="str">
        <f t="shared" ref="AF91:AF97" si="546">IF(AE91,"[" &amp; H91 &amp; "]" &amp; $B$2,"")</f>
        <v/>
      </c>
      <c r="AG91" s="15" t="str">
        <f t="shared" ref="AG91:AG97" ca="1" si="547">IF(AND(AE91,NOT(BX91)),INDIRECT(ADDRESS(ROW($D$4),COLUMN($D$4),,,AF91)),"")</f>
        <v/>
      </c>
      <c r="AH91" s="15" t="str">
        <f t="shared" ref="AH91:AH97" ca="1" si="548">IF(AND(AE91,NOT(BX91)),MATCH(I91,INDIRECT(AG91),0),"")</f>
        <v/>
      </c>
      <c r="AI91" s="15" t="b">
        <f t="shared" ref="AI91:AI97" ca="1" si="549">AND(AE91,NOT(BX91),NOT(BY91))</f>
        <v>0</v>
      </c>
      <c r="AJ91" s="15" t="str">
        <f t="shared" ca="1" si="536"/>
        <v/>
      </c>
      <c r="AK91" s="27" t="str">
        <f t="shared" ref="AK91:AK97" ca="1" si="550">IF(AE91,INDEX(INDIRECT(AJ91),AH91),"")</f>
        <v/>
      </c>
      <c r="AL91" s="15" t="b">
        <f t="shared" ref="AL91:AL97" ca="1" si="551">AND(AE91,NOT(OR(BX91,BY91)))</f>
        <v>0</v>
      </c>
      <c r="AM91" s="15" t="str">
        <f t="shared" ref="AM91:AM97" ca="1" si="552">IF(AE91,INDIRECT(ADDRESS(ROW($BK$4),COLUMN($BK$4),,,AF91)),"")</f>
        <v/>
      </c>
      <c r="AN91" s="15">
        <f t="shared" ref="AN91:AN97" ca="1" si="553">IFERROR(IF(AE91,INDEX(INDIRECT(AM91),AH91),3),3)</f>
        <v>3</v>
      </c>
      <c r="AO91" s="15" t="str">
        <f t="shared" ca="1" si="537"/>
        <v/>
      </c>
      <c r="AP91" s="15" t="str">
        <f t="shared" ref="AP91:AP97" ca="1" si="554">IF(AQ91=2,INDEX(INDIRECT(AO91),AH91),"")</f>
        <v/>
      </c>
      <c r="AQ91" s="27">
        <f t="shared" ref="AQ91:AQ97" si="555">IF(AND(AE91,NOT(AR91)),2,IF(AND(AR91,NOT(AE91)),1,IF(AND(NOT(AE91),NOT(AR91)),4,3)))</f>
        <v>4</v>
      </c>
      <c r="AR91" s="15" t="b">
        <f t="shared" ref="AR91:AR97" si="556">AND(J91&lt;&gt;"",AD91)</f>
        <v>0</v>
      </c>
      <c r="AS91" s="27" t="b">
        <f t="shared" ref="AS91:AS97" si="557">NOT(ISERROR(FIND("[",J91)))</f>
        <v>0</v>
      </c>
      <c r="AT91" s="27" t="b">
        <f t="shared" ref="AT91:AT97" si="558">MID(J91,1,1)="'"</f>
        <v>0</v>
      </c>
      <c r="AU91" s="27" t="str">
        <f t="shared" ref="AU91:AU97" si="559">IF(AS91,FIND("]",J91),"")</f>
        <v/>
      </c>
      <c r="AV91" s="16" t="b">
        <f t="shared" ref="AV91:AV97" si="560">IF(AS91,MID(J91,1,AU91)&lt;&gt;$V$2,FALSE)</f>
        <v>0</v>
      </c>
      <c r="AW91" s="15" t="str">
        <f t="shared" ca="1" si="530"/>
        <v/>
      </c>
      <c r="AX91" s="27" t="b">
        <f t="shared" ref="AX91:AX97" ca="1" si="561">IF(AR91,ROWS(INDIRECT(AW91))&gt;1)</f>
        <v>0</v>
      </c>
      <c r="AY91" s="27" t="b">
        <f t="shared" ref="AY91:AY97" ca="1" si="562">IF(AR91,COLUMNS(INDIRECT(AW91))&gt;1)</f>
        <v>0</v>
      </c>
      <c r="AZ91" s="15" t="b">
        <f t="shared" ref="AZ91:AZ97" ca="1" si="563">IF($AE91,IF(NOT(AI91),"?",COLUMNS(INDIRECT($AK91))),IF($AD91,IF(L91="",1,L91)))</f>
        <v>0</v>
      </c>
      <c r="BA91" s="15" t="b">
        <f t="shared" ref="BA91:BA97" ca="1" si="564">IF($AE91,IF(NOT(AI91),"?",ROWS(INDIRECT($AK91))),IF($AD91,IF(K91="",1,K91)))</f>
        <v>0</v>
      </c>
      <c r="BB91" s="15" t="str">
        <f t="shared" ref="BB91:BB97" si="565">IF(AD91,CHOOSE(AQ91,AW91,AK91,"?"),"")</f>
        <v/>
      </c>
      <c r="BC91" s="15" t="str">
        <f t="shared" ca="1" si="538"/>
        <v/>
      </c>
      <c r="BD91" s="15" t="b">
        <f t="shared" ref="BD91:BD97" ca="1" si="566">AZ91*BA91&gt;1</f>
        <v>0</v>
      </c>
      <c r="BE91" s="15" t="b">
        <f t="shared" ref="BE91:BE97" si="567">IF(AND(AD91,AQ91=1),IF(Q91="",BI91, IF(Q91,TRUE,FALSE)),FALSE)</f>
        <v>0</v>
      </c>
      <c r="BF91" s="15" t="str">
        <f t="shared" ref="BF91:BF97" ca="1" si="568">IF(BE91,COUNTA(INDIRECT(BC91)),"")</f>
        <v/>
      </c>
      <c r="BG91" s="15" t="str">
        <f t="shared" ref="BG91:BG97" si="569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570">G91="r"</f>
        <v>0</v>
      </c>
      <c r="BJ91" s="15" t="b">
        <f t="shared" ref="BJ91:BJ97" si="571">G91="W"</f>
        <v>0</v>
      </c>
      <c r="BK91" s="15" t="str">
        <f t="shared" ref="BK91:BK97" si="572">IF(AR91,IF(AND(BI91,NOT(BJ91)),1,IF(AND(BJ91,NOT(BI91)),2,3)),"")</f>
        <v/>
      </c>
      <c r="BL91" s="15">
        <f t="shared" ref="BL91:BL97" si="573">CHOOSE(AQ91,BK91,AN91,3,4)</f>
        <v>4</v>
      </c>
      <c r="BP91" s="15" t="b">
        <f t="shared" si="539"/>
        <v>0</v>
      </c>
      <c r="BQ91" s="15" t="b">
        <f t="shared" si="540"/>
        <v>0</v>
      </c>
      <c r="BR91" s="15" t="str">
        <f t="shared" ref="BR91:BR97" si="574">IF(BQ91,MATCH(TRUE,BU91:CZ91,0),"")</f>
        <v/>
      </c>
      <c r="BS91" s="15">
        <f t="shared" si="541"/>
        <v>0</v>
      </c>
      <c r="BT91" s="15" t="str">
        <f t="shared" si="534"/>
        <v/>
      </c>
      <c r="BV91" s="15" t="b">
        <f t="shared" ref="BV91:BV97" ca="1" si="575">IFERROR(IF($AD91,COUNTIF(INDIRECT($C$4),C91)&gt;1,FALSE),FALSE)</f>
        <v>0</v>
      </c>
      <c r="BW91" s="15" t="b">
        <f t="shared" ref="BW91:BW97" ca="1" si="576">IFERROR(IF($AD91,IF(D91&lt;&gt;"",COUNTIF(INDIRECT($D$4),D91)&gt;1,FALSE),FALSE),FALSE)</f>
        <v>0</v>
      </c>
      <c r="BX91" s="15" t="b">
        <f t="shared" ca="1" si="542"/>
        <v>0</v>
      </c>
      <c r="BY91" s="15" t="b">
        <f t="shared" ref="BY91:BY97" ca="1" si="577">IFERROR(IF(AND(AE91,NOT(BX91)),IF(ISERROR(AH91),TRUE,FALSE)),FALSE)</f>
        <v>0</v>
      </c>
      <c r="BZ91" s="15" t="b">
        <f t="shared" ref="BZ91:BZ97" si="578">IFERROR(IF(BE91,BF91&lt;&gt;BG91,FALSE),FALSE)</f>
        <v>0</v>
      </c>
      <c r="CA91" s="15" t="b">
        <f t="shared" ref="CA91:CA97" si="579">AND(AR91,AE91,AD91)</f>
        <v>0</v>
      </c>
      <c r="CB91" s="15" t="b">
        <f t="shared" ref="CB91:CB97" ca="1" si="580">ISERROR(COUNT(INDIRECT(J91)))</f>
        <v>0</v>
      </c>
      <c r="CC91" s="15" t="b">
        <f t="shared" si="525"/>
        <v>0</v>
      </c>
      <c r="CD91" s="15" t="b">
        <f t="shared" si="525"/>
        <v>0</v>
      </c>
      <c r="CE91" s="15" t="b">
        <f t="shared" ref="CE91:CE97" ca="1" si="581">IF(AD91, IF(AQ91=1, IF(OR(R91,DB91,AK91="" ),FALSE,OR(ISERROR(INDIRECT(T91)))),FALSE),FALSE)</f>
        <v>0</v>
      </c>
      <c r="CF91" s="15" t="b">
        <f t="shared" ref="CF91:CF97" si="582">AND($AD91,$AQ91=2,COUNTA( S91)=1)</f>
        <v>0</v>
      </c>
      <c r="CG91" s="15" t="b">
        <f t="shared" ref="CG91:CG97" si="583">AND(AND(AQ91&lt;&gt;1,AQ91&lt;&gt;3),G91&lt;&gt;"")</f>
        <v>0</v>
      </c>
      <c r="CH91" s="15" t="b">
        <f t="shared" ref="CH91:CH97" si="584">AND(AQ91=1,BK91=3)</f>
        <v>0</v>
      </c>
      <c r="CI91" s="15" t="b">
        <f t="shared" ref="CI91:CI97" si="585">ISERROR(S91)</f>
        <v>0</v>
      </c>
      <c r="CJ91" s="15" t="b">
        <f t="shared" ref="CJ91:CJ97" si="586">IFERROR(IF(S91,TRUE,FALSE),FALSE)</f>
        <v>0</v>
      </c>
      <c r="CK91" s="15" t="b">
        <f t="shared" ca="1" si="526"/>
        <v>0</v>
      </c>
      <c r="CL91" s="15" t="b">
        <f t="shared" ca="1" si="526"/>
        <v>0</v>
      </c>
      <c r="CM91" s="15" t="b">
        <f t="shared" ca="1" si="526"/>
        <v>0</v>
      </c>
      <c r="CN91" s="15" t="b">
        <f t="shared" ca="1" si="526"/>
        <v>0</v>
      </c>
      <c r="CO91" s="15" t="b">
        <f t="shared" ca="1" si="526"/>
        <v>0</v>
      </c>
      <c r="CP91" s="15" t="b">
        <f t="shared" ca="1" si="526"/>
        <v>0</v>
      </c>
      <c r="CQ91" s="15" t="b">
        <f t="shared" ca="1" si="526"/>
        <v>0</v>
      </c>
      <c r="CR91" s="21" t="b">
        <f t="shared" ca="1" si="526"/>
        <v>0</v>
      </c>
      <c r="CS91" s="22" t="b">
        <f t="shared" ca="1" si="527"/>
        <v>0</v>
      </c>
      <c r="CT91" s="22" t="b">
        <f t="shared" ca="1" si="527"/>
        <v>0</v>
      </c>
      <c r="CU91" s="22" t="b">
        <f t="shared" ca="1" si="527"/>
        <v>0</v>
      </c>
      <c r="CV91" s="22" t="b">
        <f t="shared" ca="1" si="527"/>
        <v>0</v>
      </c>
      <c r="CW91" s="22" t="b">
        <f t="shared" ca="1" si="527"/>
        <v>0</v>
      </c>
      <c r="CX91" s="22" t="b">
        <f t="shared" ca="1" si="527"/>
        <v>0</v>
      </c>
      <c r="CY91" s="22" t="b">
        <f t="shared" ca="1" si="527"/>
        <v>0</v>
      </c>
      <c r="CZ91" s="21" t="b">
        <f t="shared" ca="1" si="527"/>
        <v>0</v>
      </c>
      <c r="DB91" s="22" t="b">
        <f t="shared" ref="DB91:DB97" ca="1" si="587">OR(DC91:DJ91)</f>
        <v>0</v>
      </c>
      <c r="DC91" s="22" t="b">
        <f t="shared" ca="1" si="528"/>
        <v>0</v>
      </c>
      <c r="DD91" s="22" t="b">
        <f t="shared" ca="1" si="528"/>
        <v>0</v>
      </c>
      <c r="DE91" s="22" t="b">
        <f t="shared" ca="1" si="528"/>
        <v>0</v>
      </c>
      <c r="DF91" s="22" t="b">
        <f t="shared" ca="1" si="528"/>
        <v>0</v>
      </c>
      <c r="DG91" s="22" t="b">
        <f t="shared" ca="1" si="528"/>
        <v>0</v>
      </c>
      <c r="DH91" s="22" t="b">
        <f t="shared" ca="1" si="528"/>
        <v>0</v>
      </c>
      <c r="DI91" s="22" t="b">
        <f t="shared" ca="1" si="528"/>
        <v>0</v>
      </c>
      <c r="DJ91" s="22" t="b">
        <f t="shared" ca="1" si="523"/>
        <v>0</v>
      </c>
      <c r="DK91" s="22"/>
      <c r="DO91" s="15" t="str">
        <f t="shared" ca="1" si="529"/>
        <v/>
      </c>
      <c r="DP91" s="15" t="str">
        <f t="shared" ca="1" si="529"/>
        <v/>
      </c>
      <c r="DQ91" s="15" t="str">
        <f t="shared" ca="1" si="529"/>
        <v/>
      </c>
      <c r="DR91" s="15" t="str">
        <f t="shared" ca="1" si="529"/>
        <v/>
      </c>
      <c r="DS91" s="15" t="str">
        <f t="shared" ca="1" si="529"/>
        <v/>
      </c>
      <c r="DT91" s="15" t="str">
        <f t="shared" ca="1" si="529"/>
        <v/>
      </c>
      <c r="DU91" s="15" t="str">
        <f t="shared" ca="1" si="529"/>
        <v/>
      </c>
      <c r="DV91" s="15" t="str">
        <f t="shared" ca="1" si="529"/>
        <v/>
      </c>
    </row>
    <row r="92" spans="1:126">
      <c r="A92" s="15">
        <f t="shared" si="531"/>
        <v>80</v>
      </c>
      <c r="B92" s="15" t="str">
        <f t="shared" si="533"/>
        <v/>
      </c>
      <c r="D92" s="15" t="str">
        <f t="shared" si="535"/>
        <v/>
      </c>
      <c r="M92" s="19"/>
      <c r="T92" s="15" t="str">
        <f t="shared" ca="1" si="543"/>
        <v/>
      </c>
      <c r="U92" s="15" t="str">
        <f t="shared" si="532"/>
        <v/>
      </c>
      <c r="AD92" s="16" t="b">
        <f t="shared" si="544"/>
        <v>0</v>
      </c>
      <c r="AE92" s="16" t="b">
        <f t="shared" si="545"/>
        <v>0</v>
      </c>
      <c r="AF92" s="15" t="str">
        <f t="shared" si="546"/>
        <v/>
      </c>
      <c r="AG92" s="15" t="str">
        <f t="shared" ca="1" si="547"/>
        <v/>
      </c>
      <c r="AH92" s="15" t="str">
        <f t="shared" ca="1" si="548"/>
        <v/>
      </c>
      <c r="AI92" s="15" t="b">
        <f t="shared" ca="1" si="549"/>
        <v>0</v>
      </c>
      <c r="AJ92" s="15" t="str">
        <f t="shared" ca="1" si="536"/>
        <v/>
      </c>
      <c r="AK92" s="27" t="str">
        <f t="shared" ca="1" si="550"/>
        <v/>
      </c>
      <c r="AL92" s="15" t="b">
        <f t="shared" ca="1" si="551"/>
        <v>0</v>
      </c>
      <c r="AM92" s="15" t="str">
        <f t="shared" ca="1" si="552"/>
        <v/>
      </c>
      <c r="AN92" s="15">
        <f t="shared" ca="1" si="553"/>
        <v>3</v>
      </c>
      <c r="AO92" s="15" t="str">
        <f t="shared" ca="1" si="537"/>
        <v/>
      </c>
      <c r="AP92" s="15" t="str">
        <f t="shared" ca="1" si="554"/>
        <v/>
      </c>
      <c r="AQ92" s="27">
        <f t="shared" si="555"/>
        <v>4</v>
      </c>
      <c r="AR92" s="15" t="b">
        <f t="shared" si="556"/>
        <v>0</v>
      </c>
      <c r="AS92" s="27" t="b">
        <f t="shared" si="557"/>
        <v>0</v>
      </c>
      <c r="AT92" s="27" t="b">
        <f t="shared" si="558"/>
        <v>0</v>
      </c>
      <c r="AU92" s="27" t="str">
        <f t="shared" si="559"/>
        <v/>
      </c>
      <c r="AV92" s="16" t="b">
        <f t="shared" si="560"/>
        <v>0</v>
      </c>
      <c r="AW92" s="15" t="str">
        <f t="shared" ca="1" si="530"/>
        <v/>
      </c>
      <c r="AX92" s="27" t="b">
        <f t="shared" ca="1" si="561"/>
        <v>0</v>
      </c>
      <c r="AY92" s="27" t="b">
        <f t="shared" ca="1" si="562"/>
        <v>0</v>
      </c>
      <c r="AZ92" s="15" t="b">
        <f t="shared" ca="1" si="563"/>
        <v>0</v>
      </c>
      <c r="BA92" s="15" t="b">
        <f t="shared" ca="1" si="564"/>
        <v>0</v>
      </c>
      <c r="BB92" s="15" t="str">
        <f t="shared" si="565"/>
        <v/>
      </c>
      <c r="BC92" s="15" t="str">
        <f t="shared" ca="1" si="538"/>
        <v/>
      </c>
      <c r="BD92" s="15" t="b">
        <f t="shared" ca="1" si="566"/>
        <v>0</v>
      </c>
      <c r="BE92" s="15" t="b">
        <f t="shared" si="567"/>
        <v>0</v>
      </c>
      <c r="BF92" s="15" t="str">
        <f t="shared" ca="1" si="568"/>
        <v/>
      </c>
      <c r="BG92" s="15" t="str">
        <f t="shared" si="569"/>
        <v/>
      </c>
      <c r="BH92" s="15" t="str">
        <f t="array" aca="1" ref="BH92" ca="1">IF(IFERROR( S92,1),1,IF(BC92="","", SUM(IF(ISERROR(INDIRECT(BC92)),1,0))))</f>
        <v/>
      </c>
      <c r="BI92" s="15" t="b">
        <f t="shared" si="570"/>
        <v>0</v>
      </c>
      <c r="BJ92" s="15" t="b">
        <f t="shared" si="571"/>
        <v>0</v>
      </c>
      <c r="BK92" s="15" t="str">
        <f t="shared" si="572"/>
        <v/>
      </c>
      <c r="BL92" s="15">
        <f t="shared" si="573"/>
        <v>4</v>
      </c>
      <c r="BP92" s="15" t="b">
        <f t="shared" si="539"/>
        <v>0</v>
      </c>
      <c r="BQ92" s="15" t="b">
        <f t="shared" si="540"/>
        <v>0</v>
      </c>
      <c r="BR92" s="15" t="str">
        <f t="shared" si="574"/>
        <v/>
      </c>
      <c r="BS92" s="15">
        <f t="shared" si="541"/>
        <v>0</v>
      </c>
      <c r="BT92" s="15" t="str">
        <f t="shared" si="534"/>
        <v/>
      </c>
      <c r="BV92" s="15" t="b">
        <f t="shared" ca="1" si="575"/>
        <v>0</v>
      </c>
      <c r="BW92" s="15" t="b">
        <f t="shared" ca="1" si="576"/>
        <v>0</v>
      </c>
      <c r="BX92" s="15" t="b">
        <f t="shared" ca="1" si="542"/>
        <v>0</v>
      </c>
      <c r="BY92" s="15" t="b">
        <f t="shared" ca="1" si="577"/>
        <v>0</v>
      </c>
      <c r="BZ92" s="15" t="b">
        <f t="shared" si="578"/>
        <v>0</v>
      </c>
      <c r="CA92" s="15" t="b">
        <f t="shared" si="579"/>
        <v>0</v>
      </c>
      <c r="CB92" s="15" t="b">
        <f t="shared" ca="1" si="580"/>
        <v>0</v>
      </c>
      <c r="CC92" s="15" t="b">
        <f t="shared" si="525"/>
        <v>0</v>
      </c>
      <c r="CD92" s="15" t="b">
        <f t="shared" si="525"/>
        <v>0</v>
      </c>
      <c r="CE92" s="15" t="b">
        <f t="shared" ca="1" si="581"/>
        <v>0</v>
      </c>
      <c r="CF92" s="15" t="b">
        <f t="shared" si="582"/>
        <v>0</v>
      </c>
      <c r="CG92" s="15" t="b">
        <f t="shared" si="583"/>
        <v>0</v>
      </c>
      <c r="CH92" s="15" t="b">
        <f t="shared" si="584"/>
        <v>0</v>
      </c>
      <c r="CI92" s="15" t="b">
        <f t="shared" si="585"/>
        <v>0</v>
      </c>
      <c r="CJ92" s="15" t="b">
        <f t="shared" si="586"/>
        <v>0</v>
      </c>
      <c r="CK92" s="15" t="b">
        <f t="shared" ca="1" si="526"/>
        <v>0</v>
      </c>
      <c r="CL92" s="15" t="b">
        <f t="shared" ca="1" si="526"/>
        <v>0</v>
      </c>
      <c r="CM92" s="15" t="b">
        <f t="shared" ca="1" si="526"/>
        <v>0</v>
      </c>
      <c r="CN92" s="15" t="b">
        <f t="shared" ca="1" si="526"/>
        <v>0</v>
      </c>
      <c r="CO92" s="15" t="b">
        <f t="shared" ca="1" si="526"/>
        <v>0</v>
      </c>
      <c r="CP92" s="15" t="b">
        <f t="shared" ca="1" si="526"/>
        <v>0</v>
      </c>
      <c r="CQ92" s="15" t="b">
        <f t="shared" ca="1" si="526"/>
        <v>0</v>
      </c>
      <c r="CR92" s="21" t="b">
        <f t="shared" ca="1" si="526"/>
        <v>0</v>
      </c>
      <c r="CS92" s="22" t="b">
        <f t="shared" ca="1" si="527"/>
        <v>0</v>
      </c>
      <c r="CT92" s="22" t="b">
        <f t="shared" ca="1" si="527"/>
        <v>0</v>
      </c>
      <c r="CU92" s="22" t="b">
        <f t="shared" ca="1" si="527"/>
        <v>0</v>
      </c>
      <c r="CV92" s="22" t="b">
        <f t="shared" ca="1" si="527"/>
        <v>0</v>
      </c>
      <c r="CW92" s="22" t="b">
        <f t="shared" ca="1" si="527"/>
        <v>0</v>
      </c>
      <c r="CX92" s="22" t="b">
        <f t="shared" ca="1" si="527"/>
        <v>0</v>
      </c>
      <c r="CY92" s="22" t="b">
        <f t="shared" ca="1" si="527"/>
        <v>0</v>
      </c>
      <c r="CZ92" s="21" t="b">
        <f t="shared" ca="1" si="527"/>
        <v>0</v>
      </c>
      <c r="DB92" s="22" t="b">
        <f t="shared" ca="1" si="587"/>
        <v>0</v>
      </c>
      <c r="DC92" s="22" t="b">
        <f t="shared" ca="1" si="528"/>
        <v>0</v>
      </c>
      <c r="DD92" s="22" t="b">
        <f t="shared" ca="1" si="528"/>
        <v>0</v>
      </c>
      <c r="DE92" s="22" t="b">
        <f t="shared" ca="1" si="528"/>
        <v>0</v>
      </c>
      <c r="DF92" s="22" t="b">
        <f t="shared" ca="1" si="528"/>
        <v>0</v>
      </c>
      <c r="DG92" s="22" t="b">
        <f t="shared" ca="1" si="528"/>
        <v>0</v>
      </c>
      <c r="DH92" s="22" t="b">
        <f t="shared" ca="1" si="528"/>
        <v>0</v>
      </c>
      <c r="DI92" s="22" t="b">
        <f t="shared" ca="1" si="528"/>
        <v>0</v>
      </c>
      <c r="DJ92" s="22" t="b">
        <f t="shared" ca="1" si="523"/>
        <v>0</v>
      </c>
      <c r="DK92" s="22"/>
      <c r="DO92" s="15" t="str">
        <f t="shared" ca="1" si="529"/>
        <v/>
      </c>
      <c r="DP92" s="15" t="str">
        <f t="shared" ca="1" si="529"/>
        <v/>
      </c>
      <c r="DQ92" s="15" t="str">
        <f t="shared" ca="1" si="529"/>
        <v/>
      </c>
      <c r="DR92" s="15" t="str">
        <f t="shared" ca="1" si="529"/>
        <v/>
      </c>
      <c r="DS92" s="15" t="str">
        <f t="shared" ca="1" si="529"/>
        <v/>
      </c>
      <c r="DT92" s="15" t="str">
        <f t="shared" ca="1" si="529"/>
        <v/>
      </c>
      <c r="DU92" s="15" t="str">
        <f t="shared" ca="1" si="529"/>
        <v/>
      </c>
      <c r="DV92" s="15" t="str">
        <f t="shared" ca="1" si="529"/>
        <v/>
      </c>
    </row>
    <row r="93" spans="1:126">
      <c r="A93" s="15">
        <f t="shared" si="531"/>
        <v>81</v>
      </c>
      <c r="B93" s="15" t="str">
        <f t="shared" si="533"/>
        <v/>
      </c>
      <c r="D93" s="15" t="str">
        <f t="shared" si="535"/>
        <v/>
      </c>
      <c r="M93" s="19"/>
      <c r="T93" s="15" t="str">
        <f t="shared" ca="1" si="543"/>
        <v/>
      </c>
      <c r="U93" s="15" t="str">
        <f t="shared" si="532"/>
        <v/>
      </c>
      <c r="AD93" s="16" t="b">
        <f t="shared" si="544"/>
        <v>0</v>
      </c>
      <c r="AE93" s="16" t="b">
        <f t="shared" si="545"/>
        <v>0</v>
      </c>
      <c r="AF93" s="15" t="str">
        <f t="shared" si="546"/>
        <v/>
      </c>
      <c r="AG93" s="15" t="str">
        <f t="shared" ca="1" si="547"/>
        <v/>
      </c>
      <c r="AH93" s="15" t="str">
        <f t="shared" ca="1" si="548"/>
        <v/>
      </c>
      <c r="AI93" s="15" t="b">
        <f t="shared" ca="1" si="549"/>
        <v>0</v>
      </c>
      <c r="AJ93" s="15" t="str">
        <f t="shared" ca="1" si="536"/>
        <v/>
      </c>
      <c r="AK93" s="27" t="str">
        <f t="shared" ca="1" si="550"/>
        <v/>
      </c>
      <c r="AL93" s="15" t="b">
        <f t="shared" ca="1" si="551"/>
        <v>0</v>
      </c>
      <c r="AM93" s="15" t="str">
        <f t="shared" ca="1" si="552"/>
        <v/>
      </c>
      <c r="AN93" s="15">
        <f t="shared" ca="1" si="553"/>
        <v>3</v>
      </c>
      <c r="AO93" s="15" t="str">
        <f t="shared" ca="1" si="537"/>
        <v/>
      </c>
      <c r="AP93" s="15" t="str">
        <f t="shared" ca="1" si="554"/>
        <v/>
      </c>
      <c r="AQ93" s="27">
        <f t="shared" si="555"/>
        <v>4</v>
      </c>
      <c r="AR93" s="15" t="b">
        <f t="shared" si="556"/>
        <v>0</v>
      </c>
      <c r="AS93" s="27" t="b">
        <f t="shared" si="557"/>
        <v>0</v>
      </c>
      <c r="AT93" s="27" t="b">
        <f t="shared" si="558"/>
        <v>0</v>
      </c>
      <c r="AU93" s="27" t="str">
        <f t="shared" si="559"/>
        <v/>
      </c>
      <c r="AV93" s="16" t="b">
        <f t="shared" si="560"/>
        <v>0</v>
      </c>
      <c r="AW93" s="15" t="str">
        <f t="shared" ca="1" si="530"/>
        <v/>
      </c>
      <c r="AX93" s="27" t="b">
        <f t="shared" ca="1" si="561"/>
        <v>0</v>
      </c>
      <c r="AY93" s="27" t="b">
        <f t="shared" ca="1" si="562"/>
        <v>0</v>
      </c>
      <c r="AZ93" s="15" t="b">
        <f t="shared" ca="1" si="563"/>
        <v>0</v>
      </c>
      <c r="BA93" s="15" t="b">
        <f t="shared" ca="1" si="564"/>
        <v>0</v>
      </c>
      <c r="BB93" s="15" t="str">
        <f t="shared" si="565"/>
        <v/>
      </c>
      <c r="BC93" s="15" t="str">
        <f t="shared" ca="1" si="538"/>
        <v/>
      </c>
      <c r="BD93" s="15" t="b">
        <f t="shared" ca="1" si="566"/>
        <v>0</v>
      </c>
      <c r="BE93" s="15" t="b">
        <f t="shared" si="567"/>
        <v>0</v>
      </c>
      <c r="BF93" s="15" t="str">
        <f t="shared" ca="1" si="568"/>
        <v/>
      </c>
      <c r="BG93" s="15" t="str">
        <f t="shared" si="569"/>
        <v/>
      </c>
      <c r="BH93" s="15" t="str">
        <f t="array" aca="1" ref="BH93" ca="1">IF(IFERROR( S93,1),1,IF(BC93="","", SUM(IF(ISERROR(INDIRECT(BC93)),1,0))))</f>
        <v/>
      </c>
      <c r="BI93" s="15" t="b">
        <f t="shared" si="570"/>
        <v>0</v>
      </c>
      <c r="BJ93" s="15" t="b">
        <f t="shared" si="571"/>
        <v>0</v>
      </c>
      <c r="BK93" s="15" t="str">
        <f t="shared" si="572"/>
        <v/>
      </c>
      <c r="BL93" s="15">
        <f t="shared" si="573"/>
        <v>4</v>
      </c>
      <c r="BP93" s="15" t="b">
        <f t="shared" si="539"/>
        <v>0</v>
      </c>
      <c r="BQ93" s="15" t="b">
        <f t="shared" si="540"/>
        <v>0</v>
      </c>
      <c r="BR93" s="15" t="str">
        <f t="shared" si="574"/>
        <v/>
      </c>
      <c r="BS93" s="15">
        <f t="shared" si="541"/>
        <v>0</v>
      </c>
      <c r="BT93" s="15" t="str">
        <f t="shared" si="534"/>
        <v/>
      </c>
      <c r="BV93" s="15" t="b">
        <f t="shared" ca="1" si="575"/>
        <v>0</v>
      </c>
      <c r="BW93" s="15" t="b">
        <f t="shared" ca="1" si="576"/>
        <v>0</v>
      </c>
      <c r="BX93" s="15" t="b">
        <f t="shared" ca="1" si="542"/>
        <v>0</v>
      </c>
      <c r="BY93" s="15" t="b">
        <f t="shared" ca="1" si="577"/>
        <v>0</v>
      </c>
      <c r="BZ93" s="15" t="b">
        <f t="shared" si="578"/>
        <v>0</v>
      </c>
      <c r="CA93" s="15" t="b">
        <f t="shared" si="579"/>
        <v>0</v>
      </c>
      <c r="CB93" s="15" t="b">
        <f t="shared" ca="1" si="580"/>
        <v>0</v>
      </c>
      <c r="CC93" s="15" t="b">
        <f t="shared" si="525"/>
        <v>0</v>
      </c>
      <c r="CD93" s="15" t="b">
        <f t="shared" si="525"/>
        <v>0</v>
      </c>
      <c r="CE93" s="15" t="b">
        <f t="shared" ca="1" si="581"/>
        <v>0</v>
      </c>
      <c r="CF93" s="15" t="b">
        <f t="shared" si="582"/>
        <v>0</v>
      </c>
      <c r="CG93" s="15" t="b">
        <f t="shared" si="583"/>
        <v>0</v>
      </c>
      <c r="CH93" s="15" t="b">
        <f t="shared" si="584"/>
        <v>0</v>
      </c>
      <c r="CI93" s="15" t="b">
        <f t="shared" si="585"/>
        <v>0</v>
      </c>
      <c r="CJ93" s="15" t="b">
        <f t="shared" si="586"/>
        <v>0</v>
      </c>
      <c r="CK93" s="15" t="b">
        <f t="shared" ca="1" si="526"/>
        <v>0</v>
      </c>
      <c r="CL93" s="15" t="b">
        <f t="shared" ca="1" si="526"/>
        <v>0</v>
      </c>
      <c r="CM93" s="15" t="b">
        <f t="shared" ca="1" si="526"/>
        <v>0</v>
      </c>
      <c r="CN93" s="15" t="b">
        <f t="shared" ca="1" si="526"/>
        <v>0</v>
      </c>
      <c r="CO93" s="15" t="b">
        <f t="shared" ca="1" si="526"/>
        <v>0</v>
      </c>
      <c r="CP93" s="15" t="b">
        <f t="shared" ca="1" si="526"/>
        <v>0</v>
      </c>
      <c r="CQ93" s="15" t="b">
        <f t="shared" ca="1" si="526"/>
        <v>0</v>
      </c>
      <c r="CR93" s="21" t="b">
        <f t="shared" ca="1" si="526"/>
        <v>0</v>
      </c>
      <c r="CS93" s="22" t="b">
        <f t="shared" ca="1" si="527"/>
        <v>0</v>
      </c>
      <c r="CT93" s="22" t="b">
        <f t="shared" ca="1" si="527"/>
        <v>0</v>
      </c>
      <c r="CU93" s="22" t="b">
        <f t="shared" ca="1" si="527"/>
        <v>0</v>
      </c>
      <c r="CV93" s="22" t="b">
        <f t="shared" ca="1" si="527"/>
        <v>0</v>
      </c>
      <c r="CW93" s="22" t="b">
        <f t="shared" ca="1" si="527"/>
        <v>0</v>
      </c>
      <c r="CX93" s="22" t="b">
        <f t="shared" ca="1" si="527"/>
        <v>0</v>
      </c>
      <c r="CY93" s="22" t="b">
        <f t="shared" ca="1" si="527"/>
        <v>0</v>
      </c>
      <c r="CZ93" s="21" t="b">
        <f t="shared" ca="1" si="527"/>
        <v>0</v>
      </c>
      <c r="DB93" s="22" t="b">
        <f t="shared" ca="1" si="587"/>
        <v>0</v>
      </c>
      <c r="DC93" s="22" t="b">
        <f t="shared" ca="1" si="528"/>
        <v>0</v>
      </c>
      <c r="DD93" s="22" t="b">
        <f t="shared" ca="1" si="528"/>
        <v>0</v>
      </c>
      <c r="DE93" s="22" t="b">
        <f t="shared" ca="1" si="528"/>
        <v>0</v>
      </c>
      <c r="DF93" s="22" t="b">
        <f t="shared" ca="1" si="528"/>
        <v>0</v>
      </c>
      <c r="DG93" s="22" t="b">
        <f t="shared" ca="1" si="528"/>
        <v>0</v>
      </c>
      <c r="DH93" s="22" t="b">
        <f t="shared" ca="1" si="528"/>
        <v>0</v>
      </c>
      <c r="DI93" s="22" t="b">
        <f t="shared" ca="1" si="528"/>
        <v>0</v>
      </c>
      <c r="DJ93" s="22" t="b">
        <f t="shared" ca="1" si="523"/>
        <v>0</v>
      </c>
      <c r="DK93" s="22"/>
      <c r="DO93" s="15" t="str">
        <f t="shared" ca="1" si="529"/>
        <v/>
      </c>
      <c r="DP93" s="15" t="str">
        <f t="shared" ca="1" si="529"/>
        <v/>
      </c>
      <c r="DQ93" s="15" t="str">
        <f t="shared" ca="1" si="529"/>
        <v/>
      </c>
      <c r="DR93" s="15" t="str">
        <f t="shared" ca="1" si="529"/>
        <v/>
      </c>
      <c r="DS93" s="15" t="str">
        <f t="shared" ca="1" si="529"/>
        <v/>
      </c>
      <c r="DT93" s="15" t="str">
        <f t="shared" ca="1" si="529"/>
        <v/>
      </c>
      <c r="DU93" s="15" t="str">
        <f t="shared" ca="1" si="529"/>
        <v/>
      </c>
      <c r="DV93" s="15" t="str">
        <f t="shared" ca="1" si="529"/>
        <v/>
      </c>
    </row>
    <row r="94" spans="1:126">
      <c r="A94" s="15">
        <f t="shared" si="531"/>
        <v>82</v>
      </c>
      <c r="B94" s="15" t="str">
        <f t="shared" si="533"/>
        <v/>
      </c>
      <c r="D94" s="15" t="str">
        <f t="shared" si="535"/>
        <v/>
      </c>
      <c r="M94" s="19"/>
      <c r="T94" s="15" t="str">
        <f t="shared" ca="1" si="543"/>
        <v/>
      </c>
      <c r="U94" s="15" t="str">
        <f t="shared" si="532"/>
        <v/>
      </c>
      <c r="AD94" s="16" t="b">
        <f t="shared" si="544"/>
        <v>0</v>
      </c>
      <c r="AE94" s="16" t="b">
        <f t="shared" si="545"/>
        <v>0</v>
      </c>
      <c r="AF94" s="15" t="str">
        <f t="shared" si="546"/>
        <v/>
      </c>
      <c r="AG94" s="15" t="str">
        <f t="shared" ca="1" si="547"/>
        <v/>
      </c>
      <c r="AH94" s="15" t="str">
        <f t="shared" ca="1" si="548"/>
        <v/>
      </c>
      <c r="AI94" s="15" t="b">
        <f t="shared" ca="1" si="549"/>
        <v>0</v>
      </c>
      <c r="AJ94" s="15" t="str">
        <f t="shared" ca="1" si="536"/>
        <v/>
      </c>
      <c r="AK94" s="27" t="str">
        <f t="shared" ca="1" si="550"/>
        <v/>
      </c>
      <c r="AL94" s="15" t="b">
        <f t="shared" ca="1" si="551"/>
        <v>0</v>
      </c>
      <c r="AM94" s="15" t="str">
        <f t="shared" ca="1" si="552"/>
        <v/>
      </c>
      <c r="AN94" s="15">
        <f t="shared" ca="1" si="553"/>
        <v>3</v>
      </c>
      <c r="AO94" s="15" t="str">
        <f t="shared" ca="1" si="537"/>
        <v/>
      </c>
      <c r="AP94" s="15" t="str">
        <f t="shared" ca="1" si="554"/>
        <v/>
      </c>
      <c r="AQ94" s="27">
        <f t="shared" si="555"/>
        <v>4</v>
      </c>
      <c r="AR94" s="15" t="b">
        <f t="shared" si="556"/>
        <v>0</v>
      </c>
      <c r="AS94" s="27" t="b">
        <f t="shared" si="557"/>
        <v>0</v>
      </c>
      <c r="AT94" s="27" t="b">
        <f t="shared" si="558"/>
        <v>0</v>
      </c>
      <c r="AU94" s="27" t="str">
        <f t="shared" si="559"/>
        <v/>
      </c>
      <c r="AV94" s="16" t="b">
        <f t="shared" si="560"/>
        <v>0</v>
      </c>
      <c r="AW94" s="15" t="str">
        <f t="shared" ca="1" si="530"/>
        <v/>
      </c>
      <c r="AX94" s="27" t="b">
        <f t="shared" ca="1" si="561"/>
        <v>0</v>
      </c>
      <c r="AY94" s="27" t="b">
        <f t="shared" ca="1" si="562"/>
        <v>0</v>
      </c>
      <c r="AZ94" s="15" t="b">
        <f t="shared" ca="1" si="563"/>
        <v>0</v>
      </c>
      <c r="BA94" s="15" t="b">
        <f t="shared" ca="1" si="564"/>
        <v>0</v>
      </c>
      <c r="BB94" s="15" t="str">
        <f t="shared" si="565"/>
        <v/>
      </c>
      <c r="BC94" s="15" t="str">
        <f t="shared" ca="1" si="538"/>
        <v/>
      </c>
      <c r="BD94" s="15" t="b">
        <f t="shared" ca="1" si="566"/>
        <v>0</v>
      </c>
      <c r="BE94" s="15" t="b">
        <f t="shared" si="567"/>
        <v>0</v>
      </c>
      <c r="BF94" s="15" t="str">
        <f t="shared" ca="1" si="568"/>
        <v/>
      </c>
      <c r="BG94" s="15" t="str">
        <f t="shared" si="569"/>
        <v/>
      </c>
      <c r="BH94" s="15" t="str">
        <f t="array" aca="1" ref="BH94" ca="1">IF(IFERROR( S94,1),1,IF(BC94="","", SUM(IF(ISERROR(INDIRECT(BC94)),1,0))))</f>
        <v/>
      </c>
      <c r="BI94" s="15" t="b">
        <f t="shared" si="570"/>
        <v>0</v>
      </c>
      <c r="BJ94" s="15" t="b">
        <f t="shared" si="571"/>
        <v>0</v>
      </c>
      <c r="BK94" s="15" t="str">
        <f t="shared" si="572"/>
        <v/>
      </c>
      <c r="BL94" s="15">
        <f t="shared" si="573"/>
        <v>4</v>
      </c>
      <c r="BP94" s="15" t="b">
        <f t="shared" si="539"/>
        <v>0</v>
      </c>
      <c r="BQ94" s="15" t="b">
        <f t="shared" si="540"/>
        <v>0</v>
      </c>
      <c r="BR94" s="15" t="str">
        <f t="shared" si="574"/>
        <v/>
      </c>
      <c r="BS94" s="15">
        <f t="shared" si="541"/>
        <v>0</v>
      </c>
      <c r="BT94" s="15" t="str">
        <f t="shared" si="534"/>
        <v/>
      </c>
      <c r="BV94" s="15" t="b">
        <f t="shared" ca="1" si="575"/>
        <v>0</v>
      </c>
      <c r="BW94" s="15" t="b">
        <f t="shared" ca="1" si="576"/>
        <v>0</v>
      </c>
      <c r="BX94" s="15" t="b">
        <f t="shared" ca="1" si="542"/>
        <v>0</v>
      </c>
      <c r="BY94" s="15" t="b">
        <f t="shared" ca="1" si="577"/>
        <v>0</v>
      </c>
      <c r="BZ94" s="15" t="b">
        <f t="shared" si="578"/>
        <v>0</v>
      </c>
      <c r="CA94" s="15" t="b">
        <f t="shared" si="579"/>
        <v>0</v>
      </c>
      <c r="CB94" s="15" t="b">
        <f t="shared" ca="1" si="580"/>
        <v>0</v>
      </c>
      <c r="CC94" s="15" t="b">
        <f t="shared" si="525"/>
        <v>0</v>
      </c>
      <c r="CD94" s="15" t="b">
        <f t="shared" si="525"/>
        <v>0</v>
      </c>
      <c r="CE94" s="15" t="b">
        <f t="shared" ca="1" si="581"/>
        <v>0</v>
      </c>
      <c r="CF94" s="15" t="b">
        <f t="shared" si="582"/>
        <v>0</v>
      </c>
      <c r="CG94" s="15" t="b">
        <f t="shared" si="583"/>
        <v>0</v>
      </c>
      <c r="CH94" s="15" t="b">
        <f t="shared" si="584"/>
        <v>0</v>
      </c>
      <c r="CI94" s="15" t="b">
        <f t="shared" si="585"/>
        <v>0</v>
      </c>
      <c r="CJ94" s="15" t="b">
        <f t="shared" si="586"/>
        <v>0</v>
      </c>
      <c r="CK94" s="15" t="b">
        <f t="shared" ca="1" si="526"/>
        <v>0</v>
      </c>
      <c r="CL94" s="15" t="b">
        <f t="shared" ca="1" si="526"/>
        <v>0</v>
      </c>
      <c r="CM94" s="15" t="b">
        <f t="shared" ca="1" si="526"/>
        <v>0</v>
      </c>
      <c r="CN94" s="15" t="b">
        <f t="shared" ca="1" si="526"/>
        <v>0</v>
      </c>
      <c r="CO94" s="15" t="b">
        <f t="shared" ca="1" si="526"/>
        <v>0</v>
      </c>
      <c r="CP94" s="15" t="b">
        <f t="shared" ca="1" si="526"/>
        <v>0</v>
      </c>
      <c r="CQ94" s="15" t="b">
        <f t="shared" ca="1" si="526"/>
        <v>0</v>
      </c>
      <c r="CR94" s="21" t="b">
        <f t="shared" ca="1" si="526"/>
        <v>0</v>
      </c>
      <c r="CS94" s="22" t="b">
        <f t="shared" ca="1" si="527"/>
        <v>0</v>
      </c>
      <c r="CT94" s="22" t="b">
        <f t="shared" ca="1" si="527"/>
        <v>0</v>
      </c>
      <c r="CU94" s="22" t="b">
        <f t="shared" ca="1" si="527"/>
        <v>0</v>
      </c>
      <c r="CV94" s="22" t="b">
        <f t="shared" ca="1" si="527"/>
        <v>0</v>
      </c>
      <c r="CW94" s="22" t="b">
        <f t="shared" ca="1" si="527"/>
        <v>0</v>
      </c>
      <c r="CX94" s="22" t="b">
        <f t="shared" ca="1" si="527"/>
        <v>0</v>
      </c>
      <c r="CY94" s="22" t="b">
        <f t="shared" ca="1" si="527"/>
        <v>0</v>
      </c>
      <c r="CZ94" s="21" t="b">
        <f t="shared" ca="1" si="527"/>
        <v>0</v>
      </c>
      <c r="DB94" s="22" t="b">
        <f t="shared" ca="1" si="587"/>
        <v>0</v>
      </c>
      <c r="DC94" s="22" t="b">
        <f t="shared" ca="1" si="528"/>
        <v>0</v>
      </c>
      <c r="DD94" s="22" t="b">
        <f t="shared" ca="1" si="528"/>
        <v>0</v>
      </c>
      <c r="DE94" s="22" t="b">
        <f t="shared" ca="1" si="528"/>
        <v>0</v>
      </c>
      <c r="DF94" s="22" t="b">
        <f t="shared" ca="1" si="528"/>
        <v>0</v>
      </c>
      <c r="DG94" s="22" t="b">
        <f t="shared" ca="1" si="528"/>
        <v>0</v>
      </c>
      <c r="DH94" s="22" t="b">
        <f t="shared" ca="1" si="528"/>
        <v>0</v>
      </c>
      <c r="DI94" s="22" t="b">
        <f t="shared" ca="1" si="528"/>
        <v>0</v>
      </c>
      <c r="DJ94" s="22" t="b">
        <f t="shared" ca="1" si="523"/>
        <v>0</v>
      </c>
      <c r="DK94" s="22"/>
      <c r="DO94" s="15" t="str">
        <f t="shared" ca="1" si="529"/>
        <v/>
      </c>
      <c r="DP94" s="15" t="str">
        <f t="shared" ca="1" si="529"/>
        <v/>
      </c>
      <c r="DQ94" s="15" t="str">
        <f t="shared" ca="1" si="529"/>
        <v/>
      </c>
      <c r="DR94" s="15" t="str">
        <f t="shared" ca="1" si="529"/>
        <v/>
      </c>
      <c r="DS94" s="15" t="str">
        <f t="shared" ca="1" si="529"/>
        <v/>
      </c>
      <c r="DT94" s="15" t="str">
        <f t="shared" ca="1" si="529"/>
        <v/>
      </c>
      <c r="DU94" s="15" t="str">
        <f t="shared" ca="1" si="529"/>
        <v/>
      </c>
      <c r="DV94" s="15" t="str">
        <f t="shared" ca="1" si="529"/>
        <v/>
      </c>
    </row>
    <row r="95" spans="1:126">
      <c r="A95" s="15">
        <f t="shared" si="531"/>
        <v>83</v>
      </c>
      <c r="B95" s="15" t="str">
        <f t="shared" si="533"/>
        <v/>
      </c>
      <c r="D95" s="15" t="str">
        <f t="shared" si="535"/>
        <v/>
      </c>
      <c r="M95" s="19"/>
      <c r="T95" s="15" t="str">
        <f t="shared" ca="1" si="543"/>
        <v/>
      </c>
      <c r="U95" s="15" t="str">
        <f t="shared" si="532"/>
        <v/>
      </c>
      <c r="AD95" s="16" t="b">
        <f t="shared" si="544"/>
        <v>0</v>
      </c>
      <c r="AE95" s="16" t="b">
        <f t="shared" si="545"/>
        <v>0</v>
      </c>
      <c r="AF95" s="15" t="str">
        <f t="shared" si="546"/>
        <v/>
      </c>
      <c r="AG95" s="15" t="str">
        <f t="shared" ca="1" si="547"/>
        <v/>
      </c>
      <c r="AH95" s="15" t="str">
        <f t="shared" ca="1" si="548"/>
        <v/>
      </c>
      <c r="AI95" s="15" t="b">
        <f t="shared" ca="1" si="549"/>
        <v>0</v>
      </c>
      <c r="AJ95" s="15" t="str">
        <f t="shared" ca="1" si="536"/>
        <v/>
      </c>
      <c r="AK95" s="27" t="str">
        <f t="shared" ca="1" si="550"/>
        <v/>
      </c>
      <c r="AL95" s="15" t="b">
        <f t="shared" ca="1" si="551"/>
        <v>0</v>
      </c>
      <c r="AM95" s="15" t="str">
        <f t="shared" ca="1" si="552"/>
        <v/>
      </c>
      <c r="AN95" s="15">
        <f t="shared" ca="1" si="553"/>
        <v>3</v>
      </c>
      <c r="AO95" s="15" t="str">
        <f t="shared" ca="1" si="537"/>
        <v/>
      </c>
      <c r="AP95" s="15" t="str">
        <f t="shared" ca="1" si="554"/>
        <v/>
      </c>
      <c r="AQ95" s="27">
        <f t="shared" si="555"/>
        <v>4</v>
      </c>
      <c r="AR95" s="15" t="b">
        <f t="shared" si="556"/>
        <v>0</v>
      </c>
      <c r="AS95" s="27" t="b">
        <f t="shared" si="557"/>
        <v>0</v>
      </c>
      <c r="AT95" s="27" t="b">
        <f t="shared" si="558"/>
        <v>0</v>
      </c>
      <c r="AU95" s="27" t="str">
        <f t="shared" si="559"/>
        <v/>
      </c>
      <c r="AV95" s="16" t="b">
        <f t="shared" si="560"/>
        <v>0</v>
      </c>
      <c r="AW95" s="15" t="str">
        <f t="shared" ca="1" si="530"/>
        <v/>
      </c>
      <c r="AX95" s="27" t="b">
        <f t="shared" ca="1" si="561"/>
        <v>0</v>
      </c>
      <c r="AY95" s="27" t="b">
        <f t="shared" ca="1" si="562"/>
        <v>0</v>
      </c>
      <c r="AZ95" s="15" t="b">
        <f t="shared" ca="1" si="563"/>
        <v>0</v>
      </c>
      <c r="BA95" s="15" t="b">
        <f t="shared" ca="1" si="564"/>
        <v>0</v>
      </c>
      <c r="BB95" s="15" t="str">
        <f t="shared" si="565"/>
        <v/>
      </c>
      <c r="BC95" s="15" t="str">
        <f t="shared" ca="1" si="538"/>
        <v/>
      </c>
      <c r="BD95" s="15" t="b">
        <f t="shared" ca="1" si="566"/>
        <v>0</v>
      </c>
      <c r="BE95" s="15" t="b">
        <f t="shared" si="567"/>
        <v>0</v>
      </c>
      <c r="BF95" s="15" t="str">
        <f t="shared" ca="1" si="568"/>
        <v/>
      </c>
      <c r="BG95" s="15" t="str">
        <f t="shared" si="569"/>
        <v/>
      </c>
      <c r="BH95" s="15" t="str">
        <f t="array" aca="1" ref="BH95" ca="1">IF(IFERROR( S95,1),1,IF(BC95="","", SUM(IF(ISERROR(INDIRECT(BC95)),1,0))))</f>
        <v/>
      </c>
      <c r="BI95" s="15" t="b">
        <f t="shared" si="570"/>
        <v>0</v>
      </c>
      <c r="BJ95" s="15" t="b">
        <f t="shared" si="571"/>
        <v>0</v>
      </c>
      <c r="BK95" s="15" t="str">
        <f t="shared" si="572"/>
        <v/>
      </c>
      <c r="BL95" s="15">
        <f t="shared" si="573"/>
        <v>4</v>
      </c>
      <c r="BP95" s="15" t="b">
        <f t="shared" si="539"/>
        <v>0</v>
      </c>
      <c r="BQ95" s="15" t="b">
        <f t="shared" si="540"/>
        <v>0</v>
      </c>
      <c r="BR95" s="15" t="str">
        <f t="shared" si="574"/>
        <v/>
      </c>
      <c r="BS95" s="15">
        <f t="shared" si="541"/>
        <v>0</v>
      </c>
      <c r="BT95" s="15" t="str">
        <f t="shared" si="534"/>
        <v/>
      </c>
      <c r="BV95" s="15" t="b">
        <f t="shared" ca="1" si="575"/>
        <v>0</v>
      </c>
      <c r="BW95" s="15" t="b">
        <f t="shared" ca="1" si="576"/>
        <v>0</v>
      </c>
      <c r="BX95" s="15" t="b">
        <f t="shared" ca="1" si="542"/>
        <v>0</v>
      </c>
      <c r="BY95" s="15" t="b">
        <f t="shared" ca="1" si="577"/>
        <v>0</v>
      </c>
      <c r="BZ95" s="15" t="b">
        <f t="shared" si="578"/>
        <v>0</v>
      </c>
      <c r="CA95" s="15" t="b">
        <f t="shared" si="579"/>
        <v>0</v>
      </c>
      <c r="CB95" s="15" t="b">
        <f t="shared" ca="1" si="580"/>
        <v>0</v>
      </c>
      <c r="CC95" s="15" t="b">
        <f t="shared" si="525"/>
        <v>0</v>
      </c>
      <c r="CD95" s="15" t="b">
        <f t="shared" si="525"/>
        <v>0</v>
      </c>
      <c r="CE95" s="15" t="b">
        <f t="shared" ca="1" si="581"/>
        <v>0</v>
      </c>
      <c r="CF95" s="15" t="b">
        <f t="shared" si="582"/>
        <v>0</v>
      </c>
      <c r="CG95" s="15" t="b">
        <f t="shared" si="583"/>
        <v>0</v>
      </c>
      <c r="CH95" s="15" t="b">
        <f t="shared" si="584"/>
        <v>0</v>
      </c>
      <c r="CI95" s="15" t="b">
        <f t="shared" si="585"/>
        <v>0</v>
      </c>
      <c r="CJ95" s="15" t="b">
        <f t="shared" si="586"/>
        <v>0</v>
      </c>
      <c r="CK95" s="15" t="b">
        <f t="shared" ca="1" si="526"/>
        <v>0</v>
      </c>
      <c r="CL95" s="15" t="b">
        <f t="shared" ca="1" si="526"/>
        <v>0</v>
      </c>
      <c r="CM95" s="15" t="b">
        <f t="shared" ca="1" si="526"/>
        <v>0</v>
      </c>
      <c r="CN95" s="15" t="b">
        <f t="shared" ca="1" si="526"/>
        <v>0</v>
      </c>
      <c r="CO95" s="15" t="b">
        <f t="shared" ca="1" si="526"/>
        <v>0</v>
      </c>
      <c r="CP95" s="15" t="b">
        <f t="shared" ca="1" si="526"/>
        <v>0</v>
      </c>
      <c r="CQ95" s="15" t="b">
        <f t="shared" ca="1" si="526"/>
        <v>0</v>
      </c>
      <c r="CR95" s="21" t="b">
        <f t="shared" ca="1" si="526"/>
        <v>0</v>
      </c>
      <c r="CS95" s="22" t="b">
        <f t="shared" ca="1" si="527"/>
        <v>0</v>
      </c>
      <c r="CT95" s="22" t="b">
        <f t="shared" ca="1" si="527"/>
        <v>0</v>
      </c>
      <c r="CU95" s="22" t="b">
        <f t="shared" ca="1" si="527"/>
        <v>0</v>
      </c>
      <c r="CV95" s="22" t="b">
        <f t="shared" ca="1" si="527"/>
        <v>0</v>
      </c>
      <c r="CW95" s="22" t="b">
        <f t="shared" ca="1" si="527"/>
        <v>0</v>
      </c>
      <c r="CX95" s="22" t="b">
        <f t="shared" ca="1" si="527"/>
        <v>0</v>
      </c>
      <c r="CY95" s="22" t="b">
        <f t="shared" ca="1" si="527"/>
        <v>0</v>
      </c>
      <c r="CZ95" s="21" t="b">
        <f t="shared" ca="1" si="527"/>
        <v>0</v>
      </c>
      <c r="DB95" s="22" t="b">
        <f t="shared" ca="1" si="587"/>
        <v>0</v>
      </c>
      <c r="DC95" s="22" t="b">
        <f t="shared" ca="1" si="528"/>
        <v>0</v>
      </c>
      <c r="DD95" s="22" t="b">
        <f t="shared" ca="1" si="528"/>
        <v>0</v>
      </c>
      <c r="DE95" s="22" t="b">
        <f t="shared" ca="1" si="528"/>
        <v>0</v>
      </c>
      <c r="DF95" s="22" t="b">
        <f t="shared" ca="1" si="528"/>
        <v>0</v>
      </c>
      <c r="DG95" s="22" t="b">
        <f t="shared" ca="1" si="528"/>
        <v>0</v>
      </c>
      <c r="DH95" s="22" t="b">
        <f t="shared" ca="1" si="528"/>
        <v>0</v>
      </c>
      <c r="DI95" s="22" t="b">
        <f t="shared" ca="1" si="528"/>
        <v>0</v>
      </c>
      <c r="DJ95" s="22" t="b">
        <f t="shared" ca="1" si="523"/>
        <v>0</v>
      </c>
      <c r="DK95" s="22"/>
      <c r="DO95" s="15" t="str">
        <f t="shared" ca="1" si="529"/>
        <v/>
      </c>
      <c r="DP95" s="15" t="str">
        <f t="shared" ca="1" si="529"/>
        <v/>
      </c>
      <c r="DQ95" s="15" t="str">
        <f t="shared" ca="1" si="529"/>
        <v/>
      </c>
      <c r="DR95" s="15" t="str">
        <f t="shared" ca="1" si="529"/>
        <v/>
      </c>
      <c r="DS95" s="15" t="str">
        <f t="shared" ca="1" si="529"/>
        <v/>
      </c>
      <c r="DT95" s="15" t="str">
        <f t="shared" ca="1" si="529"/>
        <v/>
      </c>
      <c r="DU95" s="15" t="str">
        <f t="shared" ca="1" si="529"/>
        <v/>
      </c>
      <c r="DV95" s="15" t="str">
        <f t="shared" ca="1" si="529"/>
        <v/>
      </c>
    </row>
    <row r="96" spans="1:126">
      <c r="A96" s="15">
        <f t="shared" si="531"/>
        <v>84</v>
      </c>
      <c r="B96" s="15" t="str">
        <f t="shared" si="533"/>
        <v/>
      </c>
      <c r="D96" s="15" t="str">
        <f t="shared" si="535"/>
        <v/>
      </c>
      <c r="M96" s="19"/>
      <c r="T96" s="15" t="str">
        <f t="shared" ca="1" si="543"/>
        <v/>
      </c>
      <c r="U96" s="15" t="str">
        <f t="shared" si="532"/>
        <v/>
      </c>
      <c r="AD96" s="16" t="b">
        <f t="shared" si="544"/>
        <v>0</v>
      </c>
      <c r="AE96" s="16" t="b">
        <f t="shared" si="545"/>
        <v>0</v>
      </c>
      <c r="AF96" s="15" t="str">
        <f t="shared" si="546"/>
        <v/>
      </c>
      <c r="AG96" s="15" t="str">
        <f t="shared" ca="1" si="547"/>
        <v/>
      </c>
      <c r="AH96" s="15" t="str">
        <f t="shared" ca="1" si="548"/>
        <v/>
      </c>
      <c r="AI96" s="15" t="b">
        <f t="shared" ca="1" si="549"/>
        <v>0</v>
      </c>
      <c r="AJ96" s="15" t="str">
        <f t="shared" ca="1" si="536"/>
        <v/>
      </c>
      <c r="AK96" s="27" t="str">
        <f t="shared" ca="1" si="550"/>
        <v/>
      </c>
      <c r="AL96" s="15" t="b">
        <f t="shared" ca="1" si="551"/>
        <v>0</v>
      </c>
      <c r="AM96" s="15" t="str">
        <f t="shared" ca="1" si="552"/>
        <v/>
      </c>
      <c r="AN96" s="15">
        <f t="shared" ca="1" si="553"/>
        <v>3</v>
      </c>
      <c r="AO96" s="15" t="str">
        <f t="shared" ca="1" si="537"/>
        <v/>
      </c>
      <c r="AP96" s="15" t="str">
        <f t="shared" ca="1" si="554"/>
        <v/>
      </c>
      <c r="AQ96" s="27">
        <f t="shared" si="555"/>
        <v>4</v>
      </c>
      <c r="AR96" s="15" t="b">
        <f t="shared" si="556"/>
        <v>0</v>
      </c>
      <c r="AS96" s="27" t="b">
        <f t="shared" si="557"/>
        <v>0</v>
      </c>
      <c r="AT96" s="27" t="b">
        <f t="shared" si="558"/>
        <v>0</v>
      </c>
      <c r="AU96" s="27" t="str">
        <f t="shared" si="559"/>
        <v/>
      </c>
      <c r="AV96" s="16" t="b">
        <f t="shared" si="560"/>
        <v>0</v>
      </c>
      <c r="AW96" s="15" t="str">
        <f t="shared" ca="1" si="530"/>
        <v/>
      </c>
      <c r="AX96" s="27" t="b">
        <f t="shared" ca="1" si="561"/>
        <v>0</v>
      </c>
      <c r="AY96" s="27" t="b">
        <f t="shared" ca="1" si="562"/>
        <v>0</v>
      </c>
      <c r="AZ96" s="15" t="b">
        <f t="shared" ca="1" si="563"/>
        <v>0</v>
      </c>
      <c r="BA96" s="15" t="b">
        <f t="shared" ca="1" si="564"/>
        <v>0</v>
      </c>
      <c r="BB96" s="15" t="str">
        <f t="shared" si="565"/>
        <v/>
      </c>
      <c r="BC96" s="15" t="str">
        <f t="shared" ca="1" si="538"/>
        <v/>
      </c>
      <c r="BD96" s="15" t="b">
        <f t="shared" ca="1" si="566"/>
        <v>0</v>
      </c>
      <c r="BE96" s="15" t="b">
        <f t="shared" si="567"/>
        <v>0</v>
      </c>
      <c r="BF96" s="15" t="str">
        <f t="shared" ca="1" si="568"/>
        <v/>
      </c>
      <c r="BG96" s="15" t="str">
        <f t="shared" si="569"/>
        <v/>
      </c>
      <c r="BH96" s="15" t="str">
        <f t="array" aca="1" ref="BH96" ca="1">IF(IFERROR( S96,1),1,IF(BC96="","", SUM(IF(ISERROR(INDIRECT(BC96)),1,0))))</f>
        <v/>
      </c>
      <c r="BI96" s="15" t="b">
        <f t="shared" si="570"/>
        <v>0</v>
      </c>
      <c r="BJ96" s="15" t="b">
        <f t="shared" si="571"/>
        <v>0</v>
      </c>
      <c r="BK96" s="15" t="str">
        <f t="shared" si="572"/>
        <v/>
      </c>
      <c r="BL96" s="15">
        <f t="shared" si="573"/>
        <v>4</v>
      </c>
      <c r="BP96" s="15" t="b">
        <f t="shared" si="539"/>
        <v>0</v>
      </c>
      <c r="BQ96" s="15" t="b">
        <f t="shared" si="540"/>
        <v>0</v>
      </c>
      <c r="BR96" s="15" t="str">
        <f t="shared" si="574"/>
        <v/>
      </c>
      <c r="BS96" s="15">
        <f t="shared" si="541"/>
        <v>0</v>
      </c>
      <c r="BT96" s="15" t="str">
        <f t="shared" si="534"/>
        <v/>
      </c>
      <c r="BV96" s="15" t="b">
        <f t="shared" ca="1" si="575"/>
        <v>0</v>
      </c>
      <c r="BW96" s="15" t="b">
        <f t="shared" ca="1" si="576"/>
        <v>0</v>
      </c>
      <c r="BX96" s="15" t="b">
        <f t="shared" ca="1" si="542"/>
        <v>0</v>
      </c>
      <c r="BY96" s="15" t="b">
        <f t="shared" ca="1" si="577"/>
        <v>0</v>
      </c>
      <c r="BZ96" s="15" t="b">
        <f t="shared" si="578"/>
        <v>0</v>
      </c>
      <c r="CA96" s="15" t="b">
        <f t="shared" si="579"/>
        <v>0</v>
      </c>
      <c r="CB96" s="15" t="b">
        <f t="shared" ca="1" si="580"/>
        <v>0</v>
      </c>
      <c r="CC96" s="15" t="b">
        <f t="shared" si="525"/>
        <v>0</v>
      </c>
      <c r="CD96" s="15" t="b">
        <f t="shared" si="525"/>
        <v>0</v>
      </c>
      <c r="CE96" s="15" t="b">
        <f t="shared" ca="1" si="581"/>
        <v>0</v>
      </c>
      <c r="CF96" s="15" t="b">
        <f t="shared" si="582"/>
        <v>0</v>
      </c>
      <c r="CG96" s="15" t="b">
        <f t="shared" si="583"/>
        <v>0</v>
      </c>
      <c r="CH96" s="15" t="b">
        <f t="shared" si="584"/>
        <v>0</v>
      </c>
      <c r="CI96" s="15" t="b">
        <f t="shared" si="585"/>
        <v>0</v>
      </c>
      <c r="CJ96" s="15" t="b">
        <f t="shared" si="586"/>
        <v>0</v>
      </c>
      <c r="CK96" s="15" t="b">
        <f t="shared" ca="1" si="526"/>
        <v>0</v>
      </c>
      <c r="CL96" s="15" t="b">
        <f t="shared" ca="1" si="526"/>
        <v>0</v>
      </c>
      <c r="CM96" s="15" t="b">
        <f t="shared" ca="1" si="526"/>
        <v>0</v>
      </c>
      <c r="CN96" s="15" t="b">
        <f t="shared" ca="1" si="526"/>
        <v>0</v>
      </c>
      <c r="CO96" s="15" t="b">
        <f t="shared" ca="1" si="526"/>
        <v>0</v>
      </c>
      <c r="CP96" s="15" t="b">
        <f t="shared" ca="1" si="526"/>
        <v>0</v>
      </c>
      <c r="CQ96" s="15" t="b">
        <f t="shared" ca="1" si="526"/>
        <v>0</v>
      </c>
      <c r="CR96" s="21" t="b">
        <f t="shared" ca="1" si="526"/>
        <v>0</v>
      </c>
      <c r="CS96" s="22" t="b">
        <f t="shared" ca="1" si="527"/>
        <v>0</v>
      </c>
      <c r="CT96" s="22" t="b">
        <f t="shared" ca="1" si="527"/>
        <v>0</v>
      </c>
      <c r="CU96" s="22" t="b">
        <f t="shared" ca="1" si="527"/>
        <v>0</v>
      </c>
      <c r="CV96" s="22" t="b">
        <f t="shared" ca="1" si="527"/>
        <v>0</v>
      </c>
      <c r="CW96" s="22" t="b">
        <f t="shared" ca="1" si="527"/>
        <v>0</v>
      </c>
      <c r="CX96" s="22" t="b">
        <f t="shared" ca="1" si="527"/>
        <v>0</v>
      </c>
      <c r="CY96" s="22" t="b">
        <f t="shared" ca="1" si="527"/>
        <v>0</v>
      </c>
      <c r="CZ96" s="21" t="b">
        <f t="shared" ca="1" si="527"/>
        <v>0</v>
      </c>
      <c r="DB96" s="22" t="b">
        <f t="shared" ca="1" si="587"/>
        <v>0</v>
      </c>
      <c r="DC96" s="22" t="b">
        <f t="shared" ca="1" si="528"/>
        <v>0</v>
      </c>
      <c r="DD96" s="22" t="b">
        <f t="shared" ca="1" si="528"/>
        <v>0</v>
      </c>
      <c r="DE96" s="22" t="b">
        <f t="shared" ca="1" si="528"/>
        <v>0</v>
      </c>
      <c r="DF96" s="22" t="b">
        <f t="shared" ca="1" si="528"/>
        <v>0</v>
      </c>
      <c r="DG96" s="22" t="b">
        <f t="shared" ca="1" si="528"/>
        <v>0</v>
      </c>
      <c r="DH96" s="22" t="b">
        <f t="shared" ca="1" si="528"/>
        <v>0</v>
      </c>
      <c r="DI96" s="22" t="b">
        <f t="shared" ca="1" si="528"/>
        <v>0</v>
      </c>
      <c r="DJ96" s="22" t="b">
        <f t="shared" ca="1" si="523"/>
        <v>0</v>
      </c>
      <c r="DK96" s="22"/>
      <c r="DO96" s="15" t="str">
        <f t="shared" ca="1" si="529"/>
        <v/>
      </c>
      <c r="DP96" s="15" t="str">
        <f t="shared" ca="1" si="529"/>
        <v/>
      </c>
      <c r="DQ96" s="15" t="str">
        <f t="shared" ca="1" si="529"/>
        <v/>
      </c>
      <c r="DR96" s="15" t="str">
        <f t="shared" ca="1" si="529"/>
        <v/>
      </c>
      <c r="DS96" s="15" t="str">
        <f t="shared" ca="1" si="529"/>
        <v/>
      </c>
      <c r="DT96" s="15" t="str">
        <f t="shared" ca="1" si="529"/>
        <v/>
      </c>
      <c r="DU96" s="15" t="str">
        <f t="shared" ca="1" si="529"/>
        <v/>
      </c>
      <c r="DV96" s="15" t="str">
        <f t="shared" ca="1" si="529"/>
        <v/>
      </c>
    </row>
    <row r="97" spans="1:126">
      <c r="A97" s="15">
        <f t="shared" si="531"/>
        <v>85</v>
      </c>
      <c r="B97" s="15" t="str">
        <f t="shared" si="533"/>
        <v/>
      </c>
      <c r="D97" s="15" t="str">
        <f t="shared" si="535"/>
        <v/>
      </c>
      <c r="M97" s="19"/>
      <c r="T97" s="15" t="str">
        <f t="shared" ca="1" si="543"/>
        <v/>
      </c>
      <c r="U97" s="15" t="str">
        <f t="shared" si="532"/>
        <v/>
      </c>
      <c r="AD97" s="16" t="b">
        <f t="shared" si="544"/>
        <v>0</v>
      </c>
      <c r="AE97" s="16" t="b">
        <f t="shared" si="545"/>
        <v>0</v>
      </c>
      <c r="AF97" s="15" t="str">
        <f t="shared" si="546"/>
        <v/>
      </c>
      <c r="AG97" s="15" t="str">
        <f t="shared" ca="1" si="547"/>
        <v/>
      </c>
      <c r="AH97" s="15" t="str">
        <f t="shared" ca="1" si="548"/>
        <v/>
      </c>
      <c r="AI97" s="15" t="b">
        <f t="shared" ca="1" si="549"/>
        <v>0</v>
      </c>
      <c r="AJ97" s="15" t="str">
        <f t="shared" ca="1" si="536"/>
        <v/>
      </c>
      <c r="AK97" s="27" t="str">
        <f t="shared" ca="1" si="550"/>
        <v/>
      </c>
      <c r="AL97" s="15" t="b">
        <f t="shared" ca="1" si="551"/>
        <v>0</v>
      </c>
      <c r="AM97" s="15" t="str">
        <f t="shared" ca="1" si="552"/>
        <v/>
      </c>
      <c r="AN97" s="15">
        <f t="shared" ca="1" si="553"/>
        <v>3</v>
      </c>
      <c r="AO97" s="15" t="str">
        <f t="shared" ca="1" si="537"/>
        <v/>
      </c>
      <c r="AP97" s="15" t="str">
        <f t="shared" ca="1" si="554"/>
        <v/>
      </c>
      <c r="AQ97" s="27">
        <f t="shared" si="555"/>
        <v>4</v>
      </c>
      <c r="AR97" s="15" t="b">
        <f t="shared" si="556"/>
        <v>0</v>
      </c>
      <c r="AS97" s="27" t="b">
        <f t="shared" si="557"/>
        <v>0</v>
      </c>
      <c r="AT97" s="27" t="b">
        <f t="shared" si="558"/>
        <v>0</v>
      </c>
      <c r="AU97" s="27" t="str">
        <f t="shared" si="559"/>
        <v/>
      </c>
      <c r="AV97" s="16" t="b">
        <f t="shared" si="560"/>
        <v>0</v>
      </c>
      <c r="AW97" s="15" t="str">
        <f t="shared" ca="1" si="530"/>
        <v/>
      </c>
      <c r="AX97" s="27" t="b">
        <f t="shared" ca="1" si="561"/>
        <v>0</v>
      </c>
      <c r="AY97" s="27" t="b">
        <f t="shared" ca="1" si="562"/>
        <v>0</v>
      </c>
      <c r="AZ97" s="15" t="b">
        <f t="shared" ca="1" si="563"/>
        <v>0</v>
      </c>
      <c r="BA97" s="15" t="b">
        <f t="shared" ca="1" si="564"/>
        <v>0</v>
      </c>
      <c r="BB97" s="15" t="str">
        <f t="shared" si="565"/>
        <v/>
      </c>
      <c r="BC97" s="15" t="str">
        <f t="shared" ca="1" si="538"/>
        <v/>
      </c>
      <c r="BD97" s="15" t="b">
        <f t="shared" ca="1" si="566"/>
        <v>0</v>
      </c>
      <c r="BE97" s="15" t="b">
        <f t="shared" si="567"/>
        <v>0</v>
      </c>
      <c r="BF97" s="15" t="str">
        <f t="shared" ca="1" si="568"/>
        <v/>
      </c>
      <c r="BG97" s="15" t="str">
        <f t="shared" si="569"/>
        <v/>
      </c>
      <c r="BH97" s="15" t="str">
        <f t="array" aca="1" ref="BH97" ca="1">IF(IFERROR( S97,1),1,IF(BC97="","", SUM(IF(ISERROR(INDIRECT(BC97)),1,0))))</f>
        <v/>
      </c>
      <c r="BI97" s="15" t="b">
        <f t="shared" si="570"/>
        <v>0</v>
      </c>
      <c r="BJ97" s="15" t="b">
        <f t="shared" si="571"/>
        <v>0</v>
      </c>
      <c r="BK97" s="15" t="str">
        <f t="shared" si="572"/>
        <v/>
      </c>
      <c r="BL97" s="15">
        <f t="shared" si="573"/>
        <v>4</v>
      </c>
      <c r="BP97" s="15" t="b">
        <f t="shared" si="539"/>
        <v>0</v>
      </c>
      <c r="BQ97" s="15" t="b">
        <f t="shared" si="540"/>
        <v>0</v>
      </c>
      <c r="BR97" s="15" t="str">
        <f t="shared" si="574"/>
        <v/>
      </c>
      <c r="BS97" s="15">
        <f t="shared" si="541"/>
        <v>0</v>
      </c>
      <c r="BT97" s="15" t="str">
        <f t="shared" si="534"/>
        <v/>
      </c>
      <c r="BV97" s="15" t="b">
        <f t="shared" ca="1" si="575"/>
        <v>0</v>
      </c>
      <c r="BW97" s="15" t="b">
        <f t="shared" ca="1" si="576"/>
        <v>0</v>
      </c>
      <c r="BX97" s="15" t="b">
        <f t="shared" ca="1" si="542"/>
        <v>0</v>
      </c>
      <c r="BY97" s="15" t="b">
        <f t="shared" ca="1" si="577"/>
        <v>0</v>
      </c>
      <c r="BZ97" s="15" t="b">
        <f t="shared" si="578"/>
        <v>0</v>
      </c>
      <c r="CA97" s="15" t="b">
        <f t="shared" si="579"/>
        <v>0</v>
      </c>
      <c r="CB97" s="15" t="b">
        <f t="shared" ca="1" si="580"/>
        <v>0</v>
      </c>
      <c r="CC97" s="15" t="b">
        <f t="shared" si="525"/>
        <v>0</v>
      </c>
      <c r="CD97" s="15" t="b">
        <f t="shared" si="525"/>
        <v>0</v>
      </c>
      <c r="CE97" s="15" t="b">
        <f t="shared" ca="1" si="581"/>
        <v>0</v>
      </c>
      <c r="CF97" s="15" t="b">
        <f t="shared" si="582"/>
        <v>0</v>
      </c>
      <c r="CG97" s="15" t="b">
        <f t="shared" si="583"/>
        <v>0</v>
      </c>
      <c r="CH97" s="15" t="b">
        <f t="shared" si="584"/>
        <v>0</v>
      </c>
      <c r="CI97" s="15" t="b">
        <f t="shared" si="585"/>
        <v>0</v>
      </c>
      <c r="CJ97" s="15" t="b">
        <f t="shared" si="586"/>
        <v>0</v>
      </c>
      <c r="CK97" s="15" t="b">
        <f t="shared" ca="1" si="526"/>
        <v>0</v>
      </c>
      <c r="CL97" s="15" t="b">
        <f t="shared" ca="1" si="526"/>
        <v>0</v>
      </c>
      <c r="CM97" s="15" t="b">
        <f t="shared" ca="1" si="526"/>
        <v>0</v>
      </c>
      <c r="CN97" s="15" t="b">
        <f t="shared" ca="1" si="526"/>
        <v>0</v>
      </c>
      <c r="CO97" s="15" t="b">
        <f t="shared" ca="1" si="526"/>
        <v>0</v>
      </c>
      <c r="CP97" s="15" t="b">
        <f t="shared" ca="1" si="526"/>
        <v>0</v>
      </c>
      <c r="CQ97" s="15" t="b">
        <f t="shared" ca="1" si="526"/>
        <v>0</v>
      </c>
      <c r="CR97" s="21" t="b">
        <f t="shared" ca="1" si="526"/>
        <v>0</v>
      </c>
      <c r="CS97" s="22" t="b">
        <f t="shared" ca="1" si="527"/>
        <v>0</v>
      </c>
      <c r="CT97" s="22" t="b">
        <f t="shared" ca="1" si="527"/>
        <v>0</v>
      </c>
      <c r="CU97" s="22" t="b">
        <f t="shared" ca="1" si="527"/>
        <v>0</v>
      </c>
      <c r="CV97" s="22" t="b">
        <f t="shared" ca="1" si="527"/>
        <v>0</v>
      </c>
      <c r="CW97" s="22" t="b">
        <f t="shared" ca="1" si="527"/>
        <v>0</v>
      </c>
      <c r="CX97" s="22" t="b">
        <f t="shared" ca="1" si="527"/>
        <v>0</v>
      </c>
      <c r="CY97" s="22" t="b">
        <f t="shared" ca="1" si="527"/>
        <v>0</v>
      </c>
      <c r="CZ97" s="21" t="b">
        <f t="shared" ca="1" si="527"/>
        <v>0</v>
      </c>
      <c r="DB97" s="22" t="b">
        <f t="shared" ca="1" si="587"/>
        <v>0</v>
      </c>
      <c r="DC97" s="22" t="b">
        <f t="shared" ca="1" si="528"/>
        <v>0</v>
      </c>
      <c r="DD97" s="22" t="b">
        <f t="shared" ca="1" si="528"/>
        <v>0</v>
      </c>
      <c r="DE97" s="22" t="b">
        <f t="shared" ca="1" si="528"/>
        <v>0</v>
      </c>
      <c r="DF97" s="22" t="b">
        <f t="shared" ca="1" si="528"/>
        <v>0</v>
      </c>
      <c r="DG97" s="22" t="b">
        <f t="shared" ca="1" si="528"/>
        <v>0</v>
      </c>
      <c r="DH97" s="22" t="b">
        <f t="shared" ca="1" si="528"/>
        <v>0</v>
      </c>
      <c r="DI97" s="22" t="b">
        <f t="shared" ca="1" si="528"/>
        <v>0</v>
      </c>
      <c r="DJ97" s="22" t="b">
        <f t="shared" ca="1" si="523"/>
        <v>0</v>
      </c>
      <c r="DK97" s="22"/>
      <c r="DO97" s="15" t="str">
        <f t="shared" ca="1" si="529"/>
        <v/>
      </c>
      <c r="DP97" s="15" t="str">
        <f t="shared" ca="1" si="529"/>
        <v/>
      </c>
      <c r="DQ97" s="15" t="str">
        <f t="shared" ca="1" si="529"/>
        <v/>
      </c>
      <c r="DR97" s="15" t="str">
        <f t="shared" ca="1" si="529"/>
        <v/>
      </c>
      <c r="DS97" s="15" t="str">
        <f t="shared" ca="1" si="529"/>
        <v/>
      </c>
      <c r="DT97" s="15" t="str">
        <f t="shared" ca="1" si="529"/>
        <v/>
      </c>
      <c r="DU97" s="15" t="str">
        <f t="shared" ca="1" si="529"/>
        <v/>
      </c>
      <c r="DV97" s="15" t="str">
        <f t="shared" ca="1" si="529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88" priority="51" stopIfTrue="1">
      <formula>(H13&lt;&gt;"")*(I13="")</formula>
    </cfRule>
  </conditionalFormatting>
  <conditionalFormatting sqref="D13:D171">
    <cfRule type="expression" dxfId="87" priority="50">
      <formula>($A13&lt;=$C$2)</formula>
    </cfRule>
  </conditionalFormatting>
  <conditionalFormatting sqref="W13:AC171">
    <cfRule type="expression" dxfId="86" priority="49">
      <formula>$AD13*(V13&lt;&gt;"")</formula>
    </cfRule>
  </conditionalFormatting>
  <conditionalFormatting sqref="H13:H171">
    <cfRule type="expression" dxfId="85" priority="46" stopIfTrue="1">
      <formula>$BX13</formula>
    </cfRule>
  </conditionalFormatting>
  <conditionalFormatting sqref="D13:F171">
    <cfRule type="expression" dxfId="84" priority="45" stopIfTrue="1">
      <formula>$BW13</formula>
    </cfRule>
  </conditionalFormatting>
  <conditionalFormatting sqref="A13:B171">
    <cfRule type="expression" dxfId="83" priority="44" stopIfTrue="1">
      <formula>$BS13&gt;0</formula>
    </cfRule>
  </conditionalFormatting>
  <conditionalFormatting sqref="L2:S2">
    <cfRule type="expression" dxfId="82" priority="43">
      <formula>NOT($O$2)</formula>
    </cfRule>
  </conditionalFormatting>
  <conditionalFormatting sqref="H13:L171">
    <cfRule type="expression" dxfId="81" priority="42" stopIfTrue="1">
      <formula>$CA13*(H13&lt;&gt;"")</formula>
    </cfRule>
  </conditionalFormatting>
  <conditionalFormatting sqref="H13:J171">
    <cfRule type="expression" dxfId="80" priority="41" stopIfTrue="1">
      <formula>$AQ13=4</formula>
    </cfRule>
  </conditionalFormatting>
  <conditionalFormatting sqref="E13:F171">
    <cfRule type="expression" dxfId="79" priority="32">
      <formula>$AD13*($AQ13=1)</formula>
    </cfRule>
  </conditionalFormatting>
  <conditionalFormatting sqref="R13:R171">
    <cfRule type="expression" dxfId="78" priority="29" stopIfTrue="1">
      <formula>$CD13</formula>
    </cfRule>
  </conditionalFormatting>
  <conditionalFormatting sqref="S13:S171">
    <cfRule type="expression" dxfId="77" priority="28" stopIfTrue="1">
      <formula>$CF13</formula>
    </cfRule>
  </conditionalFormatting>
  <conditionalFormatting sqref="B13:B171">
    <cfRule type="expression" dxfId="76" priority="21">
      <formula>($BS13=0)*$AD13</formula>
    </cfRule>
  </conditionalFormatting>
  <conditionalFormatting sqref="N13:O171">
    <cfRule type="expression" dxfId="75" priority="8">
      <formula>($AQ13=1)*NOT($BI13)</formula>
    </cfRule>
  </conditionalFormatting>
  <conditionalFormatting sqref="N13:N171">
    <cfRule type="expression" dxfId="74" priority="7" stopIfTrue="1">
      <formula>($AQ13=1)*$BI13*($P13=1)</formula>
    </cfRule>
  </conditionalFormatting>
  <conditionalFormatting sqref="O13:O171">
    <cfRule type="expression" dxfId="73" priority="6" stopIfTrue="1">
      <formula>($AQ13=1)*$BI13*($P13=2)</formula>
    </cfRule>
  </conditionalFormatting>
  <conditionalFormatting sqref="L2:L3">
    <cfRule type="expression" dxfId="72" priority="5">
      <formula>ISERROR(INDIRECT($L$2))</formula>
    </cfRule>
  </conditionalFormatting>
  <conditionalFormatting sqref="T13:T171">
    <cfRule type="expression" dxfId="71" priority="4">
      <formula>ISERROR(INDIRECT(T13))*(BS13=0)*AD13</formula>
    </cfRule>
  </conditionalFormatting>
  <conditionalFormatting sqref="R13:S171">
    <cfRule type="expression" dxfId="70" priority="3">
      <formula>$AD13*($AQ13=1)*(P13="")</formula>
    </cfRule>
  </conditionalFormatting>
  <conditionalFormatting sqref="M13:M171">
    <cfRule type="expression" dxfId="69" priority="1" stopIfTrue="1">
      <formula>($AQ13=1)</formula>
    </cfRule>
    <cfRule type="expression" dxfId="68" priority="2" stopIfTrue="1">
      <formula>($AQ13=2)+($AQ13=3)</formula>
    </cfRule>
  </conditionalFormatting>
  <conditionalFormatting sqref="G13:G171 C13:C171">
    <cfRule type="expression" dxfId="67" priority="13" stopIfTrue="1">
      <formula>($AQ13=2)*($BL13=2)</formula>
    </cfRule>
    <cfRule type="expression" dxfId="66" priority="14" stopIfTrue="1">
      <formula>($AQ13=2)*($BL13=1)</formula>
    </cfRule>
    <cfRule type="expression" dxfId="65" priority="15" stopIfTrue="1">
      <formula>($AQ13=1)*($BL13=2)</formula>
    </cfRule>
    <cfRule type="expression" dxfId="64" priority="16" stopIfTrue="1">
      <formula>($AQ13=1)*($BL13=1)</formula>
    </cfRule>
  </conditionalFormatting>
  <conditionalFormatting sqref="K13:L171">
    <cfRule type="expression" dxfId="63" priority="9" stopIfTrue="1">
      <formula>(K13&lt;&gt;"")*NOT(ISNUMBER(K13))</formula>
    </cfRule>
    <cfRule type="expression" dxfId="62" priority="10">
      <formula>($AQ13=1)*$AD13</formula>
    </cfRule>
  </conditionalFormatting>
  <conditionalFormatting sqref="V13:V171">
    <cfRule type="expression" dxfId="61" priority="11" stopIfTrue="1">
      <formula>DC13</formula>
    </cfRule>
    <cfRule type="expression" dxfId="60" priority="12">
      <formula>$AD13*(($AQ13=4)+($AQ13=1))</formula>
    </cfRule>
  </conditionalFormatting>
  <conditionalFormatting sqref="C13:C171">
    <cfRule type="expression" dxfId="59" priority="17" stopIfTrue="1">
      <formula>BV13</formula>
    </cfRule>
    <cfRule type="expression" dxfId="58" priority="18">
      <formula>($A13=$C$2+1)</formula>
    </cfRule>
  </conditionalFormatting>
  <conditionalFormatting sqref="H13:I171">
    <cfRule type="expression" dxfId="57" priority="19" stopIfTrue="1">
      <formula>$BY13</formula>
    </cfRule>
    <cfRule type="expression" dxfId="56" priority="20">
      <formula>($AQ13=2)*$AD13</formula>
    </cfRule>
  </conditionalFormatting>
  <conditionalFormatting sqref="B13:AC171">
    <cfRule type="expression" dxfId="55" priority="22" stopIfTrue="1">
      <formula>BQ13</formula>
    </cfRule>
    <cfRule type="expression" dxfId="54" priority="23" stopIfTrue="1">
      <formula>BY13</formula>
    </cfRule>
  </conditionalFormatting>
  <conditionalFormatting sqref="H13:I171 A13:B171">
    <cfRule type="expression" dxfId="53" priority="24" stopIfTrue="1">
      <formula>$DB13</formula>
    </cfRule>
    <cfRule type="expression" dxfId="52" priority="25" stopIfTrue="1">
      <formula>$BX13</formula>
    </cfRule>
  </conditionalFormatting>
  <conditionalFormatting sqref="Q13:R171">
    <cfRule type="expression" dxfId="51" priority="26">
      <formula>$AD13*($AQ13=1)*(Q13)</formula>
    </cfRule>
    <cfRule type="expression" dxfId="50" priority="27">
      <formula>$AD13*($AQ13=1)*NOT(Q13)*(Q13&lt;&gt;"")</formula>
    </cfRule>
  </conditionalFormatting>
  <conditionalFormatting sqref="Q13:Q171">
    <cfRule type="expression" dxfId="49" priority="30" stopIfTrue="1">
      <formula>$CC13</formula>
    </cfRule>
    <cfRule type="expression" dxfId="48" priority="31">
      <formula>$AD13*($AQ13=1)*(Q13="")*(($K13&lt;&gt;"")+($K13&gt;2)+($L13&lt;&gt;"")+($L13&gt;2))</formula>
    </cfRule>
  </conditionalFormatting>
  <conditionalFormatting sqref="P13:P171">
    <cfRule type="expression" dxfId="47" priority="33" stopIfTrue="1">
      <formula>($AQ13=2)*(P13&lt;&gt;"")</formula>
    </cfRule>
    <cfRule type="expression" dxfId="46" priority="34" stopIfTrue="1">
      <formula>($AQ13=1)*(((P13&lt;&gt;1)+(P13&lt;&gt;2)+(P13&lt;&gt;3)+(P13&lt;&gt;""))=4)</formula>
    </cfRule>
    <cfRule type="expression" dxfId="45" priority="35">
      <formula>$AD13*($AQ13=1)*($P13=2)</formula>
    </cfRule>
    <cfRule type="expression" dxfId="44" priority="36">
      <formula>$AD13*($AQ13=1)*($P13=1)</formula>
    </cfRule>
    <cfRule type="expression" dxfId="43" priority="37">
      <formula>$AD13*($AQ13=1)*($P13=3)</formula>
    </cfRule>
    <cfRule type="expression" dxfId="42" priority="38">
      <formula>$AD13*($AQ13=1)*(P13="")*(($K13&lt;&gt;"")+($K13&gt;2)+($L13&lt;&gt;"")+($L13&gt;2))*($BL13=1)</formula>
    </cfRule>
  </conditionalFormatting>
  <conditionalFormatting sqref="J13:J171">
    <cfRule type="expression" dxfId="41" priority="39" stopIfTrue="1">
      <formula>#REF!</formula>
    </cfRule>
    <cfRule type="expression" dxfId="40" priority="40" stopIfTrue="1">
      <formula>($AQ13=1)*$AD13</formula>
    </cfRule>
  </conditionalFormatting>
  <conditionalFormatting sqref="G13:G171">
    <cfRule type="expression" dxfId="39" priority="47" stopIfTrue="1">
      <formula>$CG13</formula>
    </cfRule>
    <cfRule type="expression" dxfId="38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UA494"/>
  <sheetViews>
    <sheetView zoomScale="175" zoomScaleNormal="175" workbookViewId="0">
      <pane xSplit="1" ySplit="2" topLeftCell="B36" activePane="bottomRight" state="frozenSplit"/>
      <selection pane="topRight" activeCell="B1" sqref="B1"/>
      <selection pane="bottomLeft" activeCell="A3" sqref="A3"/>
      <selection pane="bottomRight" activeCell="E47" sqref="E47"/>
    </sheetView>
  </sheetViews>
  <sheetFormatPr defaultRowHeight="12.75"/>
  <cols>
    <col min="1" max="6" width="9.28515625" style="17" bestFit="1" customWidth="1"/>
    <col min="7" max="7" width="9.28515625" style="17" customWidth="1"/>
    <col min="8" max="547" width="9.28515625" style="17" bestFit="1" customWidth="1"/>
    <col min="548" max="16384" width="9.140625" style="17"/>
  </cols>
  <sheetData>
    <row r="1" spans="1:547">
      <c r="A1" s="13" t="s">
        <v>0</v>
      </c>
      <c r="B1" s="13"/>
      <c r="C1" s="13"/>
      <c r="D1" s="13" t="s">
        <v>512</v>
      </c>
      <c r="E1" s="13" t="s">
        <v>841</v>
      </c>
      <c r="F1" s="13" t="s">
        <v>842</v>
      </c>
      <c r="G1" s="13"/>
      <c r="H1" s="13" t="s">
        <v>513</v>
      </c>
      <c r="I1" s="13" t="s">
        <v>514</v>
      </c>
      <c r="J1" s="13" t="s">
        <v>515</v>
      </c>
      <c r="K1" s="13" t="s">
        <v>516</v>
      </c>
      <c r="L1" s="13" t="s">
        <v>517</v>
      </c>
      <c r="M1" s="13" t="s">
        <v>518</v>
      </c>
      <c r="N1" s="13" t="s">
        <v>519</v>
      </c>
      <c r="O1" s="13" t="s">
        <v>520</v>
      </c>
      <c r="P1" s="13" t="s">
        <v>521</v>
      </c>
      <c r="Q1" s="13" t="s">
        <v>522</v>
      </c>
      <c r="R1" s="13" t="s">
        <v>523</v>
      </c>
      <c r="S1" s="13" t="s">
        <v>524</v>
      </c>
      <c r="T1" s="13" t="s">
        <v>525</v>
      </c>
      <c r="U1" s="13" t="s">
        <v>526</v>
      </c>
      <c r="V1" s="13" t="s">
        <v>527</v>
      </c>
      <c r="W1" s="13" t="s">
        <v>528</v>
      </c>
      <c r="X1" s="13" t="s">
        <v>529</v>
      </c>
      <c r="Y1" s="13" t="s">
        <v>530</v>
      </c>
      <c r="Z1" s="13" t="s">
        <v>427</v>
      </c>
      <c r="AA1" s="13" t="s">
        <v>531</v>
      </c>
      <c r="AB1" s="13" t="s">
        <v>532</v>
      </c>
      <c r="AC1" s="13" t="s">
        <v>533</v>
      </c>
      <c r="AD1" s="13" t="s">
        <v>534</v>
      </c>
      <c r="AE1" s="13" t="s">
        <v>535</v>
      </c>
      <c r="AF1" s="13" t="s">
        <v>536</v>
      </c>
      <c r="AG1" s="13" t="s">
        <v>537</v>
      </c>
      <c r="AH1" s="13" t="s">
        <v>538</v>
      </c>
      <c r="AI1" s="13" t="s">
        <v>539</v>
      </c>
      <c r="AJ1" s="13" t="s">
        <v>540</v>
      </c>
      <c r="AK1" s="13" t="s">
        <v>541</v>
      </c>
      <c r="AL1" s="13" t="s">
        <v>542</v>
      </c>
      <c r="AM1" s="13" t="s">
        <v>543</v>
      </c>
      <c r="AN1" s="13" t="s">
        <v>544</v>
      </c>
      <c r="AO1" s="13" t="s">
        <v>545</v>
      </c>
      <c r="AP1" s="13" t="s">
        <v>546</v>
      </c>
      <c r="AQ1" s="13" t="s">
        <v>547</v>
      </c>
      <c r="AR1" s="13" t="s">
        <v>548</v>
      </c>
      <c r="AS1" s="13" t="s">
        <v>549</v>
      </c>
      <c r="AT1" s="13" t="s">
        <v>550</v>
      </c>
      <c r="AU1" s="13" t="s">
        <v>551</v>
      </c>
      <c r="AV1" s="13" t="s">
        <v>552</v>
      </c>
      <c r="AW1" s="13" t="s">
        <v>553</v>
      </c>
      <c r="AX1" s="13" t="s">
        <v>554</v>
      </c>
      <c r="AY1" s="13" t="s">
        <v>555</v>
      </c>
      <c r="AZ1" s="13" t="s">
        <v>556</v>
      </c>
      <c r="BA1" s="13" t="s">
        <v>557</v>
      </c>
      <c r="BB1" s="13" t="s">
        <v>411</v>
      </c>
      <c r="BC1" s="13" t="s">
        <v>558</v>
      </c>
      <c r="BD1" s="13" t="s">
        <v>559</v>
      </c>
      <c r="BE1" s="13" t="s">
        <v>560</v>
      </c>
      <c r="BF1" s="13" t="s">
        <v>561</v>
      </c>
      <c r="BG1" s="13" t="s">
        <v>562</v>
      </c>
      <c r="BH1" s="13" t="s">
        <v>563</v>
      </c>
      <c r="BI1" s="13" t="s">
        <v>564</v>
      </c>
      <c r="BJ1" s="13" t="s">
        <v>565</v>
      </c>
      <c r="BK1" s="13" t="s">
        <v>566</v>
      </c>
      <c r="BL1" s="13" t="s">
        <v>567</v>
      </c>
      <c r="BM1" s="13" t="s">
        <v>568</v>
      </c>
      <c r="BN1" s="13" t="s">
        <v>569</v>
      </c>
      <c r="BO1" s="13" t="s">
        <v>570</v>
      </c>
      <c r="BP1" s="13" t="s">
        <v>571</v>
      </c>
      <c r="BQ1" s="13" t="s">
        <v>572</v>
      </c>
      <c r="BR1" s="13" t="s">
        <v>573</v>
      </c>
      <c r="BS1" s="13" t="s">
        <v>572</v>
      </c>
      <c r="BT1" s="13" t="s">
        <v>574</v>
      </c>
      <c r="BU1" s="13" t="s">
        <v>575</v>
      </c>
      <c r="BV1" s="13" t="s">
        <v>576</v>
      </c>
      <c r="BW1" s="13" t="s">
        <v>577</v>
      </c>
      <c r="BX1" s="13" t="s">
        <v>578</v>
      </c>
      <c r="BY1" s="13" t="s">
        <v>579</v>
      </c>
      <c r="BZ1" s="13" t="s">
        <v>580</v>
      </c>
      <c r="CA1" s="13" t="s">
        <v>581</v>
      </c>
      <c r="CB1" s="13" t="s">
        <v>582</v>
      </c>
      <c r="CC1" s="13" t="s">
        <v>583</v>
      </c>
      <c r="CD1" s="13" t="s">
        <v>584</v>
      </c>
      <c r="CE1" s="13" t="s">
        <v>585</v>
      </c>
      <c r="CF1" s="13" t="s">
        <v>586</v>
      </c>
      <c r="CG1" s="13" t="s">
        <v>587</v>
      </c>
      <c r="CH1" s="13" t="s">
        <v>578</v>
      </c>
      <c r="CI1" s="13" t="s">
        <v>579</v>
      </c>
      <c r="CJ1" s="13" t="s">
        <v>580</v>
      </c>
      <c r="CK1" s="13" t="s">
        <v>581</v>
      </c>
      <c r="CL1" s="13" t="s">
        <v>582</v>
      </c>
      <c r="CM1" s="13" t="s">
        <v>583</v>
      </c>
      <c r="CN1" s="13" t="s">
        <v>584</v>
      </c>
      <c r="CO1" s="13" t="s">
        <v>585</v>
      </c>
      <c r="CP1" s="13" t="s">
        <v>586</v>
      </c>
      <c r="CQ1" s="13" t="s">
        <v>588</v>
      </c>
      <c r="CR1" s="13" t="s">
        <v>578</v>
      </c>
      <c r="CS1" s="13" t="s">
        <v>579</v>
      </c>
      <c r="CT1" s="13" t="s">
        <v>580</v>
      </c>
      <c r="CU1" s="13" t="s">
        <v>581</v>
      </c>
      <c r="CV1" s="13" t="s">
        <v>582</v>
      </c>
      <c r="CW1" s="13" t="s">
        <v>583</v>
      </c>
      <c r="CX1" s="13" t="s">
        <v>584</v>
      </c>
      <c r="CY1" s="13" t="s">
        <v>585</v>
      </c>
      <c r="CZ1" s="13" t="s">
        <v>586</v>
      </c>
      <c r="DA1" s="13" t="s">
        <v>589</v>
      </c>
      <c r="DB1" s="13" t="s">
        <v>578</v>
      </c>
      <c r="DC1" s="13" t="s">
        <v>579</v>
      </c>
      <c r="DD1" s="13" t="s">
        <v>580</v>
      </c>
      <c r="DE1" s="13" t="s">
        <v>581</v>
      </c>
      <c r="DF1" s="13" t="s">
        <v>582</v>
      </c>
      <c r="DG1" s="13" t="s">
        <v>583</v>
      </c>
      <c r="DH1" s="13" t="s">
        <v>584</v>
      </c>
      <c r="DI1" s="13" t="s">
        <v>585</v>
      </c>
      <c r="DJ1" s="13" t="s">
        <v>586</v>
      </c>
      <c r="DK1" s="13" t="s">
        <v>590</v>
      </c>
      <c r="DL1" s="13" t="s">
        <v>578</v>
      </c>
      <c r="DM1" s="13" t="s">
        <v>579</v>
      </c>
      <c r="DN1" s="13" t="s">
        <v>580</v>
      </c>
      <c r="DO1" s="13" t="s">
        <v>581</v>
      </c>
      <c r="DP1" s="13" t="s">
        <v>582</v>
      </c>
      <c r="DQ1" s="13" t="s">
        <v>583</v>
      </c>
      <c r="DR1" s="13" t="s">
        <v>584</v>
      </c>
      <c r="DS1" s="13" t="s">
        <v>585</v>
      </c>
      <c r="DT1" s="13" t="s">
        <v>586</v>
      </c>
      <c r="DU1" s="13" t="s">
        <v>591</v>
      </c>
      <c r="DV1" s="13" t="s">
        <v>592</v>
      </c>
      <c r="DW1" s="13" t="s">
        <v>593</v>
      </c>
      <c r="DX1" s="13" t="s">
        <v>594</v>
      </c>
      <c r="DY1" s="13" t="s">
        <v>595</v>
      </c>
      <c r="DZ1" s="13" t="s">
        <v>596</v>
      </c>
      <c r="EA1" s="13" t="s">
        <v>597</v>
      </c>
      <c r="EB1" s="13" t="s">
        <v>598</v>
      </c>
      <c r="EC1" s="13" t="s">
        <v>599</v>
      </c>
      <c r="ED1" s="13" t="s">
        <v>600</v>
      </c>
      <c r="EE1" s="13" t="s">
        <v>601</v>
      </c>
      <c r="EF1" s="13" t="s">
        <v>602</v>
      </c>
      <c r="EG1" s="13" t="s">
        <v>603</v>
      </c>
      <c r="EH1" s="13" t="s">
        <v>604</v>
      </c>
      <c r="EI1" s="13" t="s">
        <v>605</v>
      </c>
      <c r="EJ1" s="13" t="s">
        <v>606</v>
      </c>
      <c r="EK1" s="13" t="s">
        <v>607</v>
      </c>
      <c r="EL1" s="13" t="s">
        <v>608</v>
      </c>
      <c r="EM1" s="13" t="s">
        <v>609</v>
      </c>
      <c r="EN1" s="13" t="s">
        <v>610</v>
      </c>
      <c r="EO1" s="13" t="s">
        <v>611</v>
      </c>
      <c r="EP1" s="13" t="s">
        <v>612</v>
      </c>
      <c r="EQ1" s="13" t="s">
        <v>613</v>
      </c>
      <c r="ER1" s="13" t="s">
        <v>614</v>
      </c>
      <c r="ES1" s="13" t="s">
        <v>615</v>
      </c>
      <c r="ET1" s="13" t="s">
        <v>616</v>
      </c>
      <c r="EU1" s="13" t="s">
        <v>617</v>
      </c>
      <c r="EV1" s="13" t="s">
        <v>618</v>
      </c>
      <c r="EW1" s="13" t="s">
        <v>619</v>
      </c>
      <c r="EX1" s="13" t="s">
        <v>620</v>
      </c>
      <c r="EY1" s="13" t="s">
        <v>621</v>
      </c>
      <c r="EZ1" s="13" t="s">
        <v>622</v>
      </c>
      <c r="FA1" s="13" t="s">
        <v>623</v>
      </c>
      <c r="FB1" s="13" t="s">
        <v>624</v>
      </c>
      <c r="FC1" s="13" t="s">
        <v>625</v>
      </c>
      <c r="FD1" s="13" t="s">
        <v>626</v>
      </c>
      <c r="FE1" s="13" t="s">
        <v>627</v>
      </c>
      <c r="FF1" s="13" t="s">
        <v>628</v>
      </c>
      <c r="FG1" s="13" t="s">
        <v>629</v>
      </c>
      <c r="FH1" s="13" t="s">
        <v>630</v>
      </c>
      <c r="FI1" s="13" t="s">
        <v>631</v>
      </c>
      <c r="FJ1" s="13" t="s">
        <v>632</v>
      </c>
      <c r="FK1" s="13" t="s">
        <v>633</v>
      </c>
      <c r="FL1" s="13" t="s">
        <v>634</v>
      </c>
      <c r="FM1" s="13" t="s">
        <v>635</v>
      </c>
      <c r="FN1" s="13" t="s">
        <v>636</v>
      </c>
      <c r="FO1" s="13" t="s">
        <v>637</v>
      </c>
      <c r="FP1" s="13" t="s">
        <v>638</v>
      </c>
      <c r="FQ1" s="13" t="s">
        <v>639</v>
      </c>
      <c r="FR1" s="13" t="s">
        <v>640</v>
      </c>
      <c r="FS1" s="13" t="s">
        <v>641</v>
      </c>
      <c r="FT1" s="13" t="s">
        <v>642</v>
      </c>
      <c r="FU1" s="13" t="s">
        <v>643</v>
      </c>
      <c r="FV1" s="13" t="s">
        <v>644</v>
      </c>
      <c r="FW1" s="13" t="s">
        <v>645</v>
      </c>
      <c r="FX1" s="13" t="s">
        <v>646</v>
      </c>
      <c r="FY1" s="13" t="s">
        <v>647</v>
      </c>
      <c r="FZ1" s="13" t="s">
        <v>648</v>
      </c>
      <c r="GA1" s="13" t="s">
        <v>649</v>
      </c>
      <c r="GB1" s="13" t="s">
        <v>650</v>
      </c>
      <c r="GC1" s="13" t="s">
        <v>651</v>
      </c>
      <c r="GD1" s="13" t="s">
        <v>652</v>
      </c>
      <c r="GE1" s="13" t="s">
        <v>653</v>
      </c>
      <c r="GF1" s="13" t="s">
        <v>654</v>
      </c>
      <c r="GG1" s="13" t="s">
        <v>655</v>
      </c>
      <c r="GH1" s="13" t="s">
        <v>656</v>
      </c>
      <c r="GI1" s="13" t="s">
        <v>657</v>
      </c>
      <c r="GJ1" s="13" t="s">
        <v>658</v>
      </c>
      <c r="GK1" s="13" t="s">
        <v>659</v>
      </c>
      <c r="GL1" s="13" t="s">
        <v>660</v>
      </c>
      <c r="GM1" s="13" t="s">
        <v>661</v>
      </c>
      <c r="GN1" s="13" t="s">
        <v>662</v>
      </c>
      <c r="GO1" s="13" t="s">
        <v>663</v>
      </c>
      <c r="GP1" s="13" t="s">
        <v>664</v>
      </c>
      <c r="GQ1" s="13" t="s">
        <v>665</v>
      </c>
      <c r="GR1" s="13" t="s">
        <v>666</v>
      </c>
      <c r="GS1" s="13" t="s">
        <v>667</v>
      </c>
      <c r="GT1" s="13" t="s">
        <v>668</v>
      </c>
      <c r="GU1" s="13" t="s">
        <v>669</v>
      </c>
      <c r="GV1" s="13" t="s">
        <v>670</v>
      </c>
      <c r="GW1" s="13" t="s">
        <v>671</v>
      </c>
      <c r="GX1" s="13" t="s">
        <v>672</v>
      </c>
      <c r="GY1" s="13" t="s">
        <v>673</v>
      </c>
      <c r="GZ1" s="13" t="s">
        <v>674</v>
      </c>
      <c r="HA1" s="13" t="s">
        <v>675</v>
      </c>
      <c r="HB1" s="13" t="s">
        <v>676</v>
      </c>
      <c r="HC1" s="13" t="s">
        <v>677</v>
      </c>
      <c r="HD1" s="13" t="s">
        <v>678</v>
      </c>
      <c r="HE1" s="13" t="s">
        <v>679</v>
      </c>
      <c r="HF1" s="13" t="s">
        <v>680</v>
      </c>
      <c r="HG1" s="13" t="s">
        <v>681</v>
      </c>
      <c r="HH1" s="13" t="s">
        <v>682</v>
      </c>
      <c r="HI1" s="13" t="s">
        <v>639</v>
      </c>
      <c r="HJ1" s="13" t="s">
        <v>683</v>
      </c>
      <c r="HK1" s="13" t="s">
        <v>641</v>
      </c>
      <c r="HL1" s="13" t="s">
        <v>684</v>
      </c>
      <c r="HM1" s="13" t="s">
        <v>643</v>
      </c>
      <c r="HN1" s="13" t="s">
        <v>685</v>
      </c>
      <c r="HO1" s="13" t="s">
        <v>645</v>
      </c>
      <c r="HP1" s="13" t="s">
        <v>686</v>
      </c>
      <c r="HQ1" s="13" t="s">
        <v>647</v>
      </c>
      <c r="HR1" s="13" t="s">
        <v>687</v>
      </c>
      <c r="HS1" s="13" t="s">
        <v>649</v>
      </c>
      <c r="HT1" s="13" t="s">
        <v>688</v>
      </c>
      <c r="HU1" s="13" t="s">
        <v>651</v>
      </c>
      <c r="HV1" s="13" t="s">
        <v>689</v>
      </c>
      <c r="HW1" s="13" t="s">
        <v>653</v>
      </c>
      <c r="HX1" s="13" t="s">
        <v>690</v>
      </c>
      <c r="HY1" s="13" t="s">
        <v>655</v>
      </c>
      <c r="HZ1" s="13" t="s">
        <v>691</v>
      </c>
      <c r="IA1" s="13" t="s">
        <v>657</v>
      </c>
      <c r="IB1" s="13" t="s">
        <v>692</v>
      </c>
      <c r="IC1" s="13" t="s">
        <v>659</v>
      </c>
      <c r="ID1" s="13" t="s">
        <v>693</v>
      </c>
      <c r="IE1" s="13" t="s">
        <v>661</v>
      </c>
      <c r="IF1" s="13" t="s">
        <v>694</v>
      </c>
      <c r="IG1" s="13" t="s">
        <v>663</v>
      </c>
      <c r="IH1" s="13" t="s">
        <v>695</v>
      </c>
      <c r="II1" s="13" t="s">
        <v>665</v>
      </c>
      <c r="IJ1" s="13" t="s">
        <v>696</v>
      </c>
      <c r="IK1" s="13" t="s">
        <v>667</v>
      </c>
      <c r="IL1" s="13" t="s">
        <v>697</v>
      </c>
      <c r="IM1" s="13" t="s">
        <v>669</v>
      </c>
      <c r="IN1" s="13" t="s">
        <v>698</v>
      </c>
      <c r="IO1" s="13" t="s">
        <v>671</v>
      </c>
      <c r="IP1" s="13" t="s">
        <v>699</v>
      </c>
      <c r="IQ1" s="13" t="s">
        <v>673</v>
      </c>
      <c r="IR1" s="13" t="s">
        <v>700</v>
      </c>
      <c r="IS1" s="13" t="s">
        <v>675</v>
      </c>
      <c r="IT1" s="13" t="s">
        <v>701</v>
      </c>
      <c r="IU1" s="13" t="s">
        <v>677</v>
      </c>
      <c r="IV1" s="13" t="s">
        <v>702</v>
      </c>
      <c r="IW1" s="13" t="s">
        <v>679</v>
      </c>
      <c r="IX1" s="13" t="s">
        <v>703</v>
      </c>
      <c r="IY1" s="13" t="s">
        <v>704</v>
      </c>
      <c r="IZ1" s="13" t="s">
        <v>705</v>
      </c>
      <c r="JA1" s="13" t="s">
        <v>706</v>
      </c>
      <c r="JB1" s="13" t="s">
        <v>707</v>
      </c>
      <c r="JC1" s="13" t="s">
        <v>708</v>
      </c>
      <c r="JD1" s="13" t="s">
        <v>709</v>
      </c>
      <c r="JE1" s="13" t="s">
        <v>710</v>
      </c>
      <c r="JF1" s="13" t="s">
        <v>711</v>
      </c>
      <c r="JG1" s="13" t="s">
        <v>712</v>
      </c>
      <c r="JH1" s="13" t="s">
        <v>713</v>
      </c>
      <c r="JI1" s="13" t="s">
        <v>714</v>
      </c>
      <c r="JJ1" s="13" t="s">
        <v>715</v>
      </c>
      <c r="JK1" s="13" t="s">
        <v>716</v>
      </c>
      <c r="JL1" s="13" t="s">
        <v>717</v>
      </c>
      <c r="JM1" s="13" t="s">
        <v>718</v>
      </c>
      <c r="JN1" s="13" t="s">
        <v>719</v>
      </c>
      <c r="JO1" s="13" t="s">
        <v>720</v>
      </c>
      <c r="JP1" s="13" t="s">
        <v>721</v>
      </c>
      <c r="JQ1" s="13" t="s">
        <v>722</v>
      </c>
      <c r="JR1" s="13" t="s">
        <v>723</v>
      </c>
      <c r="JS1" s="13" t="s">
        <v>724</v>
      </c>
      <c r="JT1" s="13" t="s">
        <v>725</v>
      </c>
      <c r="JU1" s="13" t="s">
        <v>726</v>
      </c>
      <c r="JV1" s="13" t="s">
        <v>727</v>
      </c>
      <c r="JW1" s="13" t="s">
        <v>728</v>
      </c>
      <c r="JX1" s="13" t="s">
        <v>729</v>
      </c>
      <c r="JY1" s="13" t="s">
        <v>730</v>
      </c>
      <c r="JZ1" s="13" t="s">
        <v>731</v>
      </c>
      <c r="KA1" s="13" t="s">
        <v>732</v>
      </c>
      <c r="KB1" s="13" t="s">
        <v>733</v>
      </c>
      <c r="KC1" s="13" t="s">
        <v>734</v>
      </c>
      <c r="KD1" s="13" t="s">
        <v>735</v>
      </c>
      <c r="KE1" s="13" t="s">
        <v>736</v>
      </c>
      <c r="KF1" s="13" t="s">
        <v>737</v>
      </c>
      <c r="KG1" s="13" t="s">
        <v>738</v>
      </c>
      <c r="KH1" s="13" t="s">
        <v>739</v>
      </c>
      <c r="KI1" s="13" t="s">
        <v>740</v>
      </c>
      <c r="KJ1" s="13" t="s">
        <v>741</v>
      </c>
      <c r="KK1" s="13" t="s">
        <v>742</v>
      </c>
      <c r="KL1" s="13" t="s">
        <v>743</v>
      </c>
      <c r="KM1" s="13" t="s">
        <v>744</v>
      </c>
      <c r="KN1" s="13" t="s">
        <v>745</v>
      </c>
      <c r="KO1" s="13" t="s">
        <v>746</v>
      </c>
      <c r="KP1" s="13" t="s">
        <v>747</v>
      </c>
      <c r="KQ1" s="13" t="s">
        <v>748</v>
      </c>
      <c r="KR1" s="13" t="s">
        <v>749</v>
      </c>
      <c r="KS1" s="13" t="s">
        <v>750</v>
      </c>
      <c r="KT1" s="13" t="s">
        <v>751</v>
      </c>
      <c r="KU1" s="13" t="s">
        <v>752</v>
      </c>
      <c r="KV1" s="13" t="s">
        <v>753</v>
      </c>
      <c r="KW1" s="13" t="s">
        <v>754</v>
      </c>
      <c r="KX1" s="13" t="s">
        <v>755</v>
      </c>
      <c r="KY1" s="13" t="s">
        <v>756</v>
      </c>
      <c r="KZ1" s="13" t="s">
        <v>757</v>
      </c>
      <c r="LA1" s="13" t="s">
        <v>758</v>
      </c>
      <c r="LB1" s="13" t="s">
        <v>759</v>
      </c>
      <c r="LC1" s="13" t="s">
        <v>760</v>
      </c>
      <c r="LD1" s="13" t="s">
        <v>761</v>
      </c>
      <c r="LE1" s="13" t="s">
        <v>762</v>
      </c>
      <c r="LF1" s="13" t="s">
        <v>763</v>
      </c>
      <c r="LG1" s="13" t="s">
        <v>764</v>
      </c>
      <c r="LH1" s="13" t="s">
        <v>765</v>
      </c>
      <c r="LI1" s="13" t="s">
        <v>766</v>
      </c>
      <c r="LJ1" s="13" t="s">
        <v>767</v>
      </c>
      <c r="LK1" s="13" t="s">
        <v>768</v>
      </c>
      <c r="LL1" s="13" t="s">
        <v>769</v>
      </c>
      <c r="LM1" s="13" t="s">
        <v>770</v>
      </c>
      <c r="LN1" s="13" t="s">
        <v>771</v>
      </c>
      <c r="LO1" s="13" t="s">
        <v>772</v>
      </c>
      <c r="LP1" s="13" t="s">
        <v>773</v>
      </c>
      <c r="LQ1" s="13" t="s">
        <v>774</v>
      </c>
      <c r="LR1" s="13" t="s">
        <v>775</v>
      </c>
      <c r="LS1" s="13" t="s">
        <v>776</v>
      </c>
      <c r="LT1" s="13" t="s">
        <v>777</v>
      </c>
      <c r="LU1" s="13" t="s">
        <v>778</v>
      </c>
      <c r="LV1" s="13" t="s">
        <v>779</v>
      </c>
      <c r="LW1" s="13" t="s">
        <v>780</v>
      </c>
      <c r="LX1" s="13" t="s">
        <v>781</v>
      </c>
      <c r="LY1" s="13" t="s">
        <v>782</v>
      </c>
      <c r="LZ1" s="13" t="s">
        <v>783</v>
      </c>
      <c r="MA1" s="13" t="s">
        <v>784</v>
      </c>
      <c r="MB1" s="13" t="s">
        <v>784</v>
      </c>
      <c r="MC1" s="13" t="s">
        <v>785</v>
      </c>
      <c r="MD1" s="13" t="s">
        <v>785</v>
      </c>
      <c r="ME1" s="13" t="s">
        <v>786</v>
      </c>
      <c r="MF1" s="13" t="s">
        <v>787</v>
      </c>
      <c r="MG1" s="13" t="s">
        <v>788</v>
      </c>
      <c r="MH1" s="13" t="s">
        <v>789</v>
      </c>
      <c r="MI1" s="13" t="s">
        <v>790</v>
      </c>
      <c r="MJ1" s="13" t="s">
        <v>791</v>
      </c>
      <c r="MK1" s="13" t="s">
        <v>786</v>
      </c>
      <c r="ML1" s="13" t="s">
        <v>787</v>
      </c>
      <c r="MM1" s="13" t="s">
        <v>788</v>
      </c>
      <c r="MN1" s="13" t="s">
        <v>789</v>
      </c>
      <c r="MO1" s="13" t="s">
        <v>790</v>
      </c>
      <c r="MP1" s="13" t="s">
        <v>791</v>
      </c>
      <c r="MQ1" s="13" t="s">
        <v>792</v>
      </c>
      <c r="MR1" s="13" t="s">
        <v>793</v>
      </c>
      <c r="MS1" s="13" t="s">
        <v>794</v>
      </c>
      <c r="MT1" s="13"/>
      <c r="MU1" s="13"/>
      <c r="MV1" s="13"/>
      <c r="MW1" s="13"/>
      <c r="MX1" s="13"/>
      <c r="MY1" s="13"/>
      <c r="MZ1" s="13"/>
      <c r="NA1" s="13"/>
      <c r="NB1" s="13"/>
      <c r="NC1" s="13"/>
      <c r="ND1" s="13"/>
      <c r="NE1" s="13"/>
      <c r="NF1" s="13"/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3"/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3"/>
      <c r="OZ1" s="13"/>
      <c r="PA1" s="13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13"/>
      <c r="QA1" s="13"/>
      <c r="QB1" s="13"/>
      <c r="QC1" s="13"/>
      <c r="QD1" s="13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13"/>
      <c r="RD1" s="13"/>
      <c r="RE1" s="13"/>
      <c r="RF1" s="13"/>
      <c r="RG1" s="13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13"/>
      <c r="SG1" s="13"/>
      <c r="SH1" s="13"/>
      <c r="SI1" s="13"/>
      <c r="SJ1" s="13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13"/>
      <c r="TJ1" s="13"/>
      <c r="TK1" s="13"/>
      <c r="TL1" s="13"/>
      <c r="TM1" s="13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</row>
    <row r="2" spans="1:547">
      <c r="A2" s="17" t="s">
        <v>332</v>
      </c>
      <c r="B2" s="13" t="s">
        <v>332</v>
      </c>
      <c r="C2" s="13" t="s">
        <v>430</v>
      </c>
      <c r="D2" s="13" t="s">
        <v>431</v>
      </c>
      <c r="E2" s="13" t="s">
        <v>432</v>
      </c>
      <c r="F2" s="13" t="s">
        <v>433</v>
      </c>
      <c r="G2" s="13"/>
      <c r="H2" s="13" t="s">
        <v>434</v>
      </c>
      <c r="I2" s="13" t="s">
        <v>435</v>
      </c>
      <c r="J2" s="13" t="s">
        <v>436</v>
      </c>
      <c r="K2" s="13" t="s">
        <v>437</v>
      </c>
      <c r="L2" s="13" t="s">
        <v>438</v>
      </c>
      <c r="M2" s="13" t="s">
        <v>439</v>
      </c>
      <c r="N2" s="13" t="s">
        <v>440</v>
      </c>
      <c r="O2" s="13" t="s">
        <v>441</v>
      </c>
      <c r="P2" s="13" t="s">
        <v>442</v>
      </c>
      <c r="Q2" s="13" t="s">
        <v>443</v>
      </c>
      <c r="R2" s="13" t="s">
        <v>444</v>
      </c>
      <c r="S2" s="13" t="s">
        <v>445</v>
      </c>
      <c r="T2" s="13" t="s">
        <v>446</v>
      </c>
      <c r="U2" s="13" t="s">
        <v>447</v>
      </c>
      <c r="V2" s="13" t="s">
        <v>448</v>
      </c>
      <c r="W2" s="13" t="s">
        <v>843</v>
      </c>
      <c r="X2" s="13" t="s">
        <v>449</v>
      </c>
      <c r="Y2" s="13" t="s">
        <v>844</v>
      </c>
      <c r="Z2" s="13" t="s">
        <v>450</v>
      </c>
      <c r="AA2" s="13" t="s">
        <v>451</v>
      </c>
      <c r="AB2" s="13" t="s">
        <v>452</v>
      </c>
      <c r="AC2" s="13" t="s">
        <v>453</v>
      </c>
      <c r="AD2" s="13" t="s">
        <v>845</v>
      </c>
      <c r="AE2" s="13" t="s">
        <v>846</v>
      </c>
      <c r="AF2" s="13" t="s">
        <v>454</v>
      </c>
      <c r="AG2" s="13" t="s">
        <v>455</v>
      </c>
      <c r="AH2" s="13" t="s">
        <v>456</v>
      </c>
      <c r="AI2" s="13" t="s">
        <v>457</v>
      </c>
      <c r="AJ2" s="13" t="s">
        <v>458</v>
      </c>
      <c r="AK2" s="13" t="s">
        <v>459</v>
      </c>
      <c r="AL2" s="13" t="s">
        <v>460</v>
      </c>
      <c r="AM2" s="13" t="s">
        <v>847</v>
      </c>
      <c r="AN2" s="13" t="s">
        <v>848</v>
      </c>
      <c r="AO2" s="13" t="s">
        <v>461</v>
      </c>
      <c r="AP2" s="13" t="s">
        <v>462</v>
      </c>
      <c r="AQ2" s="13" t="s">
        <v>463</v>
      </c>
      <c r="AR2" s="13" t="s">
        <v>464</v>
      </c>
      <c r="AS2" s="13" t="s">
        <v>465</v>
      </c>
      <c r="AT2" s="13" t="s">
        <v>466</v>
      </c>
      <c r="AU2" s="13" t="s">
        <v>467</v>
      </c>
      <c r="AV2" s="13" t="s">
        <v>468</v>
      </c>
      <c r="AW2" s="13" t="s">
        <v>849</v>
      </c>
      <c r="AX2" s="13" t="s">
        <v>850</v>
      </c>
      <c r="AY2" s="13" t="s">
        <v>851</v>
      </c>
      <c r="AZ2" s="13" t="s">
        <v>852</v>
      </c>
      <c r="BA2" s="13" t="s">
        <v>853</v>
      </c>
      <c r="BB2" s="13" t="s">
        <v>854</v>
      </c>
      <c r="BC2" s="13" t="s">
        <v>855</v>
      </c>
      <c r="BD2" s="13" t="s">
        <v>856</v>
      </c>
      <c r="BE2" s="13" t="s">
        <v>857</v>
      </c>
      <c r="BF2" s="13" t="s">
        <v>858</v>
      </c>
      <c r="BG2" s="13" t="s">
        <v>859</v>
      </c>
      <c r="BH2" s="13" t="s">
        <v>860</v>
      </c>
      <c r="BI2" s="13" t="s">
        <v>861</v>
      </c>
      <c r="BJ2" s="13" t="s">
        <v>862</v>
      </c>
      <c r="BK2" s="13" t="s">
        <v>863</v>
      </c>
      <c r="BL2" s="13" t="s">
        <v>864</v>
      </c>
      <c r="BM2" s="13" t="s">
        <v>865</v>
      </c>
      <c r="BN2" s="13" t="s">
        <v>866</v>
      </c>
      <c r="BO2" s="13" t="s">
        <v>867</v>
      </c>
      <c r="BP2" s="13" t="s">
        <v>868</v>
      </c>
      <c r="BQ2" s="13" t="s">
        <v>869</v>
      </c>
      <c r="BR2" s="13" t="s">
        <v>870</v>
      </c>
      <c r="BS2" s="13" t="s">
        <v>871</v>
      </c>
      <c r="BT2" s="13" t="s">
        <v>872</v>
      </c>
      <c r="BU2" s="13" t="s">
        <v>873</v>
      </c>
      <c r="BV2" s="13" t="s">
        <v>874</v>
      </c>
      <c r="BW2" s="13" t="s">
        <v>875</v>
      </c>
      <c r="BX2" s="13" t="s">
        <v>876</v>
      </c>
      <c r="BY2" s="13" t="s">
        <v>877</v>
      </c>
      <c r="BZ2" s="13" t="s">
        <v>878</v>
      </c>
      <c r="CA2" s="13" t="s">
        <v>879</v>
      </c>
      <c r="CB2" s="13" t="s">
        <v>880</v>
      </c>
      <c r="CC2" s="13" t="s">
        <v>881</v>
      </c>
      <c r="CD2" s="13" t="s">
        <v>882</v>
      </c>
      <c r="CE2" s="13" t="s">
        <v>883</v>
      </c>
      <c r="CF2" s="13" t="s">
        <v>884</v>
      </c>
      <c r="CG2" s="13" t="s">
        <v>885</v>
      </c>
      <c r="CH2" s="13" t="s">
        <v>886</v>
      </c>
      <c r="CI2" s="13" t="s">
        <v>887</v>
      </c>
      <c r="CJ2" s="13" t="s">
        <v>888</v>
      </c>
      <c r="CK2" s="13" t="s">
        <v>889</v>
      </c>
      <c r="CL2" s="13" t="s">
        <v>890</v>
      </c>
      <c r="CM2" s="13" t="s">
        <v>891</v>
      </c>
      <c r="CN2" s="13" t="s">
        <v>892</v>
      </c>
      <c r="CO2" s="13" t="s">
        <v>893</v>
      </c>
      <c r="CP2" s="13" t="s">
        <v>894</v>
      </c>
      <c r="CQ2" s="13" t="s">
        <v>895</v>
      </c>
      <c r="CR2" s="13" t="s">
        <v>896</v>
      </c>
      <c r="CS2" s="13" t="s">
        <v>897</v>
      </c>
      <c r="CT2" s="13" t="s">
        <v>898</v>
      </c>
      <c r="CU2" s="13" t="s">
        <v>899</v>
      </c>
      <c r="CV2" s="13" t="s">
        <v>900</v>
      </c>
      <c r="CW2" s="13" t="s">
        <v>901</v>
      </c>
      <c r="CX2" s="13" t="s">
        <v>902</v>
      </c>
      <c r="CY2" s="13" t="s">
        <v>903</v>
      </c>
      <c r="CZ2" s="13" t="s">
        <v>904</v>
      </c>
      <c r="DA2" s="13" t="s">
        <v>905</v>
      </c>
      <c r="DB2" s="13" t="s">
        <v>906</v>
      </c>
      <c r="DC2" s="13" t="s">
        <v>907</v>
      </c>
      <c r="DD2" s="13" t="s">
        <v>908</v>
      </c>
      <c r="DE2" s="13" t="s">
        <v>909</v>
      </c>
      <c r="DF2" s="13" t="s">
        <v>910</v>
      </c>
      <c r="DG2" s="13" t="s">
        <v>911</v>
      </c>
      <c r="DH2" s="13" t="s">
        <v>912</v>
      </c>
      <c r="DI2" s="13" t="s">
        <v>913</v>
      </c>
      <c r="DJ2" s="13" t="s">
        <v>914</v>
      </c>
      <c r="DK2" s="13" t="s">
        <v>915</v>
      </c>
      <c r="DL2" s="13" t="s">
        <v>916</v>
      </c>
      <c r="DM2" s="13" t="s">
        <v>917</v>
      </c>
      <c r="DN2" s="13" t="s">
        <v>918</v>
      </c>
      <c r="DO2" s="13" t="s">
        <v>919</v>
      </c>
      <c r="DP2" s="13" t="s">
        <v>920</v>
      </c>
      <c r="DQ2" s="13" t="s">
        <v>921</v>
      </c>
      <c r="DR2" s="13" t="s">
        <v>922</v>
      </c>
      <c r="DS2" s="13" t="s">
        <v>923</v>
      </c>
      <c r="DT2" s="13" t="s">
        <v>924</v>
      </c>
      <c r="DU2" s="13" t="s">
        <v>925</v>
      </c>
      <c r="DV2" s="13" t="s">
        <v>926</v>
      </c>
      <c r="DW2" s="13" t="s">
        <v>927</v>
      </c>
      <c r="DX2" s="13" t="s">
        <v>928</v>
      </c>
      <c r="DY2" s="13" t="s">
        <v>929</v>
      </c>
      <c r="DZ2" s="13" t="s">
        <v>930</v>
      </c>
      <c r="EA2" s="13" t="s">
        <v>931</v>
      </c>
      <c r="EB2" s="13" t="s">
        <v>932</v>
      </c>
      <c r="EC2" s="13" t="s">
        <v>933</v>
      </c>
      <c r="ED2" s="13" t="s">
        <v>934</v>
      </c>
      <c r="EE2" s="13" t="s">
        <v>935</v>
      </c>
      <c r="EF2" s="13" t="s">
        <v>936</v>
      </c>
      <c r="EG2" s="13" t="s">
        <v>937</v>
      </c>
      <c r="EH2" s="13" t="s">
        <v>938</v>
      </c>
      <c r="EI2" s="13" t="s">
        <v>939</v>
      </c>
      <c r="EJ2" s="13" t="s">
        <v>940</v>
      </c>
      <c r="EK2" s="13" t="s">
        <v>941</v>
      </c>
      <c r="EL2" s="13" t="s">
        <v>942</v>
      </c>
      <c r="EM2" s="13" t="s">
        <v>943</v>
      </c>
      <c r="EN2" s="13" t="s">
        <v>944</v>
      </c>
      <c r="EO2" s="13" t="s">
        <v>945</v>
      </c>
      <c r="EP2" s="13" t="s">
        <v>946</v>
      </c>
      <c r="EQ2" s="13" t="s">
        <v>947</v>
      </c>
      <c r="ER2" s="13" t="s">
        <v>948</v>
      </c>
      <c r="ES2" s="13" t="s">
        <v>949</v>
      </c>
      <c r="ET2" s="13" t="s">
        <v>950</v>
      </c>
      <c r="EU2" s="13" t="s">
        <v>951</v>
      </c>
      <c r="EV2" s="13" t="s">
        <v>952</v>
      </c>
      <c r="EW2" s="13" t="s">
        <v>953</v>
      </c>
      <c r="EX2" s="13" t="s">
        <v>954</v>
      </c>
      <c r="EY2" s="13" t="s">
        <v>955</v>
      </c>
      <c r="EZ2" s="13" t="s">
        <v>956</v>
      </c>
      <c r="FA2" s="13" t="s">
        <v>957</v>
      </c>
      <c r="FB2" s="13" t="s">
        <v>958</v>
      </c>
      <c r="FC2" s="13" t="s">
        <v>959</v>
      </c>
      <c r="FD2" s="13" t="s">
        <v>960</v>
      </c>
      <c r="FE2" s="13" t="s">
        <v>961</v>
      </c>
      <c r="FF2" s="13" t="s">
        <v>962</v>
      </c>
      <c r="FG2" s="13" t="s">
        <v>963</v>
      </c>
      <c r="FH2" s="13" t="s">
        <v>964</v>
      </c>
      <c r="FI2" s="13" t="s">
        <v>469</v>
      </c>
      <c r="FJ2" s="13" t="s">
        <v>965</v>
      </c>
      <c r="FK2" s="13" t="s">
        <v>470</v>
      </c>
      <c r="FL2" s="13" t="s">
        <v>471</v>
      </c>
      <c r="FM2" s="13" t="s">
        <v>472</v>
      </c>
      <c r="FN2" s="13" t="s">
        <v>473</v>
      </c>
      <c r="FO2" s="13" t="s">
        <v>474</v>
      </c>
      <c r="FP2" s="13" t="s">
        <v>966</v>
      </c>
      <c r="FQ2" s="13" t="s">
        <v>967</v>
      </c>
      <c r="FR2" s="13" t="s">
        <v>968</v>
      </c>
      <c r="FS2" s="13" t="s">
        <v>969</v>
      </c>
      <c r="FT2" s="13" t="s">
        <v>970</v>
      </c>
      <c r="FU2" s="13" t="s">
        <v>971</v>
      </c>
      <c r="FV2" s="13" t="s">
        <v>972</v>
      </c>
      <c r="FW2" s="13" t="s">
        <v>973</v>
      </c>
      <c r="FX2" s="13" t="s">
        <v>974</v>
      </c>
      <c r="FY2" s="13" t="s">
        <v>975</v>
      </c>
      <c r="FZ2" s="13" t="s">
        <v>976</v>
      </c>
      <c r="GA2" s="13" t="s">
        <v>977</v>
      </c>
      <c r="GB2" s="13" t="s">
        <v>978</v>
      </c>
      <c r="GC2" s="13" t="s">
        <v>979</v>
      </c>
      <c r="GD2" s="13" t="s">
        <v>980</v>
      </c>
      <c r="GE2" s="13" t="s">
        <v>981</v>
      </c>
      <c r="GF2" s="13" t="s">
        <v>982</v>
      </c>
      <c r="GG2" s="13" t="s">
        <v>983</v>
      </c>
      <c r="GH2" s="13" t="s">
        <v>984</v>
      </c>
      <c r="GI2" s="13" t="s">
        <v>985</v>
      </c>
      <c r="GJ2" s="13" t="s">
        <v>986</v>
      </c>
      <c r="GK2" s="13" t="s">
        <v>987</v>
      </c>
      <c r="GL2" s="13" t="s">
        <v>988</v>
      </c>
      <c r="GM2" s="13" t="s">
        <v>989</v>
      </c>
      <c r="GN2" s="13" t="s">
        <v>990</v>
      </c>
      <c r="GO2" s="13" t="s">
        <v>991</v>
      </c>
      <c r="GP2" s="13" t="s">
        <v>992</v>
      </c>
      <c r="GQ2" s="13" t="s">
        <v>993</v>
      </c>
      <c r="GR2" s="13" t="s">
        <v>994</v>
      </c>
      <c r="GS2" s="13" t="s">
        <v>995</v>
      </c>
      <c r="GT2" s="13" t="s">
        <v>996</v>
      </c>
      <c r="GU2" s="13" t="s">
        <v>997</v>
      </c>
      <c r="GV2" s="13" t="s">
        <v>998</v>
      </c>
      <c r="GW2" s="13" t="s">
        <v>999</v>
      </c>
      <c r="GX2" s="13" t="s">
        <v>1000</v>
      </c>
      <c r="GY2" s="13" t="s">
        <v>1001</v>
      </c>
      <c r="GZ2" s="13" t="s">
        <v>1002</v>
      </c>
      <c r="HA2" s="13" t="s">
        <v>1003</v>
      </c>
      <c r="HB2" s="13" t="s">
        <v>1004</v>
      </c>
      <c r="HC2" s="13" t="s">
        <v>1005</v>
      </c>
      <c r="HD2" s="13" t="s">
        <v>1006</v>
      </c>
      <c r="HE2" s="13" t="s">
        <v>1007</v>
      </c>
      <c r="HF2" s="13" t="s">
        <v>1008</v>
      </c>
      <c r="HG2" s="13" t="s">
        <v>1009</v>
      </c>
      <c r="HH2" s="13" t="s">
        <v>1010</v>
      </c>
      <c r="HI2" s="13" t="s">
        <v>1011</v>
      </c>
      <c r="HJ2" s="13" t="s">
        <v>1012</v>
      </c>
      <c r="HK2" s="13" t="s">
        <v>1013</v>
      </c>
      <c r="HL2" s="13" t="s">
        <v>1014</v>
      </c>
      <c r="HM2" s="13" t="s">
        <v>1015</v>
      </c>
      <c r="HN2" s="13" t="s">
        <v>1016</v>
      </c>
      <c r="HO2" s="13" t="s">
        <v>1017</v>
      </c>
      <c r="HP2" s="13" t="s">
        <v>1018</v>
      </c>
      <c r="HQ2" s="13" t="s">
        <v>1019</v>
      </c>
      <c r="HR2" s="13" t="s">
        <v>1020</v>
      </c>
      <c r="HS2" s="13" t="s">
        <v>1021</v>
      </c>
      <c r="HT2" s="13" t="s">
        <v>1022</v>
      </c>
      <c r="HU2" s="13" t="s">
        <v>1023</v>
      </c>
      <c r="HV2" s="13" t="s">
        <v>1024</v>
      </c>
      <c r="HW2" s="13" t="s">
        <v>1025</v>
      </c>
      <c r="HX2" s="13" t="s">
        <v>1026</v>
      </c>
      <c r="HY2" s="13" t="s">
        <v>1027</v>
      </c>
      <c r="HZ2" s="13" t="s">
        <v>1028</v>
      </c>
      <c r="IA2" s="13" t="s">
        <v>1029</v>
      </c>
      <c r="IB2" s="13" t="s">
        <v>1030</v>
      </c>
      <c r="IC2" s="13" t="s">
        <v>1031</v>
      </c>
      <c r="ID2" s="13" t="s">
        <v>1032</v>
      </c>
      <c r="IE2" s="13" t="s">
        <v>1033</v>
      </c>
      <c r="IF2" s="13" t="s">
        <v>1034</v>
      </c>
      <c r="IG2" s="13" t="s">
        <v>1035</v>
      </c>
      <c r="IH2" s="13" t="s">
        <v>1036</v>
      </c>
      <c r="II2" s="13" t="s">
        <v>1037</v>
      </c>
      <c r="IJ2" s="13" t="s">
        <v>1038</v>
      </c>
      <c r="IK2" s="13" t="s">
        <v>1039</v>
      </c>
      <c r="IL2" s="13" t="s">
        <v>1040</v>
      </c>
      <c r="IM2" s="13" t="s">
        <v>1041</v>
      </c>
      <c r="IN2" s="13" t="s">
        <v>1042</v>
      </c>
      <c r="IO2" s="13" t="s">
        <v>1043</v>
      </c>
      <c r="IP2" s="13" t="s">
        <v>1044</v>
      </c>
      <c r="IQ2" s="13" t="s">
        <v>1045</v>
      </c>
      <c r="IR2" s="13" t="s">
        <v>1046</v>
      </c>
      <c r="IS2" s="13" t="s">
        <v>1047</v>
      </c>
      <c r="IT2" s="13" t="s">
        <v>1048</v>
      </c>
      <c r="IU2" s="13" t="s">
        <v>1049</v>
      </c>
      <c r="IV2" s="13" t="s">
        <v>1050</v>
      </c>
      <c r="IW2" s="13" t="s">
        <v>1051</v>
      </c>
      <c r="IX2" s="13" t="s">
        <v>1052</v>
      </c>
      <c r="IY2" s="13" t="s">
        <v>1053</v>
      </c>
      <c r="IZ2" s="13" t="s">
        <v>1054</v>
      </c>
      <c r="JA2" s="13" t="s">
        <v>1055</v>
      </c>
      <c r="JB2" s="13" t="s">
        <v>1056</v>
      </c>
      <c r="JC2" s="13" t="s">
        <v>1057</v>
      </c>
      <c r="JD2" s="13" t="s">
        <v>1058</v>
      </c>
      <c r="JE2" s="13" t="s">
        <v>1059</v>
      </c>
      <c r="JF2" s="13" t="s">
        <v>1060</v>
      </c>
      <c r="JG2" s="13" t="s">
        <v>1061</v>
      </c>
      <c r="JH2" s="13" t="s">
        <v>1062</v>
      </c>
      <c r="JI2" s="13" t="s">
        <v>1063</v>
      </c>
      <c r="JJ2" s="13" t="s">
        <v>1064</v>
      </c>
      <c r="JK2" s="13" t="s">
        <v>1065</v>
      </c>
      <c r="JL2" s="13" t="s">
        <v>1066</v>
      </c>
      <c r="JM2" s="13" t="s">
        <v>1067</v>
      </c>
      <c r="JN2" s="13" t="s">
        <v>1068</v>
      </c>
      <c r="JO2" s="13" t="s">
        <v>1069</v>
      </c>
      <c r="JP2" s="13" t="s">
        <v>1070</v>
      </c>
      <c r="JQ2" s="13" t="s">
        <v>1071</v>
      </c>
      <c r="JR2" s="13" t="s">
        <v>1072</v>
      </c>
      <c r="JS2" s="13" t="s">
        <v>1073</v>
      </c>
      <c r="JT2" s="13" t="s">
        <v>1074</v>
      </c>
      <c r="JU2" s="13" t="s">
        <v>1075</v>
      </c>
      <c r="JV2" s="13" t="s">
        <v>1076</v>
      </c>
      <c r="JW2" s="13" t="s">
        <v>1077</v>
      </c>
      <c r="JX2" s="13" t="s">
        <v>1078</v>
      </c>
      <c r="JY2" s="13" t="s">
        <v>1079</v>
      </c>
      <c r="JZ2" s="13" t="s">
        <v>1080</v>
      </c>
      <c r="KA2" s="13" t="s">
        <v>1081</v>
      </c>
      <c r="KB2" s="13" t="s">
        <v>1082</v>
      </c>
      <c r="KC2" s="13" t="s">
        <v>1083</v>
      </c>
      <c r="KD2" s="13" t="s">
        <v>1084</v>
      </c>
      <c r="KE2" s="13" t="s">
        <v>1085</v>
      </c>
      <c r="KF2" s="13" t="s">
        <v>1086</v>
      </c>
      <c r="KG2" s="13" t="s">
        <v>1087</v>
      </c>
      <c r="KH2" s="13" t="s">
        <v>1088</v>
      </c>
      <c r="KI2" s="13" t="s">
        <v>1089</v>
      </c>
      <c r="KJ2" s="13" t="s">
        <v>1090</v>
      </c>
      <c r="KK2" s="13" t="s">
        <v>1091</v>
      </c>
      <c r="KL2" s="13" t="s">
        <v>1092</v>
      </c>
      <c r="KM2" s="13" t="s">
        <v>1093</v>
      </c>
      <c r="KN2" s="13" t="s">
        <v>1094</v>
      </c>
      <c r="KO2" s="13" t="s">
        <v>1095</v>
      </c>
      <c r="KP2" s="13" t="s">
        <v>1096</v>
      </c>
      <c r="KQ2" s="13" t="s">
        <v>1097</v>
      </c>
      <c r="KR2" s="13" t="s">
        <v>1098</v>
      </c>
      <c r="KS2" s="13" t="s">
        <v>1099</v>
      </c>
      <c r="KT2" s="13" t="s">
        <v>1100</v>
      </c>
      <c r="KU2" s="13" t="s">
        <v>475</v>
      </c>
      <c r="KV2" s="13" t="s">
        <v>476</v>
      </c>
      <c r="KW2" s="13" t="s">
        <v>477</v>
      </c>
      <c r="KX2" s="13" t="s">
        <v>478</v>
      </c>
      <c r="KY2" s="13" t="s">
        <v>479</v>
      </c>
      <c r="KZ2" s="13" t="s">
        <v>480</v>
      </c>
      <c r="LA2" s="13" t="s">
        <v>481</v>
      </c>
      <c r="LB2" s="13" t="s">
        <v>482</v>
      </c>
      <c r="LC2" s="13" t="s">
        <v>483</v>
      </c>
      <c r="LD2" s="13" t="s">
        <v>484</v>
      </c>
      <c r="LE2" s="13" t="s">
        <v>485</v>
      </c>
      <c r="LF2" s="13" t="s">
        <v>486</v>
      </c>
      <c r="LG2" s="13" t="s">
        <v>487</v>
      </c>
      <c r="LH2" s="13" t="s">
        <v>488</v>
      </c>
      <c r="LI2" s="13" t="s">
        <v>1101</v>
      </c>
      <c r="LJ2" s="13" t="s">
        <v>1102</v>
      </c>
      <c r="LK2" s="13" t="s">
        <v>489</v>
      </c>
      <c r="LL2" s="13" t="s">
        <v>490</v>
      </c>
      <c r="LM2" s="13" t="s">
        <v>491</v>
      </c>
      <c r="LN2" s="13" t="s">
        <v>492</v>
      </c>
      <c r="LO2" s="13" t="s">
        <v>1103</v>
      </c>
      <c r="LP2" s="13" t="s">
        <v>493</v>
      </c>
      <c r="LQ2" s="13" t="s">
        <v>494</v>
      </c>
      <c r="LR2" s="13" t="s">
        <v>495</v>
      </c>
      <c r="LS2" s="13" t="s">
        <v>496</v>
      </c>
      <c r="LT2" s="13" t="s">
        <v>497</v>
      </c>
      <c r="LU2" s="13" t="s">
        <v>498</v>
      </c>
      <c r="LV2" s="13" t="s">
        <v>499</v>
      </c>
      <c r="LW2" s="13" t="s">
        <v>500</v>
      </c>
      <c r="LX2" s="13" t="s">
        <v>501</v>
      </c>
      <c r="LY2" s="13" t="s">
        <v>502</v>
      </c>
      <c r="LZ2" s="13" t="s">
        <v>503</v>
      </c>
      <c r="MA2" s="13" t="s">
        <v>504</v>
      </c>
      <c r="MB2" s="13" t="s">
        <v>505</v>
      </c>
      <c r="MC2" s="13" t="s">
        <v>506</v>
      </c>
      <c r="MD2" s="13" t="s">
        <v>507</v>
      </c>
      <c r="ME2" s="13" t="s">
        <v>508</v>
      </c>
      <c r="MF2" s="13" t="s">
        <v>1104</v>
      </c>
      <c r="MG2" s="13" t="s">
        <v>1105</v>
      </c>
      <c r="MH2" s="13" t="s">
        <v>1106</v>
      </c>
      <c r="MI2" s="13" t="s">
        <v>1107</v>
      </c>
      <c r="MJ2" s="13" t="s">
        <v>1108</v>
      </c>
      <c r="MK2" s="13" t="s">
        <v>509</v>
      </c>
      <c r="ML2" s="13" t="s">
        <v>1109</v>
      </c>
      <c r="MM2" s="13" t="s">
        <v>1110</v>
      </c>
      <c r="MN2" s="13" t="s">
        <v>1111</v>
      </c>
      <c r="MO2" s="13" t="s">
        <v>1112</v>
      </c>
      <c r="MP2" s="13" t="s">
        <v>1113</v>
      </c>
      <c r="MQ2" s="13" t="s">
        <v>510</v>
      </c>
      <c r="MR2" s="13" t="s">
        <v>511</v>
      </c>
      <c r="MS2" s="13" t="s">
        <v>1114</v>
      </c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3"/>
      <c r="QL2" s="13"/>
      <c r="QM2" s="13"/>
      <c r="QN2" s="13"/>
      <c r="QO2" s="13"/>
      <c r="QP2" s="13"/>
      <c r="QQ2" s="13"/>
      <c r="QR2" s="13"/>
      <c r="QS2" s="13"/>
      <c r="QT2" s="13"/>
      <c r="QU2" s="13"/>
      <c r="QV2" s="13"/>
      <c r="QW2" s="13"/>
      <c r="QX2" s="13"/>
      <c r="QY2" s="13"/>
      <c r="QZ2" s="13"/>
      <c r="RA2" s="13"/>
      <c r="RB2" s="13"/>
      <c r="RC2" s="13"/>
      <c r="RD2" s="13"/>
      <c r="RE2" s="13"/>
      <c r="RF2" s="13"/>
      <c r="RG2" s="13"/>
      <c r="RH2" s="13"/>
      <c r="RI2" s="13"/>
      <c r="RJ2" s="13"/>
      <c r="RK2" s="13"/>
      <c r="RL2" s="13"/>
      <c r="RM2" s="13"/>
      <c r="RN2" s="13"/>
      <c r="RO2" s="13"/>
      <c r="RP2" s="13"/>
      <c r="RQ2" s="13"/>
      <c r="RR2" s="13"/>
      <c r="RS2" s="13"/>
      <c r="RT2" s="13"/>
      <c r="RU2" s="13"/>
      <c r="RV2" s="13"/>
      <c r="RW2" s="13"/>
      <c r="RX2" s="13"/>
      <c r="RY2" s="13"/>
      <c r="RZ2" s="13"/>
      <c r="SA2" s="13"/>
      <c r="SB2" s="13"/>
      <c r="SC2" s="13"/>
      <c r="SD2" s="13"/>
      <c r="SE2" s="13"/>
      <c r="SF2" s="13"/>
      <c r="SG2" s="13"/>
      <c r="SH2" s="13"/>
      <c r="SI2" s="13"/>
      <c r="SJ2" s="13"/>
      <c r="SK2" s="13"/>
      <c r="SL2" s="13"/>
      <c r="SM2" s="13"/>
      <c r="SN2" s="13"/>
      <c r="SO2" s="13"/>
      <c r="SP2" s="13"/>
      <c r="SQ2" s="13"/>
      <c r="SR2" s="13"/>
      <c r="SS2" s="13"/>
      <c r="ST2" s="13"/>
      <c r="SU2" s="13"/>
      <c r="SV2" s="13"/>
      <c r="SW2" s="13"/>
      <c r="SX2" s="13"/>
      <c r="SY2" s="13"/>
      <c r="SZ2" s="13"/>
      <c r="TA2" s="13"/>
      <c r="TB2" s="13"/>
      <c r="TC2" s="13"/>
      <c r="TD2" s="13"/>
      <c r="TE2" s="13"/>
      <c r="TF2" s="13"/>
      <c r="TG2" s="13"/>
      <c r="TH2" s="13"/>
      <c r="TI2" s="13"/>
      <c r="TJ2" s="13"/>
      <c r="TK2" s="13"/>
      <c r="TL2" s="13"/>
      <c r="TM2" s="13"/>
      <c r="TN2" s="13"/>
      <c r="TO2" s="13"/>
      <c r="TP2" s="13"/>
      <c r="TQ2" s="13"/>
      <c r="TR2" s="13"/>
      <c r="TS2" s="13"/>
      <c r="TT2" s="13"/>
      <c r="TU2" s="13"/>
      <c r="TV2" s="13"/>
      <c r="TW2" s="13"/>
      <c r="TX2" s="13"/>
      <c r="TY2" s="13"/>
      <c r="TZ2" s="13"/>
      <c r="UA2" s="13"/>
    </row>
    <row r="3" spans="1:547" s="31" customFormat="1" ht="13.5" customHeight="1">
      <c r="A3" s="31">
        <v>1</v>
      </c>
      <c r="B3" s="31">
        <v>1</v>
      </c>
      <c r="C3" s="31" t="s">
        <v>1115</v>
      </c>
      <c r="D3" s="31" t="s">
        <v>1116</v>
      </c>
      <c r="E3" s="31">
        <v>3</v>
      </c>
      <c r="H3" s="31">
        <v>42311</v>
      </c>
      <c r="I3" s="31">
        <v>27651</v>
      </c>
      <c r="J3" s="31">
        <v>2</v>
      </c>
      <c r="K3" s="31">
        <v>1</v>
      </c>
      <c r="L3" s="31">
        <v>5</v>
      </c>
      <c r="M3" s="31">
        <v>2</v>
      </c>
      <c r="N3" s="31">
        <v>5</v>
      </c>
      <c r="O3" s="31">
        <v>2</v>
      </c>
      <c r="P3" s="31">
        <v>5</v>
      </c>
      <c r="Q3" s="31">
        <v>2</v>
      </c>
      <c r="R3" s="31">
        <v>1</v>
      </c>
      <c r="S3" s="31">
        <v>2</v>
      </c>
      <c r="T3" s="31">
        <v>1</v>
      </c>
      <c r="U3" s="31">
        <v>1</v>
      </c>
      <c r="V3" s="31">
        <v>2</v>
      </c>
      <c r="W3" s="31">
        <v>2</v>
      </c>
      <c r="X3" s="31">
        <v>2</v>
      </c>
      <c r="Y3" s="31">
        <v>2</v>
      </c>
      <c r="Z3" s="31">
        <v>4</v>
      </c>
      <c r="AA3" s="31">
        <v>2</v>
      </c>
      <c r="AB3" s="31">
        <v>2</v>
      </c>
      <c r="AC3" s="31">
        <v>2</v>
      </c>
      <c r="AD3" s="31">
        <v>1</v>
      </c>
      <c r="AE3" s="31">
        <v>1</v>
      </c>
      <c r="AF3" s="31">
        <v>2</v>
      </c>
      <c r="AH3" s="31">
        <v>2</v>
      </c>
      <c r="AI3" s="31">
        <v>2</v>
      </c>
      <c r="AJ3" s="31">
        <v>1</v>
      </c>
      <c r="AK3" s="31">
        <v>1992</v>
      </c>
      <c r="AL3" s="31">
        <v>1</v>
      </c>
      <c r="AM3" s="31">
        <v>2005</v>
      </c>
      <c r="AN3" s="31">
        <v>1.5</v>
      </c>
      <c r="AO3" s="31">
        <v>1</v>
      </c>
      <c r="AP3" s="31" t="s">
        <v>1117</v>
      </c>
      <c r="AQ3" s="31">
        <v>2</v>
      </c>
      <c r="AS3" s="31">
        <v>2</v>
      </c>
      <c r="AV3" s="31">
        <v>1</v>
      </c>
      <c r="AW3" s="31" t="s">
        <v>1118</v>
      </c>
      <c r="AX3" s="31">
        <v>1</v>
      </c>
      <c r="AY3" s="31" t="s">
        <v>417</v>
      </c>
      <c r="AZ3" s="31">
        <v>2</v>
      </c>
      <c r="BB3" s="31">
        <v>2</v>
      </c>
      <c r="BD3" s="31">
        <v>2</v>
      </c>
      <c r="BI3" s="31" t="s">
        <v>355</v>
      </c>
      <c r="BT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2</v>
      </c>
      <c r="CL3" s="31">
        <v>2</v>
      </c>
      <c r="CM3" s="31">
        <v>2</v>
      </c>
      <c r="CQ3" s="31">
        <v>2</v>
      </c>
      <c r="CR3" s="31">
        <v>2</v>
      </c>
      <c r="CS3" s="31">
        <v>2</v>
      </c>
      <c r="CT3" s="31">
        <v>2</v>
      </c>
      <c r="CU3" s="31">
        <v>2</v>
      </c>
      <c r="CV3" s="31">
        <v>2</v>
      </c>
      <c r="CW3" s="31">
        <v>2</v>
      </c>
      <c r="DA3" s="31">
        <v>1</v>
      </c>
      <c r="DB3" s="31">
        <v>2</v>
      </c>
      <c r="DC3" s="31">
        <v>2</v>
      </c>
      <c r="DD3" s="31">
        <v>2</v>
      </c>
      <c r="DE3" s="31">
        <v>2</v>
      </c>
      <c r="DF3" s="31">
        <v>2</v>
      </c>
      <c r="DG3" s="31">
        <v>2</v>
      </c>
      <c r="DH3" s="31" t="s">
        <v>1119</v>
      </c>
      <c r="DK3" s="31">
        <v>2</v>
      </c>
      <c r="DL3" s="31">
        <v>2</v>
      </c>
      <c r="DM3" s="31">
        <v>2</v>
      </c>
      <c r="DN3" s="31">
        <v>2</v>
      </c>
      <c r="DO3" s="31">
        <v>2</v>
      </c>
      <c r="DP3" s="31">
        <v>2</v>
      </c>
      <c r="DQ3" s="31">
        <v>2</v>
      </c>
      <c r="EG3" s="31">
        <v>1</v>
      </c>
      <c r="EJ3" s="31">
        <v>1</v>
      </c>
      <c r="FH3" s="31" t="s">
        <v>370</v>
      </c>
      <c r="FI3" s="31" t="s">
        <v>359</v>
      </c>
      <c r="FJ3" s="31">
        <v>2</v>
      </c>
      <c r="FK3" s="31">
        <v>1</v>
      </c>
      <c r="FL3" s="31" t="s">
        <v>359</v>
      </c>
      <c r="FM3" s="31">
        <v>2</v>
      </c>
      <c r="FN3" s="31">
        <v>2</v>
      </c>
      <c r="FO3" s="31">
        <v>1</v>
      </c>
      <c r="FP3" s="31">
        <v>2</v>
      </c>
      <c r="FR3" s="31">
        <v>2</v>
      </c>
      <c r="FT3" s="31">
        <v>2</v>
      </c>
      <c r="FV3" s="31">
        <v>1</v>
      </c>
      <c r="FW3" s="31">
        <v>6</v>
      </c>
      <c r="FX3" s="31">
        <v>2</v>
      </c>
      <c r="FZ3" s="31">
        <v>2</v>
      </c>
      <c r="GB3" s="31">
        <v>2</v>
      </c>
      <c r="GD3" s="31">
        <v>2</v>
      </c>
      <c r="GF3" s="31">
        <v>1</v>
      </c>
      <c r="GG3" s="31">
        <v>6</v>
      </c>
      <c r="GH3" s="31">
        <v>2</v>
      </c>
      <c r="GJ3" s="31">
        <v>2</v>
      </c>
      <c r="GL3" s="31">
        <v>2</v>
      </c>
      <c r="GN3" s="31">
        <v>2</v>
      </c>
      <c r="GP3" s="31">
        <v>2</v>
      </c>
      <c r="GR3" s="31">
        <v>2</v>
      </c>
      <c r="GT3" s="31">
        <v>2</v>
      </c>
      <c r="GV3" s="31">
        <v>2</v>
      </c>
      <c r="GX3" s="31">
        <v>1</v>
      </c>
      <c r="GY3" s="31">
        <v>4</v>
      </c>
      <c r="GZ3" s="31">
        <v>2</v>
      </c>
      <c r="HB3" s="31">
        <v>2</v>
      </c>
      <c r="HD3" s="31">
        <v>2</v>
      </c>
      <c r="HF3" s="31" t="s">
        <v>355</v>
      </c>
      <c r="HH3" s="31">
        <v>2</v>
      </c>
      <c r="HJ3" s="31">
        <v>2</v>
      </c>
      <c r="HL3" s="31">
        <v>2</v>
      </c>
      <c r="HN3" s="31">
        <v>2</v>
      </c>
      <c r="HP3" s="31">
        <v>2</v>
      </c>
      <c r="HR3" s="31">
        <v>2</v>
      </c>
      <c r="HT3" s="31">
        <v>2</v>
      </c>
      <c r="HV3" s="31">
        <v>2</v>
      </c>
      <c r="HX3" s="31">
        <v>2</v>
      </c>
      <c r="HZ3" s="31">
        <v>2</v>
      </c>
      <c r="IB3" s="31">
        <v>2</v>
      </c>
      <c r="ID3" s="31">
        <v>2</v>
      </c>
      <c r="IF3" s="31">
        <v>2</v>
      </c>
      <c r="IH3" s="31">
        <v>2</v>
      </c>
      <c r="IJ3" s="31">
        <v>2</v>
      </c>
      <c r="IL3" s="31">
        <v>2</v>
      </c>
      <c r="IN3" s="31">
        <v>2</v>
      </c>
      <c r="IP3" s="31">
        <v>2</v>
      </c>
      <c r="IR3" s="31">
        <v>2</v>
      </c>
      <c r="IT3" s="31">
        <v>2</v>
      </c>
      <c r="IV3" s="31">
        <v>2</v>
      </c>
      <c r="IX3" s="31" t="s">
        <v>355</v>
      </c>
      <c r="IZ3" s="31">
        <v>2</v>
      </c>
      <c r="JB3" s="31">
        <v>2</v>
      </c>
      <c r="JD3" s="31">
        <v>2</v>
      </c>
      <c r="JF3" s="31">
        <v>2</v>
      </c>
      <c r="JH3" s="31">
        <v>2</v>
      </c>
      <c r="JJ3" s="31">
        <v>1</v>
      </c>
      <c r="JK3" s="31">
        <v>5</v>
      </c>
      <c r="JL3" s="31">
        <v>2</v>
      </c>
      <c r="JN3" s="31">
        <v>2</v>
      </c>
      <c r="JP3" s="31">
        <v>2</v>
      </c>
      <c r="JR3" s="31">
        <v>2</v>
      </c>
      <c r="JT3" s="31">
        <v>2</v>
      </c>
      <c r="JV3" s="31">
        <v>2</v>
      </c>
      <c r="JX3" s="31">
        <v>2</v>
      </c>
      <c r="JZ3" s="31">
        <v>2</v>
      </c>
      <c r="KB3" s="31">
        <v>2</v>
      </c>
      <c r="KD3" s="31">
        <v>2</v>
      </c>
      <c r="KF3" s="31">
        <v>2</v>
      </c>
      <c r="KH3" s="31">
        <v>2</v>
      </c>
      <c r="KJ3" s="31">
        <v>2</v>
      </c>
      <c r="KL3" s="31">
        <v>2</v>
      </c>
      <c r="KN3" s="31">
        <v>2</v>
      </c>
      <c r="KP3" s="31" t="s">
        <v>355</v>
      </c>
      <c r="KR3" s="31">
        <v>2</v>
      </c>
      <c r="KS3" s="31">
        <v>1</v>
      </c>
      <c r="KT3" s="31">
        <v>2</v>
      </c>
      <c r="KU3" s="31">
        <v>2</v>
      </c>
      <c r="KV3" s="31">
        <v>2</v>
      </c>
      <c r="KW3" s="31">
        <v>2</v>
      </c>
      <c r="KX3" s="31">
        <v>2</v>
      </c>
      <c r="KY3" s="31">
        <v>2</v>
      </c>
      <c r="KZ3" s="31">
        <v>2</v>
      </c>
      <c r="LA3" s="31">
        <v>2</v>
      </c>
      <c r="LB3" s="31">
        <v>2</v>
      </c>
      <c r="LC3" s="31">
        <v>2</v>
      </c>
      <c r="LD3" s="31">
        <v>2</v>
      </c>
      <c r="LE3" s="31">
        <v>2</v>
      </c>
      <c r="LF3" s="31">
        <v>2</v>
      </c>
      <c r="LG3" s="31">
        <v>2</v>
      </c>
      <c r="LH3" s="31">
        <v>1</v>
      </c>
      <c r="LI3" s="31">
        <v>2</v>
      </c>
      <c r="LJ3" s="31">
        <v>2</v>
      </c>
      <c r="LK3" s="31">
        <v>2</v>
      </c>
      <c r="LL3" s="31">
        <v>2</v>
      </c>
      <c r="LM3" s="31">
        <v>2</v>
      </c>
      <c r="LN3" s="31">
        <v>2</v>
      </c>
      <c r="LO3" s="31">
        <v>2</v>
      </c>
      <c r="LP3" s="31">
        <v>1</v>
      </c>
      <c r="LQ3" s="31">
        <v>2</v>
      </c>
      <c r="LR3" s="31">
        <v>2</v>
      </c>
      <c r="LS3" s="31">
        <v>2</v>
      </c>
      <c r="LT3" s="31">
        <v>2</v>
      </c>
      <c r="LU3" s="31">
        <v>2</v>
      </c>
      <c r="LV3" s="31">
        <v>2</v>
      </c>
      <c r="LW3" s="31">
        <v>2</v>
      </c>
      <c r="LX3" s="31">
        <v>2</v>
      </c>
      <c r="LY3" s="31">
        <v>2</v>
      </c>
      <c r="LZ3" s="31">
        <v>2</v>
      </c>
      <c r="MA3" s="31" t="s">
        <v>1120</v>
      </c>
      <c r="MB3" s="31" t="s">
        <v>1120</v>
      </c>
      <c r="ME3" s="31">
        <v>5</v>
      </c>
      <c r="MF3" s="31">
        <v>2</v>
      </c>
      <c r="MG3" s="31">
        <v>2</v>
      </c>
      <c r="MH3" s="31">
        <v>2</v>
      </c>
      <c r="MI3" s="31">
        <v>2</v>
      </c>
      <c r="MJ3" s="31">
        <v>2</v>
      </c>
      <c r="MK3" s="31">
        <v>5</v>
      </c>
      <c r="ML3" s="31">
        <v>2</v>
      </c>
      <c r="MM3" s="31">
        <v>2</v>
      </c>
      <c r="MN3" s="31">
        <v>2</v>
      </c>
      <c r="MO3" s="31">
        <v>2</v>
      </c>
      <c r="MP3" s="31">
        <v>2</v>
      </c>
      <c r="MQ3" s="31">
        <v>2</v>
      </c>
      <c r="MR3" s="31">
        <v>2</v>
      </c>
      <c r="MS3" s="31">
        <v>2</v>
      </c>
    </row>
    <row r="4" spans="1:547" s="31" customFormat="1" ht="13.5" customHeight="1">
      <c r="A4" s="31">
        <v>2</v>
      </c>
      <c r="B4" s="31">
        <v>2</v>
      </c>
      <c r="C4" s="31" t="s">
        <v>1115</v>
      </c>
      <c r="D4" s="31" t="s">
        <v>1121</v>
      </c>
      <c r="E4" s="31">
        <v>3</v>
      </c>
      <c r="H4" s="31">
        <v>42311</v>
      </c>
      <c r="I4" s="31">
        <v>27661</v>
      </c>
      <c r="J4" s="31">
        <v>1</v>
      </c>
      <c r="K4" s="31">
        <v>1</v>
      </c>
      <c r="L4" s="31">
        <v>3</v>
      </c>
      <c r="M4" s="31">
        <v>2</v>
      </c>
      <c r="N4" s="31">
        <v>3</v>
      </c>
      <c r="O4" s="31">
        <v>2</v>
      </c>
      <c r="P4" s="31">
        <v>1</v>
      </c>
      <c r="Q4" s="31">
        <v>1</v>
      </c>
      <c r="R4" s="31">
        <v>2</v>
      </c>
      <c r="S4" s="31">
        <v>2</v>
      </c>
      <c r="T4" s="31">
        <v>2</v>
      </c>
      <c r="U4" s="31">
        <v>2</v>
      </c>
      <c r="V4" s="31">
        <v>2</v>
      </c>
      <c r="W4" s="31">
        <v>2</v>
      </c>
      <c r="X4" s="31">
        <v>2</v>
      </c>
      <c r="Y4" s="31">
        <v>2</v>
      </c>
      <c r="Z4" s="31">
        <v>4</v>
      </c>
      <c r="AA4" s="31">
        <v>2</v>
      </c>
      <c r="AB4" s="31">
        <v>2</v>
      </c>
      <c r="AC4" s="31">
        <v>2</v>
      </c>
      <c r="AD4" s="31">
        <v>1</v>
      </c>
      <c r="AE4" s="31">
        <v>1</v>
      </c>
      <c r="AF4" s="31">
        <v>2</v>
      </c>
      <c r="AH4" s="31">
        <v>2</v>
      </c>
      <c r="AI4" s="31">
        <v>2</v>
      </c>
      <c r="AJ4" s="31">
        <v>1</v>
      </c>
      <c r="AK4" s="31">
        <v>1993</v>
      </c>
      <c r="AL4" s="31">
        <v>1</v>
      </c>
      <c r="AM4" s="31">
        <v>2008</v>
      </c>
      <c r="AN4" s="31">
        <v>0.8</v>
      </c>
      <c r="AO4" s="31">
        <v>2</v>
      </c>
      <c r="AQ4" s="31">
        <v>1</v>
      </c>
      <c r="AR4" s="31" t="s">
        <v>1122</v>
      </c>
      <c r="AS4" s="31">
        <v>2</v>
      </c>
      <c r="AV4" s="31">
        <v>2</v>
      </c>
      <c r="AX4" s="31">
        <v>2</v>
      </c>
      <c r="AZ4" s="31">
        <v>2</v>
      </c>
      <c r="BB4" s="31">
        <v>2</v>
      </c>
      <c r="BD4" s="31">
        <v>2</v>
      </c>
      <c r="BF4" s="31">
        <v>2</v>
      </c>
      <c r="BH4" s="31">
        <v>2</v>
      </c>
      <c r="BI4" s="31" t="s">
        <v>355</v>
      </c>
      <c r="BT4" s="31">
        <v>2</v>
      </c>
      <c r="BW4" s="31">
        <v>2</v>
      </c>
      <c r="BX4" s="31">
        <v>2</v>
      </c>
      <c r="BY4" s="31">
        <v>2</v>
      </c>
      <c r="BZ4" s="31">
        <v>2</v>
      </c>
      <c r="CA4" s="31">
        <v>2</v>
      </c>
      <c r="CB4" s="31">
        <v>2</v>
      </c>
      <c r="CC4" s="31">
        <v>2</v>
      </c>
      <c r="CG4" s="31">
        <v>2</v>
      </c>
      <c r="CH4" s="31">
        <v>2</v>
      </c>
      <c r="CI4" s="31">
        <v>2</v>
      </c>
      <c r="CJ4" s="31">
        <v>2</v>
      </c>
      <c r="CK4" s="31">
        <v>2</v>
      </c>
      <c r="CL4" s="31">
        <v>2</v>
      </c>
      <c r="CM4" s="31">
        <v>2</v>
      </c>
      <c r="CQ4" s="31">
        <v>2</v>
      </c>
      <c r="CR4" s="31">
        <v>2</v>
      </c>
      <c r="CS4" s="31">
        <v>2</v>
      </c>
      <c r="CT4" s="31">
        <v>2</v>
      </c>
      <c r="CU4" s="31">
        <v>2</v>
      </c>
      <c r="CV4" s="31">
        <v>2</v>
      </c>
      <c r="CW4" s="31">
        <v>2</v>
      </c>
      <c r="DA4" s="31">
        <v>2</v>
      </c>
      <c r="DB4" s="31">
        <v>2</v>
      </c>
      <c r="DC4" s="31">
        <v>2</v>
      </c>
      <c r="DD4" s="31">
        <v>2</v>
      </c>
      <c r="DE4" s="31">
        <v>2</v>
      </c>
      <c r="DF4" s="31">
        <v>2</v>
      </c>
      <c r="DG4" s="31">
        <v>2</v>
      </c>
      <c r="DK4" s="31">
        <v>2</v>
      </c>
      <c r="DL4" s="31">
        <v>2</v>
      </c>
      <c r="DM4" s="31">
        <v>2</v>
      </c>
      <c r="DN4" s="31">
        <v>2</v>
      </c>
      <c r="DO4" s="31">
        <v>2</v>
      </c>
      <c r="DP4" s="31">
        <v>2</v>
      </c>
      <c r="DQ4" s="31">
        <v>2</v>
      </c>
      <c r="EA4" s="31" t="s">
        <v>403</v>
      </c>
      <c r="EB4" s="31" t="s">
        <v>410</v>
      </c>
      <c r="EG4" s="31">
        <v>1</v>
      </c>
      <c r="EJ4" s="31">
        <v>1</v>
      </c>
      <c r="FH4" s="31" t="s">
        <v>359</v>
      </c>
      <c r="FI4" s="31" t="s">
        <v>360</v>
      </c>
      <c r="FJ4" s="31">
        <v>2</v>
      </c>
      <c r="FK4" s="31">
        <v>1</v>
      </c>
      <c r="FL4" s="31" t="s">
        <v>359</v>
      </c>
      <c r="FM4" s="31">
        <v>2</v>
      </c>
      <c r="FN4" s="31">
        <v>2</v>
      </c>
      <c r="FO4" s="31">
        <v>1</v>
      </c>
      <c r="FP4" s="31">
        <v>2</v>
      </c>
      <c r="FR4" s="31">
        <v>2</v>
      </c>
      <c r="FT4" s="31">
        <v>2</v>
      </c>
      <c r="FV4" s="31">
        <v>2</v>
      </c>
      <c r="FX4" s="31">
        <v>2</v>
      </c>
      <c r="FZ4" s="31">
        <v>2</v>
      </c>
      <c r="GB4" s="31">
        <v>2</v>
      </c>
      <c r="GD4" s="31">
        <v>2</v>
      </c>
      <c r="GF4" s="31">
        <v>1</v>
      </c>
      <c r="GG4" s="31">
        <v>3</v>
      </c>
      <c r="GH4" s="31">
        <v>2</v>
      </c>
      <c r="GJ4" s="31">
        <v>2</v>
      </c>
      <c r="GL4" s="31">
        <v>2</v>
      </c>
      <c r="GN4" s="31">
        <v>2</v>
      </c>
      <c r="GP4" s="31">
        <v>2</v>
      </c>
      <c r="GR4" s="31">
        <v>2</v>
      </c>
      <c r="GT4" s="31">
        <v>2</v>
      </c>
      <c r="GV4" s="31">
        <v>2</v>
      </c>
      <c r="GX4" s="31">
        <v>1</v>
      </c>
      <c r="GY4" s="31">
        <v>2</v>
      </c>
      <c r="GZ4" s="31">
        <v>2</v>
      </c>
      <c r="HB4" s="31">
        <v>2</v>
      </c>
      <c r="HD4" s="31">
        <v>2</v>
      </c>
      <c r="HF4" s="31" t="s">
        <v>355</v>
      </c>
      <c r="HH4" s="31">
        <v>2</v>
      </c>
      <c r="HJ4" s="31">
        <v>2</v>
      </c>
      <c r="HL4" s="31">
        <v>2</v>
      </c>
      <c r="HN4" s="31">
        <v>2</v>
      </c>
      <c r="HP4" s="31">
        <v>2</v>
      </c>
      <c r="HR4" s="31">
        <v>2</v>
      </c>
      <c r="HT4" s="31">
        <v>2</v>
      </c>
      <c r="HV4" s="31">
        <v>2</v>
      </c>
      <c r="HX4" s="31">
        <v>2</v>
      </c>
      <c r="HZ4" s="31">
        <v>2</v>
      </c>
      <c r="IB4" s="31">
        <v>2</v>
      </c>
      <c r="ID4" s="31">
        <v>2</v>
      </c>
      <c r="IF4" s="31">
        <v>2</v>
      </c>
      <c r="IH4" s="31">
        <v>2</v>
      </c>
      <c r="IJ4" s="31">
        <v>2</v>
      </c>
      <c r="IL4" s="31">
        <v>2</v>
      </c>
      <c r="IN4" s="31">
        <v>2</v>
      </c>
      <c r="IP4" s="31">
        <v>2</v>
      </c>
      <c r="IR4" s="31">
        <v>2</v>
      </c>
      <c r="IT4" s="31">
        <v>2</v>
      </c>
      <c r="IV4" s="31">
        <v>2</v>
      </c>
      <c r="IX4" s="31" t="s">
        <v>355</v>
      </c>
      <c r="IZ4" s="31">
        <v>2</v>
      </c>
      <c r="JB4" s="31">
        <v>2</v>
      </c>
      <c r="JD4" s="31">
        <v>2</v>
      </c>
      <c r="JF4" s="31">
        <v>2</v>
      </c>
      <c r="JH4" s="31">
        <v>2</v>
      </c>
      <c r="JJ4" s="31">
        <v>1</v>
      </c>
      <c r="JK4" s="31">
        <v>5</v>
      </c>
      <c r="JL4" s="31">
        <v>2</v>
      </c>
      <c r="JN4" s="31">
        <v>2</v>
      </c>
      <c r="JP4" s="31">
        <v>2</v>
      </c>
      <c r="JR4" s="31">
        <v>2</v>
      </c>
      <c r="JT4" s="31">
        <v>2</v>
      </c>
      <c r="JV4" s="31">
        <v>2</v>
      </c>
      <c r="JX4" s="31">
        <v>2</v>
      </c>
      <c r="JZ4" s="31">
        <v>2</v>
      </c>
      <c r="KB4" s="31">
        <v>2</v>
      </c>
      <c r="KD4" s="31">
        <v>2</v>
      </c>
      <c r="KF4" s="31">
        <v>2</v>
      </c>
      <c r="KH4" s="31">
        <v>2</v>
      </c>
      <c r="KJ4" s="31">
        <v>2</v>
      </c>
      <c r="KL4" s="31">
        <v>2</v>
      </c>
      <c r="KN4" s="31">
        <v>2</v>
      </c>
      <c r="KP4" s="31" t="s">
        <v>355</v>
      </c>
      <c r="KR4" s="31">
        <v>2</v>
      </c>
      <c r="KS4" s="31">
        <v>2</v>
      </c>
      <c r="KT4" s="31">
        <v>2</v>
      </c>
      <c r="KU4" s="31">
        <v>2</v>
      </c>
      <c r="KV4" s="31">
        <v>2</v>
      </c>
      <c r="KW4" s="31">
        <v>2</v>
      </c>
      <c r="KX4" s="31">
        <v>2</v>
      </c>
      <c r="KY4" s="31">
        <v>2</v>
      </c>
      <c r="KZ4" s="31">
        <v>2</v>
      </c>
      <c r="LA4" s="31">
        <v>2</v>
      </c>
      <c r="LB4" s="31">
        <v>2</v>
      </c>
      <c r="LC4" s="31">
        <v>2</v>
      </c>
      <c r="LD4" s="31">
        <v>2</v>
      </c>
      <c r="LE4" s="31">
        <v>2</v>
      </c>
      <c r="LF4" s="31">
        <v>2</v>
      </c>
      <c r="LG4" s="31">
        <v>2</v>
      </c>
      <c r="LH4" s="31">
        <v>2</v>
      </c>
      <c r="LI4" s="31">
        <v>2</v>
      </c>
      <c r="LJ4" s="31">
        <v>2</v>
      </c>
      <c r="LK4" s="31">
        <v>1</v>
      </c>
      <c r="LL4" s="31">
        <v>2</v>
      </c>
      <c r="LM4" s="31">
        <v>2</v>
      </c>
      <c r="LN4" s="31">
        <v>2</v>
      </c>
      <c r="LO4" s="31">
        <v>2</v>
      </c>
      <c r="LP4" s="31">
        <v>2</v>
      </c>
      <c r="LQ4" s="31">
        <v>2</v>
      </c>
      <c r="LR4" s="31">
        <v>1</v>
      </c>
      <c r="LS4" s="31">
        <v>2</v>
      </c>
      <c r="LT4" s="31">
        <v>2</v>
      </c>
      <c r="LU4" s="31">
        <v>2</v>
      </c>
      <c r="LV4" s="31">
        <v>1</v>
      </c>
      <c r="LW4" s="31">
        <v>2</v>
      </c>
      <c r="LX4" s="31">
        <v>2</v>
      </c>
      <c r="LY4" s="31">
        <v>2</v>
      </c>
      <c r="LZ4" s="31">
        <v>2</v>
      </c>
      <c r="MA4" s="31" t="s">
        <v>1123</v>
      </c>
      <c r="MB4" s="31" t="s">
        <v>1123</v>
      </c>
      <c r="ME4" s="31">
        <v>5</v>
      </c>
      <c r="MF4" s="31">
        <v>2</v>
      </c>
      <c r="MG4" s="31">
        <v>2</v>
      </c>
      <c r="MH4" s="31">
        <v>2</v>
      </c>
      <c r="MI4" s="31">
        <v>2</v>
      </c>
      <c r="MJ4" s="31">
        <v>2</v>
      </c>
      <c r="MK4" s="31">
        <v>5</v>
      </c>
      <c r="ML4" s="31">
        <v>2</v>
      </c>
      <c r="MM4" s="31">
        <v>2</v>
      </c>
      <c r="MN4" s="31">
        <v>2</v>
      </c>
      <c r="MO4" s="31">
        <v>2</v>
      </c>
      <c r="MP4" s="31">
        <v>2</v>
      </c>
      <c r="MQ4" s="31">
        <v>2</v>
      </c>
      <c r="MR4" s="31">
        <v>2</v>
      </c>
      <c r="MS4" s="31">
        <v>2</v>
      </c>
    </row>
    <row r="5" spans="1:547" s="31" customFormat="1" ht="13.5" customHeight="1">
      <c r="A5" s="31">
        <v>3</v>
      </c>
      <c r="B5" s="31">
        <v>3</v>
      </c>
      <c r="C5" s="31" t="s">
        <v>1115</v>
      </c>
      <c r="D5" s="31" t="s">
        <v>1124</v>
      </c>
      <c r="E5" s="31">
        <v>3</v>
      </c>
      <c r="H5" s="31">
        <v>42312</v>
      </c>
      <c r="I5" s="31">
        <v>27972</v>
      </c>
      <c r="J5" s="31">
        <v>1</v>
      </c>
      <c r="K5" s="31">
        <v>1</v>
      </c>
      <c r="L5" s="31">
        <v>4</v>
      </c>
      <c r="M5" s="31">
        <v>1</v>
      </c>
      <c r="N5" s="31">
        <v>4</v>
      </c>
      <c r="O5" s="31">
        <v>1</v>
      </c>
      <c r="P5" s="31">
        <v>2</v>
      </c>
      <c r="Q5" s="31">
        <v>1</v>
      </c>
      <c r="R5" s="31">
        <v>2</v>
      </c>
      <c r="S5" s="31">
        <v>2</v>
      </c>
      <c r="T5" s="31">
        <v>2</v>
      </c>
      <c r="U5" s="31">
        <v>2</v>
      </c>
      <c r="V5" s="31">
        <v>2</v>
      </c>
      <c r="W5" s="31">
        <v>2</v>
      </c>
      <c r="X5" s="31">
        <v>2</v>
      </c>
      <c r="Y5" s="31">
        <v>2</v>
      </c>
      <c r="Z5" s="31">
        <v>4</v>
      </c>
      <c r="AA5" s="31">
        <v>2</v>
      </c>
      <c r="AB5" s="31">
        <v>2</v>
      </c>
      <c r="AC5" s="31">
        <v>2</v>
      </c>
      <c r="AD5" s="31">
        <v>1</v>
      </c>
      <c r="AE5" s="31">
        <v>1</v>
      </c>
      <c r="AF5" s="31">
        <v>2</v>
      </c>
      <c r="AH5" s="31">
        <v>2</v>
      </c>
      <c r="AI5" s="31">
        <v>2</v>
      </c>
      <c r="AJ5" s="31">
        <v>1</v>
      </c>
      <c r="AK5" s="31">
        <v>1992</v>
      </c>
      <c r="AL5" s="31">
        <v>1</v>
      </c>
      <c r="AM5" s="31">
        <v>2004</v>
      </c>
      <c r="AN5" s="31">
        <v>0.8</v>
      </c>
      <c r="AO5" s="31">
        <v>2</v>
      </c>
      <c r="AQ5" s="31">
        <v>1</v>
      </c>
      <c r="AR5" s="31" t="s">
        <v>1125</v>
      </c>
      <c r="AS5" s="31">
        <v>2</v>
      </c>
      <c r="AV5" s="31">
        <v>2</v>
      </c>
      <c r="AX5" s="31">
        <v>2</v>
      </c>
      <c r="AZ5" s="31">
        <v>1</v>
      </c>
      <c r="BB5" s="31">
        <v>2</v>
      </c>
      <c r="BD5" s="31">
        <v>2</v>
      </c>
      <c r="BF5" s="31">
        <v>2</v>
      </c>
      <c r="BH5" s="31">
        <v>2</v>
      </c>
      <c r="BI5" s="31" t="s">
        <v>355</v>
      </c>
      <c r="BT5" s="31">
        <v>2</v>
      </c>
      <c r="BW5" s="31">
        <v>2</v>
      </c>
      <c r="BX5" s="31">
        <v>2</v>
      </c>
      <c r="BY5" s="31">
        <v>2</v>
      </c>
      <c r="BZ5" s="31">
        <v>2</v>
      </c>
      <c r="CA5" s="31">
        <v>2</v>
      </c>
      <c r="CB5" s="31">
        <v>2</v>
      </c>
      <c r="CC5" s="31">
        <v>2</v>
      </c>
      <c r="CG5" s="31">
        <v>2</v>
      </c>
      <c r="CH5" s="31">
        <v>2</v>
      </c>
      <c r="CI5" s="31">
        <v>2</v>
      </c>
      <c r="CJ5" s="31">
        <v>2</v>
      </c>
      <c r="CK5" s="31">
        <v>2</v>
      </c>
      <c r="CL5" s="31">
        <v>2</v>
      </c>
      <c r="CM5" s="31">
        <v>2</v>
      </c>
      <c r="CQ5" s="31">
        <v>2</v>
      </c>
      <c r="CR5" s="31">
        <v>2</v>
      </c>
      <c r="CS5" s="31">
        <v>2</v>
      </c>
      <c r="CT5" s="31">
        <v>2</v>
      </c>
      <c r="CU5" s="31">
        <v>2</v>
      </c>
      <c r="CV5" s="31">
        <v>2</v>
      </c>
      <c r="CW5" s="31">
        <v>2</v>
      </c>
      <c r="DA5" s="31">
        <v>2</v>
      </c>
      <c r="DB5" s="31">
        <v>2</v>
      </c>
      <c r="DC5" s="31">
        <v>2</v>
      </c>
      <c r="DD5" s="31">
        <v>2</v>
      </c>
      <c r="DE5" s="31">
        <v>2</v>
      </c>
      <c r="DF5" s="31">
        <v>2</v>
      </c>
      <c r="DG5" s="31">
        <v>2</v>
      </c>
      <c r="DK5" s="31">
        <v>2</v>
      </c>
      <c r="DL5" s="31">
        <v>2</v>
      </c>
      <c r="DM5" s="31">
        <v>2</v>
      </c>
      <c r="DN5" s="31">
        <v>2</v>
      </c>
      <c r="DO5" s="31">
        <v>2</v>
      </c>
      <c r="DP5" s="31">
        <v>2</v>
      </c>
      <c r="DQ5" s="31">
        <v>2</v>
      </c>
      <c r="DT5" s="32"/>
      <c r="DX5" s="31" t="s">
        <v>366</v>
      </c>
      <c r="EG5" s="31">
        <v>1</v>
      </c>
      <c r="EJ5" s="31">
        <v>2</v>
      </c>
      <c r="EK5" s="31" t="s">
        <v>376</v>
      </c>
      <c r="EL5" s="31">
        <v>67</v>
      </c>
      <c r="FH5" s="31" t="s">
        <v>1126</v>
      </c>
      <c r="FI5" s="31" t="s">
        <v>384</v>
      </c>
      <c r="FJ5" s="31">
        <v>2</v>
      </c>
      <c r="FK5" s="31">
        <v>2</v>
      </c>
      <c r="FL5" s="31" t="s">
        <v>401</v>
      </c>
      <c r="FM5" s="31">
        <v>2</v>
      </c>
      <c r="FN5" s="31">
        <v>2</v>
      </c>
      <c r="FO5" s="31">
        <v>1</v>
      </c>
      <c r="FP5" s="31">
        <v>1</v>
      </c>
      <c r="FQ5" s="31">
        <v>5</v>
      </c>
      <c r="FR5" s="31">
        <v>2</v>
      </c>
      <c r="FT5" s="31">
        <v>2</v>
      </c>
      <c r="FV5" s="31">
        <v>2</v>
      </c>
      <c r="FX5" s="31">
        <v>2</v>
      </c>
      <c r="FZ5" s="31">
        <v>2</v>
      </c>
      <c r="GB5" s="31">
        <v>1</v>
      </c>
      <c r="GC5" s="31">
        <v>10</v>
      </c>
      <c r="GD5" s="31">
        <v>2</v>
      </c>
      <c r="GF5" s="31">
        <v>2</v>
      </c>
      <c r="GH5" s="31">
        <v>1</v>
      </c>
      <c r="GI5" s="31">
        <v>5</v>
      </c>
      <c r="GJ5" s="31">
        <v>2</v>
      </c>
      <c r="GL5" s="31">
        <v>2</v>
      </c>
      <c r="GN5" s="31">
        <v>2</v>
      </c>
      <c r="GP5" s="31">
        <v>2</v>
      </c>
      <c r="GR5" s="31">
        <v>2</v>
      </c>
      <c r="GT5" s="31">
        <v>1</v>
      </c>
      <c r="GU5" s="31">
        <v>10</v>
      </c>
      <c r="GV5" s="31">
        <v>2</v>
      </c>
      <c r="GX5" s="31">
        <v>1</v>
      </c>
      <c r="GY5" s="31">
        <v>2</v>
      </c>
      <c r="GZ5" s="31">
        <v>1</v>
      </c>
      <c r="HA5" s="31">
        <v>2</v>
      </c>
      <c r="HB5" s="31">
        <v>1</v>
      </c>
      <c r="HC5" s="31">
        <v>5</v>
      </c>
      <c r="HD5" s="31">
        <v>2</v>
      </c>
      <c r="HF5" s="31" t="s">
        <v>355</v>
      </c>
      <c r="HH5" s="31">
        <v>2</v>
      </c>
      <c r="HJ5" s="31">
        <v>2</v>
      </c>
      <c r="HL5" s="31">
        <v>2</v>
      </c>
      <c r="HN5" s="31">
        <v>2</v>
      </c>
      <c r="HP5" s="31">
        <v>2</v>
      </c>
      <c r="HR5" s="31">
        <v>2</v>
      </c>
      <c r="HT5" s="31">
        <v>2</v>
      </c>
      <c r="HV5" s="31">
        <v>2</v>
      </c>
      <c r="HX5" s="31">
        <v>2</v>
      </c>
      <c r="HZ5" s="31">
        <v>2</v>
      </c>
      <c r="IB5" s="31">
        <v>2</v>
      </c>
      <c r="ID5" s="31">
        <v>2</v>
      </c>
      <c r="IF5" s="31">
        <v>2</v>
      </c>
      <c r="IH5" s="31">
        <v>2</v>
      </c>
      <c r="IJ5" s="31">
        <v>2</v>
      </c>
      <c r="IL5" s="31">
        <v>2</v>
      </c>
      <c r="IN5" s="31">
        <v>2</v>
      </c>
      <c r="IP5" s="31">
        <v>2</v>
      </c>
      <c r="IR5" s="31">
        <v>2</v>
      </c>
      <c r="IT5" s="31">
        <v>2</v>
      </c>
      <c r="IV5" s="31">
        <v>2</v>
      </c>
      <c r="IX5" s="31" t="s">
        <v>355</v>
      </c>
      <c r="IZ5" s="31">
        <v>2</v>
      </c>
      <c r="JB5" s="31">
        <v>2</v>
      </c>
      <c r="JD5" s="31">
        <v>2</v>
      </c>
      <c r="JF5" s="31">
        <v>2</v>
      </c>
      <c r="JH5" s="31">
        <v>2</v>
      </c>
      <c r="JJ5" s="31">
        <v>2</v>
      </c>
      <c r="JL5" s="31">
        <v>2</v>
      </c>
      <c r="JN5" s="31">
        <v>2</v>
      </c>
      <c r="JP5" s="31">
        <v>2</v>
      </c>
      <c r="JR5" s="31">
        <v>2</v>
      </c>
      <c r="JT5" s="31">
        <v>2</v>
      </c>
      <c r="JV5" s="31">
        <v>2</v>
      </c>
      <c r="JX5" s="31">
        <v>2</v>
      </c>
      <c r="JZ5" s="31">
        <v>2</v>
      </c>
      <c r="KB5" s="31">
        <v>2</v>
      </c>
      <c r="KD5" s="31">
        <v>2</v>
      </c>
      <c r="KF5" s="31">
        <v>2</v>
      </c>
      <c r="KH5" s="31">
        <v>2</v>
      </c>
      <c r="KJ5" s="31">
        <v>2</v>
      </c>
      <c r="KL5" s="31">
        <v>2</v>
      </c>
      <c r="KN5" s="31">
        <v>2</v>
      </c>
      <c r="KP5" s="31" t="s">
        <v>355</v>
      </c>
      <c r="KR5" s="31">
        <v>2</v>
      </c>
      <c r="KS5" s="31">
        <v>2</v>
      </c>
      <c r="KT5" s="31">
        <v>2</v>
      </c>
      <c r="KU5" s="31">
        <v>2</v>
      </c>
      <c r="KV5" s="31">
        <v>2</v>
      </c>
      <c r="KW5" s="31">
        <v>2</v>
      </c>
      <c r="KX5" s="31">
        <v>2</v>
      </c>
      <c r="KY5" s="31">
        <v>2</v>
      </c>
      <c r="KZ5" s="31">
        <v>2</v>
      </c>
      <c r="LA5" s="31">
        <v>2</v>
      </c>
      <c r="LB5" s="31">
        <v>2</v>
      </c>
      <c r="LC5" s="31">
        <v>2</v>
      </c>
      <c r="LD5" s="31">
        <v>2</v>
      </c>
      <c r="LE5" s="31">
        <v>2</v>
      </c>
      <c r="LF5" s="31">
        <v>2</v>
      </c>
      <c r="LG5" s="31">
        <v>2</v>
      </c>
      <c r="LH5" s="31">
        <v>2</v>
      </c>
      <c r="LI5" s="31">
        <v>2</v>
      </c>
      <c r="LJ5" s="31">
        <v>2</v>
      </c>
      <c r="LK5" s="31">
        <v>1</v>
      </c>
      <c r="LL5" s="31">
        <v>2</v>
      </c>
      <c r="LM5" s="31">
        <v>2</v>
      </c>
      <c r="LN5" s="31">
        <v>2</v>
      </c>
      <c r="LO5" s="31">
        <v>2</v>
      </c>
      <c r="LP5" s="31">
        <v>2</v>
      </c>
      <c r="LQ5" s="31">
        <v>2</v>
      </c>
      <c r="LR5" s="31">
        <v>2</v>
      </c>
      <c r="LS5" s="31">
        <v>2</v>
      </c>
      <c r="LT5" s="31">
        <v>2</v>
      </c>
      <c r="LU5" s="31">
        <v>2</v>
      </c>
      <c r="LV5" s="31">
        <v>2</v>
      </c>
      <c r="LW5" s="31">
        <v>2</v>
      </c>
      <c r="LX5" s="31">
        <v>2</v>
      </c>
      <c r="LY5" s="31">
        <v>2</v>
      </c>
      <c r="LZ5" s="31">
        <v>2</v>
      </c>
      <c r="MA5" s="31" t="s">
        <v>1127</v>
      </c>
      <c r="MB5" s="31" t="s">
        <v>1127</v>
      </c>
      <c r="ME5" s="31">
        <v>5</v>
      </c>
      <c r="MF5" s="31">
        <v>2</v>
      </c>
      <c r="MG5" s="31">
        <v>2</v>
      </c>
      <c r="MH5" s="31">
        <v>2</v>
      </c>
      <c r="MI5" s="31">
        <v>2</v>
      </c>
      <c r="MJ5" s="31">
        <v>2</v>
      </c>
      <c r="MK5" s="31">
        <v>5</v>
      </c>
      <c r="ML5" s="31">
        <v>2</v>
      </c>
      <c r="MM5" s="31">
        <v>2</v>
      </c>
      <c r="MN5" s="31">
        <v>2</v>
      </c>
      <c r="MO5" s="31">
        <v>2</v>
      </c>
      <c r="MP5" s="31">
        <v>2</v>
      </c>
      <c r="MQ5" s="31">
        <v>2</v>
      </c>
      <c r="MR5" s="31">
        <v>2</v>
      </c>
      <c r="MS5" s="31">
        <v>2</v>
      </c>
    </row>
    <row r="6" spans="1:547" s="31" customFormat="1" ht="13.5" customHeight="1">
      <c r="A6" s="31">
        <v>4</v>
      </c>
      <c r="B6" s="31">
        <v>4</v>
      </c>
      <c r="C6" s="31" t="s">
        <v>1115</v>
      </c>
      <c r="D6" s="31" t="s">
        <v>1128</v>
      </c>
      <c r="E6" s="31">
        <v>3</v>
      </c>
      <c r="H6" s="31">
        <v>42312</v>
      </c>
      <c r="I6" s="31">
        <v>18248</v>
      </c>
      <c r="J6" s="31">
        <v>1</v>
      </c>
      <c r="K6" s="31">
        <v>1</v>
      </c>
      <c r="L6" s="31">
        <v>5</v>
      </c>
      <c r="M6" s="31">
        <v>2</v>
      </c>
      <c r="N6" s="31">
        <v>3</v>
      </c>
      <c r="O6" s="31">
        <v>2</v>
      </c>
      <c r="P6" s="31">
        <v>2</v>
      </c>
      <c r="Q6" s="31">
        <v>1</v>
      </c>
      <c r="R6" s="31">
        <v>2</v>
      </c>
      <c r="S6" s="31">
        <v>2</v>
      </c>
      <c r="T6" s="31">
        <v>1</v>
      </c>
      <c r="U6" s="31">
        <v>2</v>
      </c>
      <c r="V6" s="31">
        <v>2</v>
      </c>
      <c r="W6" s="31">
        <v>2</v>
      </c>
      <c r="X6" s="31">
        <v>2</v>
      </c>
      <c r="Y6" s="31">
        <v>2</v>
      </c>
      <c r="Z6" s="31">
        <v>4</v>
      </c>
      <c r="AA6" s="31">
        <v>2</v>
      </c>
      <c r="AB6" s="31">
        <v>2</v>
      </c>
      <c r="AC6" s="31">
        <v>2</v>
      </c>
      <c r="AD6" s="31">
        <v>1</v>
      </c>
      <c r="AE6" s="31">
        <v>1</v>
      </c>
      <c r="AF6" s="31">
        <v>2</v>
      </c>
      <c r="AH6" s="31">
        <v>2</v>
      </c>
      <c r="AI6" s="31">
        <v>2</v>
      </c>
      <c r="AJ6" s="31">
        <v>2</v>
      </c>
      <c r="AK6" s="31" t="s">
        <v>357</v>
      </c>
      <c r="AL6" s="31">
        <v>2</v>
      </c>
      <c r="AM6" s="31" t="s">
        <v>357</v>
      </c>
      <c r="AN6" s="31" t="s">
        <v>357</v>
      </c>
      <c r="AO6" s="31">
        <v>2</v>
      </c>
      <c r="AQ6" s="31">
        <v>2</v>
      </c>
      <c r="AS6" s="31">
        <v>2</v>
      </c>
      <c r="AV6" s="31">
        <v>2</v>
      </c>
      <c r="AX6" s="31">
        <v>2</v>
      </c>
      <c r="AZ6" s="31">
        <v>2</v>
      </c>
      <c r="BB6" s="31">
        <v>2</v>
      </c>
      <c r="BD6" s="31">
        <v>2</v>
      </c>
      <c r="BI6" s="31" t="s">
        <v>355</v>
      </c>
      <c r="BT6" s="31">
        <v>2</v>
      </c>
      <c r="BW6" s="31">
        <v>2</v>
      </c>
      <c r="BX6" s="31">
        <v>2</v>
      </c>
      <c r="BY6" s="31">
        <v>2</v>
      </c>
      <c r="BZ6" s="31">
        <v>2</v>
      </c>
      <c r="CA6" s="31">
        <v>2</v>
      </c>
      <c r="CB6" s="31">
        <v>2</v>
      </c>
      <c r="CC6" s="31">
        <v>2</v>
      </c>
      <c r="CG6" s="31">
        <v>2</v>
      </c>
      <c r="CH6" s="31">
        <v>2</v>
      </c>
      <c r="CI6" s="31">
        <v>2</v>
      </c>
      <c r="CJ6" s="31">
        <v>2</v>
      </c>
      <c r="CK6" s="31">
        <v>2</v>
      </c>
      <c r="CL6" s="31">
        <v>2</v>
      </c>
      <c r="CM6" s="31">
        <v>2</v>
      </c>
      <c r="CQ6" s="31">
        <v>2</v>
      </c>
      <c r="CR6" s="31">
        <v>2</v>
      </c>
      <c r="CS6" s="31">
        <v>2</v>
      </c>
      <c r="CT6" s="31">
        <v>2</v>
      </c>
      <c r="CU6" s="31">
        <v>2</v>
      </c>
      <c r="CV6" s="31">
        <v>2</v>
      </c>
      <c r="CW6" s="31">
        <v>2</v>
      </c>
      <c r="DA6" s="31">
        <v>2</v>
      </c>
      <c r="DB6" s="31">
        <v>2</v>
      </c>
      <c r="DC6" s="31">
        <v>2</v>
      </c>
      <c r="DD6" s="31">
        <v>2</v>
      </c>
      <c r="DE6" s="31">
        <v>2</v>
      </c>
      <c r="DF6" s="31">
        <v>2</v>
      </c>
      <c r="DG6" s="31">
        <v>2</v>
      </c>
      <c r="DK6" s="31">
        <v>2</v>
      </c>
      <c r="DL6" s="31">
        <v>2</v>
      </c>
      <c r="DM6" s="31">
        <v>2</v>
      </c>
      <c r="DN6" s="31">
        <v>2</v>
      </c>
      <c r="DO6" s="31">
        <v>2</v>
      </c>
      <c r="DP6" s="31">
        <v>2</v>
      </c>
      <c r="DQ6" s="31">
        <v>2</v>
      </c>
      <c r="EG6" s="31">
        <v>1</v>
      </c>
      <c r="EJ6" s="31">
        <v>2</v>
      </c>
      <c r="EL6" s="31">
        <v>67</v>
      </c>
      <c r="FH6" s="31" t="s">
        <v>359</v>
      </c>
      <c r="FI6" s="31" t="s">
        <v>359</v>
      </c>
      <c r="FJ6" s="31">
        <v>2</v>
      </c>
      <c r="FK6" s="31">
        <v>1</v>
      </c>
      <c r="FL6" s="31" t="s">
        <v>424</v>
      </c>
      <c r="FM6" s="31">
        <v>2</v>
      </c>
      <c r="FN6" s="31">
        <v>2</v>
      </c>
      <c r="FO6" s="31">
        <v>2</v>
      </c>
      <c r="FP6" s="31">
        <v>2</v>
      </c>
      <c r="FR6" s="31">
        <v>2</v>
      </c>
      <c r="FT6" s="31">
        <v>2</v>
      </c>
      <c r="FV6" s="31">
        <v>2</v>
      </c>
      <c r="FX6" s="31">
        <v>2</v>
      </c>
      <c r="FZ6" s="31">
        <v>2</v>
      </c>
      <c r="GB6" s="31">
        <v>2</v>
      </c>
      <c r="GD6" s="31">
        <v>2</v>
      </c>
      <c r="GF6" s="31">
        <v>2</v>
      </c>
      <c r="GH6" s="31">
        <v>2</v>
      </c>
      <c r="GJ6" s="31">
        <v>2</v>
      </c>
      <c r="GL6" s="31">
        <v>2</v>
      </c>
      <c r="GN6" s="31">
        <v>2</v>
      </c>
      <c r="GP6" s="31">
        <v>2</v>
      </c>
      <c r="GR6" s="31">
        <v>2</v>
      </c>
      <c r="GT6" s="31">
        <v>2</v>
      </c>
      <c r="GV6" s="31">
        <v>2</v>
      </c>
      <c r="GX6" s="31">
        <v>2</v>
      </c>
      <c r="GZ6" s="31">
        <v>2</v>
      </c>
      <c r="HB6" s="31">
        <v>2</v>
      </c>
      <c r="HD6" s="31">
        <v>2</v>
      </c>
      <c r="HF6" s="31" t="s">
        <v>355</v>
      </c>
      <c r="HH6" s="31">
        <v>2</v>
      </c>
      <c r="HJ6" s="31">
        <v>2</v>
      </c>
      <c r="HL6" s="31">
        <v>2</v>
      </c>
      <c r="HN6" s="31">
        <v>2</v>
      </c>
      <c r="HP6" s="31">
        <v>2</v>
      </c>
      <c r="HR6" s="31">
        <v>2</v>
      </c>
      <c r="HT6" s="31">
        <v>2</v>
      </c>
      <c r="HV6" s="31">
        <v>2</v>
      </c>
      <c r="HX6" s="31">
        <v>2</v>
      </c>
      <c r="HZ6" s="31">
        <v>2</v>
      </c>
      <c r="IB6" s="31">
        <v>2</v>
      </c>
      <c r="ID6" s="31">
        <v>2</v>
      </c>
      <c r="IF6" s="31">
        <v>2</v>
      </c>
      <c r="IH6" s="31">
        <v>2</v>
      </c>
      <c r="IJ6" s="31">
        <v>2</v>
      </c>
      <c r="IL6" s="31">
        <v>2</v>
      </c>
      <c r="IN6" s="31">
        <v>2</v>
      </c>
      <c r="IP6" s="31">
        <v>2</v>
      </c>
      <c r="IR6" s="31">
        <v>2</v>
      </c>
      <c r="IT6" s="31">
        <v>2</v>
      </c>
      <c r="IV6" s="31">
        <v>2</v>
      </c>
      <c r="IX6" s="31" t="s">
        <v>355</v>
      </c>
      <c r="IZ6" s="31">
        <v>2</v>
      </c>
      <c r="JB6" s="31">
        <v>2</v>
      </c>
      <c r="JD6" s="31">
        <v>2</v>
      </c>
      <c r="JF6" s="31">
        <v>2</v>
      </c>
      <c r="JH6" s="31">
        <v>2</v>
      </c>
      <c r="JJ6" s="31">
        <v>2</v>
      </c>
      <c r="JL6" s="31">
        <v>2</v>
      </c>
      <c r="JN6" s="31">
        <v>2</v>
      </c>
      <c r="JP6" s="31">
        <v>2</v>
      </c>
      <c r="JR6" s="31">
        <v>2</v>
      </c>
      <c r="JT6" s="31">
        <v>2</v>
      </c>
      <c r="JV6" s="31">
        <v>2</v>
      </c>
      <c r="JX6" s="31">
        <v>2</v>
      </c>
      <c r="JZ6" s="31">
        <v>2</v>
      </c>
      <c r="KB6" s="31">
        <v>2</v>
      </c>
      <c r="KD6" s="31">
        <v>2</v>
      </c>
      <c r="KF6" s="31">
        <v>2</v>
      </c>
      <c r="KH6" s="31">
        <v>2</v>
      </c>
      <c r="KJ6" s="31">
        <v>2</v>
      </c>
      <c r="KL6" s="31">
        <v>2</v>
      </c>
      <c r="KN6" s="31">
        <v>2</v>
      </c>
      <c r="KP6" s="31" t="s">
        <v>355</v>
      </c>
      <c r="KR6" s="31">
        <v>2</v>
      </c>
      <c r="KS6" s="31">
        <v>2</v>
      </c>
      <c r="KT6" s="31">
        <v>2</v>
      </c>
      <c r="KU6" s="31">
        <v>2</v>
      </c>
      <c r="KV6" s="31">
        <v>2</v>
      </c>
      <c r="KW6" s="31">
        <v>2</v>
      </c>
      <c r="KX6" s="31">
        <v>2</v>
      </c>
      <c r="KY6" s="31">
        <v>2</v>
      </c>
      <c r="KZ6" s="31">
        <v>2</v>
      </c>
      <c r="LA6" s="31">
        <v>2</v>
      </c>
      <c r="LB6" s="31">
        <v>2</v>
      </c>
      <c r="LC6" s="31">
        <v>2</v>
      </c>
      <c r="LD6" s="31">
        <v>2</v>
      </c>
      <c r="LE6" s="31">
        <v>2</v>
      </c>
      <c r="LF6" s="31">
        <v>2</v>
      </c>
      <c r="LG6" s="31">
        <v>2</v>
      </c>
      <c r="LH6" s="31">
        <v>2</v>
      </c>
      <c r="LI6" s="31">
        <v>2</v>
      </c>
      <c r="LJ6" s="31">
        <v>2</v>
      </c>
      <c r="LK6" s="31">
        <v>2</v>
      </c>
      <c r="LL6" s="31">
        <v>1</v>
      </c>
      <c r="LM6" s="31">
        <v>2</v>
      </c>
      <c r="LN6" s="31">
        <v>2</v>
      </c>
      <c r="LO6" s="31">
        <v>2</v>
      </c>
      <c r="LP6" s="31">
        <v>2</v>
      </c>
      <c r="LQ6" s="31">
        <v>2</v>
      </c>
      <c r="LR6" s="31">
        <v>2</v>
      </c>
      <c r="LS6" s="31">
        <v>2</v>
      </c>
      <c r="LT6" s="31">
        <v>2</v>
      </c>
      <c r="LU6" s="31">
        <v>2</v>
      </c>
      <c r="LV6" s="31">
        <v>2</v>
      </c>
      <c r="LW6" s="31">
        <v>2</v>
      </c>
      <c r="LX6" s="31">
        <v>2</v>
      </c>
      <c r="LY6" s="31">
        <v>2</v>
      </c>
      <c r="LZ6" s="31">
        <v>2</v>
      </c>
      <c r="MA6" s="31" t="s">
        <v>1129</v>
      </c>
      <c r="MB6" s="31" t="s">
        <v>1129</v>
      </c>
      <c r="ME6" s="31">
        <v>5</v>
      </c>
      <c r="MF6" s="31">
        <v>2</v>
      </c>
      <c r="MG6" s="31">
        <v>2</v>
      </c>
      <c r="MH6" s="31">
        <v>2</v>
      </c>
      <c r="MI6" s="31">
        <v>2</v>
      </c>
      <c r="MJ6" s="31">
        <v>2</v>
      </c>
      <c r="MK6" s="31">
        <v>5</v>
      </c>
      <c r="ML6" s="31">
        <v>2</v>
      </c>
      <c r="MM6" s="31">
        <v>2</v>
      </c>
      <c r="MN6" s="31">
        <v>2</v>
      </c>
      <c r="MO6" s="31">
        <v>2</v>
      </c>
      <c r="MP6" s="31">
        <v>2</v>
      </c>
      <c r="MQ6" s="31">
        <v>2</v>
      </c>
      <c r="MR6" s="31">
        <v>2</v>
      </c>
      <c r="MS6" s="31">
        <v>2</v>
      </c>
    </row>
    <row r="7" spans="1:547" s="31" customFormat="1" ht="13.5" customHeight="1">
      <c r="A7" s="31">
        <v>5</v>
      </c>
      <c r="B7" s="31">
        <v>5</v>
      </c>
      <c r="C7" s="31" t="s">
        <v>1115</v>
      </c>
      <c r="D7" s="31" t="s">
        <v>1130</v>
      </c>
      <c r="E7" s="31">
        <v>3</v>
      </c>
      <c r="H7" s="31">
        <v>42312</v>
      </c>
      <c r="I7" s="31">
        <v>24253</v>
      </c>
      <c r="J7" s="31">
        <v>1</v>
      </c>
      <c r="K7" s="31">
        <v>1</v>
      </c>
      <c r="L7" s="31">
        <v>5</v>
      </c>
      <c r="M7" s="31">
        <v>2</v>
      </c>
      <c r="N7" s="31">
        <v>2</v>
      </c>
      <c r="O7" s="31">
        <v>1</v>
      </c>
      <c r="P7" s="31">
        <v>4</v>
      </c>
      <c r="Q7" s="31">
        <v>2</v>
      </c>
      <c r="R7" s="31">
        <v>2</v>
      </c>
      <c r="S7" s="31">
        <v>2</v>
      </c>
      <c r="T7" s="31">
        <v>2</v>
      </c>
      <c r="U7" s="31">
        <v>2</v>
      </c>
      <c r="V7" s="31">
        <v>2</v>
      </c>
      <c r="W7" s="31">
        <v>2</v>
      </c>
      <c r="X7" s="31">
        <v>2</v>
      </c>
      <c r="Y7" s="31">
        <v>2</v>
      </c>
      <c r="Z7" s="31">
        <v>4</v>
      </c>
      <c r="AA7" s="31">
        <v>2</v>
      </c>
      <c r="AB7" s="31">
        <v>2</v>
      </c>
      <c r="AC7" s="31">
        <v>2</v>
      </c>
      <c r="AD7" s="31">
        <v>1</v>
      </c>
      <c r="AE7" s="31">
        <v>1</v>
      </c>
      <c r="AF7" s="31">
        <v>2</v>
      </c>
      <c r="AH7" s="31">
        <v>2</v>
      </c>
      <c r="AI7" s="31">
        <v>2</v>
      </c>
      <c r="AJ7" s="31">
        <v>2</v>
      </c>
      <c r="AK7" s="31" t="s">
        <v>357</v>
      </c>
      <c r="AL7" s="31">
        <v>2</v>
      </c>
      <c r="AM7" s="31" t="s">
        <v>357</v>
      </c>
      <c r="AN7" s="31" t="s">
        <v>357</v>
      </c>
      <c r="AO7" s="31">
        <v>1</v>
      </c>
      <c r="AP7" s="31" t="s">
        <v>1131</v>
      </c>
      <c r="AQ7" s="31">
        <v>1</v>
      </c>
      <c r="AS7" s="31">
        <v>2</v>
      </c>
      <c r="AV7" s="31">
        <v>2</v>
      </c>
      <c r="AX7" s="31">
        <v>2</v>
      </c>
      <c r="AZ7" s="31">
        <v>2</v>
      </c>
      <c r="BB7" s="31">
        <v>2</v>
      </c>
      <c r="BD7" s="31">
        <v>2</v>
      </c>
      <c r="BI7" s="31" t="s">
        <v>355</v>
      </c>
      <c r="BT7" s="31">
        <v>2</v>
      </c>
      <c r="BW7" s="31">
        <v>2</v>
      </c>
      <c r="BX7" s="31">
        <v>2</v>
      </c>
      <c r="BY7" s="31">
        <v>2</v>
      </c>
      <c r="BZ7" s="31">
        <v>2</v>
      </c>
      <c r="CA7" s="31">
        <v>2</v>
      </c>
      <c r="CB7" s="31">
        <v>2</v>
      </c>
      <c r="CC7" s="31">
        <v>2</v>
      </c>
      <c r="CG7" s="31">
        <v>2</v>
      </c>
      <c r="CH7" s="31">
        <v>2</v>
      </c>
      <c r="CI7" s="31">
        <v>2</v>
      </c>
      <c r="CJ7" s="31">
        <v>2</v>
      </c>
      <c r="CK7" s="31">
        <v>2</v>
      </c>
      <c r="CL7" s="31">
        <v>2</v>
      </c>
      <c r="CM7" s="31">
        <v>2</v>
      </c>
      <c r="CQ7" s="31">
        <v>1</v>
      </c>
      <c r="CR7" s="31">
        <v>1</v>
      </c>
      <c r="CS7" s="31">
        <v>2</v>
      </c>
      <c r="CT7" s="31">
        <v>2</v>
      </c>
      <c r="CU7" s="31">
        <v>2</v>
      </c>
      <c r="CV7" s="31">
        <v>2</v>
      </c>
      <c r="CW7" s="31">
        <v>2</v>
      </c>
      <c r="DA7" s="31">
        <v>2</v>
      </c>
      <c r="DB7" s="31">
        <v>2</v>
      </c>
      <c r="DC7" s="31">
        <v>2</v>
      </c>
      <c r="DD7" s="31">
        <v>2</v>
      </c>
      <c r="DE7" s="31">
        <v>2</v>
      </c>
      <c r="DF7" s="31">
        <v>2</v>
      </c>
      <c r="DG7" s="31">
        <v>2</v>
      </c>
      <c r="DK7" s="31">
        <v>2</v>
      </c>
      <c r="DL7" s="31">
        <v>2</v>
      </c>
      <c r="DM7" s="31">
        <v>2</v>
      </c>
      <c r="DN7" s="31">
        <v>2</v>
      </c>
      <c r="DO7" s="31">
        <v>2</v>
      </c>
      <c r="DP7" s="31">
        <v>2</v>
      </c>
      <c r="DQ7" s="31">
        <v>2</v>
      </c>
      <c r="DX7" s="31" t="s">
        <v>1132</v>
      </c>
      <c r="EG7" s="31">
        <v>1</v>
      </c>
      <c r="EJ7" s="31">
        <v>2</v>
      </c>
      <c r="EK7" s="31" t="s">
        <v>405</v>
      </c>
      <c r="FJ7" s="31">
        <v>2</v>
      </c>
      <c r="FL7" s="31" t="s">
        <v>386</v>
      </c>
      <c r="FM7" s="31">
        <v>2</v>
      </c>
      <c r="FN7" s="31">
        <v>2</v>
      </c>
      <c r="FO7" s="31">
        <v>2</v>
      </c>
      <c r="FP7" s="31">
        <v>2</v>
      </c>
      <c r="FR7" s="31">
        <v>2</v>
      </c>
      <c r="FT7" s="31">
        <v>2</v>
      </c>
      <c r="FV7" s="31">
        <v>2</v>
      </c>
      <c r="FX7" s="31">
        <v>2</v>
      </c>
      <c r="FZ7" s="31">
        <v>2</v>
      </c>
      <c r="GB7" s="31">
        <v>2</v>
      </c>
      <c r="GD7" s="31">
        <v>2</v>
      </c>
      <c r="GF7" s="31">
        <v>2</v>
      </c>
      <c r="GH7" s="31">
        <v>2</v>
      </c>
      <c r="GJ7" s="31">
        <v>2</v>
      </c>
      <c r="GL7" s="31">
        <v>2</v>
      </c>
      <c r="GN7" s="31">
        <v>2</v>
      </c>
      <c r="GP7" s="31">
        <v>2</v>
      </c>
      <c r="GR7" s="31">
        <v>2</v>
      </c>
      <c r="GT7" s="31">
        <v>2</v>
      </c>
      <c r="GV7" s="31">
        <v>2</v>
      </c>
      <c r="GX7" s="31">
        <v>2</v>
      </c>
      <c r="GZ7" s="31">
        <v>2</v>
      </c>
      <c r="HB7" s="31">
        <v>2</v>
      </c>
      <c r="HD7" s="31">
        <v>2</v>
      </c>
      <c r="HF7" s="31" t="s">
        <v>355</v>
      </c>
      <c r="HH7" s="31">
        <v>2</v>
      </c>
      <c r="HJ7" s="31">
        <v>2</v>
      </c>
      <c r="HL7" s="31">
        <v>2</v>
      </c>
      <c r="HN7" s="31">
        <v>2</v>
      </c>
      <c r="HP7" s="31">
        <v>2</v>
      </c>
      <c r="HR7" s="31">
        <v>2</v>
      </c>
      <c r="HT7" s="31">
        <v>2</v>
      </c>
      <c r="HV7" s="31">
        <v>2</v>
      </c>
      <c r="HX7" s="31">
        <v>2</v>
      </c>
      <c r="HZ7" s="31">
        <v>2</v>
      </c>
      <c r="IB7" s="31">
        <v>2</v>
      </c>
      <c r="ID7" s="31">
        <v>2</v>
      </c>
      <c r="IF7" s="31">
        <v>2</v>
      </c>
      <c r="IH7" s="31">
        <v>2</v>
      </c>
      <c r="IJ7" s="31">
        <v>2</v>
      </c>
      <c r="IL7" s="31">
        <v>2</v>
      </c>
      <c r="IN7" s="31">
        <v>2</v>
      </c>
      <c r="IP7" s="31">
        <v>2</v>
      </c>
      <c r="IR7" s="31">
        <v>2</v>
      </c>
      <c r="IT7" s="31">
        <v>2</v>
      </c>
      <c r="IV7" s="31">
        <v>2</v>
      </c>
      <c r="IX7" s="31" t="s">
        <v>355</v>
      </c>
      <c r="IZ7" s="31">
        <v>2</v>
      </c>
      <c r="JB7" s="31">
        <v>2</v>
      </c>
      <c r="JD7" s="31">
        <v>2</v>
      </c>
      <c r="JF7" s="31">
        <v>2</v>
      </c>
      <c r="JH7" s="31">
        <v>2</v>
      </c>
      <c r="JJ7" s="31">
        <v>2</v>
      </c>
      <c r="JL7" s="31">
        <v>2</v>
      </c>
      <c r="JN7" s="31">
        <v>2</v>
      </c>
      <c r="JP7" s="31">
        <v>2</v>
      </c>
      <c r="JR7" s="31">
        <v>2</v>
      </c>
      <c r="JT7" s="31">
        <v>2</v>
      </c>
      <c r="JV7" s="31">
        <v>2</v>
      </c>
      <c r="JX7" s="31">
        <v>2</v>
      </c>
      <c r="JZ7" s="31">
        <v>2</v>
      </c>
      <c r="KB7" s="31">
        <v>2</v>
      </c>
      <c r="KD7" s="31">
        <v>2</v>
      </c>
      <c r="KF7" s="31">
        <v>2</v>
      </c>
      <c r="KH7" s="31">
        <v>2</v>
      </c>
      <c r="KJ7" s="31">
        <v>2</v>
      </c>
      <c r="KL7" s="31">
        <v>2</v>
      </c>
      <c r="KN7" s="31">
        <v>2</v>
      </c>
      <c r="KP7" s="31" t="s">
        <v>355</v>
      </c>
      <c r="KR7" s="31">
        <v>1</v>
      </c>
      <c r="KS7" s="31">
        <v>2</v>
      </c>
      <c r="KT7" s="31">
        <v>2</v>
      </c>
      <c r="KU7" s="31">
        <v>2</v>
      </c>
      <c r="KV7" s="31">
        <v>2</v>
      </c>
      <c r="KW7" s="31">
        <v>2</v>
      </c>
      <c r="KX7" s="31">
        <v>2</v>
      </c>
      <c r="KY7" s="31">
        <v>2</v>
      </c>
      <c r="KZ7" s="31">
        <v>2</v>
      </c>
      <c r="LA7" s="31">
        <v>2</v>
      </c>
      <c r="LB7" s="31">
        <v>2</v>
      </c>
      <c r="LC7" s="31">
        <v>1</v>
      </c>
      <c r="LD7" s="31">
        <v>2</v>
      </c>
      <c r="LE7" s="31">
        <v>2</v>
      </c>
      <c r="LF7" s="31">
        <v>2</v>
      </c>
      <c r="LG7" s="31">
        <v>2</v>
      </c>
      <c r="LH7" s="31">
        <v>2</v>
      </c>
      <c r="LI7" s="31">
        <v>2</v>
      </c>
      <c r="LJ7" s="31">
        <v>2</v>
      </c>
      <c r="LK7" s="31">
        <v>2</v>
      </c>
      <c r="LL7" s="31">
        <v>2</v>
      </c>
      <c r="LM7" s="31">
        <v>2</v>
      </c>
      <c r="LN7" s="31">
        <v>2</v>
      </c>
      <c r="LO7" s="31">
        <v>2</v>
      </c>
      <c r="LP7" s="31">
        <v>2</v>
      </c>
      <c r="LQ7" s="31">
        <v>2</v>
      </c>
      <c r="LR7" s="31">
        <v>2</v>
      </c>
      <c r="LS7" s="31">
        <v>1</v>
      </c>
      <c r="LT7" s="31">
        <v>2</v>
      </c>
      <c r="LU7" s="31">
        <v>2</v>
      </c>
      <c r="LV7" s="31">
        <v>2</v>
      </c>
      <c r="LW7" s="31">
        <v>2</v>
      </c>
      <c r="LX7" s="31">
        <v>2</v>
      </c>
      <c r="LY7" s="31">
        <v>1</v>
      </c>
      <c r="LZ7" s="31">
        <v>2</v>
      </c>
      <c r="MA7" s="31" t="s">
        <v>362</v>
      </c>
      <c r="MB7" s="31" t="s">
        <v>362</v>
      </c>
      <c r="ME7" s="31">
        <v>4</v>
      </c>
      <c r="MF7" s="31">
        <v>2</v>
      </c>
      <c r="MG7" s="31">
        <v>2</v>
      </c>
      <c r="MH7" s="31">
        <v>2</v>
      </c>
      <c r="MI7" s="31">
        <v>2</v>
      </c>
      <c r="MJ7" s="31">
        <v>2</v>
      </c>
      <c r="MK7" s="31">
        <v>4</v>
      </c>
      <c r="ML7" s="31">
        <v>2</v>
      </c>
      <c r="MM7" s="31">
        <v>2</v>
      </c>
      <c r="MN7" s="31">
        <v>2</v>
      </c>
      <c r="MO7" s="31">
        <v>2</v>
      </c>
      <c r="MP7" s="31">
        <v>2</v>
      </c>
      <c r="MQ7" s="31">
        <v>2</v>
      </c>
      <c r="MR7" s="31">
        <v>2</v>
      </c>
      <c r="MS7" s="31">
        <v>2</v>
      </c>
    </row>
    <row r="8" spans="1:547" s="31" customFormat="1" ht="13.5" customHeight="1">
      <c r="A8" s="31">
        <v>6</v>
      </c>
      <c r="B8" s="31">
        <v>6</v>
      </c>
      <c r="C8" s="31" t="s">
        <v>1115</v>
      </c>
      <c r="D8" s="31" t="s">
        <v>1133</v>
      </c>
      <c r="E8" s="31">
        <v>3</v>
      </c>
      <c r="H8" s="31">
        <v>42326</v>
      </c>
      <c r="I8" s="31">
        <v>15814</v>
      </c>
      <c r="J8" s="31">
        <v>1</v>
      </c>
      <c r="K8" s="31">
        <v>1</v>
      </c>
      <c r="L8" s="31">
        <v>2</v>
      </c>
      <c r="M8" s="31">
        <v>1</v>
      </c>
      <c r="N8" s="31">
        <v>2</v>
      </c>
      <c r="O8" s="31">
        <v>1</v>
      </c>
      <c r="P8" s="31">
        <v>2</v>
      </c>
      <c r="Q8" s="31">
        <v>1</v>
      </c>
      <c r="R8" s="31">
        <v>1</v>
      </c>
      <c r="S8" s="31">
        <v>1</v>
      </c>
      <c r="T8" s="31">
        <v>1</v>
      </c>
      <c r="U8" s="31">
        <v>1</v>
      </c>
      <c r="V8" s="31">
        <v>2</v>
      </c>
      <c r="W8" s="31">
        <v>2</v>
      </c>
      <c r="X8" s="31">
        <v>2</v>
      </c>
      <c r="Y8" s="31">
        <v>2</v>
      </c>
      <c r="Z8" s="31">
        <v>4</v>
      </c>
      <c r="AA8" s="31">
        <v>2</v>
      </c>
      <c r="AB8" s="31">
        <v>2</v>
      </c>
      <c r="AC8" s="31">
        <v>2</v>
      </c>
      <c r="AD8" s="31">
        <v>1</v>
      </c>
      <c r="AE8" s="31">
        <v>1</v>
      </c>
      <c r="AF8" s="31">
        <v>2</v>
      </c>
      <c r="AH8" s="31">
        <v>2</v>
      </c>
      <c r="AI8" s="31">
        <v>2</v>
      </c>
      <c r="AJ8" s="31">
        <v>2</v>
      </c>
      <c r="AK8" s="31" t="s">
        <v>357</v>
      </c>
      <c r="AL8" s="31">
        <v>2</v>
      </c>
      <c r="AM8" s="31" t="s">
        <v>357</v>
      </c>
      <c r="AN8" s="31" t="s">
        <v>357</v>
      </c>
      <c r="AO8" s="31">
        <v>2</v>
      </c>
      <c r="AQ8" s="31">
        <v>2</v>
      </c>
      <c r="AS8" s="31">
        <v>2</v>
      </c>
      <c r="AV8" s="31">
        <v>2</v>
      </c>
      <c r="AX8" s="31">
        <v>2</v>
      </c>
      <c r="AZ8" s="31">
        <v>2</v>
      </c>
      <c r="BB8" s="31">
        <v>1</v>
      </c>
      <c r="BC8" s="31" t="s">
        <v>1134</v>
      </c>
      <c r="BD8" s="31">
        <v>2</v>
      </c>
      <c r="BI8" s="31" t="s">
        <v>355</v>
      </c>
      <c r="BT8" s="31">
        <v>2</v>
      </c>
      <c r="BW8" s="31">
        <v>2</v>
      </c>
      <c r="BX8" s="31">
        <v>2</v>
      </c>
      <c r="BY8" s="31">
        <v>2</v>
      </c>
      <c r="BZ8" s="31">
        <v>2</v>
      </c>
      <c r="CA8" s="31">
        <v>2</v>
      </c>
      <c r="CB8" s="31">
        <v>2</v>
      </c>
      <c r="CC8" s="31">
        <v>2</v>
      </c>
      <c r="CG8" s="31">
        <v>2</v>
      </c>
      <c r="CH8" s="31">
        <v>2</v>
      </c>
      <c r="CI8" s="31">
        <v>2</v>
      </c>
      <c r="CJ8" s="31">
        <v>2</v>
      </c>
      <c r="CK8" s="31">
        <v>2</v>
      </c>
      <c r="CL8" s="31">
        <v>2</v>
      </c>
      <c r="CM8" s="31">
        <v>2</v>
      </c>
      <c r="CQ8" s="31">
        <v>2</v>
      </c>
      <c r="CR8" s="31">
        <v>2</v>
      </c>
      <c r="CS8" s="31">
        <v>2</v>
      </c>
      <c r="CT8" s="31">
        <v>2</v>
      </c>
      <c r="CU8" s="31">
        <v>2</v>
      </c>
      <c r="CV8" s="31">
        <v>2</v>
      </c>
      <c r="CW8" s="31">
        <v>2</v>
      </c>
      <c r="DA8" s="31">
        <v>2</v>
      </c>
      <c r="DB8" s="31">
        <v>2</v>
      </c>
      <c r="DC8" s="31">
        <v>2</v>
      </c>
      <c r="DD8" s="31">
        <v>2</v>
      </c>
      <c r="DE8" s="31">
        <v>2</v>
      </c>
      <c r="DF8" s="31">
        <v>2</v>
      </c>
      <c r="DG8" s="31">
        <v>2</v>
      </c>
      <c r="DK8" s="31">
        <v>2</v>
      </c>
      <c r="DL8" s="31">
        <v>2</v>
      </c>
      <c r="DM8" s="31">
        <v>2</v>
      </c>
      <c r="DN8" s="31">
        <v>2</v>
      </c>
      <c r="DO8" s="31">
        <v>2</v>
      </c>
      <c r="DP8" s="31">
        <v>2</v>
      </c>
      <c r="DQ8" s="31">
        <v>2</v>
      </c>
      <c r="EG8" s="31">
        <v>2</v>
      </c>
      <c r="EH8" s="31" t="s">
        <v>388</v>
      </c>
      <c r="EI8" s="31">
        <v>98</v>
      </c>
      <c r="EJ8" s="31">
        <v>2</v>
      </c>
      <c r="EL8" s="31">
        <v>80</v>
      </c>
      <c r="FH8" s="31" t="s">
        <v>386</v>
      </c>
      <c r="FI8" s="31" t="s">
        <v>379</v>
      </c>
      <c r="FJ8" s="31">
        <v>2</v>
      </c>
      <c r="FL8" s="31" t="s">
        <v>424</v>
      </c>
      <c r="FM8" s="31">
        <v>2</v>
      </c>
      <c r="FN8" s="31">
        <v>2</v>
      </c>
      <c r="FO8" s="31">
        <v>2</v>
      </c>
      <c r="FP8" s="31">
        <v>2</v>
      </c>
      <c r="FR8" s="31">
        <v>2</v>
      </c>
      <c r="FT8" s="31">
        <v>2</v>
      </c>
      <c r="FV8" s="31">
        <v>2</v>
      </c>
      <c r="FX8" s="31">
        <v>2</v>
      </c>
      <c r="FZ8" s="31">
        <v>2</v>
      </c>
      <c r="GB8" s="31">
        <v>2</v>
      </c>
      <c r="GD8" s="31">
        <v>2</v>
      </c>
      <c r="GF8" s="31">
        <v>2</v>
      </c>
      <c r="GH8" s="31">
        <v>2</v>
      </c>
      <c r="GJ8" s="31">
        <v>2</v>
      </c>
      <c r="GL8" s="31">
        <v>2</v>
      </c>
      <c r="GN8" s="31">
        <v>2</v>
      </c>
      <c r="GP8" s="31">
        <v>2</v>
      </c>
      <c r="GR8" s="31">
        <v>2</v>
      </c>
      <c r="GT8" s="31">
        <v>2</v>
      </c>
      <c r="GV8" s="31">
        <v>2</v>
      </c>
      <c r="GX8" s="31">
        <v>2</v>
      </c>
      <c r="GZ8" s="31">
        <v>2</v>
      </c>
      <c r="HB8" s="31">
        <v>2</v>
      </c>
      <c r="HD8" s="31">
        <v>2</v>
      </c>
      <c r="HF8" s="31" t="s">
        <v>355</v>
      </c>
      <c r="HH8" s="31">
        <v>2</v>
      </c>
      <c r="HJ8" s="31">
        <v>2</v>
      </c>
      <c r="HL8" s="31">
        <v>2</v>
      </c>
      <c r="HN8" s="31">
        <v>2</v>
      </c>
      <c r="HP8" s="31">
        <v>2</v>
      </c>
      <c r="HR8" s="31">
        <v>2</v>
      </c>
      <c r="HT8" s="31">
        <v>2</v>
      </c>
      <c r="HV8" s="31">
        <v>2</v>
      </c>
      <c r="HX8" s="31">
        <v>2</v>
      </c>
      <c r="HZ8" s="31">
        <v>2</v>
      </c>
      <c r="IB8" s="31">
        <v>2</v>
      </c>
      <c r="ID8" s="31">
        <v>2</v>
      </c>
      <c r="IF8" s="31">
        <v>2</v>
      </c>
      <c r="IH8" s="31">
        <v>2</v>
      </c>
      <c r="IJ8" s="31">
        <v>2</v>
      </c>
      <c r="IL8" s="31">
        <v>2</v>
      </c>
      <c r="IN8" s="31">
        <v>2</v>
      </c>
      <c r="IP8" s="31">
        <v>2</v>
      </c>
      <c r="IR8" s="31">
        <v>2</v>
      </c>
      <c r="IT8" s="31">
        <v>2</v>
      </c>
      <c r="IV8" s="31">
        <v>2</v>
      </c>
      <c r="IX8" s="31" t="s">
        <v>355</v>
      </c>
      <c r="IZ8" s="31">
        <v>2</v>
      </c>
      <c r="JB8" s="31">
        <v>2</v>
      </c>
      <c r="JD8" s="31">
        <v>2</v>
      </c>
      <c r="JF8" s="31">
        <v>2</v>
      </c>
      <c r="JH8" s="31">
        <v>2</v>
      </c>
      <c r="JJ8" s="31">
        <v>2</v>
      </c>
      <c r="JL8" s="31">
        <v>2</v>
      </c>
      <c r="JN8" s="31">
        <v>2</v>
      </c>
      <c r="JP8" s="31">
        <v>2</v>
      </c>
      <c r="JR8" s="31">
        <v>2</v>
      </c>
      <c r="JT8" s="31">
        <v>2</v>
      </c>
      <c r="JV8" s="31">
        <v>2</v>
      </c>
      <c r="JX8" s="31">
        <v>2</v>
      </c>
      <c r="JZ8" s="31">
        <v>2</v>
      </c>
      <c r="KB8" s="31">
        <v>2</v>
      </c>
      <c r="KD8" s="31">
        <v>2</v>
      </c>
      <c r="KF8" s="31">
        <v>2</v>
      </c>
      <c r="KH8" s="31">
        <v>2</v>
      </c>
      <c r="KJ8" s="31">
        <v>2</v>
      </c>
      <c r="KL8" s="31">
        <v>2</v>
      </c>
      <c r="KN8" s="31">
        <v>2</v>
      </c>
      <c r="KP8" s="31" t="s">
        <v>355</v>
      </c>
      <c r="KR8" s="31">
        <v>2</v>
      </c>
      <c r="KS8" s="31">
        <v>2</v>
      </c>
      <c r="KT8" s="31">
        <v>2</v>
      </c>
      <c r="KU8" s="31">
        <v>2</v>
      </c>
      <c r="KV8" s="31">
        <v>2</v>
      </c>
      <c r="KW8" s="31">
        <v>2</v>
      </c>
      <c r="KX8" s="31">
        <v>2</v>
      </c>
      <c r="KY8" s="31">
        <v>2</v>
      </c>
      <c r="KZ8" s="31">
        <v>2</v>
      </c>
      <c r="LA8" s="31">
        <v>2</v>
      </c>
      <c r="LB8" s="31">
        <v>2</v>
      </c>
      <c r="LC8" s="31">
        <v>2</v>
      </c>
      <c r="LD8" s="31">
        <v>2</v>
      </c>
      <c r="LE8" s="31">
        <v>2</v>
      </c>
      <c r="LF8" s="31">
        <v>2</v>
      </c>
      <c r="LG8" s="31">
        <v>2</v>
      </c>
      <c r="LH8" s="31">
        <v>2</v>
      </c>
      <c r="LI8" s="31">
        <v>2</v>
      </c>
      <c r="LJ8" s="31">
        <v>2</v>
      </c>
      <c r="LK8" s="31">
        <v>2</v>
      </c>
      <c r="LL8" s="31">
        <v>2</v>
      </c>
      <c r="LM8" s="31">
        <v>2</v>
      </c>
      <c r="LN8" s="31">
        <v>2</v>
      </c>
      <c r="LO8" s="31">
        <v>2</v>
      </c>
      <c r="LP8" s="31">
        <v>2</v>
      </c>
      <c r="LQ8" s="31">
        <v>2</v>
      </c>
      <c r="LR8" s="31">
        <v>2</v>
      </c>
      <c r="LS8" s="31">
        <v>2</v>
      </c>
      <c r="LT8" s="31">
        <v>2</v>
      </c>
      <c r="LU8" s="31">
        <v>2</v>
      </c>
      <c r="LV8" s="31">
        <v>2</v>
      </c>
      <c r="LW8" s="31">
        <v>2</v>
      </c>
      <c r="LX8" s="31">
        <v>2</v>
      </c>
      <c r="LY8" s="31">
        <v>2</v>
      </c>
      <c r="LZ8" s="31">
        <v>2</v>
      </c>
      <c r="MA8" s="31" t="s">
        <v>365</v>
      </c>
      <c r="MB8" s="31" t="s">
        <v>372</v>
      </c>
      <c r="ME8" s="31">
        <v>5</v>
      </c>
      <c r="MF8" s="31">
        <v>2</v>
      </c>
      <c r="MG8" s="31">
        <v>2</v>
      </c>
      <c r="MH8" s="31">
        <v>2</v>
      </c>
      <c r="MI8" s="31">
        <v>2</v>
      </c>
      <c r="MJ8" s="31">
        <v>2</v>
      </c>
      <c r="MK8" s="31">
        <v>5</v>
      </c>
      <c r="ML8" s="31">
        <v>2</v>
      </c>
      <c r="MM8" s="31">
        <v>2</v>
      </c>
      <c r="MN8" s="31">
        <v>2</v>
      </c>
      <c r="MO8" s="31">
        <v>2</v>
      </c>
      <c r="MP8" s="31">
        <v>2</v>
      </c>
      <c r="MQ8" s="31">
        <v>2</v>
      </c>
      <c r="MR8" s="31">
        <v>2</v>
      </c>
      <c r="MS8" s="31">
        <v>2</v>
      </c>
    </row>
    <row r="9" spans="1:547" s="31" customFormat="1" ht="13.5" customHeight="1">
      <c r="A9" s="31">
        <v>7</v>
      </c>
      <c r="B9" s="31">
        <v>7</v>
      </c>
      <c r="C9" s="31" t="s">
        <v>1115</v>
      </c>
      <c r="D9" s="31" t="s">
        <v>1135</v>
      </c>
      <c r="E9" s="31">
        <v>3</v>
      </c>
      <c r="H9" s="31">
        <v>42326</v>
      </c>
      <c r="I9" s="31">
        <v>23743</v>
      </c>
      <c r="J9" s="31">
        <v>2</v>
      </c>
      <c r="K9" s="31">
        <v>1</v>
      </c>
      <c r="L9" s="31">
        <v>2</v>
      </c>
      <c r="M9" s="31">
        <v>1</v>
      </c>
      <c r="N9" s="31">
        <v>2</v>
      </c>
      <c r="O9" s="31">
        <v>1</v>
      </c>
      <c r="P9" s="31">
        <v>2</v>
      </c>
      <c r="Q9" s="31">
        <v>1</v>
      </c>
      <c r="R9" s="31">
        <v>2</v>
      </c>
      <c r="S9" s="31">
        <v>2</v>
      </c>
      <c r="T9" s="31">
        <v>2</v>
      </c>
      <c r="U9" s="31">
        <v>2</v>
      </c>
      <c r="V9" s="31">
        <v>2</v>
      </c>
      <c r="W9" s="31">
        <v>2</v>
      </c>
      <c r="X9" s="31">
        <v>2</v>
      </c>
      <c r="Y9" s="31">
        <v>2</v>
      </c>
      <c r="Z9" s="31">
        <v>4</v>
      </c>
      <c r="AA9" s="31">
        <v>2</v>
      </c>
      <c r="AB9" s="31">
        <v>2</v>
      </c>
      <c r="AC9" s="31">
        <v>2</v>
      </c>
      <c r="AD9" s="31">
        <v>1</v>
      </c>
      <c r="AE9" s="31">
        <v>1</v>
      </c>
      <c r="AF9" s="31">
        <v>2</v>
      </c>
      <c r="AH9" s="31">
        <v>2</v>
      </c>
      <c r="AI9" s="31">
        <v>2</v>
      </c>
      <c r="AJ9" s="31">
        <v>2</v>
      </c>
      <c r="AK9" s="31" t="s">
        <v>357</v>
      </c>
      <c r="AL9" s="31">
        <v>2</v>
      </c>
      <c r="AM9" s="31" t="s">
        <v>357</v>
      </c>
      <c r="AN9" s="31" t="s">
        <v>357</v>
      </c>
      <c r="AO9" s="31">
        <v>2</v>
      </c>
      <c r="AQ9" s="31">
        <v>2</v>
      </c>
      <c r="AS9" s="31">
        <v>2</v>
      </c>
      <c r="AV9" s="31">
        <v>2</v>
      </c>
      <c r="AX9" s="31">
        <v>2</v>
      </c>
      <c r="AZ9" s="31">
        <v>2</v>
      </c>
      <c r="BB9" s="31">
        <v>2</v>
      </c>
      <c r="BD9" s="31">
        <v>2</v>
      </c>
      <c r="BI9" s="31" t="s">
        <v>355</v>
      </c>
      <c r="BT9" s="31">
        <v>2</v>
      </c>
      <c r="BW9" s="31">
        <v>2</v>
      </c>
      <c r="BX9" s="31">
        <v>2</v>
      </c>
      <c r="BY9" s="31">
        <v>2</v>
      </c>
      <c r="BZ9" s="31">
        <v>2</v>
      </c>
      <c r="CA9" s="31">
        <v>2</v>
      </c>
      <c r="CB9" s="31">
        <v>2</v>
      </c>
      <c r="CC9" s="31">
        <v>2</v>
      </c>
      <c r="CG9" s="31">
        <v>2</v>
      </c>
      <c r="CH9" s="31">
        <v>2</v>
      </c>
      <c r="CI9" s="31">
        <v>2</v>
      </c>
      <c r="CJ9" s="31">
        <v>2</v>
      </c>
      <c r="CK9" s="31">
        <v>2</v>
      </c>
      <c r="CL9" s="31">
        <v>2</v>
      </c>
      <c r="CM9" s="31">
        <v>2</v>
      </c>
      <c r="CQ9" s="31">
        <v>2</v>
      </c>
      <c r="CR9" s="31">
        <v>2</v>
      </c>
      <c r="CS9" s="31">
        <v>2</v>
      </c>
      <c r="CT9" s="31">
        <v>2</v>
      </c>
      <c r="CU9" s="31">
        <v>2</v>
      </c>
      <c r="CV9" s="31">
        <v>2</v>
      </c>
      <c r="CW9" s="31">
        <v>2</v>
      </c>
      <c r="DA9" s="31">
        <v>2</v>
      </c>
      <c r="DB9" s="31">
        <v>2</v>
      </c>
      <c r="DC9" s="31">
        <v>2</v>
      </c>
      <c r="DD9" s="31">
        <v>2</v>
      </c>
      <c r="DE9" s="31">
        <v>2</v>
      </c>
      <c r="DF9" s="31">
        <v>2</v>
      </c>
      <c r="DG9" s="31">
        <v>2</v>
      </c>
      <c r="DK9" s="31">
        <v>2</v>
      </c>
      <c r="DL9" s="31">
        <v>2</v>
      </c>
      <c r="DM9" s="31">
        <v>2</v>
      </c>
      <c r="DN9" s="31">
        <v>2</v>
      </c>
      <c r="DO9" s="31">
        <v>2</v>
      </c>
      <c r="DP9" s="31">
        <v>2</v>
      </c>
      <c r="DQ9" s="31">
        <v>2</v>
      </c>
      <c r="DU9" s="31" t="s">
        <v>373</v>
      </c>
      <c r="EG9" s="31">
        <v>1</v>
      </c>
      <c r="EJ9" s="31">
        <v>1</v>
      </c>
      <c r="FH9" s="31" t="s">
        <v>378</v>
      </c>
      <c r="FI9" s="31" t="s">
        <v>359</v>
      </c>
      <c r="FJ9" s="31">
        <v>2</v>
      </c>
      <c r="FL9" s="31" t="s">
        <v>360</v>
      </c>
      <c r="FM9" s="31">
        <v>2</v>
      </c>
      <c r="FN9" s="31">
        <v>2</v>
      </c>
      <c r="FO9" s="31">
        <v>2</v>
      </c>
      <c r="FP9" s="31">
        <v>2</v>
      </c>
      <c r="FR9" s="31">
        <v>2</v>
      </c>
      <c r="FT9" s="31">
        <v>2</v>
      </c>
      <c r="FV9" s="31">
        <v>2</v>
      </c>
      <c r="FX9" s="31">
        <v>2</v>
      </c>
      <c r="FZ9" s="31">
        <v>2</v>
      </c>
      <c r="GB9" s="31">
        <v>2</v>
      </c>
      <c r="GD9" s="31">
        <v>2</v>
      </c>
      <c r="GF9" s="31">
        <v>2</v>
      </c>
      <c r="GH9" s="31">
        <v>2</v>
      </c>
      <c r="GJ9" s="31">
        <v>2</v>
      </c>
      <c r="GL9" s="31">
        <v>2</v>
      </c>
      <c r="GN9" s="31">
        <v>2</v>
      </c>
      <c r="GP9" s="31">
        <v>2</v>
      </c>
      <c r="GR9" s="31">
        <v>2</v>
      </c>
      <c r="GT9" s="31">
        <v>2</v>
      </c>
      <c r="GV9" s="31">
        <v>2</v>
      </c>
      <c r="GX9" s="31">
        <v>2</v>
      </c>
      <c r="GZ9" s="31">
        <v>2</v>
      </c>
      <c r="HB9" s="31">
        <v>2</v>
      </c>
      <c r="HD9" s="31">
        <v>2</v>
      </c>
      <c r="HF9" s="31" t="s">
        <v>355</v>
      </c>
      <c r="HH9" s="31">
        <v>2</v>
      </c>
      <c r="HJ9" s="31">
        <v>2</v>
      </c>
      <c r="HL9" s="31">
        <v>2</v>
      </c>
      <c r="HN9" s="31">
        <v>2</v>
      </c>
      <c r="HP9" s="31">
        <v>2</v>
      </c>
      <c r="HR9" s="31">
        <v>2</v>
      </c>
      <c r="HT9" s="31">
        <v>2</v>
      </c>
      <c r="HV9" s="31">
        <v>2</v>
      </c>
      <c r="HX9" s="31">
        <v>2</v>
      </c>
      <c r="HZ9" s="31">
        <v>2</v>
      </c>
      <c r="IB9" s="31">
        <v>2</v>
      </c>
      <c r="ID9" s="31">
        <v>2</v>
      </c>
      <c r="IF9" s="31">
        <v>2</v>
      </c>
      <c r="IH9" s="31">
        <v>2</v>
      </c>
      <c r="IJ9" s="31">
        <v>2</v>
      </c>
      <c r="IL9" s="31">
        <v>2</v>
      </c>
      <c r="IN9" s="31">
        <v>2</v>
      </c>
      <c r="IP9" s="31">
        <v>2</v>
      </c>
      <c r="IR9" s="31">
        <v>2</v>
      </c>
      <c r="IT9" s="31">
        <v>2</v>
      </c>
      <c r="IV9" s="31">
        <v>2</v>
      </c>
      <c r="IX9" s="31" t="s">
        <v>355</v>
      </c>
      <c r="IZ9" s="31">
        <v>2</v>
      </c>
      <c r="JB9" s="31">
        <v>2</v>
      </c>
      <c r="JD9" s="31">
        <v>2</v>
      </c>
      <c r="JF9" s="31">
        <v>2</v>
      </c>
      <c r="JH9" s="31">
        <v>2</v>
      </c>
      <c r="JJ9" s="31">
        <v>2</v>
      </c>
      <c r="JL9" s="31">
        <v>2</v>
      </c>
      <c r="JN9" s="31">
        <v>2</v>
      </c>
      <c r="JP9" s="31">
        <v>2</v>
      </c>
      <c r="JR9" s="31">
        <v>2</v>
      </c>
      <c r="JT9" s="31">
        <v>2</v>
      </c>
      <c r="JV9" s="31">
        <v>2</v>
      </c>
      <c r="JX9" s="31">
        <v>2</v>
      </c>
      <c r="JZ9" s="31">
        <v>2</v>
      </c>
      <c r="KB9" s="31">
        <v>2</v>
      </c>
      <c r="KD9" s="31">
        <v>2</v>
      </c>
      <c r="KF9" s="31">
        <v>2</v>
      </c>
      <c r="KH9" s="31">
        <v>2</v>
      </c>
      <c r="KJ9" s="31">
        <v>2</v>
      </c>
      <c r="KL9" s="31">
        <v>2</v>
      </c>
      <c r="KN9" s="31">
        <v>2</v>
      </c>
      <c r="KP9" s="31" t="s">
        <v>355</v>
      </c>
      <c r="KR9" s="31">
        <v>1</v>
      </c>
      <c r="KS9" s="31">
        <v>2</v>
      </c>
      <c r="KT9" s="31">
        <v>2</v>
      </c>
      <c r="KU9" s="31">
        <v>2</v>
      </c>
      <c r="KV9" s="31">
        <v>2</v>
      </c>
      <c r="KW9" s="31">
        <v>2</v>
      </c>
      <c r="KX9" s="31">
        <v>2</v>
      </c>
      <c r="KY9" s="31">
        <v>1</v>
      </c>
      <c r="KZ9" s="31">
        <v>2</v>
      </c>
      <c r="LA9" s="31">
        <v>2</v>
      </c>
      <c r="LB9" s="31">
        <v>2</v>
      </c>
      <c r="LC9" s="31">
        <v>2</v>
      </c>
      <c r="LD9" s="31">
        <v>2</v>
      </c>
      <c r="LE9" s="31">
        <v>2</v>
      </c>
      <c r="LF9" s="31">
        <v>2</v>
      </c>
      <c r="LG9" s="31">
        <v>2</v>
      </c>
      <c r="LH9" s="31">
        <v>2</v>
      </c>
      <c r="LI9" s="31">
        <v>2</v>
      </c>
      <c r="LJ9" s="31">
        <v>2</v>
      </c>
      <c r="LK9" s="31">
        <v>2</v>
      </c>
      <c r="LL9" s="31">
        <v>2</v>
      </c>
      <c r="LM9" s="31">
        <v>2</v>
      </c>
      <c r="LN9" s="31">
        <v>1</v>
      </c>
      <c r="LO9" s="31">
        <v>2</v>
      </c>
      <c r="LP9" s="31">
        <v>2</v>
      </c>
      <c r="LQ9" s="31">
        <v>2</v>
      </c>
      <c r="LR9" s="31">
        <v>2</v>
      </c>
      <c r="LS9" s="31">
        <v>2</v>
      </c>
      <c r="LT9" s="31">
        <v>2</v>
      </c>
      <c r="LU9" s="31">
        <v>2</v>
      </c>
      <c r="LV9" s="31">
        <v>2</v>
      </c>
      <c r="LW9" s="31">
        <v>2</v>
      </c>
      <c r="LX9" s="31">
        <v>2</v>
      </c>
      <c r="LY9" s="31">
        <v>2</v>
      </c>
      <c r="LZ9" s="31">
        <v>2</v>
      </c>
      <c r="MA9" s="31" t="s">
        <v>1136</v>
      </c>
      <c r="MB9" s="31" t="s">
        <v>1136</v>
      </c>
      <c r="ME9" s="31">
        <v>5</v>
      </c>
      <c r="MF9" s="31">
        <v>2</v>
      </c>
      <c r="MG9" s="31">
        <v>2</v>
      </c>
      <c r="MH9" s="31">
        <v>2</v>
      </c>
      <c r="MI9" s="31">
        <v>2</v>
      </c>
      <c r="MJ9" s="31">
        <v>2</v>
      </c>
      <c r="MK9" s="31">
        <v>5</v>
      </c>
      <c r="ML9" s="31">
        <v>2</v>
      </c>
      <c r="MM9" s="31">
        <v>2</v>
      </c>
      <c r="MN9" s="31">
        <v>2</v>
      </c>
      <c r="MO9" s="31">
        <v>2</v>
      </c>
      <c r="MP9" s="31">
        <v>2</v>
      </c>
      <c r="MQ9" s="31">
        <v>2</v>
      </c>
      <c r="MR9" s="31">
        <v>2</v>
      </c>
      <c r="MS9" s="31">
        <v>2</v>
      </c>
    </row>
    <row r="10" spans="1:547" s="31" customFormat="1" ht="13.5" customHeight="1">
      <c r="A10" s="31">
        <v>8</v>
      </c>
      <c r="B10" s="31">
        <v>8</v>
      </c>
      <c r="C10" s="31" t="s">
        <v>1115</v>
      </c>
      <c r="D10" s="31" t="s">
        <v>1137</v>
      </c>
      <c r="E10" s="31">
        <v>3</v>
      </c>
      <c r="H10" s="31">
        <v>42327</v>
      </c>
      <c r="I10" s="31">
        <v>12855</v>
      </c>
      <c r="J10" s="31">
        <v>1</v>
      </c>
      <c r="K10" s="31">
        <v>1</v>
      </c>
      <c r="L10" s="31">
        <v>5</v>
      </c>
      <c r="M10" s="31">
        <v>2</v>
      </c>
      <c r="N10" s="31">
        <v>5</v>
      </c>
      <c r="O10" s="31">
        <v>2</v>
      </c>
      <c r="P10" s="31">
        <v>5</v>
      </c>
      <c r="Q10" s="31">
        <v>2</v>
      </c>
      <c r="R10" s="31">
        <v>2</v>
      </c>
      <c r="S10" s="31">
        <v>2</v>
      </c>
      <c r="T10" s="31">
        <v>2</v>
      </c>
      <c r="U10" s="31">
        <v>2</v>
      </c>
      <c r="V10" s="31">
        <v>2</v>
      </c>
      <c r="W10" s="31">
        <v>2</v>
      </c>
      <c r="X10" s="31">
        <v>2</v>
      </c>
      <c r="Y10" s="31">
        <v>2</v>
      </c>
      <c r="Z10" s="31">
        <v>4</v>
      </c>
      <c r="AA10" s="31">
        <v>2</v>
      </c>
      <c r="AB10" s="31">
        <v>2</v>
      </c>
      <c r="AC10" s="31">
        <v>2</v>
      </c>
      <c r="AD10" s="31">
        <v>17</v>
      </c>
      <c r="AE10" s="31">
        <v>1</v>
      </c>
      <c r="AF10" s="31">
        <v>2</v>
      </c>
      <c r="AH10" s="31">
        <v>2</v>
      </c>
      <c r="AI10" s="31">
        <v>2</v>
      </c>
      <c r="AJ10" s="31">
        <v>2</v>
      </c>
      <c r="AK10" s="31" t="s">
        <v>357</v>
      </c>
      <c r="AL10" s="31">
        <v>2</v>
      </c>
      <c r="AM10" s="31" t="s">
        <v>357</v>
      </c>
      <c r="AN10" s="31" t="s">
        <v>357</v>
      </c>
      <c r="AO10" s="31">
        <v>1</v>
      </c>
      <c r="AP10" s="31" t="s">
        <v>391</v>
      </c>
      <c r="AQ10" s="31">
        <v>2</v>
      </c>
      <c r="AS10" s="31">
        <v>2</v>
      </c>
      <c r="AV10" s="31">
        <v>2</v>
      </c>
      <c r="AX10" s="31">
        <v>2</v>
      </c>
      <c r="AZ10" s="31">
        <v>2</v>
      </c>
      <c r="BB10" s="31">
        <v>2</v>
      </c>
      <c r="BD10" s="31">
        <v>2</v>
      </c>
      <c r="BI10" s="31" t="s">
        <v>355</v>
      </c>
      <c r="BT10" s="31">
        <v>2</v>
      </c>
      <c r="BW10" s="31">
        <v>2</v>
      </c>
      <c r="BX10" s="31">
        <v>2</v>
      </c>
      <c r="BY10" s="31">
        <v>2</v>
      </c>
      <c r="BZ10" s="31">
        <v>2</v>
      </c>
      <c r="CA10" s="31">
        <v>2</v>
      </c>
      <c r="CB10" s="31">
        <v>2</v>
      </c>
      <c r="CC10" s="31">
        <v>2</v>
      </c>
      <c r="CG10" s="31">
        <v>2</v>
      </c>
      <c r="CH10" s="31">
        <v>2</v>
      </c>
      <c r="CI10" s="31">
        <v>2</v>
      </c>
      <c r="CJ10" s="31">
        <v>2</v>
      </c>
      <c r="CK10" s="31">
        <v>2</v>
      </c>
      <c r="CL10" s="31">
        <v>2</v>
      </c>
      <c r="CM10" s="31">
        <v>2</v>
      </c>
      <c r="CQ10" s="31">
        <v>2</v>
      </c>
      <c r="CR10" s="31">
        <v>2</v>
      </c>
      <c r="CS10" s="31">
        <v>2</v>
      </c>
      <c r="CT10" s="31">
        <v>2</v>
      </c>
      <c r="CU10" s="31">
        <v>2</v>
      </c>
      <c r="CV10" s="31">
        <v>2</v>
      </c>
      <c r="CW10" s="31">
        <v>2</v>
      </c>
      <c r="DA10" s="31">
        <v>2</v>
      </c>
      <c r="DB10" s="31">
        <v>2</v>
      </c>
      <c r="DC10" s="31">
        <v>2</v>
      </c>
      <c r="DD10" s="31">
        <v>2</v>
      </c>
      <c r="DE10" s="31">
        <v>2</v>
      </c>
      <c r="DF10" s="31">
        <v>2</v>
      </c>
      <c r="DG10" s="31">
        <v>2</v>
      </c>
      <c r="DK10" s="31">
        <v>2</v>
      </c>
      <c r="DL10" s="31">
        <v>2</v>
      </c>
      <c r="DM10" s="31">
        <v>2</v>
      </c>
      <c r="DN10" s="31">
        <v>2</v>
      </c>
      <c r="DO10" s="31">
        <v>2</v>
      </c>
      <c r="DP10" s="31">
        <v>2</v>
      </c>
      <c r="DQ10" s="31">
        <v>2</v>
      </c>
      <c r="DU10" s="31" t="s">
        <v>380</v>
      </c>
      <c r="DX10" s="31" t="s">
        <v>1138</v>
      </c>
      <c r="EG10" s="31">
        <v>2</v>
      </c>
      <c r="EH10" s="31" t="s">
        <v>405</v>
      </c>
      <c r="EI10" s="31">
        <v>94</v>
      </c>
      <c r="EJ10" s="31">
        <v>2</v>
      </c>
      <c r="EK10" s="31" t="s">
        <v>380</v>
      </c>
      <c r="EL10" s="31">
        <v>74</v>
      </c>
      <c r="FH10" s="31" t="s">
        <v>395</v>
      </c>
      <c r="FI10" s="31" t="s">
        <v>384</v>
      </c>
      <c r="FJ10" s="31">
        <v>2</v>
      </c>
      <c r="FL10" s="31" t="s">
        <v>378</v>
      </c>
      <c r="FM10" s="31">
        <v>2</v>
      </c>
      <c r="FN10" s="31">
        <v>2</v>
      </c>
      <c r="FO10" s="31">
        <v>2</v>
      </c>
      <c r="FP10" s="31">
        <v>2</v>
      </c>
      <c r="FR10" s="31">
        <v>2</v>
      </c>
      <c r="FT10" s="31">
        <v>2</v>
      </c>
      <c r="FV10" s="31">
        <v>2</v>
      </c>
      <c r="FX10" s="31">
        <v>2</v>
      </c>
      <c r="FZ10" s="31">
        <v>2</v>
      </c>
      <c r="GB10" s="31">
        <v>2</v>
      </c>
      <c r="GD10" s="31">
        <v>2</v>
      </c>
      <c r="GF10" s="31">
        <v>2</v>
      </c>
      <c r="GH10" s="31">
        <v>2</v>
      </c>
      <c r="GJ10" s="31">
        <v>2</v>
      </c>
      <c r="GL10" s="31">
        <v>2</v>
      </c>
      <c r="GN10" s="31">
        <v>2</v>
      </c>
      <c r="GP10" s="31">
        <v>2</v>
      </c>
      <c r="GR10" s="31">
        <v>2</v>
      </c>
      <c r="GT10" s="31">
        <v>2</v>
      </c>
      <c r="GV10" s="31">
        <v>2</v>
      </c>
      <c r="GX10" s="31">
        <v>2</v>
      </c>
      <c r="GZ10" s="31">
        <v>2</v>
      </c>
      <c r="HB10" s="31">
        <v>2</v>
      </c>
      <c r="HD10" s="31">
        <v>2</v>
      </c>
      <c r="HF10" s="31" t="s">
        <v>355</v>
      </c>
      <c r="HH10" s="31">
        <v>2</v>
      </c>
      <c r="HJ10" s="31">
        <v>2</v>
      </c>
      <c r="HL10" s="31">
        <v>2</v>
      </c>
      <c r="HN10" s="31">
        <v>2</v>
      </c>
      <c r="HP10" s="31">
        <v>2</v>
      </c>
      <c r="HR10" s="31">
        <v>2</v>
      </c>
      <c r="HT10" s="31">
        <v>2</v>
      </c>
      <c r="HV10" s="31">
        <v>2</v>
      </c>
      <c r="HX10" s="31">
        <v>2</v>
      </c>
      <c r="HZ10" s="31">
        <v>2</v>
      </c>
      <c r="IB10" s="31">
        <v>2</v>
      </c>
      <c r="ID10" s="31">
        <v>2</v>
      </c>
      <c r="IF10" s="31">
        <v>2</v>
      </c>
      <c r="IH10" s="31">
        <v>2</v>
      </c>
      <c r="IJ10" s="31">
        <v>2</v>
      </c>
      <c r="IL10" s="31">
        <v>2</v>
      </c>
      <c r="IN10" s="31">
        <v>2</v>
      </c>
      <c r="IP10" s="31">
        <v>2</v>
      </c>
      <c r="IR10" s="31">
        <v>2</v>
      </c>
      <c r="IT10" s="31">
        <v>2</v>
      </c>
      <c r="IV10" s="31">
        <v>2</v>
      </c>
      <c r="IX10" s="31" t="s">
        <v>355</v>
      </c>
      <c r="IZ10" s="31">
        <v>2</v>
      </c>
      <c r="JB10" s="31">
        <v>2</v>
      </c>
      <c r="JD10" s="31">
        <v>2</v>
      </c>
      <c r="JF10" s="31">
        <v>2</v>
      </c>
      <c r="JH10" s="31">
        <v>2</v>
      </c>
      <c r="JJ10" s="31">
        <v>2</v>
      </c>
      <c r="JL10" s="31">
        <v>2</v>
      </c>
      <c r="JN10" s="31">
        <v>2</v>
      </c>
      <c r="JP10" s="31">
        <v>2</v>
      </c>
      <c r="JR10" s="31">
        <v>2</v>
      </c>
      <c r="JT10" s="31">
        <v>2</v>
      </c>
      <c r="JV10" s="31">
        <v>2</v>
      </c>
      <c r="JX10" s="31">
        <v>2</v>
      </c>
      <c r="JZ10" s="31">
        <v>2</v>
      </c>
      <c r="KB10" s="31">
        <v>2</v>
      </c>
      <c r="KD10" s="31">
        <v>2</v>
      </c>
      <c r="KF10" s="31">
        <v>2</v>
      </c>
      <c r="KH10" s="31">
        <v>2</v>
      </c>
      <c r="KJ10" s="31">
        <v>2</v>
      </c>
      <c r="KL10" s="31">
        <v>2</v>
      </c>
      <c r="KN10" s="31">
        <v>2</v>
      </c>
      <c r="KP10" s="31" t="s">
        <v>355</v>
      </c>
      <c r="KR10" s="31">
        <v>2</v>
      </c>
      <c r="KS10" s="31">
        <v>2</v>
      </c>
      <c r="KT10" s="31">
        <v>2</v>
      </c>
      <c r="KU10" s="31">
        <v>2</v>
      </c>
      <c r="KV10" s="31">
        <v>2</v>
      </c>
      <c r="KW10" s="31">
        <v>2</v>
      </c>
      <c r="KX10" s="31">
        <v>2</v>
      </c>
      <c r="KY10" s="31">
        <v>2</v>
      </c>
      <c r="KZ10" s="31">
        <v>2</v>
      </c>
      <c r="LA10" s="31">
        <v>2</v>
      </c>
      <c r="LB10" s="31">
        <v>2</v>
      </c>
      <c r="LC10" s="31">
        <v>2</v>
      </c>
      <c r="LD10" s="31">
        <v>2</v>
      </c>
      <c r="LE10" s="31">
        <v>2</v>
      </c>
      <c r="LF10" s="31">
        <v>2</v>
      </c>
      <c r="LG10" s="31">
        <v>2</v>
      </c>
      <c r="LH10" s="31">
        <v>2</v>
      </c>
      <c r="LI10" s="31">
        <v>2</v>
      </c>
      <c r="LJ10" s="31">
        <v>2</v>
      </c>
      <c r="LK10" s="31">
        <v>2</v>
      </c>
      <c r="LL10" s="31">
        <v>2</v>
      </c>
      <c r="LM10" s="31">
        <v>2</v>
      </c>
      <c r="LN10" s="31">
        <v>2</v>
      </c>
      <c r="LO10" s="31">
        <v>2</v>
      </c>
      <c r="LP10" s="31">
        <v>2</v>
      </c>
      <c r="LQ10" s="31">
        <v>2</v>
      </c>
      <c r="LR10" s="31">
        <v>2</v>
      </c>
      <c r="LS10" s="31">
        <v>2</v>
      </c>
      <c r="LT10" s="31">
        <v>2</v>
      </c>
      <c r="LU10" s="31">
        <v>2</v>
      </c>
      <c r="LV10" s="31">
        <v>2</v>
      </c>
      <c r="LW10" s="31">
        <v>2</v>
      </c>
      <c r="LX10" s="31">
        <v>2</v>
      </c>
      <c r="LY10" s="31">
        <v>2</v>
      </c>
      <c r="LZ10" s="31">
        <v>2</v>
      </c>
      <c r="MA10" s="31" t="s">
        <v>383</v>
      </c>
      <c r="MB10" s="31" t="s">
        <v>383</v>
      </c>
      <c r="ME10" s="31">
        <v>5</v>
      </c>
      <c r="MF10" s="31">
        <v>2</v>
      </c>
      <c r="MG10" s="31">
        <v>2</v>
      </c>
      <c r="MH10" s="31">
        <v>2</v>
      </c>
      <c r="MI10" s="31">
        <v>2</v>
      </c>
      <c r="MJ10" s="31">
        <v>2</v>
      </c>
      <c r="MK10" s="31">
        <v>5</v>
      </c>
      <c r="ML10" s="31">
        <v>2</v>
      </c>
      <c r="MM10" s="31">
        <v>2</v>
      </c>
      <c r="MN10" s="31">
        <v>2</v>
      </c>
      <c r="MO10" s="31">
        <v>2</v>
      </c>
      <c r="MP10" s="31">
        <v>2</v>
      </c>
      <c r="MQ10" s="31">
        <v>2</v>
      </c>
      <c r="MR10" s="31">
        <v>2</v>
      </c>
      <c r="MS10" s="31">
        <v>2</v>
      </c>
    </row>
    <row r="11" spans="1:547" s="31" customFormat="1" ht="13.5" customHeight="1">
      <c r="A11" s="31">
        <v>9</v>
      </c>
      <c r="B11" s="31">
        <v>9</v>
      </c>
      <c r="C11" s="31" t="s">
        <v>1115</v>
      </c>
      <c r="D11" s="31" t="s">
        <v>1139</v>
      </c>
      <c r="E11" s="31">
        <v>3</v>
      </c>
      <c r="H11" s="31">
        <v>42387</v>
      </c>
      <c r="I11" s="31">
        <v>16124</v>
      </c>
      <c r="J11" s="31">
        <v>2</v>
      </c>
      <c r="K11" s="31">
        <v>1</v>
      </c>
      <c r="L11" s="31">
        <v>3</v>
      </c>
      <c r="N11" s="31">
        <v>3</v>
      </c>
      <c r="P11" s="31">
        <v>3</v>
      </c>
      <c r="R11" s="31">
        <v>1</v>
      </c>
      <c r="S11" s="31">
        <v>1</v>
      </c>
      <c r="T11" s="31">
        <v>2</v>
      </c>
      <c r="U11" s="31">
        <v>2</v>
      </c>
      <c r="V11" s="31">
        <v>2</v>
      </c>
      <c r="W11" s="31">
        <v>2</v>
      </c>
      <c r="X11" s="31">
        <v>2</v>
      </c>
      <c r="Y11" s="31">
        <v>2</v>
      </c>
      <c r="Z11" s="31">
        <v>4</v>
      </c>
      <c r="AA11" s="31">
        <v>2</v>
      </c>
      <c r="AB11" s="31">
        <v>2</v>
      </c>
      <c r="AC11" s="31">
        <v>2</v>
      </c>
      <c r="AD11" s="31">
        <v>1</v>
      </c>
      <c r="AE11" s="31">
        <v>1</v>
      </c>
      <c r="AF11" s="31">
        <v>2</v>
      </c>
      <c r="AH11" s="31">
        <v>2</v>
      </c>
      <c r="AI11" s="31">
        <v>2</v>
      </c>
      <c r="AJ11" s="31">
        <v>2</v>
      </c>
      <c r="AK11" s="31" t="s">
        <v>357</v>
      </c>
      <c r="AL11" s="31">
        <v>2</v>
      </c>
      <c r="AM11" s="31" t="s">
        <v>357</v>
      </c>
      <c r="AN11" s="31" t="s">
        <v>357</v>
      </c>
      <c r="AO11" s="31">
        <v>2</v>
      </c>
      <c r="AQ11" s="31">
        <v>2</v>
      </c>
      <c r="AS11" s="31">
        <v>2</v>
      </c>
      <c r="AV11" s="31">
        <v>2</v>
      </c>
      <c r="AX11" s="31">
        <v>1</v>
      </c>
      <c r="AZ11" s="31">
        <v>2</v>
      </c>
      <c r="BB11" s="31">
        <v>2</v>
      </c>
      <c r="BD11" s="31">
        <v>2</v>
      </c>
      <c r="BI11" s="31" t="s">
        <v>355</v>
      </c>
      <c r="BT11" s="31">
        <v>2</v>
      </c>
      <c r="BW11" s="31">
        <v>2</v>
      </c>
      <c r="BX11" s="31">
        <v>2</v>
      </c>
      <c r="BY11" s="31">
        <v>2</v>
      </c>
      <c r="BZ11" s="31">
        <v>2</v>
      </c>
      <c r="CA11" s="31">
        <v>2</v>
      </c>
      <c r="CB11" s="31">
        <v>2</v>
      </c>
      <c r="CC11" s="31">
        <v>2</v>
      </c>
      <c r="CG11" s="31">
        <v>2</v>
      </c>
      <c r="CH11" s="31">
        <v>2</v>
      </c>
      <c r="CI11" s="31">
        <v>2</v>
      </c>
      <c r="CJ11" s="31">
        <v>2</v>
      </c>
      <c r="CK11" s="31">
        <v>2</v>
      </c>
      <c r="CL11" s="31">
        <v>2</v>
      </c>
      <c r="CM11" s="31">
        <v>2</v>
      </c>
      <c r="CQ11" s="31">
        <v>2</v>
      </c>
      <c r="CR11" s="31">
        <v>2</v>
      </c>
      <c r="CS11" s="31">
        <v>2</v>
      </c>
      <c r="CT11" s="31">
        <v>2</v>
      </c>
      <c r="CU11" s="31">
        <v>2</v>
      </c>
      <c r="CV11" s="31">
        <v>2</v>
      </c>
      <c r="CW11" s="31">
        <v>2</v>
      </c>
      <c r="DA11" s="31">
        <v>2</v>
      </c>
      <c r="DB11" s="31">
        <v>2</v>
      </c>
      <c r="DC11" s="31">
        <v>2</v>
      </c>
      <c r="DD11" s="31">
        <v>2</v>
      </c>
      <c r="DE11" s="31">
        <v>2</v>
      </c>
      <c r="DF11" s="31">
        <v>2</v>
      </c>
      <c r="DG11" s="31">
        <v>2</v>
      </c>
      <c r="DK11" s="31">
        <v>2</v>
      </c>
      <c r="DL11" s="31">
        <v>2</v>
      </c>
      <c r="DM11" s="31">
        <v>2</v>
      </c>
      <c r="DN11" s="31">
        <v>2</v>
      </c>
      <c r="DO11" s="31">
        <v>2</v>
      </c>
      <c r="DP11" s="31">
        <v>2</v>
      </c>
      <c r="DQ11" s="31">
        <v>2</v>
      </c>
      <c r="DU11" s="31" t="s">
        <v>1140</v>
      </c>
      <c r="DX11" s="31" t="s">
        <v>1140</v>
      </c>
      <c r="EG11" s="31">
        <v>2</v>
      </c>
      <c r="EH11" s="31" t="s">
        <v>1140</v>
      </c>
      <c r="EI11" s="31">
        <v>83</v>
      </c>
      <c r="EJ11" s="31">
        <v>2</v>
      </c>
      <c r="EK11" s="31" t="s">
        <v>1140</v>
      </c>
      <c r="EL11" s="31">
        <v>85</v>
      </c>
      <c r="EM11" s="31" t="s">
        <v>363</v>
      </c>
      <c r="EN11" s="31" t="s">
        <v>392</v>
      </c>
      <c r="EO11" s="31">
        <v>75</v>
      </c>
      <c r="EP11" s="31" t="s">
        <v>363</v>
      </c>
      <c r="EQ11" s="31" t="s">
        <v>414</v>
      </c>
      <c r="ER11" s="31">
        <v>84</v>
      </c>
      <c r="FJ11" s="31">
        <v>2</v>
      </c>
      <c r="FL11" s="31" t="s">
        <v>377</v>
      </c>
      <c r="FM11" s="31">
        <v>2</v>
      </c>
      <c r="FN11" s="31">
        <v>2</v>
      </c>
      <c r="FO11" s="31">
        <v>1</v>
      </c>
      <c r="FP11" s="31">
        <v>2</v>
      </c>
      <c r="FR11" s="31">
        <v>2</v>
      </c>
      <c r="FT11" s="31">
        <v>2</v>
      </c>
      <c r="FV11" s="31">
        <v>2</v>
      </c>
      <c r="FX11" s="31">
        <v>2</v>
      </c>
      <c r="FZ11" s="31">
        <v>2</v>
      </c>
      <c r="GB11" s="31">
        <v>2</v>
      </c>
      <c r="GD11" s="31">
        <v>2</v>
      </c>
      <c r="GF11" s="31">
        <v>2</v>
      </c>
      <c r="GH11" s="31">
        <v>1</v>
      </c>
      <c r="GI11" s="31">
        <v>20</v>
      </c>
      <c r="GJ11" s="31">
        <v>2</v>
      </c>
      <c r="GL11" s="31">
        <v>1</v>
      </c>
      <c r="GM11" s="31">
        <v>20</v>
      </c>
      <c r="GN11" s="31">
        <v>2</v>
      </c>
      <c r="GP11" s="31">
        <v>2</v>
      </c>
      <c r="GR11" s="31">
        <v>2</v>
      </c>
      <c r="GT11" s="31">
        <v>2</v>
      </c>
      <c r="GV11" s="31">
        <v>2</v>
      </c>
      <c r="GX11" s="31">
        <v>2</v>
      </c>
      <c r="GZ11" s="31">
        <v>2</v>
      </c>
      <c r="HB11" s="31">
        <v>2</v>
      </c>
      <c r="HD11" s="31">
        <v>2</v>
      </c>
      <c r="HF11" s="31" t="s">
        <v>355</v>
      </c>
      <c r="HH11" s="31">
        <v>2</v>
      </c>
      <c r="HJ11" s="31">
        <v>2</v>
      </c>
      <c r="HL11" s="31">
        <v>2</v>
      </c>
      <c r="HN11" s="31">
        <v>2</v>
      </c>
      <c r="HP11" s="31">
        <v>2</v>
      </c>
      <c r="HR11" s="31">
        <v>2</v>
      </c>
      <c r="HT11" s="31">
        <v>2</v>
      </c>
      <c r="HV11" s="31">
        <v>2</v>
      </c>
      <c r="HX11" s="31">
        <v>2</v>
      </c>
      <c r="HZ11" s="31">
        <v>2</v>
      </c>
      <c r="IB11" s="31">
        <v>2</v>
      </c>
      <c r="ID11" s="31">
        <v>2</v>
      </c>
      <c r="IF11" s="31">
        <v>2</v>
      </c>
      <c r="IH11" s="31">
        <v>2</v>
      </c>
      <c r="IJ11" s="31">
        <v>2</v>
      </c>
      <c r="IL11" s="31">
        <v>2</v>
      </c>
      <c r="IN11" s="31">
        <v>2</v>
      </c>
      <c r="IP11" s="31">
        <v>2</v>
      </c>
      <c r="IR11" s="31">
        <v>2</v>
      </c>
      <c r="IT11" s="31">
        <v>2</v>
      </c>
      <c r="IV11" s="31">
        <v>2</v>
      </c>
      <c r="IX11" s="31" t="s">
        <v>355</v>
      </c>
      <c r="IZ11" s="31">
        <v>2</v>
      </c>
      <c r="JB11" s="31">
        <v>2</v>
      </c>
      <c r="JD11" s="31">
        <v>2</v>
      </c>
      <c r="JF11" s="31">
        <v>2</v>
      </c>
      <c r="JH11" s="31">
        <v>2</v>
      </c>
      <c r="JJ11" s="31">
        <v>2</v>
      </c>
      <c r="JL11" s="31">
        <v>2</v>
      </c>
      <c r="JN11" s="31">
        <v>2</v>
      </c>
      <c r="JP11" s="31">
        <v>2</v>
      </c>
      <c r="JR11" s="31">
        <v>2</v>
      </c>
      <c r="JT11" s="31">
        <v>2</v>
      </c>
      <c r="JV11" s="31">
        <v>2</v>
      </c>
      <c r="JX11" s="31">
        <v>2</v>
      </c>
      <c r="JZ11" s="31">
        <v>2</v>
      </c>
      <c r="KB11" s="31">
        <v>2</v>
      </c>
      <c r="KD11" s="31">
        <v>2</v>
      </c>
      <c r="KF11" s="31">
        <v>2</v>
      </c>
      <c r="KH11" s="31">
        <v>2</v>
      </c>
      <c r="KJ11" s="31">
        <v>2</v>
      </c>
      <c r="KL11" s="31">
        <v>2</v>
      </c>
      <c r="KN11" s="31">
        <v>2</v>
      </c>
      <c r="KP11" s="31" t="s">
        <v>355</v>
      </c>
      <c r="KR11" s="31">
        <v>1</v>
      </c>
      <c r="KS11" s="31">
        <v>2</v>
      </c>
      <c r="KT11" s="31">
        <v>2</v>
      </c>
      <c r="KU11" s="31">
        <v>2</v>
      </c>
      <c r="KV11" s="31">
        <v>2</v>
      </c>
      <c r="KW11" s="31">
        <v>2</v>
      </c>
      <c r="KX11" s="31">
        <v>2</v>
      </c>
      <c r="KY11" s="31">
        <v>2</v>
      </c>
      <c r="KZ11" s="31">
        <v>2</v>
      </c>
      <c r="LA11" s="31">
        <v>2</v>
      </c>
      <c r="LB11" s="31">
        <v>2</v>
      </c>
      <c r="LC11" s="31">
        <v>2</v>
      </c>
      <c r="LD11" s="31">
        <v>2</v>
      </c>
      <c r="LE11" s="31">
        <v>2</v>
      </c>
      <c r="LF11" s="31">
        <v>1</v>
      </c>
      <c r="LG11" s="31">
        <v>2</v>
      </c>
      <c r="LH11" s="31">
        <v>2</v>
      </c>
      <c r="LI11" s="31">
        <v>2</v>
      </c>
      <c r="LJ11" s="31">
        <v>2</v>
      </c>
      <c r="LK11" s="31">
        <v>2</v>
      </c>
      <c r="LL11" s="31">
        <v>2</v>
      </c>
      <c r="LM11" s="31">
        <v>2</v>
      </c>
      <c r="LN11" s="31">
        <v>2</v>
      </c>
      <c r="LO11" s="31">
        <v>2</v>
      </c>
      <c r="LP11" s="31">
        <v>2</v>
      </c>
      <c r="LQ11" s="31">
        <v>2</v>
      </c>
      <c r="LR11" s="31">
        <v>2</v>
      </c>
      <c r="LS11" s="31">
        <v>2</v>
      </c>
      <c r="LT11" s="31">
        <v>2</v>
      </c>
      <c r="LU11" s="31">
        <v>2</v>
      </c>
      <c r="LV11" s="31">
        <v>2</v>
      </c>
      <c r="LW11" s="31">
        <v>2</v>
      </c>
      <c r="LX11" s="31">
        <v>2</v>
      </c>
      <c r="LY11" s="31">
        <v>2</v>
      </c>
      <c r="LZ11" s="31">
        <v>2</v>
      </c>
      <c r="MA11" s="31" t="s">
        <v>385</v>
      </c>
      <c r="MB11" s="31" t="s">
        <v>385</v>
      </c>
      <c r="ME11" s="31">
        <v>5</v>
      </c>
      <c r="MF11" s="31">
        <v>2</v>
      </c>
      <c r="MG11" s="31">
        <v>2</v>
      </c>
      <c r="MH11" s="31">
        <v>2</v>
      </c>
      <c r="MI11" s="31">
        <v>2</v>
      </c>
      <c r="MJ11" s="31">
        <v>2</v>
      </c>
      <c r="MK11" s="31">
        <v>5</v>
      </c>
      <c r="ML11" s="31">
        <v>2</v>
      </c>
      <c r="MM11" s="31">
        <v>2</v>
      </c>
      <c r="MN11" s="31">
        <v>2</v>
      </c>
      <c r="MO11" s="31">
        <v>2</v>
      </c>
      <c r="MP11" s="31">
        <v>2</v>
      </c>
      <c r="MQ11" s="31">
        <v>2</v>
      </c>
      <c r="MR11" s="31">
        <v>2</v>
      </c>
      <c r="MS11" s="31">
        <v>2</v>
      </c>
    </row>
    <row r="12" spans="1:547" s="31" customFormat="1" ht="13.5" customHeight="1"/>
    <row r="13" spans="1:547" s="31" customFormat="1" ht="13.5" customHeight="1">
      <c r="A13" s="31">
        <v>10</v>
      </c>
      <c r="B13" s="31">
        <v>10</v>
      </c>
      <c r="C13" s="31" t="s">
        <v>1115</v>
      </c>
      <c r="D13" s="31" t="s">
        <v>1141</v>
      </c>
      <c r="E13" s="31">
        <v>3</v>
      </c>
      <c r="H13" s="31">
        <v>42401</v>
      </c>
      <c r="I13" s="31">
        <v>15336</v>
      </c>
      <c r="J13" s="31">
        <v>2</v>
      </c>
      <c r="K13" s="31">
        <v>1</v>
      </c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2</v>
      </c>
      <c r="T13" s="31">
        <v>1</v>
      </c>
      <c r="U13" s="31">
        <v>2</v>
      </c>
      <c r="V13" s="31">
        <v>2</v>
      </c>
      <c r="W13" s="31">
        <v>2</v>
      </c>
      <c r="X13" s="31">
        <v>2</v>
      </c>
      <c r="Y13" s="31">
        <v>2</v>
      </c>
      <c r="Z13" s="31">
        <v>1</v>
      </c>
      <c r="AA13" s="31">
        <v>1</v>
      </c>
      <c r="AB13" s="31">
        <v>1</v>
      </c>
      <c r="AC13" s="31">
        <v>2</v>
      </c>
      <c r="AD13" s="31">
        <v>1</v>
      </c>
      <c r="AE13" s="31">
        <v>1</v>
      </c>
      <c r="AF13" s="31">
        <v>2</v>
      </c>
      <c r="AH13" s="31">
        <v>2</v>
      </c>
      <c r="AI13" s="31">
        <v>2</v>
      </c>
      <c r="AJ13" s="31">
        <v>1</v>
      </c>
      <c r="AK13" s="31" t="s">
        <v>357</v>
      </c>
      <c r="AL13" s="31">
        <v>1</v>
      </c>
      <c r="AM13" s="31">
        <v>2000</v>
      </c>
      <c r="AN13" s="31">
        <v>0.3</v>
      </c>
      <c r="AO13" s="31">
        <v>1</v>
      </c>
      <c r="AQ13" s="31">
        <v>2</v>
      </c>
      <c r="AS13" s="31">
        <v>2</v>
      </c>
      <c r="AV13" s="31">
        <v>2</v>
      </c>
      <c r="AX13" s="31">
        <v>1</v>
      </c>
      <c r="AZ13" s="31">
        <v>2</v>
      </c>
      <c r="BB13" s="31">
        <v>2</v>
      </c>
      <c r="BD13" s="31">
        <v>2</v>
      </c>
      <c r="BI13" s="31" t="s">
        <v>355</v>
      </c>
      <c r="BT13" s="31">
        <v>2</v>
      </c>
      <c r="BW13" s="31">
        <v>2</v>
      </c>
      <c r="BX13" s="31">
        <v>2</v>
      </c>
      <c r="BY13" s="31">
        <v>2</v>
      </c>
      <c r="BZ13" s="31">
        <v>2</v>
      </c>
      <c r="CA13" s="31">
        <v>2</v>
      </c>
      <c r="CB13" s="31">
        <v>2</v>
      </c>
      <c r="CC13" s="31">
        <v>2</v>
      </c>
      <c r="CG13" s="31">
        <v>1</v>
      </c>
      <c r="CH13" s="31">
        <v>2</v>
      </c>
      <c r="CI13" s="31">
        <v>1</v>
      </c>
      <c r="CJ13" s="31">
        <v>2</v>
      </c>
      <c r="CK13" s="31">
        <v>2</v>
      </c>
      <c r="CL13" s="31">
        <v>2</v>
      </c>
      <c r="CM13" s="31">
        <v>2</v>
      </c>
      <c r="CQ13" s="31">
        <v>1</v>
      </c>
      <c r="CR13" s="31">
        <v>1</v>
      </c>
      <c r="CS13" s="31">
        <v>2</v>
      </c>
      <c r="CT13" s="31">
        <v>2</v>
      </c>
      <c r="CU13" s="31">
        <v>2</v>
      </c>
      <c r="CV13" s="31">
        <v>2</v>
      </c>
      <c r="CW13" s="31">
        <v>2</v>
      </c>
      <c r="DA13" s="31">
        <v>2</v>
      </c>
      <c r="DB13" s="31">
        <v>2</v>
      </c>
      <c r="DC13" s="31">
        <v>2</v>
      </c>
      <c r="DD13" s="31">
        <v>2</v>
      </c>
      <c r="DE13" s="31">
        <v>2</v>
      </c>
      <c r="DF13" s="31">
        <v>2</v>
      </c>
      <c r="DG13" s="31">
        <v>2</v>
      </c>
      <c r="DK13" s="31">
        <v>2</v>
      </c>
      <c r="DL13" s="31">
        <v>2</v>
      </c>
      <c r="DM13" s="31">
        <v>2</v>
      </c>
      <c r="DN13" s="31">
        <v>2</v>
      </c>
      <c r="DO13" s="31">
        <v>2</v>
      </c>
      <c r="DP13" s="31">
        <v>2</v>
      </c>
      <c r="DQ13" s="31">
        <v>2</v>
      </c>
      <c r="EG13" s="31">
        <v>2</v>
      </c>
      <c r="EH13" s="31" t="s">
        <v>364</v>
      </c>
      <c r="EI13" s="31">
        <v>82</v>
      </c>
      <c r="EJ13" s="31">
        <v>2</v>
      </c>
      <c r="EK13" s="31" t="s">
        <v>420</v>
      </c>
      <c r="EL13" s="31">
        <v>69</v>
      </c>
      <c r="FH13" s="31" t="s">
        <v>375</v>
      </c>
      <c r="FI13" s="31" t="s">
        <v>360</v>
      </c>
      <c r="FJ13" s="31">
        <v>2</v>
      </c>
      <c r="FL13" s="31" t="s">
        <v>359</v>
      </c>
      <c r="FM13" s="31">
        <v>2</v>
      </c>
      <c r="FN13" s="31">
        <v>2</v>
      </c>
      <c r="FO13" s="31">
        <v>2</v>
      </c>
      <c r="FP13" s="31">
        <v>2</v>
      </c>
      <c r="FR13" s="31">
        <v>2</v>
      </c>
      <c r="FT13" s="31">
        <v>2</v>
      </c>
      <c r="FV13" s="31">
        <v>2</v>
      </c>
      <c r="FX13" s="31">
        <v>2</v>
      </c>
      <c r="FZ13" s="31">
        <v>2</v>
      </c>
      <c r="GB13" s="31">
        <v>2</v>
      </c>
      <c r="GD13" s="31">
        <v>2</v>
      </c>
      <c r="GF13" s="31">
        <v>2</v>
      </c>
      <c r="GH13" s="31">
        <v>2</v>
      </c>
      <c r="GJ13" s="31">
        <v>2</v>
      </c>
      <c r="GL13" s="31">
        <v>2</v>
      </c>
      <c r="GN13" s="31">
        <v>2</v>
      </c>
      <c r="GP13" s="31">
        <v>2</v>
      </c>
      <c r="GR13" s="31">
        <v>2</v>
      </c>
      <c r="GT13" s="31">
        <v>2</v>
      </c>
      <c r="GV13" s="31">
        <v>2</v>
      </c>
      <c r="GX13" s="31">
        <v>2</v>
      </c>
      <c r="GZ13" s="31">
        <v>2</v>
      </c>
      <c r="HB13" s="31">
        <v>2</v>
      </c>
      <c r="HD13" s="31">
        <v>2</v>
      </c>
      <c r="HF13" s="31" t="s">
        <v>355</v>
      </c>
      <c r="HH13" s="31">
        <v>2</v>
      </c>
      <c r="HJ13" s="31">
        <v>2</v>
      </c>
      <c r="HL13" s="31">
        <v>2</v>
      </c>
      <c r="HN13" s="31">
        <v>2</v>
      </c>
      <c r="HP13" s="31">
        <v>2</v>
      </c>
      <c r="HR13" s="31">
        <v>2</v>
      </c>
      <c r="HT13" s="31">
        <v>2</v>
      </c>
      <c r="HV13" s="31">
        <v>2</v>
      </c>
      <c r="HX13" s="31">
        <v>2</v>
      </c>
      <c r="HZ13" s="31">
        <v>2</v>
      </c>
      <c r="IB13" s="31">
        <v>2</v>
      </c>
      <c r="ID13" s="31">
        <v>2</v>
      </c>
      <c r="IF13" s="31">
        <v>2</v>
      </c>
      <c r="IH13" s="31">
        <v>2</v>
      </c>
      <c r="IJ13" s="31">
        <v>2</v>
      </c>
      <c r="IL13" s="31">
        <v>2</v>
      </c>
      <c r="IN13" s="31">
        <v>2</v>
      </c>
      <c r="IP13" s="31">
        <v>2</v>
      </c>
      <c r="IR13" s="31">
        <v>2</v>
      </c>
      <c r="IT13" s="31">
        <v>2</v>
      </c>
      <c r="IV13" s="31">
        <v>2</v>
      </c>
      <c r="IX13" s="31" t="s">
        <v>355</v>
      </c>
      <c r="IZ13" s="31">
        <v>2</v>
      </c>
      <c r="JB13" s="31">
        <v>2</v>
      </c>
      <c r="JD13" s="31">
        <v>2</v>
      </c>
      <c r="JF13" s="31">
        <v>2</v>
      </c>
      <c r="JH13" s="31">
        <v>2</v>
      </c>
      <c r="JJ13" s="31">
        <v>2</v>
      </c>
      <c r="JL13" s="31">
        <v>2</v>
      </c>
      <c r="JN13" s="31">
        <v>2</v>
      </c>
      <c r="JP13" s="31">
        <v>2</v>
      </c>
      <c r="JR13" s="31">
        <v>2</v>
      </c>
      <c r="JT13" s="31">
        <v>2</v>
      </c>
      <c r="JV13" s="31">
        <v>2</v>
      </c>
      <c r="JX13" s="31">
        <v>2</v>
      </c>
      <c r="JZ13" s="31">
        <v>2</v>
      </c>
      <c r="KB13" s="31">
        <v>2</v>
      </c>
      <c r="KD13" s="31">
        <v>2</v>
      </c>
      <c r="KF13" s="31">
        <v>2</v>
      </c>
      <c r="KH13" s="31">
        <v>2</v>
      </c>
      <c r="KJ13" s="31">
        <v>2</v>
      </c>
      <c r="KL13" s="31">
        <v>2</v>
      </c>
      <c r="KN13" s="31">
        <v>2</v>
      </c>
      <c r="KP13" s="31" t="s">
        <v>355</v>
      </c>
      <c r="KR13" s="31">
        <v>1</v>
      </c>
      <c r="KS13" s="31">
        <v>2</v>
      </c>
      <c r="KT13" s="31">
        <v>2</v>
      </c>
      <c r="KU13" s="31">
        <v>2</v>
      </c>
      <c r="KV13" s="31">
        <v>2</v>
      </c>
      <c r="KW13" s="31">
        <v>2</v>
      </c>
      <c r="KX13" s="31">
        <v>2</v>
      </c>
      <c r="KY13" s="31">
        <v>2</v>
      </c>
      <c r="KZ13" s="31">
        <v>2</v>
      </c>
      <c r="LA13" s="31">
        <v>2</v>
      </c>
      <c r="LB13" s="31">
        <v>2</v>
      </c>
      <c r="LC13" s="31">
        <v>2</v>
      </c>
      <c r="LD13" s="31">
        <v>2</v>
      </c>
      <c r="LE13" s="31">
        <v>2</v>
      </c>
      <c r="LF13" s="31">
        <v>2</v>
      </c>
      <c r="LG13" s="31">
        <v>2</v>
      </c>
      <c r="LH13" s="31">
        <v>2</v>
      </c>
      <c r="LI13" s="31">
        <v>2</v>
      </c>
      <c r="LJ13" s="31">
        <v>2</v>
      </c>
      <c r="LK13" s="31">
        <v>2</v>
      </c>
      <c r="LL13" s="31">
        <v>2</v>
      </c>
      <c r="LM13" s="31">
        <v>2</v>
      </c>
      <c r="LN13" s="31">
        <v>2</v>
      </c>
      <c r="LO13" s="31">
        <v>2</v>
      </c>
      <c r="LP13" s="31">
        <v>2</v>
      </c>
      <c r="LQ13" s="31">
        <v>2</v>
      </c>
      <c r="LR13" s="31">
        <v>2</v>
      </c>
      <c r="LS13" s="31">
        <v>2</v>
      </c>
      <c r="LT13" s="31">
        <v>2</v>
      </c>
      <c r="LU13" s="31">
        <v>2</v>
      </c>
      <c r="LV13" s="31">
        <v>2</v>
      </c>
      <c r="LW13" s="31">
        <v>2</v>
      </c>
      <c r="LX13" s="31">
        <v>2</v>
      </c>
      <c r="LY13" s="31">
        <v>2</v>
      </c>
      <c r="LZ13" s="31">
        <v>2</v>
      </c>
      <c r="MA13" s="31" t="s">
        <v>365</v>
      </c>
      <c r="MB13" s="31" t="s">
        <v>1142</v>
      </c>
      <c r="ME13" s="31">
        <v>4</v>
      </c>
      <c r="MF13" s="31">
        <v>2</v>
      </c>
      <c r="MG13" s="31">
        <v>2</v>
      </c>
      <c r="MH13" s="31">
        <v>2</v>
      </c>
      <c r="MI13" s="31">
        <v>2</v>
      </c>
      <c r="MJ13" s="31">
        <v>2</v>
      </c>
      <c r="MK13" s="31">
        <v>5</v>
      </c>
      <c r="ML13" s="31">
        <v>2</v>
      </c>
      <c r="MM13" s="31">
        <v>2</v>
      </c>
      <c r="MN13" s="31">
        <v>2</v>
      </c>
      <c r="MO13" s="31">
        <v>2</v>
      </c>
      <c r="MP13" s="31">
        <v>2</v>
      </c>
      <c r="MQ13" s="31">
        <v>2</v>
      </c>
      <c r="MR13" s="31">
        <v>2</v>
      </c>
      <c r="MS13" s="31">
        <v>2</v>
      </c>
    </row>
    <row r="14" spans="1:547" s="31" customFormat="1" ht="13.5" customHeight="1">
      <c r="A14" s="31">
        <v>11</v>
      </c>
      <c r="B14" s="31">
        <v>11</v>
      </c>
      <c r="C14" s="31" t="s">
        <v>1115</v>
      </c>
      <c r="D14" s="31" t="s">
        <v>1143</v>
      </c>
      <c r="E14" s="31">
        <v>3</v>
      </c>
      <c r="H14" s="31">
        <v>42401</v>
      </c>
      <c r="I14" s="31">
        <v>19119</v>
      </c>
      <c r="J14" s="31">
        <v>2</v>
      </c>
      <c r="K14" s="31">
        <v>1</v>
      </c>
      <c r="L14" s="31">
        <v>5</v>
      </c>
      <c r="M14" s="31">
        <v>2</v>
      </c>
      <c r="N14" s="31">
        <v>2</v>
      </c>
      <c r="O14" s="31">
        <v>1</v>
      </c>
      <c r="P14" s="31">
        <v>3</v>
      </c>
      <c r="Q14" s="31">
        <v>1</v>
      </c>
      <c r="R14" s="31">
        <v>1</v>
      </c>
      <c r="S14" s="31">
        <v>2</v>
      </c>
      <c r="T14" s="31">
        <v>1</v>
      </c>
      <c r="U14" s="31">
        <v>2</v>
      </c>
      <c r="V14" s="31">
        <v>2</v>
      </c>
      <c r="W14" s="31">
        <v>2</v>
      </c>
      <c r="X14" s="31">
        <v>2</v>
      </c>
      <c r="Y14" s="31">
        <v>2</v>
      </c>
      <c r="Z14" s="31">
        <v>4</v>
      </c>
      <c r="AA14" s="31">
        <v>2</v>
      </c>
      <c r="AB14" s="31">
        <v>2</v>
      </c>
      <c r="AC14" s="31">
        <v>2</v>
      </c>
      <c r="AD14" s="31">
        <v>1</v>
      </c>
      <c r="AE14" s="31">
        <v>1</v>
      </c>
      <c r="AF14" s="31">
        <v>2</v>
      </c>
      <c r="AH14" s="31">
        <v>2</v>
      </c>
      <c r="AI14" s="31">
        <v>2</v>
      </c>
      <c r="AJ14" s="31">
        <v>1</v>
      </c>
      <c r="AK14" s="31" t="s">
        <v>357</v>
      </c>
      <c r="AL14" s="31">
        <v>1</v>
      </c>
      <c r="AM14" s="31">
        <v>1986</v>
      </c>
      <c r="AN14" s="31">
        <v>2</v>
      </c>
      <c r="AO14" s="31">
        <v>2</v>
      </c>
      <c r="AQ14" s="31">
        <v>2</v>
      </c>
      <c r="AS14" s="31">
        <v>2</v>
      </c>
      <c r="AV14" s="31">
        <v>2</v>
      </c>
      <c r="AX14" s="31">
        <v>1</v>
      </c>
      <c r="AZ14" s="31">
        <v>2</v>
      </c>
      <c r="BB14" s="31">
        <v>2</v>
      </c>
      <c r="BD14" s="31">
        <v>2</v>
      </c>
      <c r="BI14" s="31" t="s">
        <v>355</v>
      </c>
      <c r="BT14" s="31">
        <v>2</v>
      </c>
      <c r="BW14" s="31">
        <v>2</v>
      </c>
      <c r="BX14" s="31">
        <v>2</v>
      </c>
      <c r="BY14" s="31">
        <v>2</v>
      </c>
      <c r="BZ14" s="31">
        <v>2</v>
      </c>
      <c r="CA14" s="31">
        <v>2</v>
      </c>
      <c r="CB14" s="31">
        <v>2</v>
      </c>
      <c r="CC14" s="31">
        <v>2</v>
      </c>
      <c r="CG14" s="31">
        <v>2</v>
      </c>
      <c r="CH14" s="31">
        <v>2</v>
      </c>
      <c r="CI14" s="31">
        <v>2</v>
      </c>
      <c r="CJ14" s="31">
        <v>2</v>
      </c>
      <c r="CK14" s="31">
        <v>2</v>
      </c>
      <c r="CL14" s="31">
        <v>2</v>
      </c>
      <c r="CM14" s="31">
        <v>2</v>
      </c>
      <c r="CQ14" s="31">
        <v>1</v>
      </c>
      <c r="CR14" s="31">
        <v>1</v>
      </c>
      <c r="CS14" s="31">
        <v>2</v>
      </c>
      <c r="CT14" s="31">
        <v>2</v>
      </c>
      <c r="CU14" s="31">
        <v>2</v>
      </c>
      <c r="CV14" s="31">
        <v>2</v>
      </c>
      <c r="CW14" s="31">
        <v>2</v>
      </c>
      <c r="DA14" s="31">
        <v>2</v>
      </c>
      <c r="DB14" s="31">
        <v>2</v>
      </c>
      <c r="DC14" s="31">
        <v>2</v>
      </c>
      <c r="DD14" s="31">
        <v>2</v>
      </c>
      <c r="DE14" s="31">
        <v>2</v>
      </c>
      <c r="DF14" s="31">
        <v>2</v>
      </c>
      <c r="DG14" s="31">
        <v>2</v>
      </c>
      <c r="DK14" s="31">
        <v>2</v>
      </c>
      <c r="DL14" s="31">
        <v>2</v>
      </c>
      <c r="DM14" s="31">
        <v>2</v>
      </c>
      <c r="DN14" s="31">
        <v>2</v>
      </c>
      <c r="DO14" s="31">
        <v>2</v>
      </c>
      <c r="DP14" s="31">
        <v>2</v>
      </c>
      <c r="DQ14" s="31">
        <v>2</v>
      </c>
      <c r="DX14" s="31" t="s">
        <v>396</v>
      </c>
      <c r="EG14" s="31">
        <v>2</v>
      </c>
      <c r="EH14" s="31" t="s">
        <v>412</v>
      </c>
      <c r="EI14" s="31">
        <v>86</v>
      </c>
      <c r="EJ14" s="31">
        <v>2</v>
      </c>
      <c r="EK14" s="31" t="s">
        <v>396</v>
      </c>
      <c r="EL14" s="31">
        <v>69</v>
      </c>
      <c r="FH14" s="31" t="s">
        <v>395</v>
      </c>
      <c r="FI14" s="31" t="s">
        <v>359</v>
      </c>
      <c r="FJ14" s="31">
        <v>2</v>
      </c>
      <c r="FL14" s="31" t="s">
        <v>379</v>
      </c>
      <c r="FM14" s="31">
        <v>2</v>
      </c>
      <c r="FN14" s="31">
        <v>2</v>
      </c>
      <c r="FO14" s="31">
        <v>1</v>
      </c>
      <c r="FP14" s="31">
        <v>2</v>
      </c>
      <c r="FR14" s="31">
        <v>2</v>
      </c>
      <c r="FT14" s="31">
        <v>2</v>
      </c>
      <c r="FV14" s="31">
        <v>2</v>
      </c>
      <c r="FX14" s="31">
        <v>2</v>
      </c>
      <c r="FZ14" s="31">
        <v>2</v>
      </c>
      <c r="GB14" s="31">
        <v>2</v>
      </c>
      <c r="GD14" s="31">
        <v>2</v>
      </c>
      <c r="GF14" s="31">
        <v>2</v>
      </c>
      <c r="GH14" s="31">
        <v>2</v>
      </c>
      <c r="GJ14" s="31">
        <v>2</v>
      </c>
      <c r="GL14" s="31">
        <v>2</v>
      </c>
      <c r="GN14" s="31">
        <v>2</v>
      </c>
      <c r="GP14" s="31">
        <v>1</v>
      </c>
      <c r="GR14" s="31">
        <v>2</v>
      </c>
      <c r="GT14" s="31">
        <v>2</v>
      </c>
      <c r="GV14" s="31">
        <v>2</v>
      </c>
      <c r="GX14" s="31">
        <v>2</v>
      </c>
      <c r="GZ14" s="31">
        <v>2</v>
      </c>
      <c r="HB14" s="31">
        <v>2</v>
      </c>
      <c r="HD14" s="31">
        <v>2</v>
      </c>
      <c r="HF14" s="31" t="s">
        <v>355</v>
      </c>
      <c r="HH14" s="31">
        <v>2</v>
      </c>
      <c r="HJ14" s="31">
        <v>2</v>
      </c>
      <c r="HL14" s="31">
        <v>2</v>
      </c>
      <c r="HN14" s="31">
        <v>2</v>
      </c>
      <c r="HP14" s="31">
        <v>2</v>
      </c>
      <c r="HR14" s="31">
        <v>2</v>
      </c>
      <c r="HT14" s="31">
        <v>2</v>
      </c>
      <c r="HV14" s="31">
        <v>2</v>
      </c>
      <c r="HX14" s="31">
        <v>2</v>
      </c>
      <c r="HZ14" s="31">
        <v>2</v>
      </c>
      <c r="IB14" s="31">
        <v>2</v>
      </c>
      <c r="ID14" s="31">
        <v>2</v>
      </c>
      <c r="IF14" s="31">
        <v>2</v>
      </c>
      <c r="IH14" s="31">
        <v>2</v>
      </c>
      <c r="IJ14" s="31">
        <v>2</v>
      </c>
      <c r="IL14" s="31">
        <v>2</v>
      </c>
      <c r="IN14" s="31">
        <v>2</v>
      </c>
      <c r="IP14" s="31">
        <v>2</v>
      </c>
      <c r="IR14" s="31">
        <v>2</v>
      </c>
      <c r="IT14" s="31">
        <v>2</v>
      </c>
      <c r="IV14" s="31">
        <v>2</v>
      </c>
      <c r="IX14" s="31" t="s">
        <v>355</v>
      </c>
      <c r="IZ14" s="31">
        <v>2</v>
      </c>
      <c r="JB14" s="31">
        <v>2</v>
      </c>
      <c r="JD14" s="31">
        <v>2</v>
      </c>
      <c r="JF14" s="31">
        <v>2</v>
      </c>
      <c r="JH14" s="31">
        <v>2</v>
      </c>
      <c r="JJ14" s="31">
        <v>2</v>
      </c>
      <c r="JL14" s="31">
        <v>2</v>
      </c>
      <c r="JN14" s="31">
        <v>2</v>
      </c>
      <c r="JP14" s="31">
        <v>2</v>
      </c>
      <c r="JR14" s="31">
        <v>2</v>
      </c>
      <c r="JT14" s="31">
        <v>2</v>
      </c>
      <c r="JV14" s="31">
        <v>2</v>
      </c>
      <c r="JX14" s="31">
        <v>2</v>
      </c>
      <c r="JZ14" s="31">
        <v>2</v>
      </c>
      <c r="KB14" s="31">
        <v>2</v>
      </c>
      <c r="KD14" s="31">
        <v>2</v>
      </c>
      <c r="KF14" s="31">
        <v>2</v>
      </c>
      <c r="KH14" s="31">
        <v>2</v>
      </c>
      <c r="KJ14" s="31">
        <v>2</v>
      </c>
      <c r="KL14" s="31">
        <v>2</v>
      </c>
      <c r="KN14" s="31">
        <v>2</v>
      </c>
      <c r="KP14" s="31" t="s">
        <v>355</v>
      </c>
      <c r="KR14" s="31">
        <v>1</v>
      </c>
      <c r="KS14" s="31">
        <v>2</v>
      </c>
      <c r="KT14" s="31">
        <v>1</v>
      </c>
      <c r="KU14" s="31">
        <v>2</v>
      </c>
      <c r="KV14" s="31">
        <v>2</v>
      </c>
      <c r="KW14" s="31">
        <v>2</v>
      </c>
      <c r="KX14" s="31">
        <v>2</v>
      </c>
      <c r="KY14" s="31">
        <v>2</v>
      </c>
      <c r="KZ14" s="31">
        <v>2</v>
      </c>
      <c r="LA14" s="31">
        <v>2</v>
      </c>
      <c r="LB14" s="31">
        <v>2</v>
      </c>
      <c r="LC14" s="31">
        <v>2</v>
      </c>
      <c r="LD14" s="31">
        <v>2</v>
      </c>
      <c r="LE14" s="31">
        <v>2</v>
      </c>
      <c r="LF14" s="31">
        <v>2</v>
      </c>
      <c r="LG14" s="31">
        <v>2</v>
      </c>
      <c r="LH14" s="31">
        <v>2</v>
      </c>
      <c r="LI14" s="31">
        <v>2</v>
      </c>
      <c r="LJ14" s="31">
        <v>2</v>
      </c>
      <c r="LK14" s="31">
        <v>2</v>
      </c>
      <c r="LL14" s="31">
        <v>2</v>
      </c>
      <c r="LM14" s="31">
        <v>2</v>
      </c>
      <c r="LN14" s="31">
        <v>2</v>
      </c>
      <c r="LO14" s="31">
        <v>2</v>
      </c>
      <c r="LP14" s="31">
        <v>2</v>
      </c>
      <c r="LQ14" s="31">
        <v>2</v>
      </c>
      <c r="LR14" s="31">
        <v>2</v>
      </c>
      <c r="LS14" s="31">
        <v>2</v>
      </c>
      <c r="LT14" s="31">
        <v>1</v>
      </c>
      <c r="LU14" s="31">
        <v>2</v>
      </c>
      <c r="LV14" s="31">
        <v>2</v>
      </c>
      <c r="LW14" s="31">
        <v>2</v>
      </c>
      <c r="LX14" s="31">
        <v>2</v>
      </c>
      <c r="LY14" s="31">
        <v>2</v>
      </c>
      <c r="LZ14" s="31">
        <v>2</v>
      </c>
      <c r="MA14" s="31" t="s">
        <v>428</v>
      </c>
      <c r="MB14" s="31" t="s">
        <v>428</v>
      </c>
      <c r="MC14" s="31" t="s">
        <v>423</v>
      </c>
      <c r="MD14" s="31" t="s">
        <v>423</v>
      </c>
      <c r="ME14" s="31">
        <v>5</v>
      </c>
      <c r="MF14" s="31">
        <v>2</v>
      </c>
      <c r="MG14" s="31">
        <v>2</v>
      </c>
      <c r="MH14" s="31">
        <v>2</v>
      </c>
      <c r="MI14" s="31">
        <v>2</v>
      </c>
      <c r="MJ14" s="31">
        <v>2</v>
      </c>
      <c r="MK14" s="31">
        <v>5</v>
      </c>
      <c r="ML14" s="31">
        <v>2</v>
      </c>
      <c r="MM14" s="31">
        <v>2</v>
      </c>
      <c r="MN14" s="31">
        <v>2</v>
      </c>
      <c r="MO14" s="31">
        <v>2</v>
      </c>
      <c r="MP14" s="31">
        <v>2</v>
      </c>
      <c r="MQ14" s="31">
        <v>2</v>
      </c>
      <c r="MR14" s="31">
        <v>2</v>
      </c>
      <c r="MS14" s="31">
        <v>2</v>
      </c>
    </row>
    <row r="15" spans="1:547" s="31" customFormat="1" ht="13.5" customHeight="1">
      <c r="A15" s="31">
        <v>12</v>
      </c>
      <c r="B15" s="31">
        <v>12</v>
      </c>
      <c r="C15" s="31" t="s">
        <v>1115</v>
      </c>
      <c r="D15" s="31" t="s">
        <v>1144</v>
      </c>
      <c r="E15" s="31">
        <v>3</v>
      </c>
      <c r="H15" s="31">
        <v>42452</v>
      </c>
      <c r="I15" s="31">
        <v>26735</v>
      </c>
      <c r="J15" s="31">
        <v>2</v>
      </c>
      <c r="K15" s="31">
        <v>1</v>
      </c>
      <c r="L15" s="31">
        <v>4</v>
      </c>
      <c r="M15" s="31">
        <v>2</v>
      </c>
      <c r="N15" s="31">
        <v>4</v>
      </c>
      <c r="O15" s="31">
        <v>2</v>
      </c>
      <c r="P15" s="31">
        <v>4</v>
      </c>
      <c r="Q15" s="31">
        <v>2</v>
      </c>
      <c r="R15" s="31">
        <v>1</v>
      </c>
      <c r="S15" s="31">
        <v>2</v>
      </c>
      <c r="T15" s="31">
        <v>1</v>
      </c>
      <c r="U15" s="31">
        <v>2</v>
      </c>
      <c r="V15" s="31">
        <v>2</v>
      </c>
      <c r="W15" s="31">
        <v>2</v>
      </c>
      <c r="X15" s="31">
        <v>2</v>
      </c>
      <c r="Y15" s="31">
        <v>2</v>
      </c>
      <c r="Z15" s="31">
        <v>4</v>
      </c>
      <c r="AA15" s="31">
        <v>2</v>
      </c>
      <c r="AB15" s="31">
        <v>2</v>
      </c>
      <c r="AC15" s="31">
        <v>2</v>
      </c>
      <c r="AD15" s="31">
        <v>1</v>
      </c>
      <c r="AE15" s="31">
        <v>1</v>
      </c>
      <c r="AF15" s="31">
        <v>2</v>
      </c>
      <c r="AH15" s="31">
        <v>2</v>
      </c>
      <c r="AI15" s="31">
        <v>2</v>
      </c>
      <c r="AJ15" s="31">
        <v>2</v>
      </c>
      <c r="AK15" s="31" t="s">
        <v>357</v>
      </c>
      <c r="AL15" s="31">
        <v>2</v>
      </c>
      <c r="AM15" s="31" t="s">
        <v>357</v>
      </c>
      <c r="AN15" s="31" t="s">
        <v>357</v>
      </c>
      <c r="AO15" s="31">
        <v>2</v>
      </c>
      <c r="AQ15" s="31">
        <v>2</v>
      </c>
      <c r="AS15" s="31">
        <v>2</v>
      </c>
      <c r="AV15" s="31">
        <v>2</v>
      </c>
      <c r="AX15" s="31">
        <v>1</v>
      </c>
      <c r="AZ15" s="31">
        <v>2</v>
      </c>
      <c r="BB15" s="31">
        <v>2</v>
      </c>
      <c r="BD15" s="31">
        <v>2</v>
      </c>
      <c r="BI15" s="31" t="s">
        <v>355</v>
      </c>
      <c r="BT15" s="31">
        <v>2</v>
      </c>
      <c r="BW15" s="31">
        <v>2</v>
      </c>
      <c r="BX15" s="31">
        <v>2</v>
      </c>
      <c r="BY15" s="31">
        <v>2</v>
      </c>
      <c r="BZ15" s="31">
        <v>2</v>
      </c>
      <c r="CA15" s="31">
        <v>2</v>
      </c>
      <c r="CB15" s="31">
        <v>2</v>
      </c>
      <c r="CC15" s="31">
        <v>2</v>
      </c>
      <c r="CG15" s="31">
        <v>2</v>
      </c>
      <c r="CH15" s="31">
        <v>2</v>
      </c>
      <c r="CI15" s="31">
        <v>2</v>
      </c>
      <c r="CJ15" s="31">
        <v>2</v>
      </c>
      <c r="CK15" s="31">
        <v>2</v>
      </c>
      <c r="CL15" s="31">
        <v>2</v>
      </c>
      <c r="CM15" s="31">
        <v>2</v>
      </c>
      <c r="CQ15" s="31">
        <v>1</v>
      </c>
      <c r="CR15" s="31">
        <v>1</v>
      </c>
      <c r="CS15" s="31">
        <v>2</v>
      </c>
      <c r="CT15" s="31">
        <v>2</v>
      </c>
      <c r="CU15" s="31">
        <v>2</v>
      </c>
      <c r="CV15" s="31">
        <v>2</v>
      </c>
      <c r="CW15" s="31">
        <v>2</v>
      </c>
      <c r="DA15" s="31">
        <v>2</v>
      </c>
      <c r="DB15" s="31">
        <v>2</v>
      </c>
      <c r="DC15" s="31">
        <v>2</v>
      </c>
      <c r="DD15" s="31">
        <v>2</v>
      </c>
      <c r="DE15" s="31">
        <v>2</v>
      </c>
      <c r="DF15" s="31">
        <v>2</v>
      </c>
      <c r="DG15" s="31">
        <v>2</v>
      </c>
      <c r="DK15" s="31">
        <v>2</v>
      </c>
      <c r="DL15" s="31">
        <v>2</v>
      </c>
      <c r="DM15" s="31">
        <v>2</v>
      </c>
      <c r="DN15" s="31">
        <v>2</v>
      </c>
      <c r="DO15" s="31">
        <v>2</v>
      </c>
      <c r="DP15" s="31">
        <v>2</v>
      </c>
      <c r="DQ15" s="31">
        <v>2</v>
      </c>
      <c r="DT15" s="32"/>
      <c r="DX15" s="31" t="s">
        <v>1145</v>
      </c>
      <c r="EG15" s="31">
        <v>1</v>
      </c>
      <c r="EJ15" s="31">
        <v>1</v>
      </c>
      <c r="FH15" s="31" t="s">
        <v>387</v>
      </c>
      <c r="FI15" s="31" t="s">
        <v>371</v>
      </c>
      <c r="FJ15" s="31">
        <v>2</v>
      </c>
      <c r="FL15" s="31" t="s">
        <v>379</v>
      </c>
      <c r="FM15" s="31">
        <v>2</v>
      </c>
      <c r="FN15" s="31">
        <v>2</v>
      </c>
      <c r="FO15" s="31">
        <v>1</v>
      </c>
      <c r="FP15" s="31">
        <v>2</v>
      </c>
      <c r="FR15" s="31">
        <v>2</v>
      </c>
      <c r="FT15" s="31">
        <v>2</v>
      </c>
      <c r="FV15" s="31">
        <v>2</v>
      </c>
      <c r="FX15" s="31">
        <v>2</v>
      </c>
      <c r="FZ15" s="31">
        <v>2</v>
      </c>
      <c r="GB15" s="31">
        <v>2</v>
      </c>
      <c r="GD15" s="31">
        <v>2</v>
      </c>
      <c r="GF15" s="31">
        <v>2</v>
      </c>
      <c r="GH15" s="31">
        <v>2</v>
      </c>
      <c r="GJ15" s="31">
        <v>2</v>
      </c>
      <c r="GL15" s="31">
        <v>2</v>
      </c>
      <c r="GN15" s="31">
        <v>2</v>
      </c>
      <c r="GP15" s="31">
        <v>2</v>
      </c>
      <c r="GR15" s="31">
        <v>2</v>
      </c>
      <c r="GT15" s="31">
        <v>2</v>
      </c>
      <c r="GV15" s="31">
        <v>2</v>
      </c>
      <c r="GX15" s="31">
        <v>2</v>
      </c>
      <c r="GZ15" s="31">
        <v>2</v>
      </c>
      <c r="HB15" s="31">
        <v>2</v>
      </c>
      <c r="HD15" s="31">
        <v>2</v>
      </c>
      <c r="HF15" s="31" t="s">
        <v>355</v>
      </c>
      <c r="HH15" s="31">
        <v>2</v>
      </c>
      <c r="HJ15" s="31">
        <v>2</v>
      </c>
      <c r="HL15" s="31">
        <v>2</v>
      </c>
      <c r="HN15" s="31">
        <v>1</v>
      </c>
      <c r="HO15" s="31">
        <v>20</v>
      </c>
      <c r="HP15" s="31">
        <v>2</v>
      </c>
      <c r="HR15" s="31">
        <v>2</v>
      </c>
      <c r="HT15" s="31">
        <v>2</v>
      </c>
      <c r="HV15" s="31">
        <v>2</v>
      </c>
      <c r="HX15" s="31">
        <v>2</v>
      </c>
      <c r="HZ15" s="31">
        <v>2</v>
      </c>
      <c r="IB15" s="31">
        <v>2</v>
      </c>
      <c r="ID15" s="31">
        <v>2</v>
      </c>
      <c r="IF15" s="31">
        <v>2</v>
      </c>
      <c r="IH15" s="31">
        <v>2</v>
      </c>
      <c r="IJ15" s="31">
        <v>2</v>
      </c>
      <c r="IL15" s="31">
        <v>2</v>
      </c>
      <c r="IN15" s="31">
        <v>2</v>
      </c>
      <c r="IP15" s="31">
        <v>2</v>
      </c>
      <c r="IR15" s="31">
        <v>2</v>
      </c>
      <c r="IT15" s="31">
        <v>2</v>
      </c>
      <c r="IV15" s="31">
        <v>2</v>
      </c>
      <c r="IX15" s="31" t="s">
        <v>355</v>
      </c>
      <c r="IZ15" s="31">
        <v>2</v>
      </c>
      <c r="JB15" s="31">
        <v>2</v>
      </c>
      <c r="JD15" s="31">
        <v>2</v>
      </c>
      <c r="JF15" s="31">
        <v>2</v>
      </c>
      <c r="JH15" s="31">
        <v>2</v>
      </c>
      <c r="JJ15" s="31">
        <v>2</v>
      </c>
      <c r="JL15" s="31">
        <v>2</v>
      </c>
      <c r="JN15" s="31">
        <v>2</v>
      </c>
      <c r="JP15" s="31">
        <v>2</v>
      </c>
      <c r="JR15" s="31">
        <v>2</v>
      </c>
      <c r="JT15" s="31">
        <v>2</v>
      </c>
      <c r="JV15" s="31">
        <v>2</v>
      </c>
      <c r="JX15" s="31">
        <v>2</v>
      </c>
      <c r="JZ15" s="31">
        <v>2</v>
      </c>
      <c r="KB15" s="31">
        <v>2</v>
      </c>
      <c r="KD15" s="31">
        <v>2</v>
      </c>
      <c r="KF15" s="31">
        <v>2</v>
      </c>
      <c r="KH15" s="31">
        <v>2</v>
      </c>
      <c r="KJ15" s="31">
        <v>2</v>
      </c>
      <c r="KL15" s="31">
        <v>2</v>
      </c>
      <c r="KN15" s="31">
        <v>2</v>
      </c>
      <c r="KP15" s="31" t="s">
        <v>355</v>
      </c>
      <c r="KR15" s="31">
        <v>1</v>
      </c>
      <c r="KS15" s="31">
        <v>2</v>
      </c>
      <c r="KT15" s="31">
        <v>2</v>
      </c>
      <c r="KU15" s="31">
        <v>2</v>
      </c>
      <c r="KV15" s="31">
        <v>2</v>
      </c>
      <c r="KW15" s="31">
        <v>2</v>
      </c>
      <c r="KX15" s="31">
        <v>2</v>
      </c>
      <c r="KY15" s="31">
        <v>2</v>
      </c>
      <c r="KZ15" s="31">
        <v>2</v>
      </c>
      <c r="LA15" s="31">
        <v>2</v>
      </c>
      <c r="LB15" s="31">
        <v>2</v>
      </c>
      <c r="LC15" s="31">
        <v>2</v>
      </c>
      <c r="LD15" s="31">
        <v>2</v>
      </c>
      <c r="LE15" s="31">
        <v>2</v>
      </c>
      <c r="LF15" s="31">
        <v>2</v>
      </c>
      <c r="LG15" s="31">
        <v>2</v>
      </c>
      <c r="LH15" s="31">
        <v>2</v>
      </c>
      <c r="LI15" s="31">
        <v>2</v>
      </c>
      <c r="LJ15" s="31">
        <v>1</v>
      </c>
      <c r="LK15" s="31">
        <v>2</v>
      </c>
      <c r="LL15" s="31">
        <v>1</v>
      </c>
      <c r="LM15" s="31">
        <v>2</v>
      </c>
      <c r="LN15" s="31">
        <v>2</v>
      </c>
      <c r="LO15" s="31">
        <v>2</v>
      </c>
      <c r="LP15" s="31">
        <v>2</v>
      </c>
      <c r="LQ15" s="31">
        <v>2</v>
      </c>
      <c r="LR15" s="31">
        <v>2</v>
      </c>
      <c r="LS15" s="31">
        <v>2</v>
      </c>
      <c r="LT15" s="31">
        <v>2</v>
      </c>
      <c r="LU15" s="31">
        <v>2</v>
      </c>
      <c r="LV15" s="31">
        <v>2</v>
      </c>
      <c r="LW15" s="31">
        <v>2</v>
      </c>
      <c r="LX15" s="31">
        <v>2</v>
      </c>
      <c r="LY15" s="31">
        <v>2</v>
      </c>
      <c r="LZ15" s="31">
        <v>2</v>
      </c>
      <c r="MA15" s="31" t="s">
        <v>398</v>
      </c>
      <c r="MB15" s="31" t="s">
        <v>398</v>
      </c>
      <c r="ME15" s="31">
        <v>4</v>
      </c>
      <c r="MF15" s="31">
        <v>2</v>
      </c>
      <c r="MG15" s="31">
        <v>2</v>
      </c>
      <c r="MH15" s="31">
        <v>2</v>
      </c>
      <c r="MI15" s="31">
        <v>2</v>
      </c>
      <c r="MJ15" s="31">
        <v>2</v>
      </c>
      <c r="MK15" s="31">
        <v>4</v>
      </c>
      <c r="ML15" s="31">
        <v>2</v>
      </c>
      <c r="MM15" s="31">
        <v>2</v>
      </c>
      <c r="MN15" s="31">
        <v>2</v>
      </c>
      <c r="MO15" s="31">
        <v>2</v>
      </c>
      <c r="MP15" s="31">
        <v>2</v>
      </c>
      <c r="MQ15" s="31">
        <v>2</v>
      </c>
      <c r="MR15" s="31">
        <v>2</v>
      </c>
      <c r="MS15" s="31">
        <v>2</v>
      </c>
    </row>
    <row r="16" spans="1:547" s="31" customFormat="1" ht="13.5" customHeight="1">
      <c r="A16" s="31">
        <v>13</v>
      </c>
      <c r="B16" s="31">
        <v>13</v>
      </c>
      <c r="C16" s="31" t="s">
        <v>1115</v>
      </c>
      <c r="D16" s="31" t="s">
        <v>1146</v>
      </c>
      <c r="E16" s="31">
        <v>3</v>
      </c>
      <c r="H16" s="31">
        <v>42475</v>
      </c>
      <c r="I16" s="31">
        <v>19733</v>
      </c>
      <c r="J16" s="31">
        <v>2</v>
      </c>
      <c r="K16" s="31">
        <v>1</v>
      </c>
      <c r="L16" s="31">
        <v>5</v>
      </c>
      <c r="M16" s="31">
        <v>2</v>
      </c>
      <c r="N16" s="31">
        <v>5</v>
      </c>
      <c r="O16" s="31">
        <v>2</v>
      </c>
      <c r="P16" s="31">
        <v>5</v>
      </c>
      <c r="Q16" s="31">
        <v>2</v>
      </c>
      <c r="R16" s="31">
        <v>2</v>
      </c>
      <c r="S16" s="31">
        <v>2</v>
      </c>
      <c r="T16" s="31">
        <v>1</v>
      </c>
      <c r="U16" s="31">
        <v>2</v>
      </c>
      <c r="V16" s="31">
        <v>2</v>
      </c>
      <c r="W16" s="31">
        <v>2</v>
      </c>
      <c r="X16" s="31">
        <v>1</v>
      </c>
      <c r="Y16" s="31">
        <v>2</v>
      </c>
      <c r="Z16" s="31">
        <v>4</v>
      </c>
      <c r="AA16" s="31">
        <v>2</v>
      </c>
      <c r="AB16" s="31">
        <v>2</v>
      </c>
      <c r="AC16" s="31">
        <v>2</v>
      </c>
      <c r="AD16" s="31">
        <v>1</v>
      </c>
      <c r="AE16" s="31">
        <v>1</v>
      </c>
      <c r="AF16" s="31">
        <v>2</v>
      </c>
      <c r="AH16" s="31">
        <v>2</v>
      </c>
      <c r="AI16" s="31">
        <v>2</v>
      </c>
      <c r="AJ16" s="31">
        <v>1</v>
      </c>
      <c r="AK16" s="31">
        <v>1974</v>
      </c>
      <c r="AL16" s="31">
        <v>1</v>
      </c>
      <c r="AM16" s="31">
        <v>2016</v>
      </c>
      <c r="AN16" s="31">
        <v>1</v>
      </c>
      <c r="AO16" s="31">
        <v>2</v>
      </c>
      <c r="AQ16" s="31">
        <v>2</v>
      </c>
      <c r="AS16" s="31">
        <v>2</v>
      </c>
      <c r="AV16" s="31">
        <v>2</v>
      </c>
      <c r="AX16" s="31">
        <v>2</v>
      </c>
      <c r="AZ16" s="31">
        <v>1</v>
      </c>
      <c r="BB16" s="31">
        <v>1</v>
      </c>
      <c r="BD16" s="31">
        <v>2</v>
      </c>
      <c r="BI16" s="31" t="s">
        <v>355</v>
      </c>
      <c r="BT16" s="31">
        <v>2</v>
      </c>
      <c r="BW16" s="31">
        <v>2</v>
      </c>
      <c r="BX16" s="31">
        <v>2</v>
      </c>
      <c r="BY16" s="31">
        <v>2</v>
      </c>
      <c r="BZ16" s="31">
        <v>2</v>
      </c>
      <c r="CA16" s="31">
        <v>2</v>
      </c>
      <c r="CB16" s="31">
        <v>2</v>
      </c>
      <c r="CC16" s="31">
        <v>2</v>
      </c>
      <c r="CG16" s="31">
        <v>2</v>
      </c>
      <c r="CH16" s="31">
        <v>2</v>
      </c>
      <c r="CI16" s="31">
        <v>2</v>
      </c>
      <c r="CJ16" s="31">
        <v>2</v>
      </c>
      <c r="CK16" s="31">
        <v>2</v>
      </c>
      <c r="CL16" s="31">
        <v>2</v>
      </c>
      <c r="CM16" s="31">
        <v>2</v>
      </c>
      <c r="CQ16" s="31">
        <v>2</v>
      </c>
      <c r="CR16" s="31">
        <v>2</v>
      </c>
      <c r="CS16" s="31">
        <v>2</v>
      </c>
      <c r="CT16" s="31">
        <v>2</v>
      </c>
      <c r="CU16" s="31">
        <v>2</v>
      </c>
      <c r="CV16" s="31">
        <v>2</v>
      </c>
      <c r="CW16" s="31">
        <v>2</v>
      </c>
      <c r="DA16" s="31">
        <v>2</v>
      </c>
      <c r="DB16" s="31">
        <v>2</v>
      </c>
      <c r="DC16" s="31">
        <v>2</v>
      </c>
      <c r="DD16" s="31">
        <v>2</v>
      </c>
      <c r="DE16" s="31">
        <v>2</v>
      </c>
      <c r="DF16" s="31">
        <v>2</v>
      </c>
      <c r="DG16" s="31">
        <v>2</v>
      </c>
      <c r="DK16" s="31">
        <v>2</v>
      </c>
      <c r="DL16" s="31">
        <v>2</v>
      </c>
      <c r="DM16" s="31">
        <v>2</v>
      </c>
      <c r="DN16" s="31">
        <v>2</v>
      </c>
      <c r="DO16" s="31">
        <v>2</v>
      </c>
      <c r="DP16" s="31">
        <v>2</v>
      </c>
      <c r="DQ16" s="31">
        <v>2</v>
      </c>
      <c r="DU16" s="31" t="s">
        <v>1140</v>
      </c>
      <c r="EG16" s="31">
        <v>2</v>
      </c>
      <c r="EH16" s="31" t="s">
        <v>1140</v>
      </c>
      <c r="EI16" s="31">
        <v>44</v>
      </c>
      <c r="EJ16" s="31">
        <v>2</v>
      </c>
      <c r="EK16" s="31" t="s">
        <v>388</v>
      </c>
      <c r="EL16" s="31">
        <v>82</v>
      </c>
      <c r="FH16" s="31" t="s">
        <v>370</v>
      </c>
      <c r="FI16" s="31" t="s">
        <v>371</v>
      </c>
      <c r="FJ16" s="31">
        <v>2</v>
      </c>
      <c r="FL16" s="31" t="s">
        <v>370</v>
      </c>
      <c r="FM16" s="31">
        <v>2</v>
      </c>
      <c r="FN16" s="31">
        <v>2</v>
      </c>
      <c r="FO16" s="31">
        <v>2</v>
      </c>
      <c r="FP16" s="31">
        <v>2</v>
      </c>
      <c r="FR16" s="31">
        <v>2</v>
      </c>
      <c r="FT16" s="31">
        <v>2</v>
      </c>
      <c r="FV16" s="31">
        <v>2</v>
      </c>
      <c r="FX16" s="31">
        <v>2</v>
      </c>
      <c r="FZ16" s="31">
        <v>2</v>
      </c>
      <c r="GB16" s="31">
        <v>2</v>
      </c>
      <c r="GD16" s="31">
        <v>2</v>
      </c>
      <c r="GF16" s="31">
        <v>2</v>
      </c>
      <c r="GH16" s="31">
        <v>2</v>
      </c>
      <c r="GJ16" s="31">
        <v>2</v>
      </c>
      <c r="GL16" s="31">
        <v>2</v>
      </c>
      <c r="GN16" s="31">
        <v>2</v>
      </c>
      <c r="GP16" s="31">
        <v>2</v>
      </c>
      <c r="GR16" s="31">
        <v>2</v>
      </c>
      <c r="GT16" s="31">
        <v>2</v>
      </c>
      <c r="GV16" s="31">
        <v>2</v>
      </c>
      <c r="GX16" s="31">
        <v>2</v>
      </c>
      <c r="GZ16" s="31">
        <v>2</v>
      </c>
      <c r="HB16" s="31">
        <v>2</v>
      </c>
      <c r="HD16" s="31">
        <v>2</v>
      </c>
      <c r="HF16" s="31" t="s">
        <v>355</v>
      </c>
      <c r="HH16" s="31">
        <v>2</v>
      </c>
      <c r="HJ16" s="31">
        <v>2</v>
      </c>
      <c r="HL16" s="31">
        <v>2</v>
      </c>
      <c r="HN16" s="31">
        <v>2</v>
      </c>
      <c r="HP16" s="31">
        <v>2</v>
      </c>
      <c r="HR16" s="31">
        <v>2</v>
      </c>
      <c r="HT16" s="31">
        <v>2</v>
      </c>
      <c r="HV16" s="31">
        <v>2</v>
      </c>
      <c r="HX16" s="31">
        <v>2</v>
      </c>
      <c r="HZ16" s="31">
        <v>2</v>
      </c>
      <c r="IB16" s="31">
        <v>2</v>
      </c>
      <c r="ID16" s="31">
        <v>2</v>
      </c>
      <c r="IF16" s="31">
        <v>2</v>
      </c>
      <c r="IH16" s="31">
        <v>2</v>
      </c>
      <c r="IJ16" s="31">
        <v>2</v>
      </c>
      <c r="IL16" s="31">
        <v>2</v>
      </c>
      <c r="IN16" s="31">
        <v>2</v>
      </c>
      <c r="IP16" s="31">
        <v>2</v>
      </c>
      <c r="IR16" s="31">
        <v>2</v>
      </c>
      <c r="IT16" s="31">
        <v>2</v>
      </c>
      <c r="IV16" s="31">
        <v>2</v>
      </c>
      <c r="IX16" s="31" t="s">
        <v>355</v>
      </c>
      <c r="IZ16" s="31">
        <v>2</v>
      </c>
      <c r="JB16" s="31">
        <v>2</v>
      </c>
      <c r="JD16" s="31">
        <v>2</v>
      </c>
      <c r="JF16" s="31">
        <v>2</v>
      </c>
      <c r="JH16" s="31">
        <v>2</v>
      </c>
      <c r="JJ16" s="31">
        <v>2</v>
      </c>
      <c r="JL16" s="31">
        <v>2</v>
      </c>
      <c r="JN16" s="31">
        <v>2</v>
      </c>
      <c r="JP16" s="31">
        <v>2</v>
      </c>
      <c r="JR16" s="31">
        <v>2</v>
      </c>
      <c r="JT16" s="31">
        <v>2</v>
      </c>
      <c r="JV16" s="31">
        <v>2</v>
      </c>
      <c r="JX16" s="31">
        <v>2</v>
      </c>
      <c r="JZ16" s="31">
        <v>2</v>
      </c>
      <c r="KB16" s="31">
        <v>2</v>
      </c>
      <c r="KD16" s="31">
        <v>2</v>
      </c>
      <c r="KF16" s="31">
        <v>2</v>
      </c>
      <c r="KH16" s="31">
        <v>2</v>
      </c>
      <c r="KJ16" s="31">
        <v>2</v>
      </c>
      <c r="KL16" s="31">
        <v>2</v>
      </c>
      <c r="KN16" s="31">
        <v>2</v>
      </c>
      <c r="KP16" s="31" t="s">
        <v>355</v>
      </c>
      <c r="KR16" s="31">
        <v>1</v>
      </c>
      <c r="KS16" s="31">
        <v>2</v>
      </c>
      <c r="KT16" s="31">
        <v>2</v>
      </c>
      <c r="KU16" s="31">
        <v>2</v>
      </c>
      <c r="KV16" s="31">
        <v>2</v>
      </c>
      <c r="KW16" s="31">
        <v>2</v>
      </c>
      <c r="KX16" s="31">
        <v>2</v>
      </c>
      <c r="KY16" s="31">
        <v>2</v>
      </c>
      <c r="KZ16" s="31">
        <v>2</v>
      </c>
      <c r="LA16" s="31">
        <v>2</v>
      </c>
      <c r="LB16" s="31">
        <v>2</v>
      </c>
      <c r="LC16" s="31">
        <v>2</v>
      </c>
      <c r="LD16" s="31">
        <v>2</v>
      </c>
      <c r="LE16" s="31">
        <v>2</v>
      </c>
      <c r="LF16" s="31">
        <v>2</v>
      </c>
      <c r="LG16" s="31">
        <v>2</v>
      </c>
      <c r="LH16" s="31">
        <v>2</v>
      </c>
      <c r="LI16" s="31">
        <v>2</v>
      </c>
      <c r="LJ16" s="31">
        <v>2</v>
      </c>
      <c r="LK16" s="31">
        <v>2</v>
      </c>
      <c r="LL16" s="31">
        <v>2</v>
      </c>
      <c r="LM16" s="31">
        <v>2</v>
      </c>
      <c r="LN16" s="31">
        <v>2</v>
      </c>
      <c r="LO16" s="31">
        <v>2</v>
      </c>
      <c r="LP16" s="31">
        <v>2</v>
      </c>
      <c r="LQ16" s="31">
        <v>2</v>
      </c>
      <c r="LR16" s="31">
        <v>2</v>
      </c>
      <c r="LS16" s="31">
        <v>2</v>
      </c>
      <c r="LT16" s="31">
        <v>2</v>
      </c>
      <c r="LU16" s="31">
        <v>2</v>
      </c>
      <c r="LV16" s="31">
        <v>1</v>
      </c>
      <c r="LW16" s="31">
        <v>2</v>
      </c>
      <c r="LX16" s="31">
        <v>2</v>
      </c>
      <c r="LY16" s="31">
        <v>2</v>
      </c>
      <c r="LZ16" s="31">
        <v>2</v>
      </c>
      <c r="MA16" s="31" t="s">
        <v>1147</v>
      </c>
      <c r="MB16" s="31" t="s">
        <v>1147</v>
      </c>
      <c r="ME16" s="31">
        <v>5</v>
      </c>
      <c r="MF16" s="31">
        <v>2</v>
      </c>
      <c r="MG16" s="31">
        <v>2</v>
      </c>
      <c r="MH16" s="31">
        <v>2</v>
      </c>
      <c r="MI16" s="31">
        <v>2</v>
      </c>
      <c r="MJ16" s="31">
        <v>2</v>
      </c>
      <c r="MK16" s="31">
        <v>5</v>
      </c>
      <c r="ML16" s="31">
        <v>2</v>
      </c>
      <c r="MM16" s="31">
        <v>2</v>
      </c>
      <c r="MN16" s="31">
        <v>2</v>
      </c>
      <c r="MO16" s="31">
        <v>2</v>
      </c>
      <c r="MP16" s="31">
        <v>2</v>
      </c>
      <c r="MQ16" s="31">
        <v>2</v>
      </c>
      <c r="MR16" s="31">
        <v>2</v>
      </c>
      <c r="MS16" s="31">
        <v>2</v>
      </c>
    </row>
    <row r="17" spans="1:357" s="31" customFormat="1" ht="13.5" customHeight="1">
      <c r="A17" s="31">
        <v>14</v>
      </c>
      <c r="B17" s="31">
        <v>14</v>
      </c>
      <c r="C17" s="31" t="s">
        <v>1115</v>
      </c>
      <c r="D17" s="31" t="s">
        <v>1148</v>
      </c>
      <c r="E17" s="31">
        <v>3</v>
      </c>
      <c r="H17" s="31">
        <v>42475</v>
      </c>
      <c r="I17" s="31">
        <v>20779</v>
      </c>
      <c r="J17" s="31">
        <v>1</v>
      </c>
      <c r="K17" s="31">
        <v>1</v>
      </c>
      <c r="L17" s="31">
        <v>5</v>
      </c>
      <c r="M17" s="31">
        <v>2</v>
      </c>
      <c r="N17" s="31">
        <v>4</v>
      </c>
      <c r="O17" s="31">
        <v>2</v>
      </c>
      <c r="P17" s="31">
        <v>4</v>
      </c>
      <c r="Q17" s="31">
        <v>2</v>
      </c>
      <c r="R17" s="31">
        <v>2</v>
      </c>
      <c r="S17" s="31">
        <v>2</v>
      </c>
      <c r="T17" s="31">
        <v>2</v>
      </c>
      <c r="U17" s="31">
        <v>2</v>
      </c>
      <c r="V17" s="31">
        <v>2</v>
      </c>
      <c r="W17" s="31">
        <v>2</v>
      </c>
      <c r="X17" s="31">
        <v>2</v>
      </c>
      <c r="Y17" s="31">
        <v>2</v>
      </c>
      <c r="Z17" s="31">
        <v>4</v>
      </c>
      <c r="AA17" s="31">
        <v>2</v>
      </c>
      <c r="AB17" s="31">
        <v>2</v>
      </c>
      <c r="AC17" s="31">
        <v>2</v>
      </c>
      <c r="AD17" s="31">
        <v>3</v>
      </c>
      <c r="AE17" s="31">
        <v>1</v>
      </c>
      <c r="AF17" s="31">
        <v>2</v>
      </c>
      <c r="AH17" s="31">
        <v>2</v>
      </c>
      <c r="AI17" s="31">
        <v>2</v>
      </c>
      <c r="AJ17" s="31">
        <v>2</v>
      </c>
      <c r="AK17" s="31" t="s">
        <v>357</v>
      </c>
      <c r="AL17" s="31">
        <v>2</v>
      </c>
      <c r="AM17" s="31" t="s">
        <v>357</v>
      </c>
      <c r="AN17" s="31" t="s">
        <v>357</v>
      </c>
      <c r="AO17" s="31">
        <v>1</v>
      </c>
      <c r="AQ17" s="31">
        <v>2</v>
      </c>
      <c r="AS17" s="31">
        <v>2</v>
      </c>
      <c r="AV17" s="31">
        <v>2</v>
      </c>
      <c r="AX17" s="31">
        <v>2</v>
      </c>
      <c r="AZ17" s="31">
        <v>2</v>
      </c>
      <c r="BB17" s="31">
        <v>2</v>
      </c>
      <c r="BD17" s="31">
        <v>2</v>
      </c>
      <c r="BI17" s="31" t="s">
        <v>355</v>
      </c>
      <c r="BT17" s="31">
        <v>2</v>
      </c>
      <c r="BW17" s="31">
        <v>2</v>
      </c>
      <c r="BX17" s="31">
        <v>2</v>
      </c>
      <c r="BY17" s="31">
        <v>2</v>
      </c>
      <c r="BZ17" s="31">
        <v>2</v>
      </c>
      <c r="CA17" s="31">
        <v>2</v>
      </c>
      <c r="CB17" s="31">
        <v>2</v>
      </c>
      <c r="CC17" s="31">
        <v>2</v>
      </c>
      <c r="CG17" s="31">
        <v>2</v>
      </c>
      <c r="CH17" s="31">
        <v>2</v>
      </c>
      <c r="CI17" s="31">
        <v>2</v>
      </c>
      <c r="CJ17" s="31">
        <v>2</v>
      </c>
      <c r="CK17" s="31">
        <v>2</v>
      </c>
      <c r="CL17" s="31">
        <v>2</v>
      </c>
      <c r="CM17" s="31">
        <v>2</v>
      </c>
      <c r="CQ17" s="31">
        <v>2</v>
      </c>
      <c r="CR17" s="31">
        <v>2</v>
      </c>
      <c r="CS17" s="31">
        <v>2</v>
      </c>
      <c r="CT17" s="31">
        <v>2</v>
      </c>
      <c r="CU17" s="31">
        <v>2</v>
      </c>
      <c r="CV17" s="31">
        <v>2</v>
      </c>
      <c r="CW17" s="31">
        <v>2</v>
      </c>
      <c r="DA17" s="31">
        <v>2</v>
      </c>
      <c r="DB17" s="31">
        <v>2</v>
      </c>
      <c r="DC17" s="31">
        <v>2</v>
      </c>
      <c r="DD17" s="31">
        <v>2</v>
      </c>
      <c r="DE17" s="31">
        <v>2</v>
      </c>
      <c r="DF17" s="31">
        <v>2</v>
      </c>
      <c r="DG17" s="31">
        <v>2</v>
      </c>
      <c r="DK17" s="31">
        <v>2</v>
      </c>
      <c r="DL17" s="31">
        <v>2</v>
      </c>
      <c r="DM17" s="31">
        <v>2</v>
      </c>
      <c r="DN17" s="31">
        <v>2</v>
      </c>
      <c r="DO17" s="31">
        <v>2</v>
      </c>
      <c r="DP17" s="31">
        <v>2</v>
      </c>
      <c r="DQ17" s="31">
        <v>2</v>
      </c>
      <c r="DU17" s="31" t="s">
        <v>373</v>
      </c>
      <c r="EG17" s="31">
        <v>2</v>
      </c>
      <c r="EH17" s="31" t="s">
        <v>373</v>
      </c>
      <c r="EI17" s="31">
        <v>75</v>
      </c>
      <c r="EJ17" s="31">
        <v>2</v>
      </c>
      <c r="EK17" s="31" t="s">
        <v>388</v>
      </c>
      <c r="EL17" s="31">
        <v>86</v>
      </c>
      <c r="FH17" s="31" t="s">
        <v>387</v>
      </c>
      <c r="FI17" s="31" t="s">
        <v>387</v>
      </c>
      <c r="FJ17" s="31">
        <v>2</v>
      </c>
      <c r="FL17" s="31" t="s">
        <v>384</v>
      </c>
      <c r="FM17" s="31">
        <v>2</v>
      </c>
      <c r="FN17" s="31">
        <v>2</v>
      </c>
      <c r="FO17" s="31">
        <v>2</v>
      </c>
      <c r="FP17" s="31">
        <v>2</v>
      </c>
      <c r="FR17" s="31">
        <v>2</v>
      </c>
      <c r="FT17" s="31">
        <v>2</v>
      </c>
      <c r="FV17" s="31">
        <v>2</v>
      </c>
      <c r="FX17" s="31">
        <v>2</v>
      </c>
      <c r="FZ17" s="31">
        <v>2</v>
      </c>
      <c r="GB17" s="31">
        <v>2</v>
      </c>
      <c r="GD17" s="31">
        <v>2</v>
      </c>
      <c r="GF17" s="31">
        <v>2</v>
      </c>
      <c r="GH17" s="31">
        <v>2</v>
      </c>
      <c r="GJ17" s="31">
        <v>2</v>
      </c>
      <c r="GL17" s="31">
        <v>2</v>
      </c>
      <c r="GN17" s="31">
        <v>2</v>
      </c>
      <c r="GP17" s="31">
        <v>2</v>
      </c>
      <c r="GR17" s="31">
        <v>2</v>
      </c>
      <c r="GT17" s="31">
        <v>2</v>
      </c>
      <c r="GV17" s="31">
        <v>2</v>
      </c>
      <c r="GX17" s="31">
        <v>2</v>
      </c>
      <c r="GZ17" s="31">
        <v>2</v>
      </c>
      <c r="HB17" s="31">
        <v>2</v>
      </c>
      <c r="HD17" s="31">
        <v>2</v>
      </c>
      <c r="HF17" s="31" t="s">
        <v>355</v>
      </c>
      <c r="HH17" s="31">
        <v>2</v>
      </c>
      <c r="HJ17" s="31">
        <v>2</v>
      </c>
      <c r="HL17" s="31">
        <v>2</v>
      </c>
      <c r="HN17" s="31">
        <v>2</v>
      </c>
      <c r="HP17" s="31">
        <v>2</v>
      </c>
      <c r="HR17" s="31">
        <v>2</v>
      </c>
      <c r="HT17" s="31">
        <v>2</v>
      </c>
      <c r="HV17" s="31">
        <v>2</v>
      </c>
      <c r="HX17" s="31">
        <v>2</v>
      </c>
      <c r="HZ17" s="31">
        <v>2</v>
      </c>
      <c r="IB17" s="31">
        <v>2</v>
      </c>
      <c r="ID17" s="31">
        <v>2</v>
      </c>
      <c r="IF17" s="31">
        <v>2</v>
      </c>
      <c r="IH17" s="31">
        <v>2</v>
      </c>
      <c r="IJ17" s="31">
        <v>2</v>
      </c>
      <c r="IL17" s="31">
        <v>2</v>
      </c>
      <c r="IN17" s="31">
        <v>2</v>
      </c>
      <c r="IP17" s="31">
        <v>2</v>
      </c>
      <c r="IR17" s="31">
        <v>2</v>
      </c>
      <c r="IT17" s="31">
        <v>2</v>
      </c>
      <c r="IV17" s="31">
        <v>2</v>
      </c>
      <c r="IX17" s="31" t="s">
        <v>355</v>
      </c>
      <c r="IZ17" s="31">
        <v>2</v>
      </c>
      <c r="JB17" s="31">
        <v>2</v>
      </c>
      <c r="JD17" s="31">
        <v>2</v>
      </c>
      <c r="JF17" s="31">
        <v>2</v>
      </c>
      <c r="JH17" s="31">
        <v>2</v>
      </c>
      <c r="JJ17" s="31">
        <v>2</v>
      </c>
      <c r="JL17" s="31">
        <v>2</v>
      </c>
      <c r="JN17" s="31">
        <v>2</v>
      </c>
      <c r="JP17" s="31">
        <v>2</v>
      </c>
      <c r="JR17" s="31">
        <v>2</v>
      </c>
      <c r="JT17" s="31">
        <v>2</v>
      </c>
      <c r="JV17" s="31">
        <v>2</v>
      </c>
      <c r="JX17" s="31">
        <v>2</v>
      </c>
      <c r="JZ17" s="31">
        <v>2</v>
      </c>
      <c r="KB17" s="31">
        <v>2</v>
      </c>
      <c r="KD17" s="31">
        <v>2</v>
      </c>
      <c r="KF17" s="31">
        <v>2</v>
      </c>
      <c r="KH17" s="31">
        <v>2</v>
      </c>
      <c r="KJ17" s="31">
        <v>2</v>
      </c>
      <c r="KL17" s="31">
        <v>2</v>
      </c>
      <c r="KN17" s="31">
        <v>2</v>
      </c>
      <c r="KP17" s="31" t="s">
        <v>355</v>
      </c>
      <c r="KR17" s="31">
        <v>1</v>
      </c>
      <c r="KS17" s="31">
        <v>2</v>
      </c>
      <c r="KT17" s="31">
        <v>2</v>
      </c>
      <c r="KU17" s="31">
        <v>2</v>
      </c>
      <c r="KV17" s="31">
        <v>2</v>
      </c>
      <c r="KW17" s="31">
        <v>2</v>
      </c>
      <c r="KX17" s="31">
        <v>2</v>
      </c>
      <c r="KY17" s="31">
        <v>2</v>
      </c>
      <c r="KZ17" s="31">
        <v>2</v>
      </c>
      <c r="LA17" s="31">
        <v>2</v>
      </c>
      <c r="LB17" s="31">
        <v>2</v>
      </c>
      <c r="LC17" s="31">
        <v>2</v>
      </c>
      <c r="LD17" s="31">
        <v>2</v>
      </c>
      <c r="LE17" s="31">
        <v>2</v>
      </c>
      <c r="LF17" s="31">
        <v>2</v>
      </c>
      <c r="LG17" s="31">
        <v>2</v>
      </c>
      <c r="LH17" s="31">
        <v>2</v>
      </c>
      <c r="LI17" s="31">
        <v>2</v>
      </c>
      <c r="LJ17" s="31">
        <v>2</v>
      </c>
      <c r="LK17" s="31">
        <v>2</v>
      </c>
      <c r="LL17" s="31">
        <v>2</v>
      </c>
      <c r="LM17" s="31">
        <v>2</v>
      </c>
      <c r="LN17" s="31">
        <v>2</v>
      </c>
      <c r="LO17" s="31">
        <v>2</v>
      </c>
      <c r="LP17" s="31">
        <v>2</v>
      </c>
      <c r="LQ17" s="31">
        <v>2</v>
      </c>
      <c r="LR17" s="31">
        <v>1</v>
      </c>
      <c r="LS17" s="31">
        <v>2</v>
      </c>
      <c r="LT17" s="31">
        <v>2</v>
      </c>
      <c r="LU17" s="31">
        <v>2</v>
      </c>
      <c r="LV17" s="31">
        <v>2</v>
      </c>
      <c r="LW17" s="31">
        <v>2</v>
      </c>
      <c r="LX17" s="31">
        <v>2</v>
      </c>
      <c r="LY17" s="31">
        <v>2</v>
      </c>
      <c r="LZ17" s="31">
        <v>2</v>
      </c>
      <c r="MA17" s="31" t="s">
        <v>383</v>
      </c>
      <c r="MB17" s="31" t="s">
        <v>383</v>
      </c>
      <c r="ME17" s="31">
        <v>5</v>
      </c>
      <c r="MF17" s="31">
        <v>2</v>
      </c>
      <c r="MG17" s="31">
        <v>2</v>
      </c>
      <c r="MH17" s="31">
        <v>2</v>
      </c>
      <c r="MI17" s="31">
        <v>2</v>
      </c>
      <c r="MJ17" s="31">
        <v>2</v>
      </c>
      <c r="MK17" s="31">
        <v>5</v>
      </c>
      <c r="ML17" s="31">
        <v>2</v>
      </c>
      <c r="MM17" s="31">
        <v>2</v>
      </c>
      <c r="MN17" s="31">
        <v>2</v>
      </c>
      <c r="MO17" s="31">
        <v>2</v>
      </c>
      <c r="MP17" s="31">
        <v>2</v>
      </c>
      <c r="MQ17" s="31">
        <v>2</v>
      </c>
      <c r="MR17" s="31">
        <v>2</v>
      </c>
      <c r="MS17" s="31">
        <v>2</v>
      </c>
    </row>
    <row r="18" spans="1:357" s="31" customFormat="1" ht="13.5" customHeight="1">
      <c r="A18" s="31">
        <v>15</v>
      </c>
      <c r="B18" s="31">
        <v>15</v>
      </c>
      <c r="C18" s="31" t="s">
        <v>1115</v>
      </c>
      <c r="D18" s="31" t="s">
        <v>1149</v>
      </c>
      <c r="E18" s="31">
        <v>3</v>
      </c>
      <c r="H18" s="31">
        <v>42481</v>
      </c>
      <c r="I18" s="31">
        <v>26940</v>
      </c>
      <c r="J18" s="31">
        <v>1</v>
      </c>
      <c r="K18" s="31">
        <v>1</v>
      </c>
      <c r="L18" s="31">
        <v>2</v>
      </c>
      <c r="M18" s="31">
        <v>2</v>
      </c>
      <c r="N18" s="31">
        <v>2</v>
      </c>
      <c r="O18" s="31">
        <v>2</v>
      </c>
      <c r="P18" s="31">
        <v>2</v>
      </c>
      <c r="Q18" s="31">
        <v>2</v>
      </c>
      <c r="R18" s="31">
        <v>2</v>
      </c>
      <c r="S18" s="31">
        <v>2</v>
      </c>
      <c r="T18" s="31">
        <v>2</v>
      </c>
      <c r="U18" s="31">
        <v>2</v>
      </c>
      <c r="V18" s="31">
        <v>2</v>
      </c>
      <c r="W18" s="31">
        <v>2</v>
      </c>
      <c r="X18" s="31">
        <v>2</v>
      </c>
      <c r="Y18" s="31">
        <v>2</v>
      </c>
      <c r="Z18" s="31">
        <v>4</v>
      </c>
      <c r="AA18" s="31">
        <v>2</v>
      </c>
      <c r="AB18" s="31">
        <v>2</v>
      </c>
      <c r="AC18" s="31">
        <v>2</v>
      </c>
      <c r="AD18" s="31">
        <v>1</v>
      </c>
      <c r="AE18" s="31">
        <v>1</v>
      </c>
      <c r="AF18" s="31">
        <v>2</v>
      </c>
      <c r="AH18" s="31">
        <v>2</v>
      </c>
      <c r="AI18" s="31">
        <v>2</v>
      </c>
      <c r="AJ18" s="31">
        <v>2</v>
      </c>
      <c r="AK18" s="31" t="s">
        <v>357</v>
      </c>
      <c r="AL18" s="31">
        <v>2</v>
      </c>
      <c r="AM18" s="31" t="s">
        <v>357</v>
      </c>
      <c r="AN18" s="31" t="s">
        <v>357</v>
      </c>
      <c r="AO18" s="31">
        <v>2</v>
      </c>
      <c r="AQ18" s="31">
        <v>2</v>
      </c>
      <c r="AS18" s="31">
        <v>2</v>
      </c>
      <c r="AV18" s="31">
        <v>2</v>
      </c>
      <c r="AX18" s="31">
        <v>2</v>
      </c>
      <c r="AZ18" s="31">
        <v>2</v>
      </c>
      <c r="BB18" s="31">
        <v>2</v>
      </c>
      <c r="BD18" s="31">
        <v>2</v>
      </c>
      <c r="BI18" s="31" t="s">
        <v>355</v>
      </c>
      <c r="BT18" s="31">
        <v>2</v>
      </c>
      <c r="BW18" s="31">
        <v>2</v>
      </c>
      <c r="BX18" s="31">
        <v>2</v>
      </c>
      <c r="BY18" s="31">
        <v>2</v>
      </c>
      <c r="BZ18" s="31">
        <v>2</v>
      </c>
      <c r="CA18" s="31">
        <v>2</v>
      </c>
      <c r="CB18" s="31">
        <v>2</v>
      </c>
      <c r="CC18" s="31">
        <v>2</v>
      </c>
      <c r="CG18" s="31">
        <v>2</v>
      </c>
      <c r="CH18" s="31">
        <v>2</v>
      </c>
      <c r="CI18" s="31">
        <v>2</v>
      </c>
      <c r="CJ18" s="31">
        <v>2</v>
      </c>
      <c r="CK18" s="31">
        <v>2</v>
      </c>
      <c r="CL18" s="31">
        <v>2</v>
      </c>
      <c r="CM18" s="31">
        <v>2</v>
      </c>
      <c r="CQ18" s="31">
        <v>2</v>
      </c>
      <c r="CR18" s="31">
        <v>2</v>
      </c>
      <c r="CS18" s="31">
        <v>2</v>
      </c>
      <c r="CT18" s="31">
        <v>2</v>
      </c>
      <c r="CU18" s="31">
        <v>2</v>
      </c>
      <c r="CV18" s="31">
        <v>2</v>
      </c>
      <c r="CW18" s="31">
        <v>2</v>
      </c>
      <c r="DA18" s="31">
        <v>2</v>
      </c>
      <c r="DB18" s="31">
        <v>2</v>
      </c>
      <c r="DC18" s="31">
        <v>2</v>
      </c>
      <c r="DD18" s="31">
        <v>2</v>
      </c>
      <c r="DE18" s="31">
        <v>2</v>
      </c>
      <c r="DF18" s="31">
        <v>2</v>
      </c>
      <c r="DG18" s="31">
        <v>2</v>
      </c>
      <c r="DK18" s="31">
        <v>2</v>
      </c>
      <c r="DL18" s="31">
        <v>2</v>
      </c>
      <c r="DM18" s="31">
        <v>2</v>
      </c>
      <c r="DN18" s="31">
        <v>2</v>
      </c>
      <c r="DO18" s="31">
        <v>2</v>
      </c>
      <c r="DP18" s="31">
        <v>2</v>
      </c>
      <c r="DQ18" s="31">
        <v>2</v>
      </c>
      <c r="DU18" s="31" t="s">
        <v>415</v>
      </c>
      <c r="EG18" s="31">
        <v>1</v>
      </c>
      <c r="EJ18" s="31">
        <v>2</v>
      </c>
      <c r="EK18" s="31" t="s">
        <v>389</v>
      </c>
      <c r="EL18" s="31">
        <v>69</v>
      </c>
      <c r="FH18" s="31" t="s">
        <v>375</v>
      </c>
      <c r="FI18" s="31" t="s">
        <v>395</v>
      </c>
      <c r="FJ18" s="31">
        <v>2</v>
      </c>
      <c r="FL18" s="31" t="s">
        <v>360</v>
      </c>
      <c r="FM18" s="31">
        <v>2</v>
      </c>
      <c r="FN18" s="31">
        <v>2</v>
      </c>
      <c r="FO18" s="31">
        <v>1</v>
      </c>
      <c r="FP18" s="31">
        <v>2</v>
      </c>
      <c r="FR18" s="31">
        <v>2</v>
      </c>
      <c r="FT18" s="31">
        <v>2</v>
      </c>
      <c r="FV18" s="31">
        <v>2</v>
      </c>
      <c r="FX18" s="31">
        <v>2</v>
      </c>
      <c r="FZ18" s="31">
        <v>2</v>
      </c>
      <c r="GB18" s="31">
        <v>2</v>
      </c>
      <c r="GD18" s="31">
        <v>2</v>
      </c>
      <c r="GF18" s="31">
        <v>2</v>
      </c>
      <c r="GH18" s="31">
        <v>2</v>
      </c>
      <c r="GJ18" s="31">
        <v>2</v>
      </c>
      <c r="GL18" s="31">
        <v>2</v>
      </c>
      <c r="GN18" s="31">
        <v>2</v>
      </c>
      <c r="GP18" s="31">
        <v>2</v>
      </c>
      <c r="GR18" s="31">
        <v>2</v>
      </c>
      <c r="GT18" s="31">
        <v>2</v>
      </c>
      <c r="GV18" s="31">
        <v>2</v>
      </c>
      <c r="GX18" s="31">
        <v>2</v>
      </c>
      <c r="GZ18" s="31">
        <v>2</v>
      </c>
      <c r="HB18" s="31">
        <v>2</v>
      </c>
      <c r="HD18" s="31">
        <v>2</v>
      </c>
      <c r="HF18" s="31" t="s">
        <v>355</v>
      </c>
      <c r="HH18" s="31">
        <v>2</v>
      </c>
      <c r="HJ18" s="31">
        <v>2</v>
      </c>
      <c r="HL18" s="31">
        <v>2</v>
      </c>
      <c r="HN18" s="31">
        <v>2</v>
      </c>
      <c r="HP18" s="31">
        <v>2</v>
      </c>
      <c r="HR18" s="31">
        <v>2</v>
      </c>
      <c r="HT18" s="31">
        <v>2</v>
      </c>
      <c r="HV18" s="31">
        <v>2</v>
      </c>
      <c r="HX18" s="31">
        <v>2</v>
      </c>
      <c r="HZ18" s="31">
        <v>2</v>
      </c>
      <c r="IB18" s="31">
        <v>2</v>
      </c>
      <c r="ID18" s="31">
        <v>2</v>
      </c>
      <c r="IF18" s="31">
        <v>2</v>
      </c>
      <c r="IH18" s="31">
        <v>2</v>
      </c>
      <c r="IJ18" s="31">
        <v>2</v>
      </c>
      <c r="IL18" s="31">
        <v>1</v>
      </c>
      <c r="IM18" s="31">
        <v>10</v>
      </c>
      <c r="IN18" s="31">
        <v>2</v>
      </c>
      <c r="IP18" s="31">
        <v>2</v>
      </c>
      <c r="IR18" s="31">
        <v>2</v>
      </c>
      <c r="IT18" s="31">
        <v>2</v>
      </c>
      <c r="IV18" s="31">
        <v>2</v>
      </c>
      <c r="IX18" s="31" t="s">
        <v>355</v>
      </c>
      <c r="IZ18" s="31">
        <v>2</v>
      </c>
      <c r="JB18" s="31">
        <v>2</v>
      </c>
      <c r="JD18" s="31">
        <v>2</v>
      </c>
      <c r="JF18" s="31">
        <v>2</v>
      </c>
      <c r="JH18" s="31">
        <v>2</v>
      </c>
      <c r="JJ18" s="31">
        <v>2</v>
      </c>
      <c r="JL18" s="31">
        <v>2</v>
      </c>
      <c r="JN18" s="31">
        <v>2</v>
      </c>
      <c r="JP18" s="31">
        <v>2</v>
      </c>
      <c r="JR18" s="31">
        <v>2</v>
      </c>
      <c r="JT18" s="31">
        <v>2</v>
      </c>
      <c r="JV18" s="31">
        <v>2</v>
      </c>
      <c r="JX18" s="31">
        <v>2</v>
      </c>
      <c r="JZ18" s="31">
        <v>2</v>
      </c>
      <c r="KB18" s="31">
        <v>2</v>
      </c>
      <c r="KD18" s="31">
        <v>2</v>
      </c>
      <c r="KF18" s="31">
        <v>2</v>
      </c>
      <c r="KH18" s="31">
        <v>2</v>
      </c>
      <c r="KJ18" s="31">
        <v>2</v>
      </c>
      <c r="KL18" s="31">
        <v>2</v>
      </c>
      <c r="KN18" s="31">
        <v>2</v>
      </c>
      <c r="KP18" s="31" t="s">
        <v>355</v>
      </c>
      <c r="KR18" s="31">
        <v>1</v>
      </c>
      <c r="KS18" s="31">
        <v>2</v>
      </c>
      <c r="KT18" s="31">
        <v>2</v>
      </c>
      <c r="KU18" s="31">
        <v>2</v>
      </c>
      <c r="KV18" s="31">
        <v>2</v>
      </c>
      <c r="KW18" s="31">
        <v>2</v>
      </c>
      <c r="KX18" s="31">
        <v>2</v>
      </c>
      <c r="KY18" s="31">
        <v>2</v>
      </c>
      <c r="KZ18" s="31">
        <v>2</v>
      </c>
      <c r="LA18" s="31">
        <v>2</v>
      </c>
      <c r="LB18" s="31">
        <v>2</v>
      </c>
      <c r="LC18" s="31">
        <v>2</v>
      </c>
      <c r="LD18" s="31">
        <v>2</v>
      </c>
      <c r="LE18" s="31">
        <v>2</v>
      </c>
      <c r="LF18" s="31">
        <v>2</v>
      </c>
      <c r="LG18" s="31">
        <v>2</v>
      </c>
      <c r="LH18" s="31">
        <v>2</v>
      </c>
      <c r="LI18" s="31">
        <v>2</v>
      </c>
      <c r="LJ18" s="31">
        <v>2</v>
      </c>
      <c r="LK18" s="31">
        <v>2</v>
      </c>
      <c r="LL18" s="31">
        <v>2</v>
      </c>
      <c r="LM18" s="31">
        <v>2</v>
      </c>
      <c r="LN18" s="31">
        <v>2</v>
      </c>
      <c r="LO18" s="31">
        <v>2</v>
      </c>
      <c r="LP18" s="31">
        <v>2</v>
      </c>
      <c r="LQ18" s="31">
        <v>2</v>
      </c>
      <c r="LR18" s="31">
        <v>2</v>
      </c>
      <c r="LS18" s="31">
        <v>2</v>
      </c>
      <c r="LT18" s="31">
        <v>2</v>
      </c>
      <c r="LU18" s="31">
        <v>2</v>
      </c>
      <c r="LV18" s="31">
        <v>2</v>
      </c>
      <c r="LW18" s="31">
        <v>2</v>
      </c>
      <c r="LX18" s="31">
        <v>2</v>
      </c>
      <c r="LY18" s="31">
        <v>2</v>
      </c>
      <c r="LZ18" s="31">
        <v>2</v>
      </c>
      <c r="MA18" s="31" t="s">
        <v>362</v>
      </c>
      <c r="MB18" s="31" t="s">
        <v>362</v>
      </c>
      <c r="ME18" s="31">
        <v>2</v>
      </c>
      <c r="MF18" s="31">
        <v>2</v>
      </c>
      <c r="MG18" s="31">
        <v>2</v>
      </c>
      <c r="MH18" s="31">
        <v>2</v>
      </c>
      <c r="MI18" s="31">
        <v>2</v>
      </c>
      <c r="MJ18" s="31">
        <v>2</v>
      </c>
      <c r="MK18" s="31">
        <v>2</v>
      </c>
      <c r="ML18" s="31">
        <v>2</v>
      </c>
      <c r="MM18" s="31">
        <v>2</v>
      </c>
      <c r="MN18" s="31">
        <v>2</v>
      </c>
      <c r="MO18" s="31">
        <v>2</v>
      </c>
      <c r="MP18" s="31">
        <v>2</v>
      </c>
      <c r="MQ18" s="31">
        <v>2</v>
      </c>
      <c r="MR18" s="31">
        <v>2</v>
      </c>
      <c r="MS18" s="31">
        <v>2</v>
      </c>
    </row>
    <row r="19" spans="1:357" s="31" customFormat="1" ht="13.5" customHeight="1">
      <c r="A19" s="31">
        <v>16</v>
      </c>
      <c r="B19" s="31">
        <v>16</v>
      </c>
      <c r="C19" s="31" t="s">
        <v>1115</v>
      </c>
      <c r="D19" s="31" t="s">
        <v>1150</v>
      </c>
      <c r="E19" s="31">
        <v>3</v>
      </c>
      <c r="H19" s="31">
        <v>42508</v>
      </c>
      <c r="I19" s="31">
        <v>19049</v>
      </c>
      <c r="J19" s="31">
        <v>1</v>
      </c>
      <c r="K19" s="31">
        <v>1</v>
      </c>
      <c r="L19" s="31">
        <v>1</v>
      </c>
      <c r="M19" s="31">
        <v>1</v>
      </c>
      <c r="N19" s="31">
        <v>3</v>
      </c>
      <c r="O19" s="31">
        <v>1</v>
      </c>
      <c r="P19" s="31">
        <v>1</v>
      </c>
      <c r="Q19" s="31">
        <v>1</v>
      </c>
      <c r="R19" s="31">
        <v>1</v>
      </c>
      <c r="S19" s="31">
        <v>2</v>
      </c>
      <c r="T19" s="31">
        <v>2</v>
      </c>
      <c r="U19" s="31">
        <v>2</v>
      </c>
      <c r="V19" s="31">
        <v>2</v>
      </c>
      <c r="W19" s="31">
        <v>2</v>
      </c>
      <c r="X19" s="31">
        <v>2</v>
      </c>
      <c r="Y19" s="31">
        <v>2</v>
      </c>
      <c r="Z19" s="31">
        <v>4</v>
      </c>
      <c r="AA19" s="31">
        <v>2</v>
      </c>
      <c r="AB19" s="31">
        <v>2</v>
      </c>
      <c r="AC19" s="31">
        <v>2</v>
      </c>
      <c r="AD19" s="31">
        <v>1</v>
      </c>
      <c r="AE19" s="31">
        <v>1</v>
      </c>
      <c r="AF19" s="31">
        <v>2</v>
      </c>
      <c r="AH19" s="31">
        <v>2</v>
      </c>
      <c r="AI19" s="31">
        <v>2</v>
      </c>
      <c r="AJ19" s="31">
        <v>2</v>
      </c>
      <c r="AK19" s="31" t="s">
        <v>357</v>
      </c>
      <c r="AL19" s="31">
        <v>2</v>
      </c>
      <c r="AM19" s="31" t="s">
        <v>357</v>
      </c>
      <c r="AN19" s="31" t="s">
        <v>357</v>
      </c>
      <c r="AO19" s="31">
        <v>2</v>
      </c>
      <c r="AQ19" s="31">
        <v>2</v>
      </c>
      <c r="AS19" s="31">
        <v>2</v>
      </c>
      <c r="AV19" s="31">
        <v>2</v>
      </c>
      <c r="AX19" s="31">
        <v>2</v>
      </c>
      <c r="AZ19" s="31">
        <v>2</v>
      </c>
      <c r="BB19" s="31">
        <v>2</v>
      </c>
      <c r="BD19" s="31">
        <v>2</v>
      </c>
      <c r="BI19" s="31" t="s">
        <v>355</v>
      </c>
      <c r="BT19" s="31">
        <v>2</v>
      </c>
      <c r="BW19" s="31">
        <v>2</v>
      </c>
      <c r="BX19" s="31">
        <v>2</v>
      </c>
      <c r="BY19" s="31">
        <v>2</v>
      </c>
      <c r="BZ19" s="31">
        <v>2</v>
      </c>
      <c r="CA19" s="31">
        <v>2</v>
      </c>
      <c r="CB19" s="31">
        <v>2</v>
      </c>
      <c r="CC19" s="31">
        <v>2</v>
      </c>
      <c r="CG19" s="31">
        <v>2</v>
      </c>
      <c r="CH19" s="31">
        <v>2</v>
      </c>
      <c r="CI19" s="31">
        <v>2</v>
      </c>
      <c r="CJ19" s="31">
        <v>2</v>
      </c>
      <c r="CK19" s="31">
        <v>2</v>
      </c>
      <c r="CL19" s="31">
        <v>2</v>
      </c>
      <c r="CM19" s="31">
        <v>2</v>
      </c>
      <c r="CQ19" s="31">
        <v>2</v>
      </c>
      <c r="CR19" s="31">
        <v>2</v>
      </c>
      <c r="CS19" s="31">
        <v>2</v>
      </c>
      <c r="CT19" s="31">
        <v>2</v>
      </c>
      <c r="CU19" s="31">
        <v>2</v>
      </c>
      <c r="CV19" s="31">
        <v>2</v>
      </c>
      <c r="CW19" s="31">
        <v>2</v>
      </c>
      <c r="DA19" s="31">
        <v>2</v>
      </c>
      <c r="DB19" s="31">
        <v>2</v>
      </c>
      <c r="DC19" s="31">
        <v>2</v>
      </c>
      <c r="DD19" s="31">
        <v>2</v>
      </c>
      <c r="DE19" s="31">
        <v>2</v>
      </c>
      <c r="DF19" s="31">
        <v>2</v>
      </c>
      <c r="DG19" s="31">
        <v>2</v>
      </c>
      <c r="DK19" s="31">
        <v>2</v>
      </c>
      <c r="DL19" s="31">
        <v>2</v>
      </c>
      <c r="DM19" s="31">
        <v>2</v>
      </c>
      <c r="DN19" s="31">
        <v>2</v>
      </c>
      <c r="DO19" s="31">
        <v>2</v>
      </c>
      <c r="DP19" s="31">
        <v>2</v>
      </c>
      <c r="DQ19" s="31">
        <v>2</v>
      </c>
      <c r="DU19" s="31" t="s">
        <v>380</v>
      </c>
      <c r="DX19" s="31" t="s">
        <v>367</v>
      </c>
      <c r="EG19" s="31">
        <v>2</v>
      </c>
      <c r="EH19" s="31" t="s">
        <v>380</v>
      </c>
      <c r="EI19" s="31">
        <v>86</v>
      </c>
      <c r="EJ19" s="31">
        <v>2</v>
      </c>
      <c r="EK19" s="31" t="s">
        <v>367</v>
      </c>
      <c r="EL19" s="31">
        <v>80</v>
      </c>
      <c r="FH19" s="31" t="s">
        <v>406</v>
      </c>
      <c r="FI19" s="31" t="s">
        <v>368</v>
      </c>
      <c r="FJ19" s="31">
        <v>2</v>
      </c>
      <c r="FL19" s="31" t="s">
        <v>360</v>
      </c>
      <c r="FM19" s="31">
        <v>2</v>
      </c>
      <c r="FN19" s="31">
        <v>2</v>
      </c>
      <c r="FO19" s="31">
        <v>2</v>
      </c>
      <c r="FP19" s="31">
        <v>2</v>
      </c>
      <c r="FR19" s="31">
        <v>2</v>
      </c>
      <c r="FT19" s="31">
        <v>2</v>
      </c>
      <c r="FV19" s="31">
        <v>2</v>
      </c>
      <c r="FX19" s="31">
        <v>2</v>
      </c>
      <c r="FZ19" s="31">
        <v>2</v>
      </c>
      <c r="GB19" s="31">
        <v>2</v>
      </c>
      <c r="GD19" s="31">
        <v>2</v>
      </c>
      <c r="GF19" s="31">
        <v>2</v>
      </c>
      <c r="GH19" s="31">
        <v>2</v>
      </c>
      <c r="GJ19" s="31">
        <v>2</v>
      </c>
      <c r="GL19" s="31">
        <v>2</v>
      </c>
      <c r="GN19" s="31">
        <v>2</v>
      </c>
      <c r="GP19" s="31">
        <v>2</v>
      </c>
      <c r="GR19" s="31">
        <v>2</v>
      </c>
      <c r="GT19" s="31">
        <v>2</v>
      </c>
      <c r="GV19" s="31">
        <v>2</v>
      </c>
      <c r="GX19" s="31">
        <v>2</v>
      </c>
      <c r="GZ19" s="31">
        <v>2</v>
      </c>
      <c r="HB19" s="31">
        <v>2</v>
      </c>
      <c r="HD19" s="31">
        <v>2</v>
      </c>
      <c r="HF19" s="31" t="s">
        <v>355</v>
      </c>
      <c r="HH19" s="31">
        <v>2</v>
      </c>
      <c r="HJ19" s="31">
        <v>2</v>
      </c>
      <c r="HL19" s="31">
        <v>2</v>
      </c>
      <c r="HN19" s="31">
        <v>2</v>
      </c>
      <c r="HP19" s="31">
        <v>2</v>
      </c>
      <c r="HR19" s="31">
        <v>2</v>
      </c>
      <c r="HT19" s="31">
        <v>2</v>
      </c>
      <c r="HV19" s="31">
        <v>2</v>
      </c>
      <c r="HX19" s="31">
        <v>2</v>
      </c>
      <c r="HZ19" s="31">
        <v>2</v>
      </c>
      <c r="IB19" s="31">
        <v>2</v>
      </c>
      <c r="ID19" s="31">
        <v>2</v>
      </c>
      <c r="IF19" s="31">
        <v>2</v>
      </c>
      <c r="IH19" s="31">
        <v>2</v>
      </c>
      <c r="IJ19" s="31">
        <v>2</v>
      </c>
      <c r="IL19" s="31">
        <v>2</v>
      </c>
      <c r="IN19" s="31">
        <v>2</v>
      </c>
      <c r="IP19" s="31">
        <v>2</v>
      </c>
      <c r="IR19" s="31">
        <v>2</v>
      </c>
      <c r="IT19" s="31">
        <v>2</v>
      </c>
      <c r="IV19" s="31">
        <v>2</v>
      </c>
      <c r="IX19" s="31" t="s">
        <v>355</v>
      </c>
      <c r="IZ19" s="31">
        <v>2</v>
      </c>
      <c r="JB19" s="31">
        <v>2</v>
      </c>
      <c r="JD19" s="31">
        <v>2</v>
      </c>
      <c r="JF19" s="31">
        <v>2</v>
      </c>
      <c r="JH19" s="31">
        <v>2</v>
      </c>
      <c r="JJ19" s="31">
        <v>2</v>
      </c>
      <c r="JL19" s="31">
        <v>2</v>
      </c>
      <c r="JN19" s="31">
        <v>2</v>
      </c>
      <c r="JP19" s="31">
        <v>2</v>
      </c>
      <c r="JR19" s="31">
        <v>2</v>
      </c>
      <c r="JT19" s="31">
        <v>2</v>
      </c>
      <c r="JV19" s="31">
        <v>2</v>
      </c>
      <c r="JX19" s="31">
        <v>2</v>
      </c>
      <c r="JZ19" s="31">
        <v>2</v>
      </c>
      <c r="KB19" s="31">
        <v>2</v>
      </c>
      <c r="KD19" s="31">
        <v>2</v>
      </c>
      <c r="KF19" s="31">
        <v>2</v>
      </c>
      <c r="KH19" s="31">
        <v>2</v>
      </c>
      <c r="KJ19" s="31">
        <v>2</v>
      </c>
      <c r="KL19" s="31">
        <v>2</v>
      </c>
      <c r="KN19" s="31">
        <v>2</v>
      </c>
      <c r="KP19" s="31" t="s">
        <v>355</v>
      </c>
      <c r="KR19" s="31">
        <v>3</v>
      </c>
      <c r="KS19" s="31">
        <v>2</v>
      </c>
      <c r="KT19" s="31">
        <v>2</v>
      </c>
      <c r="KU19" s="31">
        <v>2</v>
      </c>
      <c r="KV19" s="31">
        <v>2</v>
      </c>
      <c r="KW19" s="31">
        <v>2</v>
      </c>
      <c r="KX19" s="31">
        <v>2</v>
      </c>
      <c r="KY19" s="31">
        <v>2</v>
      </c>
      <c r="KZ19" s="31">
        <v>2</v>
      </c>
      <c r="LA19" s="31">
        <v>2</v>
      </c>
      <c r="LB19" s="31">
        <v>2</v>
      </c>
      <c r="LC19" s="31">
        <v>2</v>
      </c>
      <c r="LD19" s="31">
        <v>2</v>
      </c>
      <c r="LE19" s="31">
        <v>2</v>
      </c>
      <c r="LF19" s="31">
        <v>2</v>
      </c>
      <c r="LG19" s="31">
        <v>2</v>
      </c>
      <c r="LH19" s="31">
        <v>2</v>
      </c>
      <c r="LI19" s="31">
        <v>2</v>
      </c>
      <c r="LJ19" s="31">
        <v>2</v>
      </c>
      <c r="LK19" s="31">
        <v>2</v>
      </c>
      <c r="LL19" s="31">
        <v>2</v>
      </c>
      <c r="LM19" s="31">
        <v>2</v>
      </c>
      <c r="LN19" s="31">
        <v>2</v>
      </c>
      <c r="LO19" s="31">
        <v>2</v>
      </c>
      <c r="LP19" s="31">
        <v>1</v>
      </c>
      <c r="LQ19" s="31">
        <v>2</v>
      </c>
      <c r="LR19" s="31">
        <v>2</v>
      </c>
      <c r="LS19" s="31">
        <v>2</v>
      </c>
      <c r="LT19" s="31">
        <v>2</v>
      </c>
      <c r="LU19" s="31">
        <v>2</v>
      </c>
      <c r="LV19" s="31">
        <v>2</v>
      </c>
      <c r="LW19" s="31">
        <v>2</v>
      </c>
      <c r="LX19" s="31">
        <v>2</v>
      </c>
      <c r="LY19" s="31">
        <v>2</v>
      </c>
      <c r="LZ19" s="31">
        <v>2</v>
      </c>
      <c r="MA19" s="31" t="s">
        <v>1151</v>
      </c>
      <c r="MB19" s="31" t="s">
        <v>1151</v>
      </c>
      <c r="ME19" s="31">
        <v>1</v>
      </c>
      <c r="MF19" s="31">
        <v>1</v>
      </c>
      <c r="MG19" s="31">
        <v>2</v>
      </c>
      <c r="MH19" s="31">
        <v>2</v>
      </c>
      <c r="MI19" s="31">
        <v>2</v>
      </c>
      <c r="MJ19" s="31">
        <v>2</v>
      </c>
      <c r="MK19" s="31">
        <v>1</v>
      </c>
      <c r="ML19" s="31">
        <v>1</v>
      </c>
      <c r="MM19" s="31">
        <v>2</v>
      </c>
      <c r="MN19" s="31">
        <v>2</v>
      </c>
      <c r="MO19" s="31">
        <v>2</v>
      </c>
      <c r="MP19" s="31">
        <v>2</v>
      </c>
      <c r="MQ19" s="31">
        <v>2</v>
      </c>
      <c r="MR19" s="31">
        <v>2</v>
      </c>
      <c r="MS19" s="31">
        <v>2</v>
      </c>
    </row>
    <row r="20" spans="1:357" s="31" customFormat="1" ht="13.5" customHeight="1">
      <c r="A20" s="31">
        <v>17</v>
      </c>
      <c r="B20" s="31">
        <v>17</v>
      </c>
      <c r="C20" s="31" t="s">
        <v>1115</v>
      </c>
      <c r="D20" s="31" t="s">
        <v>1152</v>
      </c>
      <c r="E20" s="31">
        <v>3</v>
      </c>
      <c r="H20" s="31">
        <v>42514</v>
      </c>
      <c r="I20" s="31">
        <v>21446</v>
      </c>
      <c r="J20" s="31">
        <v>1</v>
      </c>
      <c r="K20" s="31">
        <v>1</v>
      </c>
      <c r="L20" s="31">
        <v>4</v>
      </c>
      <c r="M20" s="31">
        <v>2</v>
      </c>
      <c r="N20" s="31">
        <v>1</v>
      </c>
      <c r="O20" s="31">
        <v>1</v>
      </c>
      <c r="P20" s="31">
        <v>1</v>
      </c>
      <c r="Q20" s="31">
        <v>1</v>
      </c>
      <c r="R20" s="31">
        <v>2</v>
      </c>
      <c r="S20" s="31">
        <v>2</v>
      </c>
      <c r="T20" s="31">
        <v>2</v>
      </c>
      <c r="U20" s="31">
        <v>2</v>
      </c>
      <c r="V20" s="31">
        <v>2</v>
      </c>
      <c r="W20" s="31">
        <v>1</v>
      </c>
      <c r="X20" s="31">
        <v>2</v>
      </c>
      <c r="Y20" s="31">
        <v>2</v>
      </c>
      <c r="Z20" s="31">
        <v>4</v>
      </c>
      <c r="AA20" s="31">
        <v>2</v>
      </c>
      <c r="AB20" s="31">
        <v>2</v>
      </c>
      <c r="AC20" s="31">
        <v>2</v>
      </c>
      <c r="AD20" s="31">
        <v>1</v>
      </c>
      <c r="AE20" s="31">
        <v>1</v>
      </c>
      <c r="AF20" s="31">
        <v>2</v>
      </c>
      <c r="AH20" s="31">
        <v>2</v>
      </c>
      <c r="AI20" s="31">
        <v>2</v>
      </c>
      <c r="AJ20" s="31">
        <v>2</v>
      </c>
      <c r="AK20" s="31" t="s">
        <v>357</v>
      </c>
      <c r="AL20" s="31">
        <v>2</v>
      </c>
      <c r="AM20" s="31" t="s">
        <v>357</v>
      </c>
      <c r="AN20" s="31" t="s">
        <v>357</v>
      </c>
      <c r="AO20" s="31">
        <v>2</v>
      </c>
      <c r="AQ20" s="31">
        <v>2</v>
      </c>
      <c r="AS20" s="31">
        <v>2</v>
      </c>
      <c r="AV20" s="31">
        <v>2</v>
      </c>
      <c r="AX20" s="31">
        <v>2</v>
      </c>
      <c r="AZ20" s="31">
        <v>2</v>
      </c>
      <c r="BB20" s="31">
        <v>2</v>
      </c>
      <c r="BD20" s="31">
        <v>2</v>
      </c>
      <c r="BI20" s="31" t="s">
        <v>355</v>
      </c>
      <c r="BT20" s="31">
        <v>2</v>
      </c>
      <c r="BW20" s="31">
        <v>2</v>
      </c>
      <c r="BX20" s="31">
        <v>2</v>
      </c>
      <c r="BY20" s="31">
        <v>2</v>
      </c>
      <c r="BZ20" s="31">
        <v>2</v>
      </c>
      <c r="CA20" s="31">
        <v>2</v>
      </c>
      <c r="CB20" s="31">
        <v>2</v>
      </c>
      <c r="CC20" s="31">
        <v>2</v>
      </c>
      <c r="CG20" s="31">
        <v>2</v>
      </c>
      <c r="CH20" s="31">
        <v>2</v>
      </c>
      <c r="CI20" s="31">
        <v>2</v>
      </c>
      <c r="CJ20" s="31">
        <v>2</v>
      </c>
      <c r="CK20" s="31">
        <v>2</v>
      </c>
      <c r="CL20" s="31">
        <v>2</v>
      </c>
      <c r="CM20" s="31">
        <v>2</v>
      </c>
      <c r="CQ20" s="31">
        <v>2</v>
      </c>
      <c r="CR20" s="31">
        <v>2</v>
      </c>
      <c r="CS20" s="31">
        <v>2</v>
      </c>
      <c r="CT20" s="31">
        <v>2</v>
      </c>
      <c r="CU20" s="31">
        <v>2</v>
      </c>
      <c r="CV20" s="31">
        <v>2</v>
      </c>
      <c r="CW20" s="31">
        <v>2</v>
      </c>
      <c r="DA20" s="31">
        <v>2</v>
      </c>
      <c r="DB20" s="31">
        <v>2</v>
      </c>
      <c r="DC20" s="31">
        <v>2</v>
      </c>
      <c r="DD20" s="31">
        <v>2</v>
      </c>
      <c r="DE20" s="31">
        <v>2</v>
      </c>
      <c r="DF20" s="31">
        <v>2</v>
      </c>
      <c r="DG20" s="31">
        <v>2</v>
      </c>
      <c r="DK20" s="31">
        <v>2</v>
      </c>
      <c r="DL20" s="31">
        <v>2</v>
      </c>
      <c r="DM20" s="31">
        <v>2</v>
      </c>
      <c r="DN20" s="31">
        <v>2</v>
      </c>
      <c r="DO20" s="31">
        <v>2</v>
      </c>
      <c r="DP20" s="31">
        <v>2</v>
      </c>
      <c r="DQ20" s="31">
        <v>2</v>
      </c>
      <c r="DT20" s="32"/>
      <c r="DU20" s="31" t="s">
        <v>1145</v>
      </c>
      <c r="DX20" s="31" t="s">
        <v>393</v>
      </c>
      <c r="EG20" s="31">
        <v>1</v>
      </c>
      <c r="EJ20" s="31">
        <v>2</v>
      </c>
      <c r="EK20" s="31" t="s">
        <v>393</v>
      </c>
      <c r="EL20" s="31">
        <v>65</v>
      </c>
      <c r="FH20" s="31" t="s">
        <v>387</v>
      </c>
      <c r="FI20" s="31" t="s">
        <v>386</v>
      </c>
      <c r="FJ20" s="31">
        <v>2</v>
      </c>
      <c r="FL20" s="31" t="s">
        <v>359</v>
      </c>
      <c r="FM20" s="31">
        <v>2</v>
      </c>
      <c r="FN20" s="31">
        <v>2</v>
      </c>
      <c r="FO20" s="31">
        <v>1</v>
      </c>
      <c r="FP20" s="31">
        <v>2</v>
      </c>
      <c r="FR20" s="31">
        <v>2</v>
      </c>
      <c r="FT20" s="31">
        <v>2</v>
      </c>
      <c r="FV20" s="31">
        <v>2</v>
      </c>
      <c r="FX20" s="31">
        <v>2</v>
      </c>
      <c r="FZ20" s="31">
        <v>2</v>
      </c>
      <c r="GB20" s="31">
        <v>2</v>
      </c>
      <c r="GD20" s="31">
        <v>2</v>
      </c>
      <c r="GF20" s="31">
        <v>2</v>
      </c>
      <c r="GH20" s="31">
        <v>2</v>
      </c>
      <c r="GJ20" s="31">
        <v>2</v>
      </c>
      <c r="GL20" s="31">
        <v>2</v>
      </c>
      <c r="GN20" s="31">
        <v>2</v>
      </c>
      <c r="GP20" s="31">
        <v>2</v>
      </c>
      <c r="GR20" s="31">
        <v>2</v>
      </c>
      <c r="GT20" s="31">
        <v>2</v>
      </c>
      <c r="GV20" s="31">
        <v>2</v>
      </c>
      <c r="GX20" s="31">
        <v>2</v>
      </c>
      <c r="GZ20" s="31">
        <v>2</v>
      </c>
      <c r="HB20" s="31">
        <v>2</v>
      </c>
      <c r="HD20" s="31">
        <v>2</v>
      </c>
      <c r="HF20" s="31" t="s">
        <v>355</v>
      </c>
      <c r="HH20" s="31">
        <v>2</v>
      </c>
      <c r="HJ20" s="31">
        <v>2</v>
      </c>
      <c r="HL20" s="31">
        <v>2</v>
      </c>
      <c r="HN20" s="31">
        <v>2</v>
      </c>
      <c r="HP20" s="31">
        <v>2</v>
      </c>
      <c r="HR20" s="31">
        <v>2</v>
      </c>
      <c r="HT20" s="31">
        <v>2</v>
      </c>
      <c r="HV20" s="31">
        <v>2</v>
      </c>
      <c r="HX20" s="31">
        <v>2</v>
      </c>
      <c r="HZ20" s="31">
        <v>2</v>
      </c>
      <c r="IB20" s="31">
        <v>2</v>
      </c>
      <c r="ID20" s="31">
        <v>2</v>
      </c>
      <c r="IF20" s="31">
        <v>2</v>
      </c>
      <c r="IH20" s="31">
        <v>2</v>
      </c>
      <c r="IJ20" s="31">
        <v>2</v>
      </c>
      <c r="IL20" s="31">
        <v>2</v>
      </c>
      <c r="IN20" s="31">
        <v>2</v>
      </c>
      <c r="IP20" s="31">
        <v>2</v>
      </c>
      <c r="IR20" s="31">
        <v>2</v>
      </c>
      <c r="IT20" s="31">
        <v>2</v>
      </c>
      <c r="IV20" s="31">
        <v>2</v>
      </c>
      <c r="IX20" s="31" t="s">
        <v>355</v>
      </c>
      <c r="IZ20" s="31">
        <v>2</v>
      </c>
      <c r="JB20" s="31">
        <v>2</v>
      </c>
      <c r="JD20" s="31">
        <v>2</v>
      </c>
      <c r="JF20" s="31">
        <v>2</v>
      </c>
      <c r="JH20" s="31">
        <v>2</v>
      </c>
      <c r="JJ20" s="31">
        <v>2</v>
      </c>
      <c r="JL20" s="31">
        <v>2</v>
      </c>
      <c r="JN20" s="31">
        <v>2</v>
      </c>
      <c r="JP20" s="31">
        <v>1</v>
      </c>
      <c r="JQ20" s="31">
        <v>4</v>
      </c>
      <c r="JR20" s="31">
        <v>2</v>
      </c>
      <c r="JT20" s="31">
        <v>2</v>
      </c>
      <c r="JV20" s="31">
        <v>2</v>
      </c>
      <c r="JX20" s="31">
        <v>2</v>
      </c>
      <c r="JZ20" s="31">
        <v>2</v>
      </c>
      <c r="KB20" s="31">
        <v>2</v>
      </c>
      <c r="KD20" s="31">
        <v>2</v>
      </c>
      <c r="KF20" s="31">
        <v>2</v>
      </c>
      <c r="KH20" s="31">
        <v>2</v>
      </c>
      <c r="KJ20" s="31">
        <v>2</v>
      </c>
      <c r="KL20" s="31">
        <v>2</v>
      </c>
      <c r="KN20" s="31">
        <v>2</v>
      </c>
      <c r="KP20" s="31" t="s">
        <v>355</v>
      </c>
      <c r="KR20" s="31">
        <v>1</v>
      </c>
      <c r="KS20" s="31">
        <v>2</v>
      </c>
      <c r="KT20" s="31">
        <v>2</v>
      </c>
      <c r="KU20" s="31">
        <v>2</v>
      </c>
      <c r="KV20" s="31">
        <v>2</v>
      </c>
      <c r="KW20" s="31">
        <v>2</v>
      </c>
      <c r="KX20" s="31">
        <v>2</v>
      </c>
      <c r="KY20" s="31">
        <v>2</v>
      </c>
      <c r="KZ20" s="31">
        <v>2</v>
      </c>
      <c r="LA20" s="31">
        <v>2</v>
      </c>
      <c r="LB20" s="31">
        <v>2</v>
      </c>
      <c r="LC20" s="31">
        <v>2</v>
      </c>
      <c r="LD20" s="31">
        <v>2</v>
      </c>
      <c r="LE20" s="31">
        <v>2</v>
      </c>
      <c r="LF20" s="31">
        <v>2</v>
      </c>
      <c r="LG20" s="31">
        <v>2</v>
      </c>
      <c r="LH20" s="31">
        <v>2</v>
      </c>
      <c r="LI20" s="31">
        <v>1</v>
      </c>
      <c r="LJ20" s="31">
        <v>2</v>
      </c>
      <c r="LK20" s="31">
        <v>2</v>
      </c>
      <c r="LL20" s="31">
        <v>2</v>
      </c>
      <c r="LM20" s="31">
        <v>2</v>
      </c>
      <c r="LN20" s="31">
        <v>2</v>
      </c>
      <c r="LO20" s="31">
        <v>2</v>
      </c>
      <c r="LP20" s="31">
        <v>1</v>
      </c>
      <c r="LQ20" s="31">
        <v>2</v>
      </c>
      <c r="LR20" s="31">
        <v>2</v>
      </c>
      <c r="LS20" s="31">
        <v>2</v>
      </c>
      <c r="LT20" s="31">
        <v>2</v>
      </c>
      <c r="LU20" s="31">
        <v>2</v>
      </c>
      <c r="LV20" s="31">
        <v>2</v>
      </c>
      <c r="LW20" s="31">
        <v>2</v>
      </c>
      <c r="LX20" s="31">
        <v>2</v>
      </c>
      <c r="LY20" s="31">
        <v>2</v>
      </c>
      <c r="LZ20" s="31">
        <v>2</v>
      </c>
      <c r="MA20" s="31" t="s">
        <v>1153</v>
      </c>
      <c r="MB20" s="31" t="s">
        <v>1153</v>
      </c>
      <c r="ME20" s="31">
        <v>3</v>
      </c>
      <c r="MF20" s="31">
        <v>2</v>
      </c>
      <c r="MG20" s="31">
        <v>2</v>
      </c>
      <c r="MH20" s="31">
        <v>2</v>
      </c>
      <c r="MI20" s="31">
        <v>2</v>
      </c>
      <c r="MJ20" s="31">
        <v>2</v>
      </c>
      <c r="MK20" s="31">
        <v>3</v>
      </c>
      <c r="ML20" s="31">
        <v>2</v>
      </c>
      <c r="MM20" s="31">
        <v>2</v>
      </c>
      <c r="MN20" s="31">
        <v>2</v>
      </c>
      <c r="MO20" s="31">
        <v>2</v>
      </c>
      <c r="MP20" s="31">
        <v>2</v>
      </c>
      <c r="MQ20" s="31">
        <v>2</v>
      </c>
      <c r="MR20" s="31">
        <v>2</v>
      </c>
      <c r="MS20" s="31">
        <v>2</v>
      </c>
    </row>
    <row r="21" spans="1:357" s="31" customFormat="1" ht="13.5" customHeight="1">
      <c r="A21" s="31">
        <v>18</v>
      </c>
      <c r="B21" s="31">
        <v>18</v>
      </c>
      <c r="C21" s="31" t="s">
        <v>1115</v>
      </c>
      <c r="D21" s="31" t="s">
        <v>1154</v>
      </c>
      <c r="E21" s="31">
        <v>3</v>
      </c>
      <c r="H21" s="31">
        <v>42522</v>
      </c>
      <c r="I21" s="31">
        <v>21733</v>
      </c>
      <c r="J21" s="31">
        <v>1</v>
      </c>
      <c r="K21" s="31">
        <v>1</v>
      </c>
      <c r="L21" s="31">
        <v>3</v>
      </c>
      <c r="M21" s="31">
        <v>1</v>
      </c>
      <c r="N21" s="31">
        <v>3</v>
      </c>
      <c r="O21" s="31">
        <v>1</v>
      </c>
      <c r="P21" s="31">
        <v>3</v>
      </c>
      <c r="Q21" s="31">
        <v>1</v>
      </c>
      <c r="R21" s="31">
        <v>2</v>
      </c>
      <c r="S21" s="31">
        <v>2</v>
      </c>
      <c r="T21" s="31">
        <v>1</v>
      </c>
      <c r="U21" s="31">
        <v>2</v>
      </c>
      <c r="V21" s="31">
        <v>2</v>
      </c>
      <c r="W21" s="31">
        <v>2</v>
      </c>
      <c r="X21" s="31">
        <v>1</v>
      </c>
      <c r="Y21" s="31">
        <v>2</v>
      </c>
      <c r="Z21" s="31">
        <v>4</v>
      </c>
      <c r="AA21" s="31">
        <v>2</v>
      </c>
      <c r="AB21" s="31">
        <v>2</v>
      </c>
      <c r="AC21" s="31">
        <v>2</v>
      </c>
      <c r="AD21" s="31">
        <v>1</v>
      </c>
      <c r="AE21" s="31">
        <v>1</v>
      </c>
      <c r="AF21" s="31">
        <v>2</v>
      </c>
      <c r="AH21" s="31">
        <v>2</v>
      </c>
      <c r="AI21" s="31">
        <v>2</v>
      </c>
      <c r="AJ21" s="31">
        <v>2</v>
      </c>
      <c r="AK21" s="31" t="s">
        <v>357</v>
      </c>
      <c r="AL21" s="31">
        <v>2</v>
      </c>
      <c r="AM21" s="31" t="s">
        <v>357</v>
      </c>
      <c r="AN21" s="31" t="s">
        <v>357</v>
      </c>
      <c r="AO21" s="31">
        <v>2</v>
      </c>
      <c r="AQ21" s="31">
        <v>2</v>
      </c>
      <c r="AS21" s="31">
        <v>2</v>
      </c>
      <c r="AV21" s="31">
        <v>2</v>
      </c>
      <c r="AX21" s="31">
        <v>2</v>
      </c>
      <c r="AZ21" s="31">
        <v>1</v>
      </c>
      <c r="BB21" s="31">
        <v>1</v>
      </c>
      <c r="BD21" s="31">
        <v>2</v>
      </c>
      <c r="BI21" s="31" t="s">
        <v>355</v>
      </c>
      <c r="BT21" s="31">
        <v>2</v>
      </c>
      <c r="BW21" s="31">
        <v>2</v>
      </c>
      <c r="BX21" s="31">
        <v>2</v>
      </c>
      <c r="BY21" s="31">
        <v>2</v>
      </c>
      <c r="BZ21" s="31">
        <v>2</v>
      </c>
      <c r="CA21" s="31">
        <v>2</v>
      </c>
      <c r="CB21" s="31">
        <v>2</v>
      </c>
      <c r="CC21" s="31">
        <v>2</v>
      </c>
      <c r="CG21" s="31">
        <v>2</v>
      </c>
      <c r="CH21" s="31">
        <v>2</v>
      </c>
      <c r="CI21" s="31">
        <v>2</v>
      </c>
      <c r="CJ21" s="31">
        <v>2</v>
      </c>
      <c r="CK21" s="31">
        <v>2</v>
      </c>
      <c r="CL21" s="31">
        <v>2</v>
      </c>
      <c r="CM21" s="31">
        <v>2</v>
      </c>
      <c r="CQ21" s="31">
        <v>1</v>
      </c>
      <c r="CR21" s="31">
        <v>1</v>
      </c>
      <c r="CS21" s="31">
        <v>2</v>
      </c>
      <c r="CT21" s="31">
        <v>2</v>
      </c>
      <c r="CU21" s="31">
        <v>2</v>
      </c>
      <c r="CV21" s="31">
        <v>2</v>
      </c>
      <c r="CW21" s="31">
        <v>2</v>
      </c>
      <c r="DA21" s="31">
        <v>2</v>
      </c>
      <c r="DB21" s="31">
        <v>2</v>
      </c>
      <c r="DC21" s="31">
        <v>2</v>
      </c>
      <c r="DD21" s="31">
        <v>2</v>
      </c>
      <c r="DE21" s="31">
        <v>2</v>
      </c>
      <c r="DF21" s="31">
        <v>2</v>
      </c>
      <c r="DG21" s="31">
        <v>2</v>
      </c>
      <c r="DK21" s="31">
        <v>2</v>
      </c>
      <c r="DL21" s="31">
        <v>2</v>
      </c>
      <c r="DM21" s="31">
        <v>2</v>
      </c>
      <c r="DN21" s="31">
        <v>2</v>
      </c>
      <c r="DO21" s="31">
        <v>2</v>
      </c>
      <c r="DP21" s="31">
        <v>2</v>
      </c>
      <c r="DQ21" s="31">
        <v>2</v>
      </c>
      <c r="DX21" s="31" t="s">
        <v>1155</v>
      </c>
      <c r="EG21" s="31">
        <v>1</v>
      </c>
      <c r="EJ21" s="31">
        <v>2</v>
      </c>
      <c r="EK21" s="31" t="s">
        <v>1155</v>
      </c>
      <c r="EL21" s="31">
        <v>70</v>
      </c>
      <c r="FH21" s="31" t="s">
        <v>400</v>
      </c>
      <c r="FI21" s="31" t="s">
        <v>370</v>
      </c>
      <c r="FJ21" s="31">
        <v>2</v>
      </c>
      <c r="FL21" s="31" t="s">
        <v>387</v>
      </c>
      <c r="FM21" s="31">
        <v>2</v>
      </c>
      <c r="FN21" s="31">
        <v>2</v>
      </c>
      <c r="FO21" s="31">
        <v>2</v>
      </c>
      <c r="FP21" s="31">
        <v>2</v>
      </c>
      <c r="FR21" s="31">
        <v>2</v>
      </c>
      <c r="FT21" s="31">
        <v>2</v>
      </c>
      <c r="FV21" s="31">
        <v>2</v>
      </c>
      <c r="FX21" s="31">
        <v>2</v>
      </c>
      <c r="FZ21" s="31">
        <v>2</v>
      </c>
      <c r="GB21" s="31">
        <v>2</v>
      </c>
      <c r="GD21" s="31">
        <v>2</v>
      </c>
      <c r="GF21" s="31">
        <v>2</v>
      </c>
      <c r="GH21" s="31">
        <v>2</v>
      </c>
      <c r="GJ21" s="31">
        <v>2</v>
      </c>
      <c r="GL21" s="31">
        <v>2</v>
      </c>
      <c r="GN21" s="31">
        <v>2</v>
      </c>
      <c r="GP21" s="31">
        <v>2</v>
      </c>
      <c r="GR21" s="31">
        <v>2</v>
      </c>
      <c r="GT21" s="31">
        <v>2</v>
      </c>
      <c r="GV21" s="31">
        <v>2</v>
      </c>
      <c r="GX21" s="31">
        <v>2</v>
      </c>
      <c r="GZ21" s="31">
        <v>2</v>
      </c>
      <c r="HB21" s="31">
        <v>2</v>
      </c>
      <c r="HD21" s="31">
        <v>2</v>
      </c>
      <c r="HF21" s="31" t="s">
        <v>355</v>
      </c>
      <c r="HH21" s="31">
        <v>2</v>
      </c>
      <c r="HJ21" s="31">
        <v>2</v>
      </c>
      <c r="HL21" s="31">
        <v>2</v>
      </c>
      <c r="HN21" s="31">
        <v>2</v>
      </c>
      <c r="HP21" s="31">
        <v>2</v>
      </c>
      <c r="HR21" s="31">
        <v>2</v>
      </c>
      <c r="HT21" s="31">
        <v>2</v>
      </c>
      <c r="HV21" s="31">
        <v>2</v>
      </c>
      <c r="HX21" s="31">
        <v>2</v>
      </c>
      <c r="HZ21" s="31">
        <v>2</v>
      </c>
      <c r="IB21" s="31">
        <v>2</v>
      </c>
      <c r="ID21" s="31">
        <v>2</v>
      </c>
      <c r="IF21" s="31">
        <v>2</v>
      </c>
      <c r="IH21" s="31">
        <v>2</v>
      </c>
      <c r="IJ21" s="31">
        <v>2</v>
      </c>
      <c r="IL21" s="31">
        <v>2</v>
      </c>
      <c r="IN21" s="31">
        <v>2</v>
      </c>
      <c r="IP21" s="31">
        <v>2</v>
      </c>
      <c r="IR21" s="31">
        <v>2</v>
      </c>
      <c r="IT21" s="31">
        <v>2</v>
      </c>
      <c r="IV21" s="31">
        <v>2</v>
      </c>
      <c r="IX21" s="31" t="s">
        <v>355</v>
      </c>
      <c r="IZ21" s="31">
        <v>2</v>
      </c>
      <c r="JB21" s="31">
        <v>2</v>
      </c>
      <c r="JD21" s="31">
        <v>2</v>
      </c>
      <c r="JF21" s="31">
        <v>2</v>
      </c>
      <c r="JH21" s="31">
        <v>2</v>
      </c>
      <c r="JJ21" s="31">
        <v>2</v>
      </c>
      <c r="JL21" s="31">
        <v>2</v>
      </c>
      <c r="JN21" s="31">
        <v>2</v>
      </c>
      <c r="JP21" s="31">
        <v>2</v>
      </c>
      <c r="JR21" s="31">
        <v>2</v>
      </c>
      <c r="JT21" s="31">
        <v>2</v>
      </c>
      <c r="JV21" s="31">
        <v>2</v>
      </c>
      <c r="JX21" s="31">
        <v>2</v>
      </c>
      <c r="JZ21" s="31">
        <v>2</v>
      </c>
      <c r="KB21" s="31">
        <v>2</v>
      </c>
      <c r="KD21" s="31">
        <v>2</v>
      </c>
      <c r="KF21" s="31">
        <v>2</v>
      </c>
      <c r="KH21" s="31">
        <v>2</v>
      </c>
      <c r="KJ21" s="31">
        <v>2</v>
      </c>
      <c r="KL21" s="31">
        <v>2</v>
      </c>
      <c r="KN21" s="31">
        <v>2</v>
      </c>
      <c r="KP21" s="31" t="s">
        <v>355</v>
      </c>
      <c r="KR21" s="31">
        <v>1</v>
      </c>
      <c r="KS21" s="31">
        <v>2</v>
      </c>
      <c r="KT21" s="31">
        <v>2</v>
      </c>
      <c r="KU21" s="31">
        <v>2</v>
      </c>
      <c r="KV21" s="31">
        <v>2</v>
      </c>
      <c r="KW21" s="31">
        <v>2</v>
      </c>
      <c r="KX21" s="31">
        <v>2</v>
      </c>
      <c r="KY21" s="31">
        <v>2</v>
      </c>
      <c r="KZ21" s="31">
        <v>2</v>
      </c>
      <c r="LA21" s="31">
        <v>2</v>
      </c>
      <c r="LB21" s="31">
        <v>2</v>
      </c>
      <c r="LC21" s="31">
        <v>2</v>
      </c>
      <c r="LD21" s="31">
        <v>2</v>
      </c>
      <c r="LE21" s="31">
        <v>2</v>
      </c>
      <c r="LF21" s="31">
        <v>2</v>
      </c>
      <c r="LG21" s="31">
        <v>2</v>
      </c>
      <c r="LH21" s="31">
        <v>2</v>
      </c>
      <c r="LI21" s="31">
        <v>2</v>
      </c>
      <c r="LJ21" s="31">
        <v>2</v>
      </c>
      <c r="LK21" s="31">
        <v>2</v>
      </c>
      <c r="LL21" s="31">
        <v>2</v>
      </c>
      <c r="LM21" s="31">
        <v>2</v>
      </c>
      <c r="LN21" s="31">
        <v>2</v>
      </c>
      <c r="LO21" s="31">
        <v>2</v>
      </c>
      <c r="LP21" s="31">
        <v>2</v>
      </c>
      <c r="LQ21" s="31">
        <v>2</v>
      </c>
      <c r="LR21" s="31">
        <v>2</v>
      </c>
      <c r="LS21" s="31">
        <v>2</v>
      </c>
      <c r="LT21" s="31">
        <v>2</v>
      </c>
      <c r="LU21" s="31">
        <v>2</v>
      </c>
      <c r="LV21" s="31">
        <v>2</v>
      </c>
      <c r="LW21" s="31">
        <v>2</v>
      </c>
      <c r="LX21" s="31">
        <v>2</v>
      </c>
      <c r="LY21" s="31">
        <v>2</v>
      </c>
      <c r="LZ21" s="31">
        <v>2</v>
      </c>
      <c r="MA21" s="31" t="s">
        <v>362</v>
      </c>
      <c r="MB21" s="31" t="s">
        <v>362</v>
      </c>
      <c r="ME21" s="31">
        <v>3</v>
      </c>
      <c r="MF21" s="31">
        <v>2</v>
      </c>
      <c r="MG21" s="31">
        <v>2</v>
      </c>
      <c r="MH21" s="31">
        <v>2</v>
      </c>
      <c r="MI21" s="31">
        <v>2</v>
      </c>
      <c r="MJ21" s="31">
        <v>2</v>
      </c>
      <c r="MK21" s="31">
        <v>3</v>
      </c>
      <c r="ML21" s="31">
        <v>2</v>
      </c>
      <c r="MM21" s="31">
        <v>2</v>
      </c>
      <c r="MN21" s="31">
        <v>2</v>
      </c>
      <c r="MO21" s="31">
        <v>2</v>
      </c>
      <c r="MP21" s="31">
        <v>2</v>
      </c>
      <c r="MQ21" s="31">
        <v>2</v>
      </c>
      <c r="MR21" s="31">
        <v>2</v>
      </c>
      <c r="MS21" s="31">
        <v>2</v>
      </c>
    </row>
    <row r="22" spans="1:357" s="31" customFormat="1" ht="13.5" customHeight="1">
      <c r="A22" s="31">
        <v>19</v>
      </c>
      <c r="B22" s="31">
        <v>19</v>
      </c>
      <c r="C22" s="31" t="s">
        <v>1115</v>
      </c>
      <c r="D22" s="31" t="s">
        <v>1156</v>
      </c>
      <c r="E22" s="31">
        <v>3</v>
      </c>
      <c r="H22" s="31">
        <v>42536</v>
      </c>
      <c r="I22" s="31">
        <v>19472</v>
      </c>
      <c r="J22" s="31">
        <v>2</v>
      </c>
      <c r="K22" s="31">
        <v>1</v>
      </c>
      <c r="L22" s="31">
        <v>4</v>
      </c>
      <c r="M22" s="31">
        <v>2</v>
      </c>
      <c r="N22" s="31">
        <v>2</v>
      </c>
      <c r="O22" s="31">
        <v>1</v>
      </c>
      <c r="P22" s="31">
        <v>4</v>
      </c>
      <c r="Q22" s="31">
        <v>2</v>
      </c>
      <c r="R22" s="31">
        <v>2</v>
      </c>
      <c r="S22" s="31">
        <v>2</v>
      </c>
      <c r="T22" s="31">
        <v>2</v>
      </c>
      <c r="U22" s="31">
        <v>2</v>
      </c>
      <c r="V22" s="31">
        <v>2</v>
      </c>
      <c r="W22" s="31">
        <v>2</v>
      </c>
      <c r="X22" s="31">
        <v>2</v>
      </c>
      <c r="Y22" s="31">
        <v>2</v>
      </c>
      <c r="Z22" s="31">
        <v>4</v>
      </c>
      <c r="AA22" s="31">
        <v>2</v>
      </c>
      <c r="AB22" s="31">
        <v>1</v>
      </c>
      <c r="AC22" s="31">
        <v>2</v>
      </c>
      <c r="AD22" s="31">
        <v>1</v>
      </c>
      <c r="AE22" s="31">
        <v>1</v>
      </c>
      <c r="AF22" s="31">
        <v>2</v>
      </c>
      <c r="AH22" s="31">
        <v>2</v>
      </c>
      <c r="AI22" s="31">
        <v>2</v>
      </c>
      <c r="AJ22" s="31">
        <v>2</v>
      </c>
      <c r="AK22" s="31" t="s">
        <v>357</v>
      </c>
      <c r="AL22" s="31">
        <v>2</v>
      </c>
      <c r="AM22" s="31" t="s">
        <v>357</v>
      </c>
      <c r="AN22" s="31" t="s">
        <v>357</v>
      </c>
      <c r="AO22" s="31">
        <v>2</v>
      </c>
      <c r="AQ22" s="31">
        <v>2</v>
      </c>
      <c r="AS22" s="31">
        <v>2</v>
      </c>
      <c r="AV22" s="31">
        <v>2</v>
      </c>
      <c r="AX22" s="31">
        <v>2</v>
      </c>
      <c r="AZ22" s="31">
        <v>2</v>
      </c>
      <c r="BB22" s="31">
        <v>2</v>
      </c>
      <c r="BD22" s="31">
        <v>2</v>
      </c>
      <c r="BI22" s="31" t="s">
        <v>355</v>
      </c>
      <c r="BT22" s="31">
        <v>2</v>
      </c>
      <c r="BW22" s="31">
        <v>2</v>
      </c>
      <c r="BX22" s="31">
        <v>2</v>
      </c>
      <c r="BY22" s="31">
        <v>2</v>
      </c>
      <c r="BZ22" s="31">
        <v>2</v>
      </c>
      <c r="CA22" s="31">
        <v>2</v>
      </c>
      <c r="CB22" s="31">
        <v>2</v>
      </c>
      <c r="CC22" s="31">
        <v>2</v>
      </c>
      <c r="CG22" s="31">
        <v>2</v>
      </c>
      <c r="CH22" s="31">
        <v>2</v>
      </c>
      <c r="CI22" s="31">
        <v>2</v>
      </c>
      <c r="CJ22" s="31">
        <v>2</v>
      </c>
      <c r="CK22" s="31">
        <v>2</v>
      </c>
      <c r="CL22" s="31">
        <v>2</v>
      </c>
      <c r="CM22" s="31">
        <v>2</v>
      </c>
      <c r="CQ22" s="31">
        <v>2</v>
      </c>
      <c r="CR22" s="31">
        <v>2</v>
      </c>
      <c r="CS22" s="31">
        <v>2</v>
      </c>
      <c r="CT22" s="31">
        <v>2</v>
      </c>
      <c r="CU22" s="31">
        <v>2</v>
      </c>
      <c r="CV22" s="31">
        <v>2</v>
      </c>
      <c r="CW22" s="31">
        <v>2</v>
      </c>
      <c r="DA22" s="31">
        <v>2</v>
      </c>
      <c r="DB22" s="31">
        <v>2</v>
      </c>
      <c r="DC22" s="31">
        <v>2</v>
      </c>
      <c r="DD22" s="31">
        <v>2</v>
      </c>
      <c r="DE22" s="31">
        <v>2</v>
      </c>
      <c r="DF22" s="31">
        <v>2</v>
      </c>
      <c r="DG22" s="31">
        <v>2</v>
      </c>
      <c r="DK22" s="31">
        <v>2</v>
      </c>
      <c r="DL22" s="31">
        <v>2</v>
      </c>
      <c r="DM22" s="31">
        <v>2</v>
      </c>
      <c r="DN22" s="31">
        <v>2</v>
      </c>
      <c r="DO22" s="31">
        <v>2</v>
      </c>
      <c r="DP22" s="31">
        <v>2</v>
      </c>
      <c r="DQ22" s="31">
        <v>2</v>
      </c>
      <c r="DX22" s="31" t="s">
        <v>380</v>
      </c>
      <c r="EG22" s="31">
        <v>2</v>
      </c>
      <c r="EH22" s="31" t="s">
        <v>405</v>
      </c>
      <c r="EI22" s="31">
        <v>95</v>
      </c>
      <c r="EJ22" s="31">
        <v>2</v>
      </c>
      <c r="EK22" s="31" t="s">
        <v>380</v>
      </c>
      <c r="EL22" s="31">
        <v>74</v>
      </c>
      <c r="FH22" s="31" t="s">
        <v>359</v>
      </c>
      <c r="FI22" s="31" t="s">
        <v>384</v>
      </c>
      <c r="FJ22" s="31">
        <v>2</v>
      </c>
      <c r="FL22" s="31" t="s">
        <v>387</v>
      </c>
      <c r="FM22" s="31">
        <v>2</v>
      </c>
      <c r="FN22" s="31">
        <v>2</v>
      </c>
      <c r="FO22" s="31">
        <v>2</v>
      </c>
      <c r="FP22" s="31">
        <v>2</v>
      </c>
      <c r="FR22" s="31">
        <v>2</v>
      </c>
      <c r="FT22" s="31">
        <v>2</v>
      </c>
      <c r="FV22" s="31">
        <v>2</v>
      </c>
      <c r="FX22" s="31">
        <v>2</v>
      </c>
      <c r="FZ22" s="31">
        <v>2</v>
      </c>
      <c r="GB22" s="31">
        <v>2</v>
      </c>
      <c r="GD22" s="31">
        <v>2</v>
      </c>
      <c r="GF22" s="31">
        <v>2</v>
      </c>
      <c r="GH22" s="31">
        <v>2</v>
      </c>
      <c r="GJ22" s="31">
        <v>2</v>
      </c>
      <c r="GL22" s="31">
        <v>2</v>
      </c>
      <c r="GN22" s="31">
        <v>2</v>
      </c>
      <c r="GP22" s="31">
        <v>2</v>
      </c>
      <c r="GR22" s="31">
        <v>2</v>
      </c>
      <c r="GT22" s="31">
        <v>2</v>
      </c>
      <c r="GV22" s="31">
        <v>2</v>
      </c>
      <c r="GX22" s="31">
        <v>2</v>
      </c>
      <c r="GZ22" s="31">
        <v>2</v>
      </c>
      <c r="HB22" s="31">
        <v>2</v>
      </c>
      <c r="HD22" s="31">
        <v>2</v>
      </c>
      <c r="HF22" s="31" t="s">
        <v>355</v>
      </c>
      <c r="HH22" s="31">
        <v>2</v>
      </c>
      <c r="HJ22" s="31">
        <v>2</v>
      </c>
      <c r="HL22" s="31">
        <v>2</v>
      </c>
      <c r="HN22" s="31">
        <v>2</v>
      </c>
      <c r="HP22" s="31">
        <v>2</v>
      </c>
      <c r="HR22" s="31">
        <v>2</v>
      </c>
      <c r="HT22" s="31">
        <v>2</v>
      </c>
      <c r="HV22" s="31">
        <v>2</v>
      </c>
      <c r="HX22" s="31">
        <v>2</v>
      </c>
      <c r="HZ22" s="31">
        <v>2</v>
      </c>
      <c r="IB22" s="31">
        <v>2</v>
      </c>
      <c r="ID22" s="31">
        <v>2</v>
      </c>
      <c r="IF22" s="31">
        <v>2</v>
      </c>
      <c r="IH22" s="31">
        <v>2</v>
      </c>
      <c r="IJ22" s="31">
        <v>2</v>
      </c>
      <c r="IL22" s="31">
        <v>2</v>
      </c>
      <c r="IN22" s="31">
        <v>2</v>
      </c>
      <c r="IP22" s="31">
        <v>2</v>
      </c>
      <c r="IR22" s="31">
        <v>2</v>
      </c>
      <c r="IT22" s="31">
        <v>2</v>
      </c>
      <c r="IV22" s="31">
        <v>2</v>
      </c>
      <c r="IX22" s="31" t="s">
        <v>355</v>
      </c>
      <c r="IZ22" s="31">
        <v>2</v>
      </c>
      <c r="JB22" s="31">
        <v>2</v>
      </c>
      <c r="JD22" s="31">
        <v>2</v>
      </c>
      <c r="JF22" s="31">
        <v>2</v>
      </c>
      <c r="JH22" s="31">
        <v>2</v>
      </c>
      <c r="JJ22" s="31">
        <v>2</v>
      </c>
      <c r="JL22" s="31">
        <v>2</v>
      </c>
      <c r="JN22" s="31">
        <v>2</v>
      </c>
      <c r="JP22" s="31">
        <v>2</v>
      </c>
      <c r="JR22" s="31">
        <v>2</v>
      </c>
      <c r="JT22" s="31">
        <v>2</v>
      </c>
      <c r="JV22" s="31">
        <v>2</v>
      </c>
      <c r="JX22" s="31">
        <v>2</v>
      </c>
      <c r="JZ22" s="31">
        <v>2</v>
      </c>
      <c r="KB22" s="31">
        <v>2</v>
      </c>
      <c r="KD22" s="31">
        <v>2</v>
      </c>
      <c r="KF22" s="31">
        <v>2</v>
      </c>
      <c r="KH22" s="31">
        <v>2</v>
      </c>
      <c r="KJ22" s="31">
        <v>2</v>
      </c>
      <c r="KL22" s="31">
        <v>2</v>
      </c>
      <c r="KN22" s="31">
        <v>2</v>
      </c>
      <c r="KP22" s="31" t="s">
        <v>355</v>
      </c>
      <c r="KR22" s="31">
        <v>1</v>
      </c>
      <c r="KS22" s="31">
        <v>2</v>
      </c>
      <c r="KT22" s="31">
        <v>2</v>
      </c>
      <c r="KU22" s="31">
        <v>2</v>
      </c>
      <c r="KV22" s="31">
        <v>2</v>
      </c>
      <c r="KW22" s="31">
        <v>1</v>
      </c>
      <c r="KX22" s="31">
        <v>2</v>
      </c>
      <c r="KY22" s="31">
        <v>2</v>
      </c>
      <c r="KZ22" s="31">
        <v>2</v>
      </c>
      <c r="LA22" s="31">
        <v>2</v>
      </c>
      <c r="LB22" s="31">
        <v>2</v>
      </c>
      <c r="LC22" s="31">
        <v>2</v>
      </c>
      <c r="LD22" s="31">
        <v>2</v>
      </c>
      <c r="LE22" s="31">
        <v>2</v>
      </c>
      <c r="LF22" s="31">
        <v>2</v>
      </c>
      <c r="LG22" s="31">
        <v>2</v>
      </c>
      <c r="LH22" s="31">
        <v>1</v>
      </c>
      <c r="LI22" s="31">
        <v>2</v>
      </c>
      <c r="LJ22" s="31">
        <v>2</v>
      </c>
      <c r="LK22" s="31">
        <v>2</v>
      </c>
      <c r="LL22" s="31">
        <v>2</v>
      </c>
      <c r="LM22" s="31">
        <v>2</v>
      </c>
      <c r="LN22" s="31">
        <v>2</v>
      </c>
      <c r="LO22" s="31">
        <v>2</v>
      </c>
      <c r="LP22" s="31">
        <v>2</v>
      </c>
      <c r="LQ22" s="31">
        <v>2</v>
      </c>
      <c r="LR22" s="31">
        <v>2</v>
      </c>
      <c r="LS22" s="31">
        <v>2</v>
      </c>
      <c r="LT22" s="31">
        <v>2</v>
      </c>
      <c r="LU22" s="31">
        <v>2</v>
      </c>
      <c r="LV22" s="31">
        <v>2</v>
      </c>
      <c r="LW22" s="31">
        <v>2</v>
      </c>
      <c r="LX22" s="31">
        <v>2</v>
      </c>
      <c r="LY22" s="31">
        <v>2</v>
      </c>
      <c r="LZ22" s="31">
        <v>2</v>
      </c>
      <c r="MA22" s="31" t="s">
        <v>404</v>
      </c>
      <c r="MB22" s="31" t="s">
        <v>404</v>
      </c>
      <c r="ME22" s="31">
        <v>4</v>
      </c>
      <c r="MF22" s="31">
        <v>2</v>
      </c>
      <c r="MG22" s="31">
        <v>2</v>
      </c>
      <c r="MH22" s="31">
        <v>2</v>
      </c>
      <c r="MI22" s="31">
        <v>2</v>
      </c>
      <c r="MJ22" s="31">
        <v>2</v>
      </c>
      <c r="MK22" s="31">
        <v>4</v>
      </c>
      <c r="ML22" s="31">
        <v>2</v>
      </c>
      <c r="MM22" s="31">
        <v>2</v>
      </c>
      <c r="MN22" s="31">
        <v>2</v>
      </c>
      <c r="MO22" s="31">
        <v>2</v>
      </c>
      <c r="MP22" s="31">
        <v>2</v>
      </c>
      <c r="MQ22" s="31">
        <v>2</v>
      </c>
      <c r="MR22" s="31">
        <v>2</v>
      </c>
      <c r="MS22" s="31">
        <v>2</v>
      </c>
    </row>
    <row r="23" spans="1:357" s="31" customFormat="1" ht="13.5" customHeight="1">
      <c r="A23" s="31">
        <v>20</v>
      </c>
      <c r="B23" s="31">
        <v>20</v>
      </c>
      <c r="C23" s="31" t="s">
        <v>1115</v>
      </c>
      <c r="D23" s="31" t="s">
        <v>1157</v>
      </c>
      <c r="E23" s="31">
        <v>3</v>
      </c>
      <c r="H23" s="31">
        <v>42537</v>
      </c>
      <c r="I23" s="31">
        <v>22928</v>
      </c>
      <c r="J23" s="31">
        <v>2</v>
      </c>
      <c r="K23" s="31">
        <v>1</v>
      </c>
      <c r="L23" s="31">
        <v>4</v>
      </c>
      <c r="M23" s="31">
        <v>2</v>
      </c>
      <c r="N23" s="31">
        <v>4</v>
      </c>
      <c r="O23" s="31">
        <v>2</v>
      </c>
      <c r="P23" s="31">
        <v>4</v>
      </c>
      <c r="Q23" s="31">
        <v>2</v>
      </c>
      <c r="R23" s="31">
        <v>2</v>
      </c>
      <c r="S23" s="31">
        <v>2</v>
      </c>
      <c r="T23" s="31">
        <v>2</v>
      </c>
      <c r="U23" s="31">
        <v>2</v>
      </c>
      <c r="V23" s="31">
        <v>2</v>
      </c>
      <c r="W23" s="31">
        <v>2</v>
      </c>
      <c r="X23" s="31">
        <v>1</v>
      </c>
      <c r="Y23" s="31">
        <v>2</v>
      </c>
      <c r="Z23" s="31">
        <v>4</v>
      </c>
      <c r="AA23" s="31">
        <v>2</v>
      </c>
      <c r="AB23" s="31">
        <v>2</v>
      </c>
      <c r="AC23" s="31">
        <v>2</v>
      </c>
      <c r="AD23" s="31">
        <v>1</v>
      </c>
      <c r="AE23" s="31">
        <v>1</v>
      </c>
      <c r="AF23" s="31">
        <v>2</v>
      </c>
      <c r="AH23" s="31">
        <v>2</v>
      </c>
      <c r="AI23" s="31">
        <v>2</v>
      </c>
      <c r="AJ23" s="31">
        <v>2</v>
      </c>
      <c r="AK23" s="31" t="s">
        <v>357</v>
      </c>
      <c r="AL23" s="31">
        <v>2</v>
      </c>
      <c r="AM23" s="31" t="s">
        <v>357</v>
      </c>
      <c r="AN23" s="31" t="s">
        <v>357</v>
      </c>
      <c r="AO23" s="31">
        <v>2</v>
      </c>
      <c r="AQ23" s="31">
        <v>2</v>
      </c>
      <c r="AS23" s="31">
        <v>2</v>
      </c>
      <c r="AV23" s="31">
        <v>2</v>
      </c>
      <c r="AX23" s="31">
        <v>2</v>
      </c>
      <c r="AZ23" s="31">
        <v>1</v>
      </c>
      <c r="BB23" s="31">
        <v>1</v>
      </c>
      <c r="BD23" s="31">
        <v>2</v>
      </c>
      <c r="BI23" s="31" t="s">
        <v>355</v>
      </c>
      <c r="BT23" s="31">
        <v>2</v>
      </c>
      <c r="BW23" s="31">
        <v>2</v>
      </c>
      <c r="BX23" s="31">
        <v>2</v>
      </c>
      <c r="BY23" s="31">
        <v>2</v>
      </c>
      <c r="BZ23" s="31">
        <v>2</v>
      </c>
      <c r="CA23" s="31">
        <v>2</v>
      </c>
      <c r="CB23" s="31">
        <v>2</v>
      </c>
      <c r="CC23" s="31">
        <v>2</v>
      </c>
      <c r="CG23" s="31">
        <v>2</v>
      </c>
      <c r="CH23" s="31">
        <v>2</v>
      </c>
      <c r="CI23" s="31">
        <v>2</v>
      </c>
      <c r="CJ23" s="31">
        <v>2</v>
      </c>
      <c r="CK23" s="31">
        <v>2</v>
      </c>
      <c r="CL23" s="31">
        <v>2</v>
      </c>
      <c r="CM23" s="31">
        <v>2</v>
      </c>
      <c r="CQ23" s="31">
        <v>2</v>
      </c>
      <c r="CR23" s="31">
        <v>2</v>
      </c>
      <c r="CS23" s="31">
        <v>2</v>
      </c>
      <c r="CT23" s="31">
        <v>2</v>
      </c>
      <c r="CU23" s="31">
        <v>2</v>
      </c>
      <c r="CV23" s="31">
        <v>2</v>
      </c>
      <c r="CW23" s="31">
        <v>2</v>
      </c>
      <c r="DA23" s="31">
        <v>2</v>
      </c>
      <c r="DB23" s="31">
        <v>2</v>
      </c>
      <c r="DC23" s="31">
        <v>2</v>
      </c>
      <c r="DD23" s="31">
        <v>2</v>
      </c>
      <c r="DE23" s="31">
        <v>2</v>
      </c>
      <c r="DF23" s="31">
        <v>2</v>
      </c>
      <c r="DG23" s="31">
        <v>2</v>
      </c>
      <c r="DK23" s="31">
        <v>2</v>
      </c>
      <c r="DL23" s="31">
        <v>2</v>
      </c>
      <c r="DM23" s="31">
        <v>2</v>
      </c>
      <c r="DN23" s="31">
        <v>2</v>
      </c>
      <c r="DO23" s="31">
        <v>2</v>
      </c>
      <c r="DP23" s="31">
        <v>2</v>
      </c>
      <c r="DQ23" s="31">
        <v>2</v>
      </c>
      <c r="DT23" s="32"/>
      <c r="DX23" s="31" t="s">
        <v>367</v>
      </c>
      <c r="EG23" s="31">
        <v>2</v>
      </c>
      <c r="EH23" s="31" t="s">
        <v>389</v>
      </c>
      <c r="EI23" s="31">
        <v>75</v>
      </c>
      <c r="EJ23" s="31">
        <v>2</v>
      </c>
      <c r="EK23" s="31" t="s">
        <v>367</v>
      </c>
      <c r="EL23" s="31">
        <v>72</v>
      </c>
      <c r="FH23" s="31" t="s">
        <v>386</v>
      </c>
      <c r="FI23" s="31" t="s">
        <v>360</v>
      </c>
      <c r="FJ23" s="31">
        <v>2</v>
      </c>
      <c r="FL23" s="31" t="s">
        <v>1158</v>
      </c>
      <c r="FM23" s="31">
        <v>2</v>
      </c>
      <c r="FN23" s="31">
        <v>2</v>
      </c>
      <c r="FO23" s="31">
        <v>2</v>
      </c>
      <c r="FP23" s="31">
        <v>2</v>
      </c>
      <c r="FR23" s="31">
        <v>2</v>
      </c>
      <c r="FT23" s="31">
        <v>2</v>
      </c>
      <c r="FV23" s="31">
        <v>2</v>
      </c>
      <c r="FX23" s="31">
        <v>2</v>
      </c>
      <c r="FZ23" s="31">
        <v>2</v>
      </c>
      <c r="GB23" s="31">
        <v>2</v>
      </c>
      <c r="GD23" s="31">
        <v>2</v>
      </c>
      <c r="GF23" s="31">
        <v>2</v>
      </c>
      <c r="GH23" s="31">
        <v>2</v>
      </c>
      <c r="GJ23" s="31">
        <v>2</v>
      </c>
      <c r="GL23" s="31">
        <v>2</v>
      </c>
      <c r="GN23" s="31">
        <v>2</v>
      </c>
      <c r="GP23" s="31">
        <v>2</v>
      </c>
      <c r="GR23" s="31">
        <v>2</v>
      </c>
      <c r="GT23" s="31">
        <v>2</v>
      </c>
      <c r="GV23" s="31">
        <v>2</v>
      </c>
      <c r="GX23" s="31">
        <v>2</v>
      </c>
      <c r="GZ23" s="31">
        <v>2</v>
      </c>
      <c r="HB23" s="31">
        <v>2</v>
      </c>
      <c r="HD23" s="31">
        <v>2</v>
      </c>
      <c r="HF23" s="31" t="s">
        <v>355</v>
      </c>
      <c r="HH23" s="31">
        <v>2</v>
      </c>
      <c r="HJ23" s="31">
        <v>2</v>
      </c>
      <c r="HL23" s="31">
        <v>2</v>
      </c>
      <c r="HN23" s="31">
        <v>2</v>
      </c>
      <c r="HP23" s="31">
        <v>2</v>
      </c>
      <c r="HR23" s="31">
        <v>2</v>
      </c>
      <c r="HT23" s="31">
        <v>2</v>
      </c>
      <c r="HV23" s="31">
        <v>2</v>
      </c>
      <c r="HX23" s="31">
        <v>2</v>
      </c>
      <c r="HZ23" s="31">
        <v>2</v>
      </c>
      <c r="IB23" s="31">
        <v>2</v>
      </c>
      <c r="ID23" s="31">
        <v>2</v>
      </c>
      <c r="IF23" s="31">
        <v>2</v>
      </c>
      <c r="IH23" s="31">
        <v>2</v>
      </c>
      <c r="IJ23" s="31">
        <v>2</v>
      </c>
      <c r="IL23" s="31">
        <v>2</v>
      </c>
      <c r="IN23" s="31">
        <v>2</v>
      </c>
      <c r="IP23" s="31">
        <v>2</v>
      </c>
      <c r="IR23" s="31">
        <v>2</v>
      </c>
      <c r="IT23" s="31">
        <v>2</v>
      </c>
      <c r="IV23" s="31">
        <v>2</v>
      </c>
      <c r="IX23" s="31" t="s">
        <v>355</v>
      </c>
      <c r="IZ23" s="31">
        <v>2</v>
      </c>
      <c r="JB23" s="31">
        <v>2</v>
      </c>
      <c r="JD23" s="31">
        <v>2</v>
      </c>
      <c r="JF23" s="31">
        <v>2</v>
      </c>
      <c r="JH23" s="31">
        <v>2</v>
      </c>
      <c r="JJ23" s="31">
        <v>2</v>
      </c>
      <c r="JL23" s="31">
        <v>2</v>
      </c>
      <c r="JN23" s="31">
        <v>2</v>
      </c>
      <c r="JP23" s="31">
        <v>2</v>
      </c>
      <c r="JR23" s="31">
        <v>2</v>
      </c>
      <c r="JT23" s="31">
        <v>2</v>
      </c>
      <c r="JV23" s="31">
        <v>2</v>
      </c>
      <c r="JX23" s="31">
        <v>2</v>
      </c>
      <c r="JZ23" s="31">
        <v>2</v>
      </c>
      <c r="KB23" s="31">
        <v>2</v>
      </c>
      <c r="KD23" s="31">
        <v>2</v>
      </c>
      <c r="KF23" s="31">
        <v>2</v>
      </c>
      <c r="KH23" s="31">
        <v>2</v>
      </c>
      <c r="KJ23" s="31">
        <v>2</v>
      </c>
      <c r="KL23" s="31">
        <v>2</v>
      </c>
      <c r="KN23" s="31">
        <v>2</v>
      </c>
      <c r="KP23" s="31" t="s">
        <v>355</v>
      </c>
      <c r="KR23" s="31">
        <v>1</v>
      </c>
      <c r="KS23" s="31">
        <v>2</v>
      </c>
      <c r="KT23" s="31">
        <v>2</v>
      </c>
      <c r="KU23" s="31">
        <v>2</v>
      </c>
      <c r="KV23" s="31">
        <v>2</v>
      </c>
      <c r="KW23" s="31">
        <v>2</v>
      </c>
      <c r="KX23" s="31">
        <v>2</v>
      </c>
      <c r="KY23" s="31">
        <v>2</v>
      </c>
      <c r="KZ23" s="31">
        <v>2</v>
      </c>
      <c r="LA23" s="31">
        <v>2</v>
      </c>
      <c r="LB23" s="31">
        <v>2</v>
      </c>
      <c r="LC23" s="31">
        <v>2</v>
      </c>
      <c r="LD23" s="31">
        <v>2</v>
      </c>
      <c r="LE23" s="31">
        <v>2</v>
      </c>
      <c r="LF23" s="31">
        <v>1</v>
      </c>
      <c r="LG23" s="31">
        <v>2</v>
      </c>
      <c r="LH23" s="31">
        <v>2</v>
      </c>
      <c r="LI23" s="31">
        <v>2</v>
      </c>
      <c r="LJ23" s="31">
        <v>2</v>
      </c>
      <c r="LK23" s="31">
        <v>2</v>
      </c>
      <c r="LL23" s="31">
        <v>2</v>
      </c>
      <c r="LM23" s="31">
        <v>2</v>
      </c>
      <c r="LN23" s="31">
        <v>2</v>
      </c>
      <c r="LO23" s="31">
        <v>2</v>
      </c>
      <c r="LP23" s="31">
        <v>2</v>
      </c>
      <c r="LQ23" s="31">
        <v>2</v>
      </c>
      <c r="LR23" s="31">
        <v>2</v>
      </c>
      <c r="LS23" s="31">
        <v>2</v>
      </c>
      <c r="LT23" s="31">
        <v>2</v>
      </c>
      <c r="LU23" s="31">
        <v>2</v>
      </c>
      <c r="LV23" s="31">
        <v>2</v>
      </c>
      <c r="LW23" s="31">
        <v>2</v>
      </c>
      <c r="LX23" s="31">
        <v>2</v>
      </c>
      <c r="LY23" s="31">
        <v>2</v>
      </c>
      <c r="LZ23" s="31">
        <v>2</v>
      </c>
      <c r="MA23" s="31" t="s">
        <v>365</v>
      </c>
      <c r="MB23" s="31" t="s">
        <v>425</v>
      </c>
      <c r="ME23" s="31">
        <v>4</v>
      </c>
      <c r="MF23" s="31">
        <v>2</v>
      </c>
      <c r="MG23" s="31">
        <v>2</v>
      </c>
      <c r="MH23" s="31">
        <v>2</v>
      </c>
      <c r="MI23" s="31">
        <v>2</v>
      </c>
      <c r="MJ23" s="31">
        <v>2</v>
      </c>
      <c r="MK23" s="31">
        <v>4</v>
      </c>
      <c r="ML23" s="31">
        <v>2</v>
      </c>
      <c r="MM23" s="31">
        <v>2</v>
      </c>
      <c r="MN23" s="31">
        <v>2</v>
      </c>
      <c r="MO23" s="31">
        <v>2</v>
      </c>
      <c r="MP23" s="31">
        <v>2</v>
      </c>
      <c r="MQ23" s="31">
        <v>2</v>
      </c>
      <c r="MR23" s="31">
        <v>2</v>
      </c>
      <c r="MS23" s="31">
        <v>2</v>
      </c>
    </row>
    <row r="24" spans="1:357" s="31" customFormat="1" ht="13.5" customHeight="1">
      <c r="A24" s="31">
        <v>21</v>
      </c>
      <c r="B24" s="31">
        <v>21</v>
      </c>
      <c r="C24" s="31" t="s">
        <v>1115</v>
      </c>
      <c r="D24" s="31" t="s">
        <v>1159</v>
      </c>
      <c r="E24" s="31">
        <v>3</v>
      </c>
      <c r="H24" s="31">
        <v>42537</v>
      </c>
      <c r="I24" s="31">
        <v>45735</v>
      </c>
      <c r="J24" s="31">
        <v>1</v>
      </c>
      <c r="K24" s="31">
        <v>1</v>
      </c>
      <c r="L24" s="31">
        <v>4</v>
      </c>
      <c r="M24" s="31">
        <v>2</v>
      </c>
      <c r="N24" s="31">
        <v>2</v>
      </c>
      <c r="O24" s="31">
        <v>1</v>
      </c>
      <c r="P24" s="31">
        <v>3</v>
      </c>
      <c r="Q24" s="31">
        <v>1</v>
      </c>
      <c r="R24" s="31">
        <v>2</v>
      </c>
      <c r="S24" s="31">
        <v>2</v>
      </c>
      <c r="T24" s="31">
        <v>1</v>
      </c>
      <c r="U24" s="31">
        <v>2</v>
      </c>
      <c r="V24" s="31">
        <v>2</v>
      </c>
      <c r="W24" s="31">
        <v>2</v>
      </c>
      <c r="X24" s="31">
        <v>2</v>
      </c>
      <c r="Y24" s="31">
        <v>2</v>
      </c>
      <c r="Z24" s="31">
        <v>4</v>
      </c>
      <c r="AA24" s="31">
        <v>2</v>
      </c>
      <c r="AB24" s="31">
        <v>2</v>
      </c>
      <c r="AC24" s="31">
        <v>2</v>
      </c>
      <c r="AD24" s="31">
        <v>1</v>
      </c>
      <c r="AE24" s="31">
        <v>1</v>
      </c>
      <c r="AF24" s="31">
        <v>2</v>
      </c>
      <c r="AH24" s="31">
        <v>2</v>
      </c>
      <c r="AI24" s="31">
        <v>2</v>
      </c>
      <c r="AJ24" s="31">
        <v>2</v>
      </c>
      <c r="AK24" s="31" t="s">
        <v>357</v>
      </c>
      <c r="AL24" s="31">
        <v>2</v>
      </c>
      <c r="AM24" s="31" t="s">
        <v>357</v>
      </c>
      <c r="AN24" s="31" t="s">
        <v>357</v>
      </c>
      <c r="AO24" s="31">
        <v>2</v>
      </c>
      <c r="AQ24" s="31">
        <v>2</v>
      </c>
      <c r="AS24" s="31">
        <v>2</v>
      </c>
      <c r="AV24" s="31">
        <v>2</v>
      </c>
      <c r="AX24" s="31">
        <v>1</v>
      </c>
      <c r="AZ24" s="31">
        <v>2</v>
      </c>
      <c r="BB24" s="31">
        <v>2</v>
      </c>
      <c r="BD24" s="31">
        <v>2</v>
      </c>
      <c r="BI24" s="31" t="s">
        <v>355</v>
      </c>
      <c r="BT24" s="31">
        <v>2</v>
      </c>
      <c r="BW24" s="31">
        <v>2</v>
      </c>
      <c r="BX24" s="31">
        <v>2</v>
      </c>
      <c r="BY24" s="31">
        <v>2</v>
      </c>
      <c r="BZ24" s="31">
        <v>2</v>
      </c>
      <c r="CA24" s="31">
        <v>2</v>
      </c>
      <c r="CB24" s="31">
        <v>2</v>
      </c>
      <c r="CC24" s="31">
        <v>2</v>
      </c>
      <c r="CG24" s="31">
        <v>2</v>
      </c>
      <c r="CH24" s="31">
        <v>2</v>
      </c>
      <c r="CI24" s="31">
        <v>2</v>
      </c>
      <c r="CJ24" s="31">
        <v>2</v>
      </c>
      <c r="CK24" s="31">
        <v>2</v>
      </c>
      <c r="CL24" s="31">
        <v>2</v>
      </c>
      <c r="CM24" s="31">
        <v>2</v>
      </c>
      <c r="CQ24" s="31">
        <v>2</v>
      </c>
      <c r="CR24" s="31">
        <v>2</v>
      </c>
      <c r="CS24" s="31">
        <v>2</v>
      </c>
      <c r="CT24" s="31">
        <v>2</v>
      </c>
      <c r="CU24" s="31">
        <v>2</v>
      </c>
      <c r="CV24" s="31">
        <v>2</v>
      </c>
      <c r="CW24" s="31">
        <v>2</v>
      </c>
      <c r="DA24" s="31">
        <v>2</v>
      </c>
      <c r="DB24" s="31">
        <v>2</v>
      </c>
      <c r="DC24" s="31">
        <v>2</v>
      </c>
      <c r="DD24" s="31">
        <v>2</v>
      </c>
      <c r="DE24" s="31">
        <v>2</v>
      </c>
      <c r="DF24" s="31">
        <v>2</v>
      </c>
      <c r="DG24" s="31">
        <v>2</v>
      </c>
      <c r="DK24" s="31">
        <v>2</v>
      </c>
      <c r="DL24" s="31">
        <v>2</v>
      </c>
      <c r="DM24" s="31">
        <v>2</v>
      </c>
      <c r="DN24" s="31">
        <v>2</v>
      </c>
      <c r="DO24" s="31">
        <v>2</v>
      </c>
      <c r="DP24" s="31">
        <v>2</v>
      </c>
      <c r="DQ24" s="31">
        <v>2</v>
      </c>
      <c r="DT24" s="32"/>
      <c r="EG24" s="31">
        <v>2</v>
      </c>
      <c r="EH24" s="31" t="s">
        <v>388</v>
      </c>
      <c r="EI24" s="31">
        <v>85</v>
      </c>
      <c r="EJ24" s="31">
        <v>2</v>
      </c>
      <c r="EK24" s="31" t="s">
        <v>388</v>
      </c>
      <c r="EL24" s="31">
        <v>83</v>
      </c>
      <c r="EM24" s="31" t="s">
        <v>416</v>
      </c>
      <c r="EN24" s="31" t="s">
        <v>407</v>
      </c>
      <c r="FH24" s="31" t="s">
        <v>359</v>
      </c>
      <c r="FI24" s="31" t="s">
        <v>386</v>
      </c>
      <c r="FJ24" s="31">
        <v>2</v>
      </c>
      <c r="FL24" s="31" t="s">
        <v>360</v>
      </c>
      <c r="FM24" s="31">
        <v>2</v>
      </c>
      <c r="FN24" s="31">
        <v>2</v>
      </c>
      <c r="FO24" s="31">
        <v>2</v>
      </c>
      <c r="FP24" s="31">
        <v>2</v>
      </c>
      <c r="FR24" s="31">
        <v>2</v>
      </c>
      <c r="FT24" s="31">
        <v>2</v>
      </c>
      <c r="FV24" s="31">
        <v>2</v>
      </c>
      <c r="FX24" s="31">
        <v>2</v>
      </c>
      <c r="FZ24" s="31">
        <v>2</v>
      </c>
      <c r="GB24" s="31">
        <v>2</v>
      </c>
      <c r="GD24" s="31">
        <v>2</v>
      </c>
      <c r="GF24" s="31">
        <v>2</v>
      </c>
      <c r="GH24" s="31">
        <v>2</v>
      </c>
      <c r="GJ24" s="31">
        <v>2</v>
      </c>
      <c r="GL24" s="31">
        <v>2</v>
      </c>
      <c r="GN24" s="31">
        <v>2</v>
      </c>
      <c r="GP24" s="31">
        <v>2</v>
      </c>
      <c r="GR24" s="31">
        <v>2</v>
      </c>
      <c r="GT24" s="31">
        <v>2</v>
      </c>
      <c r="GV24" s="31">
        <v>2</v>
      </c>
      <c r="GX24" s="31">
        <v>2</v>
      </c>
      <c r="GZ24" s="31">
        <v>2</v>
      </c>
      <c r="HB24" s="31">
        <v>2</v>
      </c>
      <c r="HD24" s="31">
        <v>2</v>
      </c>
      <c r="HF24" s="31" t="s">
        <v>355</v>
      </c>
      <c r="HH24" s="31">
        <v>2</v>
      </c>
      <c r="HJ24" s="31">
        <v>2</v>
      </c>
      <c r="HL24" s="31">
        <v>2</v>
      </c>
      <c r="HN24" s="31">
        <v>2</v>
      </c>
      <c r="HP24" s="31">
        <v>2</v>
      </c>
      <c r="HR24" s="31">
        <v>2</v>
      </c>
      <c r="HT24" s="31">
        <v>2</v>
      </c>
      <c r="HV24" s="31">
        <v>2</v>
      </c>
      <c r="HX24" s="31">
        <v>2</v>
      </c>
      <c r="HZ24" s="31">
        <v>2</v>
      </c>
      <c r="IB24" s="31">
        <v>2</v>
      </c>
      <c r="ID24" s="31">
        <v>2</v>
      </c>
      <c r="IF24" s="31">
        <v>2</v>
      </c>
      <c r="IH24" s="31">
        <v>2</v>
      </c>
      <c r="IJ24" s="31">
        <v>2</v>
      </c>
      <c r="IL24" s="31">
        <v>2</v>
      </c>
      <c r="IN24" s="31">
        <v>2</v>
      </c>
      <c r="IP24" s="31">
        <v>2</v>
      </c>
      <c r="IR24" s="31">
        <v>2</v>
      </c>
      <c r="IT24" s="31">
        <v>2</v>
      </c>
      <c r="IV24" s="31">
        <v>2</v>
      </c>
      <c r="IX24" s="31" t="s">
        <v>355</v>
      </c>
      <c r="IZ24" s="31">
        <v>2</v>
      </c>
      <c r="JB24" s="31">
        <v>2</v>
      </c>
      <c r="JD24" s="31">
        <v>2</v>
      </c>
      <c r="JF24" s="31">
        <v>2</v>
      </c>
      <c r="JH24" s="31">
        <v>2</v>
      </c>
      <c r="JJ24" s="31">
        <v>2</v>
      </c>
      <c r="JL24" s="31">
        <v>2</v>
      </c>
      <c r="JN24" s="31">
        <v>2</v>
      </c>
      <c r="JP24" s="31">
        <v>2</v>
      </c>
      <c r="JR24" s="31">
        <v>2</v>
      </c>
      <c r="JT24" s="31">
        <v>2</v>
      </c>
      <c r="JV24" s="31">
        <v>2</v>
      </c>
      <c r="JX24" s="31">
        <v>2</v>
      </c>
      <c r="JZ24" s="31">
        <v>2</v>
      </c>
      <c r="KB24" s="31">
        <v>2</v>
      </c>
      <c r="KD24" s="31">
        <v>2</v>
      </c>
      <c r="KF24" s="31">
        <v>2</v>
      </c>
      <c r="KH24" s="31">
        <v>2</v>
      </c>
      <c r="KJ24" s="31">
        <v>2</v>
      </c>
      <c r="KL24" s="31">
        <v>2</v>
      </c>
      <c r="KN24" s="31">
        <v>2</v>
      </c>
      <c r="KP24" s="31" t="s">
        <v>355</v>
      </c>
      <c r="KR24" s="31">
        <v>1</v>
      </c>
      <c r="KS24" s="31">
        <v>2</v>
      </c>
      <c r="KT24" s="31">
        <v>2</v>
      </c>
      <c r="KU24" s="31">
        <v>2</v>
      </c>
      <c r="KV24" s="31">
        <v>2</v>
      </c>
      <c r="KW24" s="31">
        <v>2</v>
      </c>
      <c r="KX24" s="31">
        <v>2</v>
      </c>
      <c r="KY24" s="31">
        <v>2</v>
      </c>
      <c r="KZ24" s="31">
        <v>2</v>
      </c>
      <c r="LA24" s="31">
        <v>2</v>
      </c>
      <c r="LB24" s="31">
        <v>2</v>
      </c>
      <c r="LC24" s="31">
        <v>2</v>
      </c>
      <c r="LD24" s="31">
        <v>2</v>
      </c>
      <c r="LE24" s="31">
        <v>2</v>
      </c>
      <c r="LF24" s="31">
        <v>2</v>
      </c>
      <c r="LG24" s="31">
        <v>2</v>
      </c>
      <c r="LH24" s="31">
        <v>2</v>
      </c>
      <c r="LI24" s="31">
        <v>2</v>
      </c>
      <c r="LJ24" s="31">
        <v>2</v>
      </c>
      <c r="LK24" s="31">
        <v>2</v>
      </c>
      <c r="LL24" s="31">
        <v>2</v>
      </c>
      <c r="LM24" s="31">
        <v>2</v>
      </c>
      <c r="LN24" s="31">
        <v>2</v>
      </c>
      <c r="LO24" s="31">
        <v>2</v>
      </c>
      <c r="LP24" s="31">
        <v>1</v>
      </c>
      <c r="LQ24" s="31">
        <v>2</v>
      </c>
      <c r="LR24" s="31">
        <v>2</v>
      </c>
      <c r="LS24" s="31">
        <v>2</v>
      </c>
      <c r="LT24" s="31">
        <v>2</v>
      </c>
      <c r="LU24" s="31">
        <v>2</v>
      </c>
      <c r="LV24" s="31">
        <v>2</v>
      </c>
      <c r="LW24" s="31">
        <v>2</v>
      </c>
      <c r="LX24" s="31">
        <v>2</v>
      </c>
      <c r="LY24" s="31">
        <v>2</v>
      </c>
      <c r="LZ24" s="31">
        <v>2</v>
      </c>
      <c r="MA24" s="31" t="s">
        <v>426</v>
      </c>
      <c r="MB24" s="31" t="s">
        <v>426</v>
      </c>
      <c r="ME24" s="31">
        <v>5</v>
      </c>
      <c r="MF24" s="31">
        <v>2</v>
      </c>
      <c r="MG24" s="31">
        <v>2</v>
      </c>
      <c r="MH24" s="31">
        <v>2</v>
      </c>
      <c r="MI24" s="31">
        <v>2</v>
      </c>
      <c r="MJ24" s="31">
        <v>2</v>
      </c>
      <c r="MK24" s="31">
        <v>5</v>
      </c>
      <c r="ML24" s="31">
        <v>2</v>
      </c>
      <c r="MM24" s="31">
        <v>2</v>
      </c>
      <c r="MN24" s="31">
        <v>2</v>
      </c>
      <c r="MO24" s="31">
        <v>2</v>
      </c>
      <c r="MP24" s="31">
        <v>2</v>
      </c>
      <c r="MQ24" s="31">
        <v>2</v>
      </c>
      <c r="MR24" s="31">
        <v>2</v>
      </c>
      <c r="MS24" s="31">
        <v>2</v>
      </c>
    </row>
    <row r="25" spans="1:357" s="31" customFormat="1" ht="13.5" customHeight="1">
      <c r="A25" s="31">
        <v>22</v>
      </c>
      <c r="B25" s="31">
        <v>22</v>
      </c>
      <c r="C25" s="31" t="s">
        <v>1115</v>
      </c>
      <c r="D25" s="31" t="s">
        <v>1160</v>
      </c>
      <c r="E25" s="31">
        <v>3</v>
      </c>
      <c r="H25" s="31">
        <v>42538</v>
      </c>
      <c r="I25" s="31">
        <v>20415</v>
      </c>
      <c r="J25" s="31">
        <v>1</v>
      </c>
      <c r="K25" s="31">
        <v>1</v>
      </c>
      <c r="L25" s="31">
        <v>4</v>
      </c>
      <c r="M25" s="31">
        <v>2</v>
      </c>
      <c r="N25" s="31">
        <v>4</v>
      </c>
      <c r="O25" s="31">
        <v>2</v>
      </c>
      <c r="P25" s="31">
        <v>4</v>
      </c>
      <c r="Q25" s="31">
        <v>2</v>
      </c>
      <c r="R25" s="31">
        <v>1</v>
      </c>
      <c r="S25" s="31">
        <v>2</v>
      </c>
      <c r="T25" s="31">
        <v>1</v>
      </c>
      <c r="U25" s="31">
        <v>2</v>
      </c>
      <c r="V25" s="31">
        <v>2</v>
      </c>
      <c r="W25" s="31">
        <v>2</v>
      </c>
      <c r="X25" s="31">
        <v>2</v>
      </c>
      <c r="Y25" s="31">
        <v>2</v>
      </c>
      <c r="Z25" s="31">
        <v>4</v>
      </c>
      <c r="AA25" s="31">
        <v>2</v>
      </c>
      <c r="AB25" s="31">
        <v>2</v>
      </c>
      <c r="AC25" s="31">
        <v>2</v>
      </c>
      <c r="AD25" s="31">
        <v>1</v>
      </c>
      <c r="AE25" s="31">
        <v>1</v>
      </c>
      <c r="AF25" s="31">
        <v>2</v>
      </c>
      <c r="AH25" s="31">
        <v>2</v>
      </c>
      <c r="AI25" s="31">
        <v>2</v>
      </c>
      <c r="AJ25" s="31">
        <v>2</v>
      </c>
      <c r="AK25" s="31" t="s">
        <v>357</v>
      </c>
      <c r="AL25" s="31">
        <v>2</v>
      </c>
      <c r="AM25" s="31" t="s">
        <v>357</v>
      </c>
      <c r="AN25" s="31" t="s">
        <v>357</v>
      </c>
      <c r="AO25" s="31">
        <v>2</v>
      </c>
      <c r="AQ25" s="31">
        <v>2</v>
      </c>
      <c r="AS25" s="31">
        <v>2</v>
      </c>
      <c r="AV25" s="31">
        <v>2</v>
      </c>
      <c r="AX25" s="31">
        <v>2</v>
      </c>
      <c r="AZ25" s="31">
        <v>2</v>
      </c>
      <c r="BB25" s="31">
        <v>2</v>
      </c>
      <c r="BD25" s="31">
        <v>2</v>
      </c>
      <c r="BI25" s="31" t="s">
        <v>355</v>
      </c>
      <c r="BT25" s="31">
        <v>2</v>
      </c>
      <c r="BW25" s="31">
        <v>2</v>
      </c>
      <c r="BX25" s="31">
        <v>2</v>
      </c>
      <c r="BY25" s="31">
        <v>2</v>
      </c>
      <c r="BZ25" s="31">
        <v>2</v>
      </c>
      <c r="CA25" s="31">
        <v>2</v>
      </c>
      <c r="CB25" s="31">
        <v>2</v>
      </c>
      <c r="CC25" s="31">
        <v>2</v>
      </c>
      <c r="CG25" s="31">
        <v>2</v>
      </c>
      <c r="CH25" s="31">
        <v>2</v>
      </c>
      <c r="CI25" s="31">
        <v>2</v>
      </c>
      <c r="CJ25" s="31">
        <v>2</v>
      </c>
      <c r="CK25" s="31">
        <v>2</v>
      </c>
      <c r="CL25" s="31">
        <v>2</v>
      </c>
      <c r="CM25" s="31">
        <v>2</v>
      </c>
      <c r="CQ25" s="31">
        <v>2</v>
      </c>
      <c r="CR25" s="31">
        <v>2</v>
      </c>
      <c r="CS25" s="31">
        <v>2</v>
      </c>
      <c r="CT25" s="31">
        <v>2</v>
      </c>
      <c r="CU25" s="31">
        <v>2</v>
      </c>
      <c r="CV25" s="31">
        <v>2</v>
      </c>
      <c r="CW25" s="31">
        <v>2</v>
      </c>
      <c r="DA25" s="31">
        <v>2</v>
      </c>
      <c r="DB25" s="31">
        <v>2</v>
      </c>
      <c r="DC25" s="31">
        <v>2</v>
      </c>
      <c r="DD25" s="31">
        <v>2</v>
      </c>
      <c r="DE25" s="31">
        <v>2</v>
      </c>
      <c r="DF25" s="31">
        <v>2</v>
      </c>
      <c r="DG25" s="31">
        <v>2</v>
      </c>
      <c r="DK25" s="31">
        <v>2</v>
      </c>
      <c r="DL25" s="31">
        <v>2</v>
      </c>
      <c r="DM25" s="31">
        <v>2</v>
      </c>
      <c r="DN25" s="31">
        <v>2</v>
      </c>
      <c r="DO25" s="31">
        <v>2</v>
      </c>
      <c r="DP25" s="31">
        <v>2</v>
      </c>
      <c r="DQ25" s="31">
        <v>2</v>
      </c>
      <c r="DU25" s="31" t="s">
        <v>397</v>
      </c>
      <c r="DX25" s="31" t="s">
        <v>1161</v>
      </c>
      <c r="EG25" s="31">
        <v>2</v>
      </c>
      <c r="EH25" s="31" t="s">
        <v>397</v>
      </c>
      <c r="EI25" s="31">
        <v>69</v>
      </c>
      <c r="EJ25" s="31">
        <v>2</v>
      </c>
      <c r="EK25" s="31" t="s">
        <v>1161</v>
      </c>
      <c r="EL25" s="31">
        <v>86</v>
      </c>
      <c r="FH25" s="31" t="s">
        <v>370</v>
      </c>
      <c r="FI25" s="31" t="s">
        <v>359</v>
      </c>
      <c r="FJ25" s="31">
        <v>2</v>
      </c>
      <c r="FL25" s="31" t="s">
        <v>360</v>
      </c>
      <c r="FM25" s="31">
        <v>2</v>
      </c>
      <c r="FN25" s="31">
        <v>2</v>
      </c>
      <c r="FO25" s="31">
        <v>2</v>
      </c>
      <c r="FP25" s="31">
        <v>2</v>
      </c>
      <c r="FR25" s="31">
        <v>2</v>
      </c>
      <c r="FT25" s="31">
        <v>2</v>
      </c>
      <c r="FV25" s="31">
        <v>2</v>
      </c>
      <c r="FX25" s="31">
        <v>2</v>
      </c>
      <c r="FZ25" s="31">
        <v>2</v>
      </c>
      <c r="GB25" s="31">
        <v>2</v>
      </c>
      <c r="GD25" s="31">
        <v>2</v>
      </c>
      <c r="GF25" s="31">
        <v>2</v>
      </c>
      <c r="GH25" s="31">
        <v>2</v>
      </c>
      <c r="GJ25" s="31">
        <v>2</v>
      </c>
      <c r="GL25" s="31">
        <v>2</v>
      </c>
      <c r="GN25" s="31">
        <v>2</v>
      </c>
      <c r="GP25" s="31">
        <v>2</v>
      </c>
      <c r="GR25" s="31">
        <v>2</v>
      </c>
      <c r="GT25" s="31">
        <v>2</v>
      </c>
      <c r="GV25" s="31">
        <v>2</v>
      </c>
      <c r="GX25" s="31">
        <v>2</v>
      </c>
      <c r="GZ25" s="31">
        <v>2</v>
      </c>
      <c r="HB25" s="31">
        <v>2</v>
      </c>
      <c r="HD25" s="31">
        <v>2</v>
      </c>
      <c r="HF25" s="31" t="s">
        <v>355</v>
      </c>
      <c r="HH25" s="31">
        <v>2</v>
      </c>
      <c r="HJ25" s="31">
        <v>2</v>
      </c>
      <c r="HL25" s="31">
        <v>2</v>
      </c>
      <c r="HN25" s="31">
        <v>2</v>
      </c>
      <c r="HP25" s="31">
        <v>2</v>
      </c>
      <c r="HR25" s="31">
        <v>2</v>
      </c>
      <c r="HT25" s="31">
        <v>2</v>
      </c>
      <c r="HV25" s="31">
        <v>2</v>
      </c>
      <c r="HX25" s="31">
        <v>2</v>
      </c>
      <c r="HZ25" s="31">
        <v>2</v>
      </c>
      <c r="IB25" s="31">
        <v>2</v>
      </c>
      <c r="ID25" s="31">
        <v>2</v>
      </c>
      <c r="IF25" s="31">
        <v>2</v>
      </c>
      <c r="IH25" s="31">
        <v>2</v>
      </c>
      <c r="IJ25" s="31">
        <v>2</v>
      </c>
      <c r="IL25" s="31">
        <v>2</v>
      </c>
      <c r="IN25" s="31">
        <v>2</v>
      </c>
      <c r="IP25" s="31">
        <v>2</v>
      </c>
      <c r="IR25" s="31">
        <v>2</v>
      </c>
      <c r="IT25" s="31">
        <v>2</v>
      </c>
      <c r="IV25" s="31">
        <v>2</v>
      </c>
      <c r="IX25" s="31" t="s">
        <v>355</v>
      </c>
      <c r="IZ25" s="31">
        <v>2</v>
      </c>
      <c r="JB25" s="31">
        <v>2</v>
      </c>
      <c r="JD25" s="31">
        <v>2</v>
      </c>
      <c r="JF25" s="31">
        <v>2</v>
      </c>
      <c r="JH25" s="31">
        <v>2</v>
      </c>
      <c r="JJ25" s="31">
        <v>2</v>
      </c>
      <c r="JL25" s="31">
        <v>2</v>
      </c>
      <c r="JN25" s="31">
        <v>2</v>
      </c>
      <c r="JP25" s="31">
        <v>2</v>
      </c>
      <c r="JR25" s="31">
        <v>2</v>
      </c>
      <c r="JT25" s="31">
        <v>2</v>
      </c>
      <c r="JV25" s="31">
        <v>2</v>
      </c>
      <c r="JX25" s="31">
        <v>2</v>
      </c>
      <c r="JZ25" s="31">
        <v>2</v>
      </c>
      <c r="KB25" s="31">
        <v>2</v>
      </c>
      <c r="KD25" s="31">
        <v>2</v>
      </c>
      <c r="KF25" s="31">
        <v>2</v>
      </c>
      <c r="KH25" s="31">
        <v>2</v>
      </c>
      <c r="KJ25" s="31">
        <v>2</v>
      </c>
      <c r="KL25" s="31">
        <v>2</v>
      </c>
      <c r="KN25" s="31">
        <v>2</v>
      </c>
      <c r="KP25" s="31" t="s">
        <v>355</v>
      </c>
      <c r="KR25" s="31">
        <v>1</v>
      </c>
      <c r="KS25" s="31">
        <v>2</v>
      </c>
      <c r="KT25" s="31">
        <v>2</v>
      </c>
      <c r="KU25" s="31">
        <v>2</v>
      </c>
      <c r="KV25" s="31">
        <v>2</v>
      </c>
      <c r="KW25" s="31">
        <v>2</v>
      </c>
      <c r="KX25" s="31">
        <v>2</v>
      </c>
      <c r="KY25" s="31">
        <v>2</v>
      </c>
      <c r="KZ25" s="31">
        <v>2</v>
      </c>
      <c r="LA25" s="31">
        <v>2</v>
      </c>
      <c r="LB25" s="31">
        <v>2</v>
      </c>
      <c r="LC25" s="31">
        <v>2</v>
      </c>
      <c r="LD25" s="31">
        <v>2</v>
      </c>
      <c r="LE25" s="31">
        <v>2</v>
      </c>
      <c r="LF25" s="31">
        <v>2</v>
      </c>
      <c r="LG25" s="31">
        <v>2</v>
      </c>
      <c r="LH25" s="31">
        <v>2</v>
      </c>
      <c r="LI25" s="31">
        <v>2</v>
      </c>
      <c r="LJ25" s="31">
        <v>2</v>
      </c>
      <c r="LK25" s="31">
        <v>2</v>
      </c>
      <c r="LL25" s="31">
        <v>2</v>
      </c>
      <c r="LM25" s="31">
        <v>2</v>
      </c>
      <c r="LN25" s="31">
        <v>2</v>
      </c>
      <c r="LO25" s="31">
        <v>2</v>
      </c>
      <c r="LP25" s="31">
        <v>2</v>
      </c>
      <c r="LQ25" s="31">
        <v>2</v>
      </c>
      <c r="LR25" s="31">
        <v>2</v>
      </c>
      <c r="LS25" s="31">
        <v>2</v>
      </c>
      <c r="LT25" s="31">
        <v>2</v>
      </c>
      <c r="LU25" s="31">
        <v>2</v>
      </c>
      <c r="LV25" s="31">
        <v>2</v>
      </c>
      <c r="LW25" s="31">
        <v>2</v>
      </c>
      <c r="LX25" s="31">
        <v>2</v>
      </c>
      <c r="LY25" s="31">
        <v>2</v>
      </c>
      <c r="LZ25" s="31">
        <v>2</v>
      </c>
      <c r="MA25" s="31" t="s">
        <v>383</v>
      </c>
      <c r="MB25" s="31" t="s">
        <v>383</v>
      </c>
      <c r="ME25" s="31">
        <v>4</v>
      </c>
      <c r="MF25" s="31">
        <v>2</v>
      </c>
      <c r="MG25" s="31">
        <v>2</v>
      </c>
      <c r="MH25" s="31">
        <v>2</v>
      </c>
      <c r="MI25" s="31">
        <v>2</v>
      </c>
      <c r="MJ25" s="31">
        <v>2</v>
      </c>
      <c r="MK25" s="31">
        <v>4</v>
      </c>
      <c r="ML25" s="31">
        <v>2</v>
      </c>
      <c r="MM25" s="31">
        <v>2</v>
      </c>
      <c r="MN25" s="31">
        <v>2</v>
      </c>
      <c r="MO25" s="31">
        <v>2</v>
      </c>
      <c r="MP25" s="31">
        <v>2</v>
      </c>
      <c r="MQ25" s="31">
        <v>2</v>
      </c>
      <c r="MR25" s="31">
        <v>2</v>
      </c>
      <c r="MS25" s="31">
        <v>2</v>
      </c>
    </row>
    <row r="26" spans="1:357" s="31" customFormat="1" ht="13.5" customHeight="1">
      <c r="A26" s="31">
        <v>23</v>
      </c>
      <c r="B26" s="31">
        <v>23</v>
      </c>
      <c r="C26" s="31" t="s">
        <v>1115</v>
      </c>
      <c r="D26" s="31" t="s">
        <v>1162</v>
      </c>
      <c r="E26" s="31">
        <v>3</v>
      </c>
      <c r="H26" s="31">
        <v>42538</v>
      </c>
      <c r="I26" s="31">
        <v>15570</v>
      </c>
      <c r="J26" s="31">
        <v>2</v>
      </c>
      <c r="K26" s="31">
        <v>1</v>
      </c>
      <c r="L26" s="31">
        <v>3</v>
      </c>
      <c r="M26" s="31">
        <v>1</v>
      </c>
      <c r="N26" s="31">
        <v>3</v>
      </c>
      <c r="O26" s="31">
        <v>1</v>
      </c>
      <c r="P26" s="31">
        <v>3</v>
      </c>
      <c r="Q26" s="31">
        <v>1</v>
      </c>
      <c r="R26" s="31">
        <v>1</v>
      </c>
      <c r="S26" s="31">
        <v>2</v>
      </c>
      <c r="T26" s="31">
        <v>2</v>
      </c>
      <c r="U26" s="31">
        <v>2</v>
      </c>
      <c r="V26" s="31">
        <v>2</v>
      </c>
      <c r="W26" s="31">
        <v>2</v>
      </c>
      <c r="X26" s="31">
        <v>2</v>
      </c>
      <c r="Y26" s="31">
        <v>2</v>
      </c>
      <c r="Z26" s="31">
        <v>4</v>
      </c>
      <c r="AA26" s="31">
        <v>2</v>
      </c>
      <c r="AB26" s="31">
        <v>2</v>
      </c>
      <c r="AC26" s="31">
        <v>2</v>
      </c>
      <c r="AD26" s="31">
        <v>1</v>
      </c>
      <c r="AE26" s="31">
        <v>1</v>
      </c>
      <c r="AF26" s="31">
        <v>2</v>
      </c>
      <c r="AH26" s="31">
        <v>2</v>
      </c>
      <c r="AI26" s="31">
        <v>2</v>
      </c>
      <c r="AJ26" s="31">
        <v>2</v>
      </c>
      <c r="AK26" s="31" t="s">
        <v>357</v>
      </c>
      <c r="AL26" s="31">
        <v>2</v>
      </c>
      <c r="AM26" s="31" t="s">
        <v>357</v>
      </c>
      <c r="AN26" s="31" t="s">
        <v>357</v>
      </c>
      <c r="AO26" s="31">
        <v>2</v>
      </c>
      <c r="AQ26" s="31">
        <v>2</v>
      </c>
      <c r="AS26" s="31">
        <v>2</v>
      </c>
      <c r="AV26" s="31">
        <v>2</v>
      </c>
      <c r="AX26" s="31">
        <v>2</v>
      </c>
      <c r="AZ26" s="31">
        <v>2</v>
      </c>
      <c r="BB26" s="31">
        <v>2</v>
      </c>
      <c r="BD26" s="31">
        <v>2</v>
      </c>
      <c r="BH26" s="31">
        <v>2</v>
      </c>
      <c r="BI26" s="31" t="s">
        <v>355</v>
      </c>
      <c r="BT26" s="31">
        <v>2</v>
      </c>
      <c r="BW26" s="31">
        <v>2</v>
      </c>
      <c r="BX26" s="31">
        <v>2</v>
      </c>
      <c r="BY26" s="31">
        <v>2</v>
      </c>
      <c r="BZ26" s="31">
        <v>2</v>
      </c>
      <c r="CA26" s="31">
        <v>2</v>
      </c>
      <c r="CB26" s="31">
        <v>2</v>
      </c>
      <c r="CC26" s="31">
        <v>2</v>
      </c>
      <c r="CG26" s="31">
        <v>2</v>
      </c>
      <c r="CH26" s="31">
        <v>2</v>
      </c>
      <c r="CI26" s="31">
        <v>2</v>
      </c>
      <c r="CJ26" s="31">
        <v>2</v>
      </c>
      <c r="CK26" s="31">
        <v>2</v>
      </c>
      <c r="CL26" s="31">
        <v>2</v>
      </c>
      <c r="CM26" s="31">
        <v>2</v>
      </c>
      <c r="CQ26" s="31">
        <v>2</v>
      </c>
      <c r="CR26" s="31">
        <v>2</v>
      </c>
      <c r="CS26" s="31">
        <v>2</v>
      </c>
      <c r="CT26" s="31">
        <v>2</v>
      </c>
      <c r="CU26" s="31">
        <v>2</v>
      </c>
      <c r="CV26" s="31">
        <v>2</v>
      </c>
      <c r="CW26" s="31">
        <v>2</v>
      </c>
      <c r="DA26" s="31">
        <v>2</v>
      </c>
      <c r="DB26" s="31">
        <v>2</v>
      </c>
      <c r="DC26" s="31">
        <v>2</v>
      </c>
      <c r="DD26" s="31">
        <v>2</v>
      </c>
      <c r="DE26" s="31">
        <v>2</v>
      </c>
      <c r="DF26" s="31">
        <v>2</v>
      </c>
      <c r="DG26" s="31">
        <v>2</v>
      </c>
      <c r="DK26" s="31">
        <v>2</v>
      </c>
      <c r="DL26" s="31">
        <v>2</v>
      </c>
      <c r="DM26" s="31">
        <v>2</v>
      </c>
      <c r="DN26" s="31">
        <v>2</v>
      </c>
      <c r="DO26" s="31">
        <v>2</v>
      </c>
      <c r="DP26" s="31">
        <v>2</v>
      </c>
      <c r="DQ26" s="31">
        <v>2</v>
      </c>
      <c r="EG26" s="31">
        <v>2</v>
      </c>
      <c r="EH26" s="31" t="s">
        <v>388</v>
      </c>
      <c r="EI26" s="31">
        <v>91</v>
      </c>
      <c r="EJ26" s="31">
        <v>2</v>
      </c>
      <c r="EK26" s="31" t="s">
        <v>409</v>
      </c>
      <c r="EL26" s="31">
        <v>76</v>
      </c>
      <c r="FH26" s="31" t="s">
        <v>406</v>
      </c>
      <c r="FI26" s="31" t="s">
        <v>394</v>
      </c>
      <c r="FJ26" s="31">
        <v>2</v>
      </c>
      <c r="FL26" s="31" t="s">
        <v>361</v>
      </c>
      <c r="FM26" s="31">
        <v>2</v>
      </c>
      <c r="FN26" s="31">
        <v>2</v>
      </c>
      <c r="FO26" s="31">
        <v>1</v>
      </c>
      <c r="FP26" s="31">
        <v>2</v>
      </c>
      <c r="FR26" s="31">
        <v>2</v>
      </c>
      <c r="FT26" s="31">
        <v>2</v>
      </c>
      <c r="FV26" s="31">
        <v>2</v>
      </c>
      <c r="FX26" s="31">
        <v>2</v>
      </c>
      <c r="FZ26" s="31">
        <v>2</v>
      </c>
      <c r="GB26" s="31">
        <v>2</v>
      </c>
      <c r="GD26" s="31">
        <v>2</v>
      </c>
      <c r="GF26" s="31">
        <v>2</v>
      </c>
      <c r="GH26" s="31">
        <v>2</v>
      </c>
      <c r="GJ26" s="31">
        <v>2</v>
      </c>
      <c r="GL26" s="31">
        <v>2</v>
      </c>
      <c r="GN26" s="31">
        <v>2</v>
      </c>
      <c r="GP26" s="31">
        <v>2</v>
      </c>
      <c r="GR26" s="31">
        <v>2</v>
      </c>
      <c r="GT26" s="31">
        <v>2</v>
      </c>
      <c r="GV26" s="31">
        <v>2</v>
      </c>
      <c r="GX26" s="31">
        <v>2</v>
      </c>
      <c r="GZ26" s="31">
        <v>2</v>
      </c>
      <c r="HB26" s="31">
        <v>2</v>
      </c>
      <c r="HD26" s="31">
        <v>2</v>
      </c>
      <c r="HF26" s="31" t="s">
        <v>355</v>
      </c>
      <c r="HH26" s="31">
        <v>2</v>
      </c>
      <c r="HJ26" s="31">
        <v>2</v>
      </c>
      <c r="HL26" s="31">
        <v>2</v>
      </c>
      <c r="HN26" s="31">
        <v>1</v>
      </c>
      <c r="HO26" s="31">
        <v>20</v>
      </c>
      <c r="HP26" s="31">
        <v>2</v>
      </c>
      <c r="HR26" s="31">
        <v>2</v>
      </c>
      <c r="HT26" s="31">
        <v>1</v>
      </c>
      <c r="HU26" s="31">
        <v>20</v>
      </c>
      <c r="HV26" s="31">
        <v>2</v>
      </c>
      <c r="HX26" s="31">
        <v>2</v>
      </c>
      <c r="HZ26" s="31">
        <v>2</v>
      </c>
      <c r="IB26" s="31">
        <v>2</v>
      </c>
      <c r="ID26" s="31">
        <v>2</v>
      </c>
      <c r="IF26" s="31">
        <v>2</v>
      </c>
      <c r="IH26" s="31">
        <v>2</v>
      </c>
      <c r="IJ26" s="31">
        <v>2</v>
      </c>
      <c r="IL26" s="31">
        <v>2</v>
      </c>
      <c r="IN26" s="31">
        <v>2</v>
      </c>
      <c r="IP26" s="31">
        <v>2</v>
      </c>
      <c r="IR26" s="31">
        <v>2</v>
      </c>
      <c r="IT26" s="31">
        <v>2</v>
      </c>
      <c r="IV26" s="31">
        <v>2</v>
      </c>
      <c r="IX26" s="31" t="s">
        <v>355</v>
      </c>
      <c r="IZ26" s="31">
        <v>2</v>
      </c>
      <c r="JB26" s="31">
        <v>2</v>
      </c>
      <c r="JD26" s="31">
        <v>2</v>
      </c>
      <c r="JF26" s="31">
        <v>2</v>
      </c>
      <c r="JH26" s="31">
        <v>2</v>
      </c>
      <c r="JJ26" s="31">
        <v>2</v>
      </c>
      <c r="JL26" s="31">
        <v>2</v>
      </c>
      <c r="JN26" s="31">
        <v>2</v>
      </c>
      <c r="JP26" s="31">
        <v>2</v>
      </c>
      <c r="JR26" s="31">
        <v>2</v>
      </c>
      <c r="JT26" s="31">
        <v>2</v>
      </c>
      <c r="JV26" s="31">
        <v>2</v>
      </c>
      <c r="JX26" s="31">
        <v>2</v>
      </c>
      <c r="JZ26" s="31">
        <v>2</v>
      </c>
      <c r="KB26" s="31">
        <v>2</v>
      </c>
      <c r="KD26" s="31">
        <v>2</v>
      </c>
      <c r="KF26" s="31">
        <v>2</v>
      </c>
      <c r="KH26" s="31">
        <v>2</v>
      </c>
      <c r="KJ26" s="31">
        <v>2</v>
      </c>
      <c r="KL26" s="31">
        <v>2</v>
      </c>
      <c r="KN26" s="31">
        <v>2</v>
      </c>
      <c r="KP26" s="31" t="s">
        <v>355</v>
      </c>
      <c r="KR26" s="31">
        <v>1</v>
      </c>
      <c r="KS26" s="31">
        <v>2</v>
      </c>
      <c r="KT26" s="31">
        <v>2</v>
      </c>
      <c r="KU26" s="31">
        <v>2</v>
      </c>
      <c r="KV26" s="31">
        <v>2</v>
      </c>
      <c r="KW26" s="31">
        <v>1</v>
      </c>
      <c r="KX26" s="31">
        <v>2</v>
      </c>
      <c r="KY26" s="31">
        <v>2</v>
      </c>
      <c r="KZ26" s="31">
        <v>2</v>
      </c>
      <c r="LA26" s="31">
        <v>2</v>
      </c>
      <c r="LB26" s="31">
        <v>2</v>
      </c>
      <c r="LC26" s="31">
        <v>2</v>
      </c>
      <c r="LD26" s="31">
        <v>2</v>
      </c>
      <c r="LE26" s="31">
        <v>2</v>
      </c>
      <c r="LF26" s="31">
        <v>2</v>
      </c>
      <c r="LG26" s="31">
        <v>2</v>
      </c>
      <c r="LH26" s="31">
        <v>2</v>
      </c>
      <c r="LI26" s="31">
        <v>2</v>
      </c>
      <c r="LJ26" s="31">
        <v>2</v>
      </c>
      <c r="LK26" s="31">
        <v>2</v>
      </c>
      <c r="LL26" s="31">
        <v>1</v>
      </c>
      <c r="LM26" s="31">
        <v>2</v>
      </c>
      <c r="LN26" s="31">
        <v>2</v>
      </c>
      <c r="LO26" s="31">
        <v>2</v>
      </c>
      <c r="LP26" s="31">
        <v>2</v>
      </c>
      <c r="LQ26" s="31">
        <v>2</v>
      </c>
      <c r="LR26" s="31">
        <v>2</v>
      </c>
      <c r="LS26" s="31">
        <v>2</v>
      </c>
      <c r="LT26" s="31">
        <v>2</v>
      </c>
      <c r="LU26" s="31">
        <v>2</v>
      </c>
      <c r="LV26" s="31">
        <v>2</v>
      </c>
      <c r="LW26" s="31">
        <v>2</v>
      </c>
      <c r="LX26" s="31">
        <v>2</v>
      </c>
      <c r="LY26" s="31">
        <v>2</v>
      </c>
      <c r="LZ26" s="31">
        <v>2</v>
      </c>
      <c r="MA26" s="31" t="s">
        <v>365</v>
      </c>
      <c r="MB26" s="31" t="s">
        <v>1163</v>
      </c>
      <c r="ME26" s="31">
        <v>2</v>
      </c>
      <c r="MF26" s="31">
        <v>1</v>
      </c>
      <c r="MG26" s="31">
        <v>2</v>
      </c>
      <c r="MH26" s="31">
        <v>2</v>
      </c>
      <c r="MI26" s="31">
        <v>2</v>
      </c>
      <c r="MJ26" s="31">
        <v>2</v>
      </c>
      <c r="MK26" s="31">
        <v>2</v>
      </c>
      <c r="ML26" s="31">
        <v>1</v>
      </c>
      <c r="MM26" s="31">
        <v>2</v>
      </c>
      <c r="MN26" s="31">
        <v>2</v>
      </c>
      <c r="MO26" s="31">
        <v>2</v>
      </c>
      <c r="MP26" s="31">
        <v>2</v>
      </c>
      <c r="MQ26" s="31">
        <v>2</v>
      </c>
      <c r="MR26" s="31">
        <v>2</v>
      </c>
      <c r="MS26" s="31">
        <v>2</v>
      </c>
    </row>
    <row r="27" spans="1:357" s="31" customFormat="1" ht="13.5" customHeight="1">
      <c r="A27" s="31">
        <v>24</v>
      </c>
      <c r="B27" s="31">
        <v>24</v>
      </c>
      <c r="C27" s="31" t="s">
        <v>1115</v>
      </c>
      <c r="D27" s="31" t="s">
        <v>1164</v>
      </c>
      <c r="E27" s="31">
        <v>3</v>
      </c>
      <c r="H27" s="31">
        <v>42550</v>
      </c>
      <c r="I27" s="31">
        <v>22157</v>
      </c>
      <c r="J27" s="31">
        <v>2</v>
      </c>
      <c r="K27" s="31">
        <v>1</v>
      </c>
      <c r="L27" s="31">
        <v>4</v>
      </c>
      <c r="M27" s="31">
        <v>2</v>
      </c>
      <c r="N27" s="31">
        <v>4</v>
      </c>
      <c r="O27" s="31">
        <v>2</v>
      </c>
      <c r="P27" s="31">
        <v>4</v>
      </c>
      <c r="Q27" s="31">
        <v>2</v>
      </c>
      <c r="R27" s="31">
        <v>1</v>
      </c>
      <c r="S27" s="31">
        <v>2</v>
      </c>
      <c r="T27" s="31">
        <v>2</v>
      </c>
      <c r="U27" s="31">
        <v>2</v>
      </c>
      <c r="V27" s="31">
        <v>2</v>
      </c>
      <c r="W27" s="31">
        <v>2</v>
      </c>
      <c r="X27" s="31">
        <v>2</v>
      </c>
      <c r="Y27" s="31">
        <v>2</v>
      </c>
      <c r="Z27" s="31">
        <v>4</v>
      </c>
      <c r="AA27" s="31">
        <v>2</v>
      </c>
      <c r="AB27" s="31">
        <v>2</v>
      </c>
      <c r="AC27" s="31">
        <v>2</v>
      </c>
      <c r="AD27" s="31">
        <v>1</v>
      </c>
      <c r="AE27" s="31">
        <v>1</v>
      </c>
      <c r="AF27" s="31">
        <v>2</v>
      </c>
      <c r="AH27" s="31">
        <v>2</v>
      </c>
      <c r="AI27" s="31">
        <v>2</v>
      </c>
      <c r="AJ27" s="31">
        <v>2</v>
      </c>
      <c r="AK27" s="31" t="s">
        <v>357</v>
      </c>
      <c r="AL27" s="31">
        <v>2</v>
      </c>
      <c r="AM27" s="31" t="s">
        <v>357</v>
      </c>
      <c r="AN27" s="31" t="s">
        <v>357</v>
      </c>
      <c r="AO27" s="31">
        <v>1</v>
      </c>
      <c r="AP27" s="31" t="s">
        <v>1165</v>
      </c>
      <c r="AQ27" s="31">
        <v>2</v>
      </c>
      <c r="AS27" s="31">
        <v>2</v>
      </c>
      <c r="AV27" s="31">
        <v>2</v>
      </c>
      <c r="AX27" s="31">
        <v>2</v>
      </c>
      <c r="AZ27" s="31">
        <v>2</v>
      </c>
      <c r="BB27" s="31">
        <v>2</v>
      </c>
      <c r="BD27" s="31">
        <v>2</v>
      </c>
      <c r="BI27" s="31" t="s">
        <v>355</v>
      </c>
      <c r="BT27" s="31">
        <v>2</v>
      </c>
      <c r="BW27" s="31">
        <v>2</v>
      </c>
      <c r="BX27" s="31">
        <v>2</v>
      </c>
      <c r="BY27" s="31">
        <v>2</v>
      </c>
      <c r="BZ27" s="31">
        <v>2</v>
      </c>
      <c r="CA27" s="31">
        <v>2</v>
      </c>
      <c r="CB27" s="31">
        <v>2</v>
      </c>
      <c r="CC27" s="31">
        <v>2</v>
      </c>
      <c r="CG27" s="31">
        <v>2</v>
      </c>
      <c r="CH27" s="31">
        <v>2</v>
      </c>
      <c r="CI27" s="31">
        <v>2</v>
      </c>
      <c r="CJ27" s="31">
        <v>2</v>
      </c>
      <c r="CK27" s="31">
        <v>2</v>
      </c>
      <c r="CL27" s="31">
        <v>2</v>
      </c>
      <c r="CM27" s="31">
        <v>2</v>
      </c>
      <c r="CQ27" s="31">
        <v>1</v>
      </c>
      <c r="CR27" s="31">
        <v>2</v>
      </c>
      <c r="CS27" s="31">
        <v>1</v>
      </c>
      <c r="CT27" s="31">
        <v>2</v>
      </c>
      <c r="CU27" s="31">
        <v>2</v>
      </c>
      <c r="CV27" s="31">
        <v>2</v>
      </c>
      <c r="CW27" s="31">
        <v>2</v>
      </c>
      <c r="DA27" s="31">
        <v>2</v>
      </c>
      <c r="DB27" s="31">
        <v>2</v>
      </c>
      <c r="DC27" s="31">
        <v>2</v>
      </c>
      <c r="DD27" s="31">
        <v>2</v>
      </c>
      <c r="DE27" s="31">
        <v>2</v>
      </c>
      <c r="DF27" s="31">
        <v>2</v>
      </c>
      <c r="DG27" s="31">
        <v>2</v>
      </c>
      <c r="DK27" s="31">
        <v>2</v>
      </c>
      <c r="DL27" s="31">
        <v>2</v>
      </c>
      <c r="DM27" s="31">
        <v>2</v>
      </c>
      <c r="DN27" s="31">
        <v>2</v>
      </c>
      <c r="DO27" s="31">
        <v>2</v>
      </c>
      <c r="DP27" s="31">
        <v>2</v>
      </c>
      <c r="DQ27" s="31">
        <v>2</v>
      </c>
      <c r="DU27" s="31" t="s">
        <v>393</v>
      </c>
      <c r="EA27" s="31" t="s">
        <v>1166</v>
      </c>
      <c r="EG27" s="31">
        <v>2</v>
      </c>
      <c r="EH27" s="31" t="s">
        <v>393</v>
      </c>
      <c r="EI27" s="31">
        <v>62</v>
      </c>
      <c r="EJ27" s="31">
        <v>2</v>
      </c>
      <c r="EK27" s="31" t="s">
        <v>364</v>
      </c>
      <c r="EL27" s="31">
        <v>81</v>
      </c>
      <c r="FH27" s="31" t="s">
        <v>387</v>
      </c>
      <c r="FI27" s="31" t="s">
        <v>386</v>
      </c>
      <c r="FJ27" s="31">
        <v>2</v>
      </c>
      <c r="FL27" s="31" t="s">
        <v>401</v>
      </c>
      <c r="FM27" s="31">
        <v>2</v>
      </c>
      <c r="FN27" s="31">
        <v>2</v>
      </c>
      <c r="FO27" s="31">
        <v>1</v>
      </c>
      <c r="FP27" s="31">
        <v>2</v>
      </c>
      <c r="FR27" s="31">
        <v>2</v>
      </c>
      <c r="FT27" s="31">
        <v>2</v>
      </c>
      <c r="FV27" s="31">
        <v>2</v>
      </c>
      <c r="FX27" s="31">
        <v>2</v>
      </c>
      <c r="FZ27" s="31">
        <v>2</v>
      </c>
      <c r="GB27" s="31">
        <v>2</v>
      </c>
      <c r="GD27" s="31">
        <v>2</v>
      </c>
      <c r="GF27" s="31">
        <v>2</v>
      </c>
      <c r="GH27" s="31">
        <v>2</v>
      </c>
      <c r="GJ27" s="31">
        <v>2</v>
      </c>
      <c r="GL27" s="31">
        <v>2</v>
      </c>
      <c r="GN27" s="31">
        <v>2</v>
      </c>
      <c r="GP27" s="31">
        <v>2</v>
      </c>
      <c r="GR27" s="31">
        <v>2</v>
      </c>
      <c r="GT27" s="31">
        <v>2</v>
      </c>
      <c r="GV27" s="31">
        <v>2</v>
      </c>
      <c r="GX27" s="31">
        <v>2</v>
      </c>
      <c r="GZ27" s="31">
        <v>2</v>
      </c>
      <c r="HB27" s="31">
        <v>2</v>
      </c>
      <c r="HD27" s="31">
        <v>2</v>
      </c>
      <c r="HF27" s="31" t="s">
        <v>355</v>
      </c>
      <c r="HH27" s="31">
        <v>2</v>
      </c>
      <c r="HJ27" s="31">
        <v>2</v>
      </c>
      <c r="HL27" s="31">
        <v>2</v>
      </c>
      <c r="HN27" s="31">
        <v>2</v>
      </c>
      <c r="HP27" s="31">
        <v>2</v>
      </c>
      <c r="HR27" s="31">
        <v>2</v>
      </c>
      <c r="HT27" s="31">
        <v>2</v>
      </c>
      <c r="HV27" s="31">
        <v>2</v>
      </c>
      <c r="HX27" s="31">
        <v>2</v>
      </c>
      <c r="HZ27" s="31">
        <v>2</v>
      </c>
      <c r="IB27" s="31">
        <v>2</v>
      </c>
      <c r="ID27" s="31">
        <v>2</v>
      </c>
      <c r="IF27" s="31">
        <v>2</v>
      </c>
      <c r="IH27" s="31">
        <v>2</v>
      </c>
      <c r="IJ27" s="31">
        <v>2</v>
      </c>
      <c r="IL27" s="31">
        <v>2</v>
      </c>
      <c r="IN27" s="31">
        <v>2</v>
      </c>
      <c r="IP27" s="31">
        <v>2</v>
      </c>
      <c r="IR27" s="31">
        <v>2</v>
      </c>
      <c r="IT27" s="31">
        <v>2</v>
      </c>
      <c r="IV27" s="31">
        <v>2</v>
      </c>
      <c r="IX27" s="31" t="s">
        <v>355</v>
      </c>
      <c r="IZ27" s="31">
        <v>2</v>
      </c>
      <c r="JB27" s="31">
        <v>2</v>
      </c>
      <c r="JD27" s="31">
        <v>2</v>
      </c>
      <c r="JF27" s="31">
        <v>2</v>
      </c>
      <c r="JH27" s="31">
        <v>2</v>
      </c>
      <c r="JJ27" s="31">
        <v>2</v>
      </c>
      <c r="JL27" s="31">
        <v>2</v>
      </c>
      <c r="JN27" s="31">
        <v>2</v>
      </c>
      <c r="JP27" s="31">
        <v>1</v>
      </c>
      <c r="JQ27" s="31">
        <v>15</v>
      </c>
      <c r="JR27" s="31">
        <v>2</v>
      </c>
      <c r="JT27" s="31">
        <v>2</v>
      </c>
      <c r="JV27" s="31">
        <v>2</v>
      </c>
      <c r="JX27" s="31">
        <v>2</v>
      </c>
      <c r="JZ27" s="31">
        <v>2</v>
      </c>
      <c r="KB27" s="31">
        <v>2</v>
      </c>
      <c r="KD27" s="31">
        <v>2</v>
      </c>
      <c r="KF27" s="31">
        <v>2</v>
      </c>
      <c r="KH27" s="31">
        <v>2</v>
      </c>
      <c r="KJ27" s="31">
        <v>2</v>
      </c>
      <c r="KL27" s="31">
        <v>2</v>
      </c>
      <c r="KN27" s="31">
        <v>2</v>
      </c>
      <c r="KP27" s="31" t="s">
        <v>355</v>
      </c>
      <c r="KR27" s="31">
        <v>1</v>
      </c>
      <c r="KS27" s="31">
        <v>2</v>
      </c>
      <c r="KT27" s="31">
        <v>2</v>
      </c>
      <c r="KU27" s="31">
        <v>2</v>
      </c>
      <c r="KV27" s="31">
        <v>2</v>
      </c>
      <c r="KW27" s="31">
        <v>2</v>
      </c>
      <c r="KX27" s="31">
        <v>2</v>
      </c>
      <c r="KY27" s="31">
        <v>2</v>
      </c>
      <c r="KZ27" s="31">
        <v>2</v>
      </c>
      <c r="LA27" s="31">
        <v>2</v>
      </c>
      <c r="LB27" s="31">
        <v>2</v>
      </c>
      <c r="LC27" s="31">
        <v>2</v>
      </c>
      <c r="LD27" s="31">
        <v>2</v>
      </c>
      <c r="LE27" s="31">
        <v>2</v>
      </c>
      <c r="LF27" s="31">
        <v>2</v>
      </c>
      <c r="LG27" s="31">
        <v>2</v>
      </c>
      <c r="LH27" s="31">
        <v>2</v>
      </c>
      <c r="LI27" s="31">
        <v>2</v>
      </c>
      <c r="LJ27" s="31">
        <v>2</v>
      </c>
      <c r="LK27" s="31">
        <v>2</v>
      </c>
      <c r="LL27" s="31">
        <v>1</v>
      </c>
      <c r="LM27" s="31">
        <v>2</v>
      </c>
      <c r="LN27" s="31">
        <v>2</v>
      </c>
      <c r="LO27" s="31">
        <v>2</v>
      </c>
      <c r="LP27" s="31">
        <v>2</v>
      </c>
      <c r="LQ27" s="31">
        <v>2</v>
      </c>
      <c r="LR27" s="31">
        <v>2</v>
      </c>
      <c r="LS27" s="31">
        <v>2</v>
      </c>
      <c r="LT27" s="31">
        <v>2</v>
      </c>
      <c r="LU27" s="31">
        <v>2</v>
      </c>
      <c r="LV27" s="31">
        <v>2</v>
      </c>
      <c r="LW27" s="31">
        <v>2</v>
      </c>
      <c r="LX27" s="31">
        <v>2</v>
      </c>
      <c r="LY27" s="31">
        <v>2</v>
      </c>
      <c r="LZ27" s="31">
        <v>2</v>
      </c>
      <c r="MA27" s="31" t="s">
        <v>1167</v>
      </c>
      <c r="MB27" s="31" t="s">
        <v>1167</v>
      </c>
      <c r="ME27" s="31">
        <v>5</v>
      </c>
      <c r="MF27" s="31">
        <v>2</v>
      </c>
      <c r="MG27" s="31">
        <v>2</v>
      </c>
      <c r="MH27" s="31">
        <v>2</v>
      </c>
      <c r="MI27" s="31">
        <v>2</v>
      </c>
      <c r="MJ27" s="31">
        <v>2</v>
      </c>
      <c r="MK27" s="31">
        <v>5</v>
      </c>
      <c r="ML27" s="31">
        <v>2</v>
      </c>
      <c r="MM27" s="31">
        <v>2</v>
      </c>
      <c r="MN27" s="31">
        <v>2</v>
      </c>
      <c r="MO27" s="31">
        <v>2</v>
      </c>
      <c r="MP27" s="31">
        <v>2</v>
      </c>
      <c r="MQ27" s="31">
        <v>2</v>
      </c>
      <c r="MR27" s="31">
        <v>2</v>
      </c>
      <c r="MS27" s="31">
        <v>2</v>
      </c>
    </row>
    <row r="28" spans="1:357" s="31" customFormat="1" ht="13.5" customHeight="1">
      <c r="A28" s="31">
        <v>25</v>
      </c>
      <c r="B28" s="31">
        <v>25</v>
      </c>
      <c r="C28" s="31" t="s">
        <v>1115</v>
      </c>
      <c r="D28" s="31" t="s">
        <v>1168</v>
      </c>
      <c r="E28" s="31">
        <v>3</v>
      </c>
      <c r="H28" s="31">
        <v>42550</v>
      </c>
      <c r="I28" s="31">
        <v>15784</v>
      </c>
      <c r="J28" s="31">
        <v>1</v>
      </c>
      <c r="K28" s="31">
        <v>1</v>
      </c>
      <c r="L28" s="31">
        <v>2</v>
      </c>
      <c r="M28" s="31">
        <v>1</v>
      </c>
      <c r="N28" s="31">
        <v>2</v>
      </c>
      <c r="O28" s="31">
        <v>1</v>
      </c>
      <c r="P28" s="31">
        <v>2</v>
      </c>
      <c r="Q28" s="31">
        <v>1</v>
      </c>
      <c r="R28" s="31">
        <v>2</v>
      </c>
      <c r="S28" s="31">
        <v>2</v>
      </c>
      <c r="T28" s="31">
        <v>2</v>
      </c>
      <c r="U28" s="31">
        <v>2</v>
      </c>
      <c r="V28" s="31">
        <v>2</v>
      </c>
      <c r="W28" s="31">
        <v>2</v>
      </c>
      <c r="X28" s="31">
        <v>2</v>
      </c>
      <c r="Y28" s="31">
        <v>2</v>
      </c>
      <c r="Z28" s="31">
        <v>4</v>
      </c>
      <c r="AA28" s="31">
        <v>2</v>
      </c>
      <c r="AB28" s="31">
        <v>2</v>
      </c>
      <c r="AC28" s="31">
        <v>2</v>
      </c>
      <c r="AD28" s="31">
        <v>1</v>
      </c>
      <c r="AE28" s="31">
        <v>1</v>
      </c>
      <c r="AF28" s="31">
        <v>2</v>
      </c>
      <c r="AH28" s="31">
        <v>2</v>
      </c>
      <c r="AI28" s="31">
        <v>2</v>
      </c>
      <c r="AJ28" s="31">
        <v>2</v>
      </c>
      <c r="AK28" s="31" t="s">
        <v>357</v>
      </c>
      <c r="AL28" s="31">
        <v>2</v>
      </c>
      <c r="AM28" s="31" t="s">
        <v>357</v>
      </c>
      <c r="AN28" s="31" t="s">
        <v>357</v>
      </c>
      <c r="AO28" s="31">
        <v>1</v>
      </c>
      <c r="AP28" s="31" t="s">
        <v>1169</v>
      </c>
      <c r="AQ28" s="31">
        <v>2</v>
      </c>
      <c r="AS28" s="31">
        <v>2</v>
      </c>
      <c r="AV28" s="31">
        <v>1</v>
      </c>
      <c r="AW28" s="31" t="s">
        <v>1170</v>
      </c>
      <c r="AX28" s="31">
        <v>2</v>
      </c>
      <c r="AZ28" s="31">
        <v>2</v>
      </c>
      <c r="BB28" s="31">
        <v>2</v>
      </c>
      <c r="BD28" s="31">
        <v>2</v>
      </c>
      <c r="BI28" s="31" t="s">
        <v>355</v>
      </c>
      <c r="BT28" s="31">
        <v>2</v>
      </c>
      <c r="BW28" s="31">
        <v>2</v>
      </c>
      <c r="BX28" s="31">
        <v>2</v>
      </c>
      <c r="BY28" s="31">
        <v>2</v>
      </c>
      <c r="BZ28" s="31">
        <v>2</v>
      </c>
      <c r="CA28" s="31">
        <v>2</v>
      </c>
      <c r="CB28" s="31">
        <v>2</v>
      </c>
      <c r="CC28" s="31">
        <v>2</v>
      </c>
      <c r="CG28" s="31">
        <v>2</v>
      </c>
      <c r="CH28" s="31">
        <v>2</v>
      </c>
      <c r="CI28" s="31">
        <v>2</v>
      </c>
      <c r="CJ28" s="31">
        <v>2</v>
      </c>
      <c r="CK28" s="31">
        <v>2</v>
      </c>
      <c r="CL28" s="31">
        <v>2</v>
      </c>
      <c r="CM28" s="31">
        <v>2</v>
      </c>
      <c r="CQ28" s="31">
        <v>2</v>
      </c>
      <c r="CR28" s="31">
        <v>2</v>
      </c>
      <c r="CS28" s="31">
        <v>2</v>
      </c>
      <c r="CT28" s="31">
        <v>2</v>
      </c>
      <c r="CU28" s="31">
        <v>2</v>
      </c>
      <c r="CV28" s="31">
        <v>2</v>
      </c>
      <c r="CW28" s="31">
        <v>2</v>
      </c>
      <c r="DA28" s="31">
        <v>2</v>
      </c>
      <c r="DB28" s="31">
        <v>2</v>
      </c>
      <c r="DC28" s="31">
        <v>2</v>
      </c>
      <c r="DD28" s="31">
        <v>2</v>
      </c>
      <c r="DE28" s="31">
        <v>2</v>
      </c>
      <c r="DF28" s="31">
        <v>2</v>
      </c>
      <c r="DG28" s="31">
        <v>2</v>
      </c>
      <c r="DK28" s="31">
        <v>2</v>
      </c>
      <c r="DL28" s="31">
        <v>2</v>
      </c>
      <c r="DM28" s="31">
        <v>2</v>
      </c>
      <c r="DN28" s="31">
        <v>2</v>
      </c>
      <c r="DO28" s="31">
        <v>2</v>
      </c>
      <c r="DP28" s="31">
        <v>2</v>
      </c>
      <c r="DQ28" s="31">
        <v>2</v>
      </c>
      <c r="DU28" s="31" t="s">
        <v>358</v>
      </c>
      <c r="DX28" s="31" t="s">
        <v>1171</v>
      </c>
      <c r="EG28" s="31">
        <v>2</v>
      </c>
      <c r="EH28" s="31" t="s">
        <v>358</v>
      </c>
      <c r="EI28" s="31">
        <v>72</v>
      </c>
      <c r="EJ28" s="31">
        <v>2</v>
      </c>
      <c r="EK28" s="31" t="s">
        <v>1155</v>
      </c>
      <c r="EL28" s="31">
        <v>68</v>
      </c>
      <c r="FH28" s="31" t="s">
        <v>379</v>
      </c>
      <c r="FI28" s="31" t="s">
        <v>375</v>
      </c>
      <c r="FJ28" s="31">
        <v>2</v>
      </c>
      <c r="FL28" s="31" t="s">
        <v>387</v>
      </c>
      <c r="FM28" s="31">
        <v>2</v>
      </c>
      <c r="FN28" s="31">
        <v>2</v>
      </c>
      <c r="FO28" s="31">
        <v>1</v>
      </c>
      <c r="FP28" s="31">
        <v>2</v>
      </c>
      <c r="FR28" s="31">
        <v>2</v>
      </c>
      <c r="FT28" s="31">
        <v>2</v>
      </c>
      <c r="FV28" s="31">
        <v>2</v>
      </c>
      <c r="FX28" s="31">
        <v>2</v>
      </c>
      <c r="FZ28" s="31">
        <v>2</v>
      </c>
      <c r="GB28" s="31">
        <v>2</v>
      </c>
      <c r="GD28" s="31">
        <v>2</v>
      </c>
      <c r="GF28" s="31">
        <v>2</v>
      </c>
      <c r="GH28" s="31">
        <v>2</v>
      </c>
      <c r="GJ28" s="31">
        <v>2</v>
      </c>
      <c r="GL28" s="31">
        <v>2</v>
      </c>
      <c r="GN28" s="31">
        <v>2</v>
      </c>
      <c r="GP28" s="31">
        <v>2</v>
      </c>
      <c r="GR28" s="31">
        <v>2</v>
      </c>
      <c r="GT28" s="31">
        <v>2</v>
      </c>
      <c r="GV28" s="31">
        <v>2</v>
      </c>
      <c r="GX28" s="31">
        <v>2</v>
      </c>
      <c r="GZ28" s="31">
        <v>2</v>
      </c>
      <c r="HB28" s="31">
        <v>2</v>
      </c>
      <c r="HD28" s="31">
        <v>2</v>
      </c>
      <c r="HF28" s="31" t="s">
        <v>355</v>
      </c>
      <c r="HH28" s="31">
        <v>2</v>
      </c>
      <c r="HJ28" s="31">
        <v>2</v>
      </c>
      <c r="HL28" s="31">
        <v>2</v>
      </c>
      <c r="HN28" s="31">
        <v>2</v>
      </c>
      <c r="HP28" s="31">
        <v>2</v>
      </c>
      <c r="HR28" s="31">
        <v>2</v>
      </c>
      <c r="HT28" s="31">
        <v>2</v>
      </c>
      <c r="HV28" s="31">
        <v>2</v>
      </c>
      <c r="HX28" s="31">
        <v>2</v>
      </c>
      <c r="HZ28" s="31">
        <v>2</v>
      </c>
      <c r="IB28" s="31">
        <v>2</v>
      </c>
      <c r="ID28" s="31">
        <v>2</v>
      </c>
      <c r="IF28" s="31">
        <v>2</v>
      </c>
      <c r="IH28" s="31">
        <v>2</v>
      </c>
      <c r="IJ28" s="31">
        <v>2</v>
      </c>
      <c r="IL28" s="31">
        <v>2</v>
      </c>
      <c r="IN28" s="31">
        <v>2</v>
      </c>
      <c r="IP28" s="31">
        <v>2</v>
      </c>
      <c r="IR28" s="31">
        <v>2</v>
      </c>
      <c r="IT28" s="31">
        <v>2</v>
      </c>
      <c r="IV28" s="31">
        <v>2</v>
      </c>
      <c r="IX28" s="31" t="s">
        <v>355</v>
      </c>
      <c r="IZ28" s="31">
        <v>2</v>
      </c>
      <c r="JB28" s="31">
        <v>2</v>
      </c>
      <c r="JD28" s="31">
        <v>2</v>
      </c>
      <c r="JF28" s="31">
        <v>2</v>
      </c>
      <c r="JH28" s="31">
        <v>2</v>
      </c>
      <c r="JJ28" s="31">
        <v>2</v>
      </c>
      <c r="JL28" s="31">
        <v>1</v>
      </c>
      <c r="JM28" s="31">
        <v>10</v>
      </c>
      <c r="JN28" s="31">
        <v>2</v>
      </c>
      <c r="JP28" s="31">
        <v>2</v>
      </c>
      <c r="JR28" s="31">
        <v>2</v>
      </c>
      <c r="JT28" s="31">
        <v>2</v>
      </c>
      <c r="JV28" s="31">
        <v>2</v>
      </c>
      <c r="JX28" s="31">
        <v>2</v>
      </c>
      <c r="JZ28" s="31">
        <v>2</v>
      </c>
      <c r="KB28" s="31">
        <v>2</v>
      </c>
      <c r="KD28" s="31">
        <v>2</v>
      </c>
      <c r="KF28" s="31">
        <v>2</v>
      </c>
      <c r="KH28" s="31">
        <v>2</v>
      </c>
      <c r="KJ28" s="31">
        <v>2</v>
      </c>
      <c r="KL28" s="31">
        <v>2</v>
      </c>
      <c r="KN28" s="31">
        <v>2</v>
      </c>
      <c r="KP28" s="31" t="s">
        <v>355</v>
      </c>
      <c r="KR28" s="31">
        <v>1</v>
      </c>
      <c r="KS28" s="31">
        <v>2</v>
      </c>
      <c r="KT28" s="31">
        <v>2</v>
      </c>
      <c r="KU28" s="31">
        <v>2</v>
      </c>
      <c r="KV28" s="31">
        <v>2</v>
      </c>
      <c r="KW28" s="31">
        <v>2</v>
      </c>
      <c r="KX28" s="31">
        <v>2</v>
      </c>
      <c r="KY28" s="31">
        <v>2</v>
      </c>
      <c r="KZ28" s="31">
        <v>2</v>
      </c>
      <c r="LA28" s="31">
        <v>2</v>
      </c>
      <c r="LB28" s="31">
        <v>2</v>
      </c>
      <c r="LC28" s="31">
        <v>2</v>
      </c>
      <c r="LD28" s="31">
        <v>2</v>
      </c>
      <c r="LE28" s="31">
        <v>2</v>
      </c>
      <c r="LF28" s="31">
        <v>2</v>
      </c>
      <c r="LG28" s="31">
        <v>2</v>
      </c>
      <c r="LH28" s="31">
        <v>2</v>
      </c>
      <c r="LI28" s="31">
        <v>2</v>
      </c>
      <c r="LJ28" s="31">
        <v>2</v>
      </c>
      <c r="LK28" s="31">
        <v>2</v>
      </c>
      <c r="LL28" s="31">
        <v>2</v>
      </c>
      <c r="LM28" s="31">
        <v>2</v>
      </c>
      <c r="LN28" s="31">
        <v>2</v>
      </c>
      <c r="LO28" s="31">
        <v>2</v>
      </c>
      <c r="LP28" s="31">
        <v>1</v>
      </c>
      <c r="LQ28" s="31">
        <v>2</v>
      </c>
      <c r="LR28" s="31">
        <v>2</v>
      </c>
      <c r="LS28" s="31">
        <v>2</v>
      </c>
      <c r="LT28" s="31">
        <v>2</v>
      </c>
      <c r="LU28" s="31">
        <v>2</v>
      </c>
      <c r="LV28" s="31">
        <v>2</v>
      </c>
      <c r="LW28" s="31">
        <v>2</v>
      </c>
      <c r="LX28" s="31">
        <v>2</v>
      </c>
      <c r="LY28" s="31">
        <v>2</v>
      </c>
      <c r="LZ28" s="31">
        <v>2</v>
      </c>
      <c r="MA28" s="31" t="s">
        <v>426</v>
      </c>
      <c r="MB28" s="31" t="s">
        <v>426</v>
      </c>
      <c r="ME28" s="31">
        <v>5</v>
      </c>
      <c r="MF28" s="31">
        <v>2</v>
      </c>
      <c r="MG28" s="31">
        <v>2</v>
      </c>
      <c r="MH28" s="31">
        <v>2</v>
      </c>
      <c r="MI28" s="31">
        <v>2</v>
      </c>
      <c r="MJ28" s="31">
        <v>2</v>
      </c>
      <c r="MK28" s="31">
        <v>5</v>
      </c>
      <c r="ML28" s="31">
        <v>2</v>
      </c>
      <c r="MM28" s="31">
        <v>2</v>
      </c>
      <c r="MN28" s="31">
        <v>2</v>
      </c>
      <c r="MO28" s="31">
        <v>2</v>
      </c>
      <c r="MP28" s="31">
        <v>2</v>
      </c>
      <c r="MQ28" s="31">
        <v>2</v>
      </c>
      <c r="MR28" s="31">
        <v>2</v>
      </c>
      <c r="MS28" s="31">
        <v>2</v>
      </c>
    </row>
    <row r="29" spans="1:357" s="31" customFormat="1" ht="13.5" customHeight="1">
      <c r="A29" s="31">
        <v>26</v>
      </c>
      <c r="B29" s="31">
        <v>26</v>
      </c>
      <c r="C29" s="31" t="s">
        <v>1115</v>
      </c>
      <c r="D29" s="31" t="s">
        <v>1172</v>
      </c>
      <c r="E29" s="31">
        <v>3</v>
      </c>
      <c r="H29" s="31">
        <v>42551</v>
      </c>
      <c r="I29" s="31">
        <v>22992</v>
      </c>
      <c r="J29" s="31">
        <v>1</v>
      </c>
      <c r="K29" s="31">
        <v>1</v>
      </c>
      <c r="L29" s="31">
        <v>5</v>
      </c>
      <c r="M29" s="31">
        <v>2</v>
      </c>
      <c r="N29" s="31">
        <v>4</v>
      </c>
      <c r="O29" s="31">
        <v>2</v>
      </c>
      <c r="P29" s="31">
        <v>4</v>
      </c>
      <c r="Q29" s="31">
        <v>2</v>
      </c>
      <c r="R29" s="31">
        <v>2</v>
      </c>
      <c r="S29" s="31">
        <v>2</v>
      </c>
      <c r="T29" s="31">
        <v>2</v>
      </c>
      <c r="U29" s="31">
        <v>2</v>
      </c>
      <c r="V29" s="31">
        <v>2</v>
      </c>
      <c r="W29" s="31">
        <v>2</v>
      </c>
      <c r="X29" s="31">
        <v>2</v>
      </c>
      <c r="Y29" s="31">
        <v>2</v>
      </c>
      <c r="Z29" s="31">
        <v>4</v>
      </c>
      <c r="AA29" s="31">
        <v>2</v>
      </c>
      <c r="AB29" s="31">
        <v>2</v>
      </c>
      <c r="AC29" s="31">
        <v>2</v>
      </c>
      <c r="AD29" s="31">
        <v>1</v>
      </c>
      <c r="AE29" s="31">
        <v>1</v>
      </c>
      <c r="AF29" s="31">
        <v>2</v>
      </c>
      <c r="AH29" s="31">
        <v>2</v>
      </c>
      <c r="AI29" s="31">
        <v>2</v>
      </c>
      <c r="AJ29" s="31">
        <v>2</v>
      </c>
      <c r="AK29" s="31" t="s">
        <v>357</v>
      </c>
      <c r="AL29" s="31">
        <v>2</v>
      </c>
      <c r="AM29" s="31" t="s">
        <v>357</v>
      </c>
      <c r="AN29" s="31" t="s">
        <v>357</v>
      </c>
      <c r="AO29" s="31">
        <v>2</v>
      </c>
      <c r="AQ29" s="31">
        <v>2</v>
      </c>
      <c r="AS29" s="31">
        <v>2</v>
      </c>
      <c r="AV29" s="31">
        <v>2</v>
      </c>
      <c r="AX29" s="31">
        <v>2</v>
      </c>
      <c r="AZ29" s="31">
        <v>2</v>
      </c>
      <c r="BB29" s="31">
        <v>2</v>
      </c>
      <c r="BD29" s="31">
        <v>2</v>
      </c>
      <c r="BI29" s="31" t="s">
        <v>355</v>
      </c>
      <c r="BT29" s="31">
        <v>2</v>
      </c>
      <c r="BW29" s="31">
        <v>2</v>
      </c>
      <c r="BX29" s="31">
        <v>2</v>
      </c>
      <c r="BY29" s="31">
        <v>2</v>
      </c>
      <c r="BZ29" s="31">
        <v>2</v>
      </c>
      <c r="CA29" s="31">
        <v>2</v>
      </c>
      <c r="CB29" s="31">
        <v>2</v>
      </c>
      <c r="CC29" s="31">
        <v>2</v>
      </c>
      <c r="CG29" s="31">
        <v>2</v>
      </c>
      <c r="CH29" s="31">
        <v>2</v>
      </c>
      <c r="CI29" s="31">
        <v>2</v>
      </c>
      <c r="CJ29" s="31">
        <v>2</v>
      </c>
      <c r="CK29" s="31">
        <v>2</v>
      </c>
      <c r="CL29" s="31">
        <v>2</v>
      </c>
      <c r="CM29" s="31">
        <v>2</v>
      </c>
      <c r="CQ29" s="31">
        <v>2</v>
      </c>
      <c r="CR29" s="31">
        <v>2</v>
      </c>
      <c r="CS29" s="31">
        <v>2</v>
      </c>
      <c r="CT29" s="31">
        <v>2</v>
      </c>
      <c r="CU29" s="31">
        <v>2</v>
      </c>
      <c r="CV29" s="31">
        <v>2</v>
      </c>
      <c r="CW29" s="31">
        <v>2</v>
      </c>
      <c r="DA29" s="31">
        <v>2</v>
      </c>
      <c r="DB29" s="31">
        <v>2</v>
      </c>
      <c r="DC29" s="31">
        <v>2</v>
      </c>
      <c r="DD29" s="31">
        <v>2</v>
      </c>
      <c r="DE29" s="31">
        <v>2</v>
      </c>
      <c r="DF29" s="31">
        <v>2</v>
      </c>
      <c r="DG29" s="31">
        <v>2</v>
      </c>
      <c r="DK29" s="31">
        <v>2</v>
      </c>
      <c r="DL29" s="31">
        <v>2</v>
      </c>
      <c r="DM29" s="31">
        <v>2</v>
      </c>
      <c r="DN29" s="31">
        <v>2</v>
      </c>
      <c r="DO29" s="31">
        <v>2</v>
      </c>
      <c r="DP29" s="31">
        <v>2</v>
      </c>
      <c r="DQ29" s="31">
        <v>2</v>
      </c>
      <c r="DX29" s="31" t="s">
        <v>393</v>
      </c>
      <c r="EG29" s="31">
        <v>2</v>
      </c>
      <c r="EH29" s="31" t="s">
        <v>388</v>
      </c>
      <c r="EI29" s="31">
        <v>89</v>
      </c>
      <c r="EJ29" s="31">
        <v>2</v>
      </c>
      <c r="EK29" s="31" t="s">
        <v>393</v>
      </c>
      <c r="EL29" s="31">
        <v>85</v>
      </c>
      <c r="FH29" s="31" t="s">
        <v>408</v>
      </c>
      <c r="FI29" s="31" t="s">
        <v>360</v>
      </c>
      <c r="FJ29" s="31">
        <v>2</v>
      </c>
      <c r="FL29" s="31" t="s">
        <v>379</v>
      </c>
      <c r="FM29" s="31">
        <v>2</v>
      </c>
      <c r="FN29" s="31">
        <v>2</v>
      </c>
      <c r="FO29" s="31">
        <v>2</v>
      </c>
      <c r="FP29" s="31">
        <v>2</v>
      </c>
      <c r="FR29" s="31">
        <v>2</v>
      </c>
      <c r="FT29" s="31">
        <v>2</v>
      </c>
      <c r="FV29" s="31">
        <v>2</v>
      </c>
      <c r="FX29" s="31">
        <v>2</v>
      </c>
      <c r="FZ29" s="31">
        <v>2</v>
      </c>
      <c r="GB29" s="31">
        <v>2</v>
      </c>
      <c r="GD29" s="31">
        <v>2</v>
      </c>
      <c r="GF29" s="31">
        <v>2</v>
      </c>
      <c r="GH29" s="31">
        <v>2</v>
      </c>
      <c r="GJ29" s="31">
        <v>2</v>
      </c>
      <c r="GL29" s="31">
        <v>2</v>
      </c>
      <c r="GN29" s="31">
        <v>2</v>
      </c>
      <c r="GP29" s="31">
        <v>2</v>
      </c>
      <c r="GR29" s="31">
        <v>2</v>
      </c>
      <c r="GT29" s="31">
        <v>2</v>
      </c>
      <c r="GV29" s="31">
        <v>2</v>
      </c>
      <c r="GX29" s="31">
        <v>2</v>
      </c>
      <c r="GZ29" s="31">
        <v>2</v>
      </c>
      <c r="HB29" s="31">
        <v>2</v>
      </c>
      <c r="HD29" s="31">
        <v>2</v>
      </c>
      <c r="HF29" s="31" t="s">
        <v>355</v>
      </c>
      <c r="HH29" s="31">
        <v>2</v>
      </c>
      <c r="HJ29" s="31">
        <v>2</v>
      </c>
      <c r="HL29" s="31">
        <v>2</v>
      </c>
      <c r="HN29" s="31">
        <v>2</v>
      </c>
      <c r="HP29" s="31">
        <v>2</v>
      </c>
      <c r="HR29" s="31">
        <v>2</v>
      </c>
      <c r="HT29" s="31">
        <v>2</v>
      </c>
      <c r="HV29" s="31">
        <v>2</v>
      </c>
      <c r="HX29" s="31">
        <v>2</v>
      </c>
      <c r="HZ29" s="31">
        <v>2</v>
      </c>
      <c r="IB29" s="31">
        <v>2</v>
      </c>
      <c r="ID29" s="31">
        <v>2</v>
      </c>
      <c r="IF29" s="31">
        <v>2</v>
      </c>
      <c r="IH29" s="31">
        <v>2</v>
      </c>
      <c r="IJ29" s="31">
        <v>2</v>
      </c>
      <c r="IL29" s="31">
        <v>2</v>
      </c>
      <c r="IN29" s="31">
        <v>2</v>
      </c>
      <c r="IP29" s="31">
        <v>2</v>
      </c>
      <c r="IR29" s="31">
        <v>2</v>
      </c>
      <c r="IT29" s="31">
        <v>2</v>
      </c>
      <c r="IV29" s="31">
        <v>2</v>
      </c>
      <c r="IX29" s="31" t="s">
        <v>355</v>
      </c>
      <c r="IZ29" s="31">
        <v>2</v>
      </c>
      <c r="JB29" s="31">
        <v>2</v>
      </c>
      <c r="JD29" s="31">
        <v>2</v>
      </c>
      <c r="JF29" s="31">
        <v>2</v>
      </c>
      <c r="JH29" s="31">
        <v>2</v>
      </c>
      <c r="JJ29" s="31">
        <v>2</v>
      </c>
      <c r="JL29" s="31">
        <v>2</v>
      </c>
      <c r="JN29" s="31">
        <v>2</v>
      </c>
      <c r="JP29" s="31">
        <v>2</v>
      </c>
      <c r="JR29" s="31">
        <v>2</v>
      </c>
      <c r="JT29" s="31">
        <v>2</v>
      </c>
      <c r="JV29" s="31">
        <v>2</v>
      </c>
      <c r="JX29" s="31">
        <v>2</v>
      </c>
      <c r="JZ29" s="31">
        <v>2</v>
      </c>
      <c r="KB29" s="31">
        <v>2</v>
      </c>
      <c r="KD29" s="31">
        <v>2</v>
      </c>
      <c r="KF29" s="31">
        <v>2</v>
      </c>
      <c r="KH29" s="31">
        <v>2</v>
      </c>
      <c r="KJ29" s="31">
        <v>2</v>
      </c>
      <c r="KL29" s="31">
        <v>2</v>
      </c>
      <c r="KN29" s="31">
        <v>2</v>
      </c>
      <c r="KP29" s="31" t="s">
        <v>355</v>
      </c>
      <c r="KR29" s="31">
        <v>1</v>
      </c>
      <c r="KS29" s="31">
        <v>2</v>
      </c>
      <c r="KT29" s="31">
        <v>2</v>
      </c>
      <c r="KU29" s="31">
        <v>2</v>
      </c>
      <c r="KV29" s="31">
        <v>2</v>
      </c>
      <c r="KW29" s="31">
        <v>2</v>
      </c>
      <c r="KX29" s="31">
        <v>2</v>
      </c>
      <c r="KY29" s="31">
        <v>2</v>
      </c>
      <c r="KZ29" s="31">
        <v>2</v>
      </c>
      <c r="LA29" s="31">
        <v>2</v>
      </c>
      <c r="LB29" s="31">
        <v>2</v>
      </c>
      <c r="LC29" s="31">
        <v>2</v>
      </c>
      <c r="LD29" s="31">
        <v>2</v>
      </c>
      <c r="LE29" s="31">
        <v>2</v>
      </c>
      <c r="LF29" s="31">
        <v>2</v>
      </c>
      <c r="LG29" s="31">
        <v>2</v>
      </c>
      <c r="LH29" s="31">
        <v>2</v>
      </c>
      <c r="LI29" s="31">
        <v>2</v>
      </c>
      <c r="LJ29" s="31">
        <v>2</v>
      </c>
      <c r="LK29" s="31">
        <v>1</v>
      </c>
      <c r="LL29" s="31">
        <v>1</v>
      </c>
      <c r="LM29" s="31">
        <v>2</v>
      </c>
      <c r="LN29" s="31">
        <v>2</v>
      </c>
      <c r="LO29" s="31">
        <v>2</v>
      </c>
      <c r="LP29" s="31">
        <v>2</v>
      </c>
      <c r="LQ29" s="31">
        <v>2</v>
      </c>
      <c r="LR29" s="31">
        <v>2</v>
      </c>
      <c r="LS29" s="31">
        <v>2</v>
      </c>
      <c r="LT29" s="31">
        <v>2</v>
      </c>
      <c r="LU29" s="31">
        <v>2</v>
      </c>
      <c r="LV29" s="31">
        <v>2</v>
      </c>
      <c r="LW29" s="31">
        <v>2</v>
      </c>
      <c r="LX29" s="31">
        <v>2</v>
      </c>
      <c r="LY29" s="31">
        <v>2</v>
      </c>
      <c r="LZ29" s="31">
        <v>2</v>
      </c>
      <c r="MA29" s="31" t="s">
        <v>374</v>
      </c>
      <c r="MB29" s="31" t="s">
        <v>374</v>
      </c>
      <c r="ME29" s="31">
        <v>5</v>
      </c>
      <c r="MF29" s="31">
        <v>2</v>
      </c>
      <c r="MG29" s="31">
        <v>2</v>
      </c>
      <c r="MH29" s="31">
        <v>2</v>
      </c>
      <c r="MI29" s="31">
        <v>2</v>
      </c>
      <c r="MJ29" s="31">
        <v>2</v>
      </c>
      <c r="MK29" s="31">
        <v>5</v>
      </c>
      <c r="ML29" s="31">
        <v>2</v>
      </c>
      <c r="MM29" s="31">
        <v>2</v>
      </c>
      <c r="MN29" s="31">
        <v>2</v>
      </c>
      <c r="MO29" s="31">
        <v>2</v>
      </c>
      <c r="MP29" s="31">
        <v>2</v>
      </c>
      <c r="MQ29" s="31">
        <v>2</v>
      </c>
      <c r="MR29" s="31">
        <v>2</v>
      </c>
      <c r="MS29" s="31">
        <v>2</v>
      </c>
    </row>
    <row r="30" spans="1:357" s="31" customFormat="1" ht="13.5" customHeight="1">
      <c r="A30" s="31">
        <v>27</v>
      </c>
      <c r="B30" s="31">
        <v>27</v>
      </c>
      <c r="C30" s="31" t="s">
        <v>1115</v>
      </c>
      <c r="D30" s="31" t="s">
        <v>1173</v>
      </c>
      <c r="E30" s="31">
        <v>3</v>
      </c>
      <c r="H30" s="31">
        <v>42551</v>
      </c>
      <c r="I30" s="31">
        <v>28297</v>
      </c>
      <c r="J30" s="31">
        <v>1</v>
      </c>
      <c r="K30" s="31">
        <v>1</v>
      </c>
      <c r="L30" s="31">
        <v>5</v>
      </c>
      <c r="M30" s="31">
        <v>2</v>
      </c>
      <c r="N30" s="31">
        <v>5</v>
      </c>
      <c r="O30" s="31">
        <v>2</v>
      </c>
      <c r="P30" s="31">
        <v>5</v>
      </c>
      <c r="Q30" s="31">
        <v>2</v>
      </c>
      <c r="R30" s="31">
        <v>2</v>
      </c>
      <c r="S30" s="31">
        <v>2</v>
      </c>
      <c r="T30" s="31">
        <v>2</v>
      </c>
      <c r="U30" s="31">
        <v>2</v>
      </c>
      <c r="V30" s="31">
        <v>2</v>
      </c>
      <c r="W30" s="31">
        <v>2</v>
      </c>
      <c r="X30" s="31">
        <v>2</v>
      </c>
      <c r="Y30" s="31">
        <v>2</v>
      </c>
      <c r="Z30" s="31">
        <v>4</v>
      </c>
      <c r="AA30" s="31">
        <v>2</v>
      </c>
      <c r="AB30" s="31">
        <v>2</v>
      </c>
      <c r="AC30" s="31">
        <v>2</v>
      </c>
      <c r="AD30" s="31">
        <v>1</v>
      </c>
      <c r="AE30" s="31">
        <v>1</v>
      </c>
      <c r="AF30" s="31">
        <v>2</v>
      </c>
      <c r="AH30" s="31">
        <v>2</v>
      </c>
      <c r="AI30" s="31">
        <v>2</v>
      </c>
      <c r="AJ30" s="31">
        <v>2</v>
      </c>
      <c r="AK30" s="31" t="s">
        <v>357</v>
      </c>
      <c r="AL30" s="31">
        <v>2</v>
      </c>
      <c r="AM30" s="31" t="s">
        <v>357</v>
      </c>
      <c r="AN30" s="31" t="s">
        <v>357</v>
      </c>
      <c r="AO30" s="31">
        <v>2</v>
      </c>
      <c r="AQ30" s="31">
        <v>2</v>
      </c>
      <c r="AS30" s="31">
        <v>2</v>
      </c>
      <c r="AV30" s="31">
        <v>2</v>
      </c>
      <c r="AX30" s="31">
        <v>2</v>
      </c>
      <c r="AZ30" s="31">
        <v>2</v>
      </c>
      <c r="BB30" s="31">
        <v>2</v>
      </c>
      <c r="BD30" s="31">
        <v>2</v>
      </c>
      <c r="BI30" s="31" t="s">
        <v>355</v>
      </c>
      <c r="BT30" s="31">
        <v>2</v>
      </c>
      <c r="BW30" s="31">
        <v>2</v>
      </c>
      <c r="BX30" s="31">
        <v>2</v>
      </c>
      <c r="BY30" s="31">
        <v>2</v>
      </c>
      <c r="BZ30" s="31">
        <v>2</v>
      </c>
      <c r="CA30" s="31">
        <v>2</v>
      </c>
      <c r="CB30" s="31">
        <v>2</v>
      </c>
      <c r="CC30" s="31">
        <v>2</v>
      </c>
      <c r="CG30" s="31">
        <v>2</v>
      </c>
      <c r="CH30" s="31">
        <v>2</v>
      </c>
      <c r="CI30" s="31">
        <v>2</v>
      </c>
      <c r="CJ30" s="31">
        <v>2</v>
      </c>
      <c r="CK30" s="31">
        <v>2</v>
      </c>
      <c r="CL30" s="31">
        <v>2</v>
      </c>
      <c r="CM30" s="31">
        <v>2</v>
      </c>
      <c r="CQ30" s="31">
        <v>2</v>
      </c>
      <c r="CR30" s="31">
        <v>2</v>
      </c>
      <c r="CS30" s="31">
        <v>2</v>
      </c>
      <c r="CT30" s="31">
        <v>2</v>
      </c>
      <c r="CU30" s="31">
        <v>2</v>
      </c>
      <c r="CV30" s="31">
        <v>2</v>
      </c>
      <c r="CW30" s="31">
        <v>2</v>
      </c>
      <c r="DA30" s="31">
        <v>2</v>
      </c>
      <c r="DB30" s="31">
        <v>2</v>
      </c>
      <c r="DC30" s="31">
        <v>2</v>
      </c>
      <c r="DD30" s="31">
        <v>2</v>
      </c>
      <c r="DE30" s="31">
        <v>2</v>
      </c>
      <c r="DF30" s="31">
        <v>2</v>
      </c>
      <c r="DG30" s="31">
        <v>2</v>
      </c>
      <c r="DK30" s="31">
        <v>2</v>
      </c>
      <c r="DL30" s="31">
        <v>2</v>
      </c>
      <c r="DM30" s="31">
        <v>2</v>
      </c>
      <c r="DN30" s="31">
        <v>2</v>
      </c>
      <c r="DO30" s="31">
        <v>2</v>
      </c>
      <c r="DP30" s="31">
        <v>2</v>
      </c>
      <c r="DQ30" s="31">
        <v>2</v>
      </c>
      <c r="DX30" s="31" t="s">
        <v>373</v>
      </c>
      <c r="EG30" s="31">
        <v>2</v>
      </c>
      <c r="EH30" s="31" t="s">
        <v>382</v>
      </c>
      <c r="EI30" s="31">
        <v>30</v>
      </c>
      <c r="EJ30" s="31">
        <v>2</v>
      </c>
      <c r="EK30" s="31" t="s">
        <v>373</v>
      </c>
      <c r="EL30" s="31">
        <v>67</v>
      </c>
      <c r="FH30" s="31" t="s">
        <v>386</v>
      </c>
      <c r="FI30" s="31" t="s">
        <v>359</v>
      </c>
      <c r="FJ30" s="31">
        <v>2</v>
      </c>
      <c r="FL30" s="31" t="s">
        <v>379</v>
      </c>
      <c r="FM30" s="31">
        <v>2</v>
      </c>
      <c r="FN30" s="31">
        <v>2</v>
      </c>
      <c r="FO30" s="31">
        <v>1</v>
      </c>
      <c r="FP30" s="31">
        <v>2</v>
      </c>
      <c r="FR30" s="31">
        <v>2</v>
      </c>
      <c r="FT30" s="31">
        <v>2</v>
      </c>
      <c r="FV30" s="31">
        <v>2</v>
      </c>
      <c r="FX30" s="31">
        <v>2</v>
      </c>
      <c r="FZ30" s="31">
        <v>2</v>
      </c>
      <c r="GB30" s="31">
        <v>2</v>
      </c>
      <c r="GD30" s="31">
        <v>2</v>
      </c>
      <c r="GF30" s="31">
        <v>2</v>
      </c>
      <c r="GH30" s="31">
        <v>2</v>
      </c>
      <c r="GJ30" s="31">
        <v>2</v>
      </c>
      <c r="GL30" s="31">
        <v>2</v>
      </c>
      <c r="GN30" s="31">
        <v>2</v>
      </c>
      <c r="GP30" s="31">
        <v>2</v>
      </c>
      <c r="GR30" s="31">
        <v>2</v>
      </c>
      <c r="GT30" s="31">
        <v>2</v>
      </c>
      <c r="GV30" s="31">
        <v>2</v>
      </c>
      <c r="GX30" s="31">
        <v>2</v>
      </c>
      <c r="GZ30" s="31">
        <v>2</v>
      </c>
      <c r="HB30" s="31">
        <v>2</v>
      </c>
      <c r="HD30" s="31">
        <v>2</v>
      </c>
      <c r="HF30" s="31" t="s">
        <v>355</v>
      </c>
      <c r="HH30" s="31">
        <v>2</v>
      </c>
      <c r="HJ30" s="31">
        <v>2</v>
      </c>
      <c r="HL30" s="31">
        <v>2</v>
      </c>
      <c r="HN30" s="31">
        <v>2</v>
      </c>
      <c r="HP30" s="31">
        <v>2</v>
      </c>
      <c r="HR30" s="31">
        <v>2</v>
      </c>
      <c r="HT30" s="31">
        <v>2</v>
      </c>
      <c r="HV30" s="31">
        <v>2</v>
      </c>
      <c r="HX30" s="31">
        <v>2</v>
      </c>
      <c r="HZ30" s="31">
        <v>2</v>
      </c>
      <c r="IB30" s="31">
        <v>2</v>
      </c>
      <c r="ID30" s="31">
        <v>2</v>
      </c>
      <c r="IF30" s="31">
        <v>2</v>
      </c>
      <c r="IH30" s="31">
        <v>2</v>
      </c>
      <c r="IJ30" s="31">
        <v>2</v>
      </c>
      <c r="IL30" s="31">
        <v>2</v>
      </c>
      <c r="IN30" s="31">
        <v>2</v>
      </c>
      <c r="IP30" s="31">
        <v>2</v>
      </c>
      <c r="IR30" s="31">
        <v>1</v>
      </c>
      <c r="IS30" s="31">
        <v>7</v>
      </c>
      <c r="IT30" s="31">
        <v>1</v>
      </c>
      <c r="IU30" s="31">
        <v>7</v>
      </c>
      <c r="IV30" s="31">
        <v>2</v>
      </c>
      <c r="IX30" s="31" t="s">
        <v>355</v>
      </c>
      <c r="IZ30" s="31">
        <v>2</v>
      </c>
      <c r="JB30" s="31">
        <v>2</v>
      </c>
      <c r="JD30" s="31">
        <v>2</v>
      </c>
      <c r="JF30" s="31">
        <v>2</v>
      </c>
      <c r="JH30" s="31">
        <v>2</v>
      </c>
      <c r="JJ30" s="31">
        <v>2</v>
      </c>
      <c r="JL30" s="31">
        <v>2</v>
      </c>
      <c r="JN30" s="31">
        <v>2</v>
      </c>
      <c r="JP30" s="31">
        <v>2</v>
      </c>
      <c r="JR30" s="31">
        <v>2</v>
      </c>
      <c r="JT30" s="31">
        <v>2</v>
      </c>
      <c r="JV30" s="31">
        <v>2</v>
      </c>
      <c r="JX30" s="31">
        <v>2</v>
      </c>
      <c r="JZ30" s="31">
        <v>2</v>
      </c>
      <c r="KB30" s="31">
        <v>2</v>
      </c>
      <c r="KD30" s="31">
        <v>2</v>
      </c>
      <c r="KF30" s="31">
        <v>2</v>
      </c>
      <c r="KH30" s="31">
        <v>2</v>
      </c>
      <c r="KJ30" s="31">
        <v>2</v>
      </c>
      <c r="KL30" s="31">
        <v>2</v>
      </c>
      <c r="KN30" s="31">
        <v>2</v>
      </c>
      <c r="KP30" s="31" t="s">
        <v>355</v>
      </c>
      <c r="KR30" s="31">
        <v>1</v>
      </c>
      <c r="KS30" s="31">
        <v>2</v>
      </c>
      <c r="KT30" s="31">
        <v>2</v>
      </c>
      <c r="KU30" s="31">
        <v>2</v>
      </c>
      <c r="KV30" s="31">
        <v>2</v>
      </c>
      <c r="KW30" s="31">
        <v>2</v>
      </c>
      <c r="KX30" s="31">
        <v>2</v>
      </c>
      <c r="KY30" s="31">
        <v>2</v>
      </c>
      <c r="KZ30" s="31">
        <v>2</v>
      </c>
      <c r="LA30" s="31">
        <v>2</v>
      </c>
      <c r="LB30" s="31">
        <v>2</v>
      </c>
      <c r="LC30" s="31">
        <v>2</v>
      </c>
      <c r="LD30" s="31">
        <v>2</v>
      </c>
      <c r="LE30" s="31">
        <v>2</v>
      </c>
      <c r="LF30" s="31">
        <v>2</v>
      </c>
      <c r="LG30" s="31">
        <v>2</v>
      </c>
      <c r="LH30" s="31">
        <v>2</v>
      </c>
      <c r="LI30" s="31">
        <v>2</v>
      </c>
      <c r="LJ30" s="31">
        <v>2</v>
      </c>
      <c r="LK30" s="31">
        <v>2</v>
      </c>
      <c r="LL30" s="31">
        <v>2</v>
      </c>
      <c r="LM30" s="31">
        <v>2</v>
      </c>
      <c r="LN30" s="31">
        <v>2</v>
      </c>
      <c r="LO30" s="31">
        <v>2</v>
      </c>
      <c r="LP30" s="31">
        <v>2</v>
      </c>
      <c r="LQ30" s="31">
        <v>2</v>
      </c>
      <c r="LR30" s="31">
        <v>2</v>
      </c>
      <c r="LS30" s="31">
        <v>2</v>
      </c>
      <c r="LT30" s="31">
        <v>2</v>
      </c>
      <c r="LU30" s="31">
        <v>2</v>
      </c>
      <c r="LV30" s="31">
        <v>2</v>
      </c>
      <c r="LW30" s="31">
        <v>2</v>
      </c>
      <c r="LX30" s="31">
        <v>2</v>
      </c>
      <c r="LY30" s="31">
        <v>2</v>
      </c>
      <c r="LZ30" s="31">
        <v>2</v>
      </c>
      <c r="MA30" s="31" t="s">
        <v>1174</v>
      </c>
      <c r="MB30" s="31" t="s">
        <v>1174</v>
      </c>
      <c r="ME30" s="31">
        <v>5</v>
      </c>
      <c r="MF30" s="31">
        <v>2</v>
      </c>
      <c r="MG30" s="31">
        <v>2</v>
      </c>
      <c r="MH30" s="31">
        <v>2</v>
      </c>
      <c r="MI30" s="31">
        <v>2</v>
      </c>
      <c r="MJ30" s="31">
        <v>2</v>
      </c>
      <c r="MK30" s="31">
        <v>5</v>
      </c>
      <c r="ML30" s="31">
        <v>2</v>
      </c>
      <c r="MM30" s="31">
        <v>2</v>
      </c>
      <c r="MN30" s="31">
        <v>2</v>
      </c>
      <c r="MO30" s="31">
        <v>2</v>
      </c>
      <c r="MP30" s="31">
        <v>2</v>
      </c>
      <c r="MQ30" s="31">
        <v>2</v>
      </c>
      <c r="MR30" s="31">
        <v>2</v>
      </c>
      <c r="MS30" s="31">
        <v>2</v>
      </c>
    </row>
    <row r="31" spans="1:357" s="31" customFormat="1" ht="13.5" customHeight="1">
      <c r="A31" s="31">
        <v>28</v>
      </c>
      <c r="B31" s="31">
        <v>28</v>
      </c>
      <c r="C31" s="31" t="s">
        <v>1115</v>
      </c>
      <c r="D31" s="31" t="s">
        <v>1175</v>
      </c>
      <c r="E31" s="31">
        <v>3</v>
      </c>
      <c r="H31" s="31">
        <v>42558</v>
      </c>
      <c r="I31" s="31">
        <v>16027</v>
      </c>
      <c r="J31" s="31">
        <v>1</v>
      </c>
      <c r="K31" s="31">
        <v>1</v>
      </c>
      <c r="L31" s="31">
        <v>1</v>
      </c>
      <c r="M31" s="31">
        <v>1</v>
      </c>
      <c r="N31" s="31">
        <v>1</v>
      </c>
      <c r="O31" s="31">
        <v>1</v>
      </c>
      <c r="P31" s="31">
        <v>1</v>
      </c>
      <c r="Q31" s="31">
        <v>1</v>
      </c>
      <c r="R31" s="31">
        <v>2</v>
      </c>
      <c r="S31" s="31">
        <v>2</v>
      </c>
      <c r="T31" s="31">
        <v>2</v>
      </c>
      <c r="U31" s="31">
        <v>2</v>
      </c>
      <c r="V31" s="31">
        <v>2</v>
      </c>
      <c r="W31" s="31">
        <v>2</v>
      </c>
      <c r="X31" s="31">
        <v>2</v>
      </c>
      <c r="Y31" s="31">
        <v>2</v>
      </c>
      <c r="Z31" s="31">
        <v>4</v>
      </c>
      <c r="AA31" s="31">
        <v>2</v>
      </c>
      <c r="AB31" s="31">
        <v>2</v>
      </c>
      <c r="AC31" s="31">
        <v>2</v>
      </c>
      <c r="AD31" s="31">
        <v>1</v>
      </c>
      <c r="AE31" s="31">
        <v>1</v>
      </c>
      <c r="AF31" s="31">
        <v>2</v>
      </c>
      <c r="AH31" s="31">
        <v>2</v>
      </c>
      <c r="AI31" s="31">
        <v>2</v>
      </c>
      <c r="AJ31" s="31">
        <v>2</v>
      </c>
      <c r="AK31" s="31" t="s">
        <v>357</v>
      </c>
      <c r="AL31" s="31">
        <v>2</v>
      </c>
      <c r="AM31" s="31" t="s">
        <v>357</v>
      </c>
      <c r="AN31" s="31" t="s">
        <v>357</v>
      </c>
      <c r="AO31" s="31">
        <v>1</v>
      </c>
      <c r="AP31" s="31" t="s">
        <v>419</v>
      </c>
      <c r="AQ31" s="31">
        <v>2</v>
      </c>
      <c r="AS31" s="31">
        <v>2</v>
      </c>
      <c r="AV31" s="31">
        <v>2</v>
      </c>
      <c r="AX31" s="31">
        <v>2</v>
      </c>
      <c r="AZ31" s="31">
        <v>2</v>
      </c>
      <c r="BB31" s="31">
        <v>2</v>
      </c>
      <c r="BD31" s="31">
        <v>2</v>
      </c>
      <c r="BI31" s="31" t="s">
        <v>355</v>
      </c>
      <c r="BT31" s="31">
        <v>2</v>
      </c>
      <c r="BW31" s="31">
        <v>2</v>
      </c>
      <c r="BX31" s="31">
        <v>2</v>
      </c>
      <c r="BY31" s="31">
        <v>2</v>
      </c>
      <c r="BZ31" s="31">
        <v>2</v>
      </c>
      <c r="CA31" s="31">
        <v>2</v>
      </c>
      <c r="CB31" s="31">
        <v>2</v>
      </c>
      <c r="CC31" s="31">
        <v>2</v>
      </c>
      <c r="CG31" s="31">
        <v>2</v>
      </c>
      <c r="CH31" s="31">
        <v>2</v>
      </c>
      <c r="CI31" s="31">
        <v>2</v>
      </c>
      <c r="CJ31" s="31">
        <v>2</v>
      </c>
      <c r="CK31" s="31">
        <v>2</v>
      </c>
      <c r="CL31" s="31">
        <v>2</v>
      </c>
      <c r="CM31" s="31">
        <v>2</v>
      </c>
      <c r="CQ31" s="31">
        <v>2</v>
      </c>
      <c r="CR31" s="31">
        <v>2</v>
      </c>
      <c r="CS31" s="31">
        <v>2</v>
      </c>
      <c r="CT31" s="31">
        <v>2</v>
      </c>
      <c r="CU31" s="31">
        <v>2</v>
      </c>
      <c r="CV31" s="31">
        <v>2</v>
      </c>
      <c r="CW31" s="31">
        <v>2</v>
      </c>
      <c r="DA31" s="31">
        <v>2</v>
      </c>
      <c r="DB31" s="31">
        <v>2</v>
      </c>
      <c r="DC31" s="31">
        <v>2</v>
      </c>
      <c r="DD31" s="31">
        <v>2</v>
      </c>
      <c r="DE31" s="31">
        <v>2</v>
      </c>
      <c r="DF31" s="31">
        <v>2</v>
      </c>
      <c r="DG31" s="31">
        <v>2</v>
      </c>
      <c r="DK31" s="31">
        <v>2</v>
      </c>
      <c r="DL31" s="31">
        <v>2</v>
      </c>
      <c r="DM31" s="31">
        <v>2</v>
      </c>
      <c r="DN31" s="31">
        <v>2</v>
      </c>
      <c r="DO31" s="31">
        <v>2</v>
      </c>
      <c r="DP31" s="31">
        <v>2</v>
      </c>
      <c r="DQ31" s="31">
        <v>2</v>
      </c>
      <c r="EG31" s="31">
        <v>2</v>
      </c>
      <c r="EH31" s="31" t="s">
        <v>388</v>
      </c>
      <c r="EI31" s="31">
        <v>89</v>
      </c>
      <c r="EJ31" s="31">
        <v>2</v>
      </c>
      <c r="EK31" s="31" t="s">
        <v>382</v>
      </c>
      <c r="EL31" s="31">
        <v>60</v>
      </c>
      <c r="FH31" s="31" t="s">
        <v>429</v>
      </c>
      <c r="FI31" s="31" t="s">
        <v>360</v>
      </c>
      <c r="FJ31" s="31">
        <v>2</v>
      </c>
      <c r="FL31" s="31" t="s">
        <v>387</v>
      </c>
      <c r="FM31" s="31">
        <v>2</v>
      </c>
      <c r="FN31" s="31">
        <v>2</v>
      </c>
      <c r="FO31" s="31">
        <v>2</v>
      </c>
      <c r="FP31" s="31">
        <v>2</v>
      </c>
      <c r="FR31" s="31">
        <v>2</v>
      </c>
      <c r="FT31" s="31">
        <v>2</v>
      </c>
      <c r="FV31" s="31">
        <v>2</v>
      </c>
      <c r="FX31" s="31">
        <v>2</v>
      </c>
      <c r="FZ31" s="31">
        <v>2</v>
      </c>
      <c r="GB31" s="31">
        <v>2</v>
      </c>
      <c r="GD31" s="31">
        <v>2</v>
      </c>
      <c r="GF31" s="31">
        <v>2</v>
      </c>
      <c r="GH31" s="31">
        <v>2</v>
      </c>
      <c r="GJ31" s="31">
        <v>2</v>
      </c>
      <c r="GL31" s="31">
        <v>2</v>
      </c>
      <c r="GN31" s="31">
        <v>2</v>
      </c>
      <c r="GP31" s="31">
        <v>2</v>
      </c>
      <c r="GR31" s="31">
        <v>2</v>
      </c>
      <c r="GT31" s="31">
        <v>2</v>
      </c>
      <c r="GV31" s="31">
        <v>2</v>
      </c>
      <c r="GX31" s="31">
        <v>2</v>
      </c>
      <c r="GZ31" s="31">
        <v>2</v>
      </c>
      <c r="HB31" s="31">
        <v>2</v>
      </c>
      <c r="HD31" s="31">
        <v>2</v>
      </c>
      <c r="HF31" s="31" t="s">
        <v>355</v>
      </c>
      <c r="HH31" s="31">
        <v>2</v>
      </c>
      <c r="HJ31" s="31">
        <v>2</v>
      </c>
      <c r="HL31" s="31">
        <v>2</v>
      </c>
      <c r="HN31" s="31">
        <v>2</v>
      </c>
      <c r="HP31" s="31">
        <v>2</v>
      </c>
      <c r="HR31" s="31">
        <v>2</v>
      </c>
      <c r="HT31" s="31">
        <v>2</v>
      </c>
      <c r="HV31" s="31">
        <v>2</v>
      </c>
      <c r="HX31" s="31">
        <v>2</v>
      </c>
      <c r="HZ31" s="31">
        <v>2</v>
      </c>
      <c r="IB31" s="31">
        <v>2</v>
      </c>
      <c r="ID31" s="31">
        <v>2</v>
      </c>
      <c r="IF31" s="31">
        <v>2</v>
      </c>
      <c r="IH31" s="31">
        <v>2</v>
      </c>
      <c r="IJ31" s="31">
        <v>2</v>
      </c>
      <c r="IL31" s="31">
        <v>2</v>
      </c>
      <c r="IN31" s="31">
        <v>2</v>
      </c>
      <c r="IP31" s="31">
        <v>2</v>
      </c>
      <c r="IR31" s="31">
        <v>2</v>
      </c>
      <c r="IT31" s="31">
        <v>2</v>
      </c>
      <c r="IV31" s="31">
        <v>2</v>
      </c>
      <c r="IX31" s="31" t="s">
        <v>355</v>
      </c>
      <c r="IZ31" s="31">
        <v>2</v>
      </c>
      <c r="JB31" s="31">
        <v>2</v>
      </c>
      <c r="JD31" s="31">
        <v>2</v>
      </c>
      <c r="JF31" s="31">
        <v>2</v>
      </c>
      <c r="JH31" s="31">
        <v>2</v>
      </c>
      <c r="JJ31" s="31">
        <v>2</v>
      </c>
      <c r="JL31" s="31">
        <v>2</v>
      </c>
      <c r="JN31" s="31">
        <v>2</v>
      </c>
      <c r="JP31" s="31">
        <v>2</v>
      </c>
      <c r="JR31" s="31">
        <v>2</v>
      </c>
      <c r="JT31" s="31">
        <v>2</v>
      </c>
      <c r="JV31" s="31">
        <v>2</v>
      </c>
      <c r="JX31" s="31">
        <v>2</v>
      </c>
      <c r="JZ31" s="31">
        <v>2</v>
      </c>
      <c r="KB31" s="31">
        <v>2</v>
      </c>
      <c r="KD31" s="31">
        <v>2</v>
      </c>
      <c r="KF31" s="31">
        <v>2</v>
      </c>
      <c r="KH31" s="31">
        <v>2</v>
      </c>
      <c r="KJ31" s="31">
        <v>2</v>
      </c>
      <c r="KL31" s="31">
        <v>2</v>
      </c>
      <c r="KN31" s="31">
        <v>2</v>
      </c>
      <c r="KP31" s="31" t="s">
        <v>355</v>
      </c>
      <c r="KR31" s="31">
        <v>2</v>
      </c>
      <c r="KS31" s="31">
        <v>2</v>
      </c>
      <c r="KT31" s="31">
        <v>2</v>
      </c>
      <c r="KU31" s="31">
        <v>2</v>
      </c>
      <c r="KV31" s="31">
        <v>2</v>
      </c>
      <c r="KW31" s="31">
        <v>2</v>
      </c>
      <c r="KX31" s="31">
        <v>2</v>
      </c>
      <c r="KY31" s="31">
        <v>2</v>
      </c>
      <c r="KZ31" s="31">
        <v>2</v>
      </c>
      <c r="LA31" s="31">
        <v>2</v>
      </c>
      <c r="LB31" s="31">
        <v>2</v>
      </c>
      <c r="LC31" s="31">
        <v>2</v>
      </c>
      <c r="LD31" s="31">
        <v>2</v>
      </c>
      <c r="LE31" s="31">
        <v>2</v>
      </c>
      <c r="LF31" s="31">
        <v>2</v>
      </c>
      <c r="LG31" s="31">
        <v>2</v>
      </c>
      <c r="LH31" s="31">
        <v>2</v>
      </c>
      <c r="LI31" s="31">
        <v>2</v>
      </c>
      <c r="LJ31" s="31">
        <v>2</v>
      </c>
      <c r="LK31" s="31">
        <v>2</v>
      </c>
      <c r="LL31" s="31">
        <v>2</v>
      </c>
      <c r="LM31" s="31">
        <v>2</v>
      </c>
      <c r="LN31" s="31">
        <v>2</v>
      </c>
      <c r="LO31" s="31">
        <v>2</v>
      </c>
      <c r="LP31" s="31">
        <v>2</v>
      </c>
      <c r="LQ31" s="31">
        <v>2</v>
      </c>
      <c r="LR31" s="31">
        <v>2</v>
      </c>
      <c r="LS31" s="31">
        <v>2</v>
      </c>
      <c r="LT31" s="31">
        <v>2</v>
      </c>
      <c r="LU31" s="31">
        <v>2</v>
      </c>
      <c r="LV31" s="31">
        <v>2</v>
      </c>
      <c r="LW31" s="31">
        <v>2</v>
      </c>
      <c r="LX31" s="31">
        <v>2</v>
      </c>
      <c r="LY31" s="31">
        <v>2</v>
      </c>
      <c r="LZ31" s="31">
        <v>2</v>
      </c>
      <c r="MA31" s="31" t="s">
        <v>1151</v>
      </c>
      <c r="MB31" s="31" t="s">
        <v>1151</v>
      </c>
      <c r="ME31" s="31">
        <v>1</v>
      </c>
      <c r="MF31" s="31">
        <v>1</v>
      </c>
      <c r="MG31" s="31">
        <v>2</v>
      </c>
      <c r="MH31" s="31">
        <v>2</v>
      </c>
      <c r="MI31" s="31">
        <v>2</v>
      </c>
      <c r="MJ31" s="31">
        <v>2</v>
      </c>
      <c r="MK31" s="31">
        <v>1</v>
      </c>
      <c r="ML31" s="31">
        <v>1</v>
      </c>
      <c r="MM31" s="31">
        <v>2</v>
      </c>
      <c r="MN31" s="31">
        <v>2</v>
      </c>
      <c r="MO31" s="31">
        <v>2</v>
      </c>
      <c r="MP31" s="31">
        <v>2</v>
      </c>
      <c r="MQ31" s="31">
        <v>2</v>
      </c>
      <c r="MR31" s="31">
        <v>2</v>
      </c>
      <c r="MS31" s="31">
        <v>2</v>
      </c>
    </row>
    <row r="32" spans="1:357" s="31" customFormat="1" ht="13.5" customHeight="1">
      <c r="A32" s="31">
        <v>29</v>
      </c>
      <c r="B32" s="31">
        <v>29</v>
      </c>
      <c r="C32" s="31" t="s">
        <v>1115</v>
      </c>
      <c r="D32" s="31" t="s">
        <v>1176</v>
      </c>
      <c r="E32" s="31">
        <v>3</v>
      </c>
      <c r="H32" s="31">
        <v>42565</v>
      </c>
      <c r="I32" s="31">
        <v>19302</v>
      </c>
      <c r="J32" s="31">
        <v>1</v>
      </c>
      <c r="K32" s="31">
        <v>1</v>
      </c>
      <c r="L32" s="31">
        <v>1</v>
      </c>
      <c r="M32" s="31">
        <v>1</v>
      </c>
      <c r="N32" s="31">
        <v>1</v>
      </c>
      <c r="O32" s="31">
        <v>1</v>
      </c>
      <c r="P32" s="31">
        <v>1</v>
      </c>
      <c r="Q32" s="31">
        <v>1</v>
      </c>
      <c r="R32" s="31">
        <v>1</v>
      </c>
      <c r="S32" s="31">
        <v>1</v>
      </c>
      <c r="T32" s="31">
        <v>1</v>
      </c>
      <c r="U32" s="31">
        <v>2</v>
      </c>
      <c r="V32" s="31">
        <v>2</v>
      </c>
      <c r="W32" s="31">
        <v>1</v>
      </c>
      <c r="X32" s="31">
        <v>2</v>
      </c>
      <c r="Y32" s="31">
        <v>2</v>
      </c>
      <c r="Z32" s="31">
        <v>4</v>
      </c>
      <c r="AA32" s="31">
        <v>2</v>
      </c>
      <c r="AB32" s="31">
        <v>2</v>
      </c>
      <c r="AC32" s="31">
        <v>2</v>
      </c>
      <c r="AD32" s="31">
        <v>1</v>
      </c>
      <c r="AE32" s="31">
        <v>1</v>
      </c>
      <c r="AF32" s="31">
        <v>2</v>
      </c>
      <c r="AH32" s="31">
        <v>2</v>
      </c>
      <c r="AI32" s="31">
        <v>2</v>
      </c>
      <c r="AJ32" s="31">
        <v>2</v>
      </c>
      <c r="AK32" s="31" t="s">
        <v>357</v>
      </c>
      <c r="AL32" s="31">
        <v>2</v>
      </c>
      <c r="AM32" s="31" t="s">
        <v>357</v>
      </c>
      <c r="AN32" s="31" t="s">
        <v>357</v>
      </c>
      <c r="AO32" s="31">
        <v>1</v>
      </c>
      <c r="AP32" s="31" t="s">
        <v>1177</v>
      </c>
      <c r="AQ32" s="31">
        <v>2</v>
      </c>
      <c r="AS32" s="31">
        <v>2</v>
      </c>
      <c r="AV32" s="31">
        <v>2</v>
      </c>
      <c r="AX32" s="31">
        <v>1</v>
      </c>
      <c r="AZ32" s="31">
        <v>1</v>
      </c>
      <c r="BB32" s="31">
        <v>2</v>
      </c>
      <c r="BD32" s="31">
        <v>2</v>
      </c>
      <c r="BI32" s="31" t="s">
        <v>355</v>
      </c>
      <c r="BT32" s="31">
        <v>2</v>
      </c>
      <c r="BW32" s="31">
        <v>2</v>
      </c>
      <c r="BX32" s="31">
        <v>2</v>
      </c>
      <c r="BY32" s="31">
        <v>2</v>
      </c>
      <c r="BZ32" s="31">
        <v>2</v>
      </c>
      <c r="CA32" s="31">
        <v>2</v>
      </c>
      <c r="CB32" s="31">
        <v>2</v>
      </c>
      <c r="CC32" s="31">
        <v>2</v>
      </c>
      <c r="CG32" s="31">
        <v>2</v>
      </c>
      <c r="CH32" s="31">
        <v>2</v>
      </c>
      <c r="CI32" s="31">
        <v>2</v>
      </c>
      <c r="CJ32" s="31">
        <v>2</v>
      </c>
      <c r="CK32" s="31">
        <v>2</v>
      </c>
      <c r="CL32" s="31">
        <v>2</v>
      </c>
      <c r="CM32" s="31">
        <v>2</v>
      </c>
      <c r="CQ32" s="31">
        <v>2</v>
      </c>
      <c r="CR32" s="31">
        <v>2</v>
      </c>
      <c r="CS32" s="31">
        <v>2</v>
      </c>
      <c r="CT32" s="31">
        <v>2</v>
      </c>
      <c r="CU32" s="31">
        <v>2</v>
      </c>
      <c r="CV32" s="31">
        <v>2</v>
      </c>
      <c r="CW32" s="31">
        <v>2</v>
      </c>
      <c r="DA32" s="31">
        <v>2</v>
      </c>
      <c r="DB32" s="31">
        <v>2</v>
      </c>
      <c r="DC32" s="31">
        <v>2</v>
      </c>
      <c r="DD32" s="31">
        <v>2</v>
      </c>
      <c r="DE32" s="31">
        <v>2</v>
      </c>
      <c r="DF32" s="31">
        <v>2</v>
      </c>
      <c r="DG32" s="31">
        <v>2</v>
      </c>
      <c r="DK32" s="31">
        <v>2</v>
      </c>
      <c r="DL32" s="31">
        <v>2</v>
      </c>
      <c r="DM32" s="31">
        <v>2</v>
      </c>
      <c r="DN32" s="31">
        <v>2</v>
      </c>
      <c r="DO32" s="31">
        <v>2</v>
      </c>
      <c r="DP32" s="31">
        <v>2</v>
      </c>
      <c r="DQ32" s="31">
        <v>2</v>
      </c>
      <c r="DU32" s="31" t="s">
        <v>373</v>
      </c>
      <c r="EG32" s="31">
        <v>2</v>
      </c>
      <c r="EH32" s="31" t="s">
        <v>373</v>
      </c>
      <c r="EI32" s="31">
        <v>92</v>
      </c>
      <c r="EJ32" s="31">
        <v>2</v>
      </c>
      <c r="EL32" s="31">
        <v>72</v>
      </c>
      <c r="FH32" s="31" t="s">
        <v>359</v>
      </c>
      <c r="FJ32" s="31">
        <v>2</v>
      </c>
      <c r="FK32" s="31">
        <v>0</v>
      </c>
      <c r="FL32" s="31" t="s">
        <v>386</v>
      </c>
      <c r="FM32" s="31">
        <v>2</v>
      </c>
      <c r="FN32" s="31">
        <v>2</v>
      </c>
      <c r="FO32" s="31">
        <v>2</v>
      </c>
      <c r="FP32" s="31">
        <v>2</v>
      </c>
      <c r="FR32" s="31">
        <v>2</v>
      </c>
      <c r="FT32" s="31">
        <v>2</v>
      </c>
      <c r="FV32" s="31">
        <v>2</v>
      </c>
      <c r="FX32" s="31">
        <v>2</v>
      </c>
      <c r="FZ32" s="31">
        <v>2</v>
      </c>
      <c r="GB32" s="31">
        <v>2</v>
      </c>
      <c r="GD32" s="31">
        <v>2</v>
      </c>
      <c r="GF32" s="31">
        <v>2</v>
      </c>
      <c r="GH32" s="31">
        <v>2</v>
      </c>
      <c r="GJ32" s="31">
        <v>2</v>
      </c>
      <c r="GL32" s="31">
        <v>2</v>
      </c>
      <c r="GN32" s="31">
        <v>2</v>
      </c>
      <c r="GP32" s="31">
        <v>2</v>
      </c>
      <c r="GR32" s="31">
        <v>2</v>
      </c>
      <c r="GT32" s="31">
        <v>2</v>
      </c>
      <c r="GV32" s="31">
        <v>2</v>
      </c>
      <c r="GX32" s="31">
        <v>2</v>
      </c>
      <c r="GZ32" s="31">
        <v>2</v>
      </c>
      <c r="HB32" s="31">
        <v>2</v>
      </c>
      <c r="HD32" s="31">
        <v>2</v>
      </c>
      <c r="HF32" s="31" t="s">
        <v>355</v>
      </c>
      <c r="HH32" s="31">
        <v>2</v>
      </c>
      <c r="HJ32" s="31">
        <v>2</v>
      </c>
      <c r="HL32" s="31">
        <v>2</v>
      </c>
      <c r="HN32" s="31">
        <v>2</v>
      </c>
      <c r="HP32" s="31">
        <v>2</v>
      </c>
      <c r="HR32" s="31">
        <v>2</v>
      </c>
      <c r="HT32" s="31">
        <v>2</v>
      </c>
      <c r="HV32" s="31">
        <v>2</v>
      </c>
      <c r="HX32" s="31">
        <v>2</v>
      </c>
      <c r="HZ32" s="31">
        <v>2</v>
      </c>
      <c r="IB32" s="31">
        <v>2</v>
      </c>
      <c r="ID32" s="31">
        <v>2</v>
      </c>
      <c r="IF32" s="31">
        <v>2</v>
      </c>
      <c r="IH32" s="31">
        <v>2</v>
      </c>
      <c r="IJ32" s="31">
        <v>2</v>
      </c>
      <c r="IL32" s="31">
        <v>2</v>
      </c>
      <c r="IN32" s="31">
        <v>2</v>
      </c>
      <c r="IP32" s="31">
        <v>2</v>
      </c>
      <c r="IR32" s="31">
        <v>2</v>
      </c>
      <c r="IT32" s="31">
        <v>2</v>
      </c>
      <c r="IV32" s="31">
        <v>2</v>
      </c>
      <c r="IX32" s="31" t="s">
        <v>355</v>
      </c>
      <c r="IZ32" s="31">
        <v>2</v>
      </c>
      <c r="JB32" s="31">
        <v>2</v>
      </c>
      <c r="JD32" s="31">
        <v>2</v>
      </c>
      <c r="JF32" s="31">
        <v>2</v>
      </c>
      <c r="JH32" s="31">
        <v>2</v>
      </c>
      <c r="JJ32" s="31">
        <v>2</v>
      </c>
      <c r="JL32" s="31">
        <v>2</v>
      </c>
      <c r="JN32" s="31">
        <v>2</v>
      </c>
      <c r="JP32" s="31">
        <v>2</v>
      </c>
      <c r="JR32" s="31">
        <v>2</v>
      </c>
      <c r="JT32" s="31">
        <v>2</v>
      </c>
      <c r="JV32" s="31">
        <v>2</v>
      </c>
      <c r="JX32" s="31">
        <v>2</v>
      </c>
      <c r="JZ32" s="31">
        <v>2</v>
      </c>
      <c r="KB32" s="31">
        <v>2</v>
      </c>
      <c r="KD32" s="31">
        <v>2</v>
      </c>
      <c r="KF32" s="31">
        <v>2</v>
      </c>
      <c r="KH32" s="31">
        <v>2</v>
      </c>
      <c r="KJ32" s="31">
        <v>2</v>
      </c>
      <c r="KL32" s="31">
        <v>2</v>
      </c>
      <c r="KN32" s="31">
        <v>2</v>
      </c>
      <c r="KP32" s="31" t="s">
        <v>355</v>
      </c>
      <c r="KR32" s="31">
        <v>1</v>
      </c>
      <c r="KS32" s="31">
        <v>2</v>
      </c>
      <c r="KT32" s="31">
        <v>2</v>
      </c>
      <c r="KU32" s="31">
        <v>2</v>
      </c>
      <c r="KV32" s="31">
        <v>2</v>
      </c>
      <c r="KW32" s="31">
        <v>2</v>
      </c>
      <c r="KX32" s="31">
        <v>2</v>
      </c>
      <c r="KY32" s="31">
        <v>2</v>
      </c>
      <c r="KZ32" s="31">
        <v>2</v>
      </c>
      <c r="LA32" s="31">
        <v>2</v>
      </c>
      <c r="LB32" s="31">
        <v>2</v>
      </c>
      <c r="LC32" s="31">
        <v>2</v>
      </c>
      <c r="LD32" s="31">
        <v>2</v>
      </c>
      <c r="LE32" s="31">
        <v>2</v>
      </c>
      <c r="LF32" s="31">
        <v>2</v>
      </c>
      <c r="LG32" s="31">
        <v>2</v>
      </c>
      <c r="LH32" s="31">
        <v>2</v>
      </c>
      <c r="LI32" s="31">
        <v>2</v>
      </c>
      <c r="LJ32" s="31">
        <v>2</v>
      </c>
      <c r="LK32" s="31">
        <v>2</v>
      </c>
      <c r="LL32" s="31">
        <v>1</v>
      </c>
      <c r="LM32" s="31">
        <v>2</v>
      </c>
      <c r="LN32" s="31">
        <v>2</v>
      </c>
      <c r="LO32" s="31">
        <v>2</v>
      </c>
      <c r="LP32" s="31">
        <v>2</v>
      </c>
      <c r="LQ32" s="31">
        <v>2</v>
      </c>
      <c r="LR32" s="31">
        <v>1</v>
      </c>
      <c r="LS32" s="31">
        <v>2</v>
      </c>
      <c r="LT32" s="31">
        <v>2</v>
      </c>
      <c r="LU32" s="31">
        <v>2</v>
      </c>
      <c r="LV32" s="31">
        <v>2</v>
      </c>
      <c r="LW32" s="31">
        <v>2</v>
      </c>
      <c r="LX32" s="31">
        <v>2</v>
      </c>
      <c r="LY32" s="31">
        <v>2</v>
      </c>
      <c r="LZ32" s="31">
        <v>2</v>
      </c>
      <c r="MA32" s="31" t="s">
        <v>421</v>
      </c>
      <c r="MB32" s="31" t="s">
        <v>421</v>
      </c>
      <c r="ME32" s="31">
        <v>5</v>
      </c>
      <c r="MF32" s="31">
        <v>2</v>
      </c>
      <c r="MG32" s="31">
        <v>2</v>
      </c>
      <c r="MH32" s="31">
        <v>2</v>
      </c>
      <c r="MI32" s="31">
        <v>2</v>
      </c>
      <c r="MJ32" s="31">
        <v>2</v>
      </c>
      <c r="MK32" s="31">
        <v>5</v>
      </c>
      <c r="ML32" s="31">
        <v>2</v>
      </c>
      <c r="MM32" s="31">
        <v>2</v>
      </c>
      <c r="MN32" s="31">
        <v>2</v>
      </c>
      <c r="MO32" s="31">
        <v>2</v>
      </c>
      <c r="MP32" s="31">
        <v>2</v>
      </c>
      <c r="MQ32" s="31">
        <v>2</v>
      </c>
      <c r="MR32" s="31">
        <v>2</v>
      </c>
      <c r="MS32" s="31">
        <v>2</v>
      </c>
    </row>
    <row r="33" spans="1:357" s="31" customFormat="1" ht="13.5" customHeight="1">
      <c r="A33" s="31">
        <v>30</v>
      </c>
      <c r="B33" s="31">
        <v>30</v>
      </c>
      <c r="C33" s="31" t="s">
        <v>1115</v>
      </c>
      <c r="D33" s="31" t="s">
        <v>1178</v>
      </c>
      <c r="E33" s="31">
        <v>3</v>
      </c>
      <c r="H33" s="31">
        <v>42577</v>
      </c>
      <c r="I33" s="31">
        <v>18890</v>
      </c>
      <c r="J33" s="31">
        <v>1</v>
      </c>
      <c r="K33" s="31">
        <v>1</v>
      </c>
      <c r="L33" s="31">
        <v>3</v>
      </c>
      <c r="M33" s="31">
        <v>2</v>
      </c>
      <c r="N33" s="31">
        <v>3</v>
      </c>
      <c r="O33" s="31">
        <v>2</v>
      </c>
      <c r="P33" s="31">
        <v>3</v>
      </c>
      <c r="Q33" s="31">
        <v>2</v>
      </c>
      <c r="R33" s="31">
        <v>1</v>
      </c>
      <c r="S33" s="31">
        <v>2</v>
      </c>
      <c r="T33" s="31">
        <v>1</v>
      </c>
      <c r="U33" s="31">
        <v>2</v>
      </c>
      <c r="V33" s="31">
        <v>2</v>
      </c>
      <c r="W33" s="31">
        <v>2</v>
      </c>
      <c r="X33" s="31">
        <v>2</v>
      </c>
      <c r="Y33" s="31">
        <v>2</v>
      </c>
      <c r="Z33" s="31">
        <v>4</v>
      </c>
      <c r="AA33" s="31">
        <v>2</v>
      </c>
      <c r="AB33" s="31">
        <v>2</v>
      </c>
      <c r="AC33" s="31">
        <v>2</v>
      </c>
      <c r="AD33" s="31">
        <v>4</v>
      </c>
      <c r="AE33" s="31">
        <v>1</v>
      </c>
      <c r="AF33" s="31">
        <v>1</v>
      </c>
      <c r="AH33" s="31">
        <v>1</v>
      </c>
      <c r="AI33" s="31">
        <v>2</v>
      </c>
      <c r="AJ33" s="31">
        <v>2</v>
      </c>
      <c r="AK33" s="31" t="s">
        <v>357</v>
      </c>
      <c r="AL33" s="31">
        <v>2</v>
      </c>
      <c r="AM33" s="31" t="s">
        <v>357</v>
      </c>
      <c r="AN33" s="31" t="s">
        <v>357</v>
      </c>
      <c r="AO33" s="31">
        <v>1</v>
      </c>
      <c r="AP33" s="31" t="s">
        <v>422</v>
      </c>
      <c r="AQ33" s="31">
        <v>2</v>
      </c>
      <c r="AS33" s="31">
        <v>2</v>
      </c>
      <c r="AV33" s="31">
        <v>2</v>
      </c>
      <c r="AX33" s="31">
        <v>1</v>
      </c>
      <c r="AZ33" s="31">
        <v>2</v>
      </c>
      <c r="BB33" s="31">
        <v>2</v>
      </c>
      <c r="BD33" s="31">
        <v>2</v>
      </c>
      <c r="BI33" s="31" t="s">
        <v>355</v>
      </c>
      <c r="BT33" s="31">
        <v>2</v>
      </c>
      <c r="BW33" s="31">
        <v>2</v>
      </c>
      <c r="BX33" s="31">
        <v>2</v>
      </c>
      <c r="BY33" s="31">
        <v>2</v>
      </c>
      <c r="BZ33" s="31">
        <v>2</v>
      </c>
      <c r="CA33" s="31">
        <v>2</v>
      </c>
      <c r="CB33" s="31">
        <v>2</v>
      </c>
      <c r="CC33" s="31">
        <v>2</v>
      </c>
      <c r="CG33" s="31">
        <v>2</v>
      </c>
      <c r="CH33" s="31">
        <v>2</v>
      </c>
      <c r="CI33" s="31">
        <v>2</v>
      </c>
      <c r="CJ33" s="31">
        <v>2</v>
      </c>
      <c r="CK33" s="31">
        <v>2</v>
      </c>
      <c r="CL33" s="31">
        <v>2</v>
      </c>
      <c r="CM33" s="31">
        <v>2</v>
      </c>
      <c r="CQ33" s="31">
        <v>1</v>
      </c>
      <c r="CR33" s="31">
        <v>1</v>
      </c>
      <c r="CS33" s="31">
        <v>2</v>
      </c>
      <c r="CT33" s="31">
        <v>2</v>
      </c>
      <c r="CU33" s="31">
        <v>2</v>
      </c>
      <c r="CV33" s="31">
        <v>2</v>
      </c>
      <c r="CW33" s="31">
        <v>2</v>
      </c>
      <c r="DA33" s="31">
        <v>2</v>
      </c>
      <c r="DB33" s="31">
        <v>2</v>
      </c>
      <c r="DC33" s="31">
        <v>2</v>
      </c>
      <c r="DD33" s="31">
        <v>2</v>
      </c>
      <c r="DE33" s="31">
        <v>2</v>
      </c>
      <c r="DF33" s="31">
        <v>2</v>
      </c>
      <c r="DG33" s="31">
        <v>2</v>
      </c>
      <c r="DK33" s="31">
        <v>2</v>
      </c>
      <c r="DL33" s="31">
        <v>2</v>
      </c>
      <c r="DM33" s="31">
        <v>2</v>
      </c>
      <c r="DN33" s="31">
        <v>2</v>
      </c>
      <c r="DO33" s="31">
        <v>2</v>
      </c>
      <c r="DP33" s="31">
        <v>2</v>
      </c>
      <c r="DQ33" s="31">
        <v>2</v>
      </c>
      <c r="DX33" s="31" t="s">
        <v>1179</v>
      </c>
      <c r="EA33" s="31" t="s">
        <v>1180</v>
      </c>
      <c r="EG33" s="31">
        <v>2</v>
      </c>
      <c r="EH33" s="31" t="s">
        <v>364</v>
      </c>
      <c r="EI33" s="31">
        <v>87</v>
      </c>
      <c r="EJ33" s="31">
        <v>2</v>
      </c>
      <c r="EK33" s="31" t="s">
        <v>1179</v>
      </c>
      <c r="EL33" s="31">
        <v>64</v>
      </c>
      <c r="FH33" s="31" t="s">
        <v>400</v>
      </c>
      <c r="FI33" s="31" t="s">
        <v>399</v>
      </c>
      <c r="FJ33" s="31">
        <v>2</v>
      </c>
      <c r="FK33" s="31">
        <v>1</v>
      </c>
      <c r="FL33" s="31" t="s">
        <v>359</v>
      </c>
      <c r="FM33" s="31">
        <v>2</v>
      </c>
      <c r="FN33" s="31">
        <v>2</v>
      </c>
      <c r="FO33" s="31">
        <v>2</v>
      </c>
      <c r="FP33" s="31">
        <v>2</v>
      </c>
      <c r="FR33" s="31">
        <v>2</v>
      </c>
      <c r="FT33" s="31">
        <v>2</v>
      </c>
      <c r="FV33" s="31">
        <v>2</v>
      </c>
      <c r="FX33" s="31">
        <v>2</v>
      </c>
      <c r="FZ33" s="31">
        <v>2</v>
      </c>
      <c r="GB33" s="31">
        <v>2</v>
      </c>
      <c r="GD33" s="31">
        <v>2</v>
      </c>
      <c r="GF33" s="31">
        <v>2</v>
      </c>
      <c r="GH33" s="31">
        <v>2</v>
      </c>
      <c r="GJ33" s="31">
        <v>2</v>
      </c>
      <c r="GL33" s="31">
        <v>2</v>
      </c>
      <c r="GN33" s="31">
        <v>2</v>
      </c>
      <c r="GP33" s="31">
        <v>2</v>
      </c>
      <c r="GR33" s="31">
        <v>2</v>
      </c>
      <c r="GT33" s="31">
        <v>2</v>
      </c>
      <c r="GV33" s="31">
        <v>2</v>
      </c>
      <c r="GX33" s="31">
        <v>2</v>
      </c>
      <c r="GZ33" s="31">
        <v>2</v>
      </c>
      <c r="HB33" s="31">
        <v>2</v>
      </c>
      <c r="HD33" s="31">
        <v>2</v>
      </c>
      <c r="HF33" s="31" t="s">
        <v>355</v>
      </c>
      <c r="HH33" s="31">
        <v>2</v>
      </c>
      <c r="HJ33" s="31">
        <v>2</v>
      </c>
      <c r="HL33" s="31">
        <v>2</v>
      </c>
      <c r="HN33" s="31">
        <v>2</v>
      </c>
      <c r="HP33" s="31">
        <v>2</v>
      </c>
      <c r="HR33" s="31">
        <v>2</v>
      </c>
      <c r="HT33" s="31">
        <v>2</v>
      </c>
      <c r="HV33" s="31">
        <v>2</v>
      </c>
      <c r="HX33" s="31">
        <v>2</v>
      </c>
      <c r="HZ33" s="31">
        <v>2</v>
      </c>
      <c r="IB33" s="31">
        <v>2</v>
      </c>
      <c r="ID33" s="31">
        <v>2</v>
      </c>
      <c r="IF33" s="31">
        <v>2</v>
      </c>
      <c r="IH33" s="31">
        <v>2</v>
      </c>
      <c r="IJ33" s="31">
        <v>2</v>
      </c>
      <c r="IL33" s="31">
        <v>2</v>
      </c>
      <c r="IN33" s="31">
        <v>2</v>
      </c>
      <c r="IP33" s="31">
        <v>2</v>
      </c>
      <c r="IR33" s="31">
        <v>2</v>
      </c>
      <c r="IT33" s="31">
        <v>2</v>
      </c>
      <c r="IV33" s="31">
        <v>2</v>
      </c>
      <c r="IX33" s="31" t="s">
        <v>355</v>
      </c>
      <c r="IZ33" s="31">
        <v>2</v>
      </c>
      <c r="JB33" s="31">
        <v>2</v>
      </c>
      <c r="JD33" s="31">
        <v>2</v>
      </c>
      <c r="JF33" s="31">
        <v>2</v>
      </c>
      <c r="JH33" s="31">
        <v>2</v>
      </c>
      <c r="JJ33" s="31">
        <v>2</v>
      </c>
      <c r="JL33" s="31">
        <v>2</v>
      </c>
      <c r="JN33" s="31">
        <v>2</v>
      </c>
      <c r="JP33" s="31">
        <v>2</v>
      </c>
      <c r="JR33" s="31">
        <v>2</v>
      </c>
      <c r="JT33" s="31">
        <v>2</v>
      </c>
      <c r="JV33" s="31">
        <v>2</v>
      </c>
      <c r="JX33" s="31">
        <v>2</v>
      </c>
      <c r="JZ33" s="31">
        <v>2</v>
      </c>
      <c r="KB33" s="31">
        <v>2</v>
      </c>
      <c r="KD33" s="31">
        <v>2</v>
      </c>
      <c r="KF33" s="31">
        <v>2</v>
      </c>
      <c r="KH33" s="31">
        <v>2</v>
      </c>
      <c r="KJ33" s="31">
        <v>2</v>
      </c>
      <c r="KL33" s="31">
        <v>2</v>
      </c>
      <c r="KN33" s="31">
        <v>2</v>
      </c>
      <c r="KP33" s="31" t="s">
        <v>355</v>
      </c>
      <c r="KR33" s="31">
        <v>1</v>
      </c>
      <c r="KS33" s="31">
        <v>2</v>
      </c>
      <c r="KT33" s="31">
        <v>2</v>
      </c>
      <c r="KU33" s="31">
        <v>2</v>
      </c>
      <c r="KV33" s="31">
        <v>2</v>
      </c>
      <c r="KW33" s="31">
        <v>2</v>
      </c>
      <c r="KX33" s="31">
        <v>2</v>
      </c>
      <c r="KY33" s="31">
        <v>2</v>
      </c>
      <c r="KZ33" s="31">
        <v>2</v>
      </c>
      <c r="LA33" s="31">
        <v>2</v>
      </c>
      <c r="LB33" s="31">
        <v>2</v>
      </c>
      <c r="LC33" s="31">
        <v>2</v>
      </c>
      <c r="LD33" s="31">
        <v>2</v>
      </c>
      <c r="LE33" s="31">
        <v>2</v>
      </c>
      <c r="LF33" s="31">
        <v>2</v>
      </c>
      <c r="LG33" s="31">
        <v>2</v>
      </c>
      <c r="LH33" s="31">
        <v>2</v>
      </c>
      <c r="LI33" s="31">
        <v>2</v>
      </c>
      <c r="LJ33" s="31">
        <v>2</v>
      </c>
      <c r="LK33" s="31">
        <v>2</v>
      </c>
      <c r="LL33" s="31">
        <v>2</v>
      </c>
      <c r="LM33" s="31">
        <v>1</v>
      </c>
      <c r="LN33" s="31">
        <v>2</v>
      </c>
      <c r="LO33" s="31">
        <v>2</v>
      </c>
      <c r="LP33" s="31">
        <v>1</v>
      </c>
      <c r="LQ33" s="31">
        <v>2</v>
      </c>
      <c r="LR33" s="31">
        <v>2</v>
      </c>
      <c r="LS33" s="31">
        <v>2</v>
      </c>
      <c r="LT33" s="31">
        <v>2</v>
      </c>
      <c r="LU33" s="31">
        <v>2</v>
      </c>
      <c r="LV33" s="31">
        <v>2</v>
      </c>
      <c r="LW33" s="31">
        <v>2</v>
      </c>
      <c r="LX33" s="31">
        <v>2</v>
      </c>
      <c r="LY33" s="31">
        <v>2</v>
      </c>
      <c r="LZ33" s="31">
        <v>2</v>
      </c>
      <c r="MA33" s="31" t="s">
        <v>413</v>
      </c>
      <c r="MB33" s="31" t="s">
        <v>413</v>
      </c>
      <c r="ME33" s="31">
        <v>3</v>
      </c>
      <c r="MF33" s="31">
        <v>2</v>
      </c>
      <c r="MG33" s="31">
        <v>2</v>
      </c>
      <c r="MH33" s="31">
        <v>2</v>
      </c>
      <c r="MI33" s="31">
        <v>2</v>
      </c>
      <c r="MJ33" s="31">
        <v>2</v>
      </c>
      <c r="MK33" s="31">
        <v>3</v>
      </c>
      <c r="ML33" s="31">
        <v>2</v>
      </c>
      <c r="MM33" s="31">
        <v>2</v>
      </c>
      <c r="MN33" s="31">
        <v>2</v>
      </c>
      <c r="MO33" s="31">
        <v>2</v>
      </c>
      <c r="MP33" s="31">
        <v>2</v>
      </c>
      <c r="MQ33" s="31">
        <v>2</v>
      </c>
      <c r="MR33" s="31">
        <v>2</v>
      </c>
      <c r="MS33" s="31">
        <v>2</v>
      </c>
    </row>
    <row r="34" spans="1:357" s="31" customFormat="1" ht="13.5" customHeight="1">
      <c r="A34" s="31">
        <v>31</v>
      </c>
      <c r="B34" s="31">
        <v>31</v>
      </c>
      <c r="C34" s="31" t="s">
        <v>1115</v>
      </c>
      <c r="D34" s="31" t="s">
        <v>1181</v>
      </c>
      <c r="E34" s="31">
        <v>3</v>
      </c>
      <c r="H34" s="31">
        <v>42607</v>
      </c>
      <c r="I34" s="31">
        <v>42715</v>
      </c>
      <c r="J34" s="31">
        <v>1</v>
      </c>
      <c r="K34" s="31">
        <v>1</v>
      </c>
      <c r="L34" s="31">
        <v>5</v>
      </c>
      <c r="M34" s="31">
        <v>2</v>
      </c>
      <c r="N34" s="31">
        <v>4</v>
      </c>
      <c r="O34" s="31">
        <v>2</v>
      </c>
      <c r="P34" s="31">
        <v>5</v>
      </c>
      <c r="Q34" s="31">
        <v>2</v>
      </c>
      <c r="R34" s="31">
        <v>2</v>
      </c>
      <c r="S34" s="31">
        <v>2</v>
      </c>
      <c r="T34" s="31">
        <v>2</v>
      </c>
      <c r="U34" s="31">
        <v>2</v>
      </c>
      <c r="V34" s="31">
        <v>2</v>
      </c>
      <c r="W34" s="31">
        <v>2</v>
      </c>
      <c r="X34" s="31">
        <v>2</v>
      </c>
      <c r="Y34" s="31">
        <v>2</v>
      </c>
      <c r="Z34" s="31">
        <v>4</v>
      </c>
      <c r="AA34" s="31">
        <v>2</v>
      </c>
      <c r="AB34" s="31">
        <v>2</v>
      </c>
      <c r="AC34" s="31">
        <v>2</v>
      </c>
      <c r="AD34" s="31">
        <v>1</v>
      </c>
      <c r="AE34" s="31">
        <v>1</v>
      </c>
      <c r="AF34" s="31">
        <v>2</v>
      </c>
      <c r="AH34" s="31">
        <v>2</v>
      </c>
      <c r="AI34" s="31">
        <v>2</v>
      </c>
      <c r="AJ34" s="31">
        <v>2</v>
      </c>
      <c r="AK34" s="31" t="s">
        <v>357</v>
      </c>
      <c r="AL34" s="31">
        <v>2</v>
      </c>
      <c r="AM34" s="31" t="s">
        <v>357</v>
      </c>
      <c r="AN34" s="31" t="s">
        <v>357</v>
      </c>
      <c r="AO34" s="31">
        <v>2</v>
      </c>
      <c r="AQ34" s="31">
        <v>2</v>
      </c>
      <c r="AS34" s="31">
        <v>2</v>
      </c>
      <c r="AV34" s="31">
        <v>2</v>
      </c>
      <c r="AX34" s="31">
        <v>2</v>
      </c>
      <c r="AZ34" s="31">
        <v>2</v>
      </c>
      <c r="BB34" s="31">
        <v>2</v>
      </c>
      <c r="BD34" s="31">
        <v>2</v>
      </c>
      <c r="BI34" s="31" t="s">
        <v>355</v>
      </c>
      <c r="BT34" s="31">
        <v>2</v>
      </c>
      <c r="BW34" s="31">
        <v>2</v>
      </c>
      <c r="BX34" s="31">
        <v>2</v>
      </c>
      <c r="BY34" s="31">
        <v>2</v>
      </c>
      <c r="BZ34" s="31">
        <v>2</v>
      </c>
      <c r="CA34" s="31">
        <v>2</v>
      </c>
      <c r="CB34" s="31">
        <v>2</v>
      </c>
      <c r="CC34" s="31">
        <v>2</v>
      </c>
      <c r="CG34" s="31">
        <v>2</v>
      </c>
      <c r="CH34" s="31">
        <v>2</v>
      </c>
      <c r="CI34" s="31">
        <v>2</v>
      </c>
      <c r="CJ34" s="31">
        <v>2</v>
      </c>
      <c r="CK34" s="31">
        <v>2</v>
      </c>
      <c r="CL34" s="31">
        <v>2</v>
      </c>
      <c r="CM34" s="31">
        <v>2</v>
      </c>
      <c r="CQ34" s="31">
        <v>2</v>
      </c>
      <c r="CR34" s="31">
        <v>2</v>
      </c>
      <c r="CS34" s="31">
        <v>2</v>
      </c>
      <c r="CT34" s="31">
        <v>2</v>
      </c>
      <c r="CU34" s="31">
        <v>2</v>
      </c>
      <c r="CV34" s="31">
        <v>2</v>
      </c>
      <c r="CW34" s="31">
        <v>2</v>
      </c>
      <c r="DA34" s="31">
        <v>2</v>
      </c>
      <c r="DB34" s="31">
        <v>2</v>
      </c>
      <c r="DC34" s="31">
        <v>2</v>
      </c>
      <c r="DD34" s="31">
        <v>2</v>
      </c>
      <c r="DE34" s="31">
        <v>2</v>
      </c>
      <c r="DF34" s="31">
        <v>2</v>
      </c>
      <c r="DG34" s="31">
        <v>2</v>
      </c>
      <c r="DK34" s="31">
        <v>2</v>
      </c>
      <c r="DL34" s="31">
        <v>2</v>
      </c>
      <c r="DM34" s="31">
        <v>2</v>
      </c>
      <c r="DN34" s="31">
        <v>2</v>
      </c>
      <c r="DO34" s="31">
        <v>2</v>
      </c>
      <c r="DP34" s="31">
        <v>2</v>
      </c>
      <c r="DQ34" s="31">
        <v>2</v>
      </c>
      <c r="DT34" s="32"/>
      <c r="DU34" s="31" t="s">
        <v>380</v>
      </c>
      <c r="DX34" s="31" t="s">
        <v>392</v>
      </c>
      <c r="EA34" s="31" t="s">
        <v>1182</v>
      </c>
      <c r="EG34" s="31">
        <v>2</v>
      </c>
      <c r="EH34" s="31" t="s">
        <v>380</v>
      </c>
      <c r="EI34" s="31">
        <v>75</v>
      </c>
      <c r="EJ34" s="31">
        <v>2</v>
      </c>
      <c r="EK34" s="31" t="s">
        <v>392</v>
      </c>
      <c r="EL34" s="31">
        <v>69</v>
      </c>
      <c r="FH34" s="31" t="s">
        <v>360</v>
      </c>
      <c r="FI34" s="31" t="s">
        <v>359</v>
      </c>
      <c r="FJ34" s="31">
        <v>2</v>
      </c>
      <c r="FK34" s="31">
        <v>0</v>
      </c>
      <c r="FL34" s="31" t="s">
        <v>1183</v>
      </c>
      <c r="FM34" s="31">
        <v>2</v>
      </c>
      <c r="FN34" s="31">
        <v>2</v>
      </c>
      <c r="FO34" s="31">
        <v>2</v>
      </c>
      <c r="FP34" s="31">
        <v>2</v>
      </c>
      <c r="FR34" s="31">
        <v>2</v>
      </c>
      <c r="FT34" s="31">
        <v>2</v>
      </c>
      <c r="FV34" s="31">
        <v>2</v>
      </c>
      <c r="FX34" s="31">
        <v>2</v>
      </c>
      <c r="FZ34" s="31">
        <v>2</v>
      </c>
      <c r="GB34" s="31">
        <v>2</v>
      </c>
      <c r="GD34" s="31">
        <v>2</v>
      </c>
      <c r="GF34" s="31">
        <v>2</v>
      </c>
      <c r="GH34" s="31">
        <v>2</v>
      </c>
      <c r="GJ34" s="31">
        <v>2</v>
      </c>
      <c r="GL34" s="31">
        <v>2</v>
      </c>
      <c r="GN34" s="31">
        <v>2</v>
      </c>
      <c r="GP34" s="31">
        <v>2</v>
      </c>
      <c r="GR34" s="31">
        <v>2</v>
      </c>
      <c r="GT34" s="31">
        <v>2</v>
      </c>
      <c r="GV34" s="31">
        <v>2</v>
      </c>
      <c r="GX34" s="31">
        <v>2</v>
      </c>
      <c r="GZ34" s="31">
        <v>2</v>
      </c>
      <c r="HB34" s="31">
        <v>2</v>
      </c>
      <c r="HD34" s="31">
        <v>2</v>
      </c>
      <c r="HF34" s="31" t="s">
        <v>355</v>
      </c>
      <c r="HH34" s="31">
        <v>2</v>
      </c>
      <c r="HJ34" s="31">
        <v>2</v>
      </c>
      <c r="HL34" s="31">
        <v>2</v>
      </c>
      <c r="HN34" s="31">
        <v>2</v>
      </c>
      <c r="HP34" s="31">
        <v>2</v>
      </c>
      <c r="HR34" s="31">
        <v>2</v>
      </c>
      <c r="HT34" s="31">
        <v>2</v>
      </c>
      <c r="HV34" s="31">
        <v>2</v>
      </c>
      <c r="HX34" s="31">
        <v>2</v>
      </c>
      <c r="HZ34" s="31">
        <v>2</v>
      </c>
      <c r="IB34" s="31">
        <v>2</v>
      </c>
      <c r="ID34" s="31">
        <v>2</v>
      </c>
      <c r="IF34" s="31">
        <v>2</v>
      </c>
      <c r="IH34" s="31">
        <v>2</v>
      </c>
      <c r="IJ34" s="31">
        <v>2</v>
      </c>
      <c r="IL34" s="31">
        <v>2</v>
      </c>
      <c r="IN34" s="31">
        <v>2</v>
      </c>
      <c r="IP34" s="31">
        <v>2</v>
      </c>
      <c r="IR34" s="31">
        <v>2</v>
      </c>
      <c r="IT34" s="31">
        <v>2</v>
      </c>
      <c r="IV34" s="31">
        <v>2</v>
      </c>
      <c r="IX34" s="31" t="s">
        <v>355</v>
      </c>
      <c r="IZ34" s="31">
        <v>2</v>
      </c>
      <c r="JB34" s="31">
        <v>2</v>
      </c>
      <c r="JD34" s="31">
        <v>2</v>
      </c>
      <c r="JF34" s="31">
        <v>2</v>
      </c>
      <c r="JH34" s="31">
        <v>2</v>
      </c>
      <c r="JJ34" s="31">
        <v>2</v>
      </c>
      <c r="JL34" s="31">
        <v>2</v>
      </c>
      <c r="JN34" s="31">
        <v>2</v>
      </c>
      <c r="JO34" s="33"/>
      <c r="JP34" s="31">
        <v>2</v>
      </c>
      <c r="JR34" s="31">
        <v>2</v>
      </c>
      <c r="JT34" s="31">
        <v>2</v>
      </c>
      <c r="JV34" s="31">
        <v>2</v>
      </c>
      <c r="JX34" s="31">
        <v>2</v>
      </c>
      <c r="JZ34" s="31">
        <v>2</v>
      </c>
      <c r="KB34" s="31">
        <v>2</v>
      </c>
      <c r="KD34" s="31">
        <v>2</v>
      </c>
      <c r="KF34" s="31">
        <v>2</v>
      </c>
      <c r="KH34" s="31">
        <v>2</v>
      </c>
      <c r="KJ34" s="31">
        <v>2</v>
      </c>
      <c r="KL34" s="31">
        <v>2</v>
      </c>
      <c r="KN34" s="31">
        <v>2</v>
      </c>
      <c r="KP34" s="31" t="s">
        <v>355</v>
      </c>
      <c r="KR34" s="31">
        <v>1</v>
      </c>
      <c r="KS34" s="31">
        <v>2</v>
      </c>
      <c r="KT34" s="31">
        <v>2</v>
      </c>
      <c r="KU34" s="31">
        <v>2</v>
      </c>
      <c r="KV34" s="31">
        <v>2</v>
      </c>
      <c r="KW34" s="31">
        <v>2</v>
      </c>
      <c r="KX34" s="31">
        <v>2</v>
      </c>
      <c r="KY34" s="31">
        <v>2</v>
      </c>
      <c r="KZ34" s="31">
        <v>2</v>
      </c>
      <c r="LA34" s="31">
        <v>2</v>
      </c>
      <c r="LB34" s="31">
        <v>2</v>
      </c>
      <c r="LC34" s="31">
        <v>2</v>
      </c>
      <c r="LD34" s="31">
        <v>2</v>
      </c>
      <c r="LE34" s="31">
        <v>2</v>
      </c>
      <c r="LF34" s="31">
        <v>2</v>
      </c>
      <c r="LG34" s="31">
        <v>2</v>
      </c>
      <c r="LH34" s="31">
        <v>2</v>
      </c>
      <c r="LI34" s="31">
        <v>2</v>
      </c>
      <c r="LJ34" s="31">
        <v>2</v>
      </c>
      <c r="LK34" s="31">
        <v>2</v>
      </c>
      <c r="LL34" s="31">
        <v>2</v>
      </c>
      <c r="LM34" s="31">
        <v>2</v>
      </c>
      <c r="LN34" s="31">
        <v>2</v>
      </c>
      <c r="LO34" s="31">
        <v>2</v>
      </c>
      <c r="LP34" s="31">
        <v>2</v>
      </c>
      <c r="LQ34" s="31">
        <v>2</v>
      </c>
      <c r="LR34" s="31">
        <v>2</v>
      </c>
      <c r="LS34" s="31">
        <v>2</v>
      </c>
      <c r="LT34" s="31">
        <v>2</v>
      </c>
      <c r="LU34" s="31">
        <v>2</v>
      </c>
      <c r="LV34" s="31">
        <v>2</v>
      </c>
      <c r="LW34" s="31">
        <v>2</v>
      </c>
      <c r="LX34" s="31">
        <v>2</v>
      </c>
      <c r="LY34" s="31">
        <v>2</v>
      </c>
      <c r="LZ34" s="31">
        <v>2</v>
      </c>
      <c r="MA34" s="31" t="s">
        <v>402</v>
      </c>
      <c r="MB34" s="31" t="s">
        <v>402</v>
      </c>
      <c r="ME34" s="31">
        <v>5</v>
      </c>
      <c r="MF34" s="31">
        <v>2</v>
      </c>
      <c r="MG34" s="31">
        <v>2</v>
      </c>
      <c r="MH34" s="31">
        <v>2</v>
      </c>
      <c r="MI34" s="31">
        <v>2</v>
      </c>
      <c r="MJ34" s="31">
        <v>2</v>
      </c>
      <c r="MK34" s="31">
        <v>5</v>
      </c>
      <c r="ML34" s="31">
        <v>2</v>
      </c>
      <c r="MM34" s="31">
        <v>2</v>
      </c>
      <c r="MN34" s="31">
        <v>2</v>
      </c>
      <c r="MO34" s="31">
        <v>2</v>
      </c>
      <c r="MP34" s="31">
        <v>2</v>
      </c>
      <c r="MQ34" s="31">
        <v>2</v>
      </c>
      <c r="MR34" s="31">
        <v>2</v>
      </c>
      <c r="MS34" s="31">
        <v>2</v>
      </c>
    </row>
    <row r="35" spans="1:357" s="31" customFormat="1" ht="13.5" customHeight="1">
      <c r="A35" s="31">
        <v>32</v>
      </c>
      <c r="B35" s="31">
        <v>32</v>
      </c>
      <c r="C35" s="31" t="s">
        <v>1115</v>
      </c>
      <c r="D35" s="31" t="s">
        <v>1184</v>
      </c>
      <c r="E35" s="31">
        <v>3</v>
      </c>
      <c r="H35" s="31">
        <v>42607</v>
      </c>
      <c r="I35" s="31">
        <v>22471</v>
      </c>
      <c r="J35" s="31">
        <v>2</v>
      </c>
      <c r="K35" s="31">
        <v>1</v>
      </c>
      <c r="L35" s="31">
        <v>5</v>
      </c>
      <c r="M35" s="31">
        <v>2</v>
      </c>
      <c r="N35" s="31">
        <v>5</v>
      </c>
      <c r="O35" s="31">
        <v>2</v>
      </c>
      <c r="P35" s="31">
        <v>5</v>
      </c>
      <c r="Q35" s="31">
        <v>2</v>
      </c>
      <c r="R35" s="31">
        <v>2</v>
      </c>
      <c r="S35" s="31">
        <v>2</v>
      </c>
      <c r="T35" s="31">
        <v>2</v>
      </c>
      <c r="U35" s="31">
        <v>2</v>
      </c>
      <c r="V35" s="31">
        <v>2</v>
      </c>
      <c r="W35" s="31">
        <v>2</v>
      </c>
      <c r="X35" s="31">
        <v>2</v>
      </c>
      <c r="Y35" s="31">
        <v>2</v>
      </c>
      <c r="Z35" s="31">
        <v>4</v>
      </c>
      <c r="AA35" s="31">
        <v>2</v>
      </c>
      <c r="AB35" s="31">
        <v>2</v>
      </c>
      <c r="AC35" s="31">
        <v>2</v>
      </c>
      <c r="AD35" s="31">
        <v>1</v>
      </c>
      <c r="AE35" s="31">
        <v>1</v>
      </c>
      <c r="AF35" s="31">
        <v>2</v>
      </c>
      <c r="AH35" s="31">
        <v>2</v>
      </c>
      <c r="AI35" s="31">
        <v>2</v>
      </c>
      <c r="AJ35" s="31">
        <v>2</v>
      </c>
      <c r="AK35" s="31" t="s">
        <v>357</v>
      </c>
      <c r="AL35" s="31">
        <v>2</v>
      </c>
      <c r="AM35" s="31" t="s">
        <v>357</v>
      </c>
      <c r="AN35" s="31" t="s">
        <v>357</v>
      </c>
      <c r="AO35" s="31">
        <v>2</v>
      </c>
      <c r="AQ35" s="31">
        <v>2</v>
      </c>
      <c r="AS35" s="31">
        <v>2</v>
      </c>
      <c r="AV35" s="31">
        <v>2</v>
      </c>
      <c r="AX35" s="31">
        <v>2</v>
      </c>
      <c r="AZ35" s="31">
        <v>2</v>
      </c>
      <c r="BB35" s="31">
        <v>2</v>
      </c>
      <c r="BD35" s="31">
        <v>2</v>
      </c>
      <c r="BI35" s="31" t="s">
        <v>355</v>
      </c>
      <c r="BT35" s="31">
        <v>2</v>
      </c>
      <c r="BW35" s="31">
        <v>2</v>
      </c>
      <c r="BX35" s="31">
        <v>2</v>
      </c>
      <c r="BY35" s="31">
        <v>2</v>
      </c>
      <c r="BZ35" s="31">
        <v>2</v>
      </c>
      <c r="CA35" s="31">
        <v>2</v>
      </c>
      <c r="CB35" s="31">
        <v>2</v>
      </c>
      <c r="CC35" s="31">
        <v>2</v>
      </c>
      <c r="CG35" s="31">
        <v>2</v>
      </c>
      <c r="CH35" s="31">
        <v>2</v>
      </c>
      <c r="CI35" s="31">
        <v>2</v>
      </c>
      <c r="CJ35" s="31">
        <v>2</v>
      </c>
      <c r="CK35" s="31">
        <v>2</v>
      </c>
      <c r="CL35" s="31">
        <v>2</v>
      </c>
      <c r="CM35" s="31">
        <v>2</v>
      </c>
      <c r="CQ35" s="31">
        <v>2</v>
      </c>
      <c r="CR35" s="31">
        <v>2</v>
      </c>
      <c r="CS35" s="31">
        <v>2</v>
      </c>
      <c r="CT35" s="31">
        <v>2</v>
      </c>
      <c r="CU35" s="31">
        <v>2</v>
      </c>
      <c r="CV35" s="31">
        <v>2</v>
      </c>
      <c r="CW35" s="31">
        <v>2</v>
      </c>
      <c r="DA35" s="31">
        <v>2</v>
      </c>
      <c r="DB35" s="31">
        <v>2</v>
      </c>
      <c r="DC35" s="31">
        <v>2</v>
      </c>
      <c r="DD35" s="31">
        <v>2</v>
      </c>
      <c r="DE35" s="31">
        <v>2</v>
      </c>
      <c r="DF35" s="31">
        <v>2</v>
      </c>
      <c r="DG35" s="31">
        <v>2</v>
      </c>
      <c r="DK35" s="31">
        <v>2</v>
      </c>
      <c r="DL35" s="31">
        <v>2</v>
      </c>
      <c r="DM35" s="31">
        <v>2</v>
      </c>
      <c r="DN35" s="31">
        <v>2</v>
      </c>
      <c r="DO35" s="31">
        <v>2</v>
      </c>
      <c r="DP35" s="31">
        <v>2</v>
      </c>
      <c r="DQ35" s="31">
        <v>2</v>
      </c>
      <c r="DX35" s="31" t="s">
        <v>380</v>
      </c>
      <c r="EG35" s="31">
        <v>1</v>
      </c>
      <c r="EJ35" s="31">
        <v>2</v>
      </c>
      <c r="EK35" s="31" t="s">
        <v>380</v>
      </c>
      <c r="EL35" s="31">
        <v>73</v>
      </c>
      <c r="FH35" s="31" t="s">
        <v>375</v>
      </c>
      <c r="FI35" s="31" t="s">
        <v>381</v>
      </c>
      <c r="FJ35" s="31">
        <v>2</v>
      </c>
      <c r="FK35" s="31">
        <v>1</v>
      </c>
      <c r="FL35" s="31" t="s">
        <v>369</v>
      </c>
      <c r="FM35" s="31">
        <v>2</v>
      </c>
      <c r="FN35" s="31">
        <v>2</v>
      </c>
      <c r="FO35" s="31">
        <v>2</v>
      </c>
      <c r="FP35" s="31">
        <v>2</v>
      </c>
      <c r="FR35" s="31">
        <v>2</v>
      </c>
      <c r="FT35" s="31">
        <v>2</v>
      </c>
      <c r="FV35" s="31">
        <v>2</v>
      </c>
      <c r="FX35" s="31">
        <v>2</v>
      </c>
      <c r="FZ35" s="31">
        <v>2</v>
      </c>
      <c r="GB35" s="31">
        <v>2</v>
      </c>
      <c r="GD35" s="31">
        <v>2</v>
      </c>
      <c r="GF35" s="31">
        <v>2</v>
      </c>
      <c r="GH35" s="31">
        <v>2</v>
      </c>
      <c r="GJ35" s="31">
        <v>2</v>
      </c>
      <c r="GL35" s="31">
        <v>2</v>
      </c>
      <c r="GN35" s="31">
        <v>2</v>
      </c>
      <c r="GP35" s="31">
        <v>2</v>
      </c>
      <c r="GR35" s="31">
        <v>2</v>
      </c>
      <c r="GT35" s="31">
        <v>2</v>
      </c>
      <c r="GV35" s="31">
        <v>2</v>
      </c>
      <c r="GX35" s="31">
        <v>2</v>
      </c>
      <c r="GZ35" s="31">
        <v>2</v>
      </c>
      <c r="HB35" s="31">
        <v>2</v>
      </c>
      <c r="HD35" s="31">
        <v>2</v>
      </c>
      <c r="HF35" s="31" t="s">
        <v>355</v>
      </c>
      <c r="HH35" s="31">
        <v>2</v>
      </c>
      <c r="HJ35" s="31">
        <v>2</v>
      </c>
      <c r="HL35" s="31">
        <v>2</v>
      </c>
      <c r="HN35" s="31">
        <v>2</v>
      </c>
      <c r="HP35" s="31">
        <v>2</v>
      </c>
      <c r="HR35" s="31">
        <v>2</v>
      </c>
      <c r="HT35" s="31">
        <v>2</v>
      </c>
      <c r="HV35" s="31">
        <v>2</v>
      </c>
      <c r="HX35" s="31">
        <v>2</v>
      </c>
      <c r="HZ35" s="31">
        <v>2</v>
      </c>
      <c r="IB35" s="31">
        <v>2</v>
      </c>
      <c r="ID35" s="31">
        <v>2</v>
      </c>
      <c r="IF35" s="31">
        <v>2</v>
      </c>
      <c r="IH35" s="31">
        <v>2</v>
      </c>
      <c r="IJ35" s="31">
        <v>2</v>
      </c>
      <c r="IL35" s="31">
        <v>2</v>
      </c>
      <c r="IN35" s="31">
        <v>2</v>
      </c>
      <c r="IP35" s="31">
        <v>2</v>
      </c>
      <c r="IR35" s="31">
        <v>2</v>
      </c>
      <c r="IT35" s="31">
        <v>2</v>
      </c>
      <c r="IV35" s="31">
        <v>2</v>
      </c>
      <c r="IX35" s="31" t="s">
        <v>355</v>
      </c>
      <c r="IZ35" s="31">
        <v>2</v>
      </c>
      <c r="JB35" s="31">
        <v>2</v>
      </c>
      <c r="JD35" s="31">
        <v>2</v>
      </c>
      <c r="JF35" s="31">
        <v>2</v>
      </c>
      <c r="JH35" s="31">
        <v>2</v>
      </c>
      <c r="JJ35" s="31">
        <v>2</v>
      </c>
      <c r="JL35" s="31">
        <v>2</v>
      </c>
      <c r="JN35" s="31">
        <v>2</v>
      </c>
      <c r="JP35" s="31">
        <v>2</v>
      </c>
      <c r="JR35" s="31">
        <v>2</v>
      </c>
      <c r="JT35" s="31">
        <v>2</v>
      </c>
      <c r="JV35" s="31">
        <v>2</v>
      </c>
      <c r="JX35" s="31">
        <v>2</v>
      </c>
      <c r="JZ35" s="31">
        <v>2</v>
      </c>
      <c r="KB35" s="31">
        <v>2</v>
      </c>
      <c r="KD35" s="31">
        <v>2</v>
      </c>
      <c r="KF35" s="31">
        <v>2</v>
      </c>
      <c r="KH35" s="31">
        <v>2</v>
      </c>
      <c r="KJ35" s="31">
        <v>2</v>
      </c>
      <c r="KL35" s="31">
        <v>2</v>
      </c>
      <c r="KN35" s="31">
        <v>2</v>
      </c>
      <c r="KP35" s="31" t="s">
        <v>355</v>
      </c>
      <c r="KR35" s="31">
        <v>1</v>
      </c>
      <c r="KS35" s="31">
        <v>2</v>
      </c>
      <c r="KT35" s="31">
        <v>2</v>
      </c>
      <c r="KU35" s="31">
        <v>2</v>
      </c>
      <c r="KV35" s="31">
        <v>2</v>
      </c>
      <c r="KW35" s="31">
        <v>2</v>
      </c>
      <c r="KX35" s="31">
        <v>2</v>
      </c>
      <c r="KY35" s="31">
        <v>2</v>
      </c>
      <c r="KZ35" s="31">
        <v>2</v>
      </c>
      <c r="LA35" s="31">
        <v>2</v>
      </c>
      <c r="LB35" s="31">
        <v>2</v>
      </c>
      <c r="LC35" s="31">
        <v>2</v>
      </c>
      <c r="LD35" s="31">
        <v>2</v>
      </c>
      <c r="LE35" s="31">
        <v>2</v>
      </c>
      <c r="LF35" s="31">
        <v>2</v>
      </c>
      <c r="LG35" s="31">
        <v>2</v>
      </c>
      <c r="LH35" s="31">
        <v>2</v>
      </c>
      <c r="LI35" s="31">
        <v>2</v>
      </c>
      <c r="LJ35" s="31">
        <v>2</v>
      </c>
      <c r="LK35" s="31">
        <v>2</v>
      </c>
      <c r="LL35" s="31">
        <v>2</v>
      </c>
      <c r="LM35" s="31">
        <v>2</v>
      </c>
      <c r="LN35" s="31">
        <v>2</v>
      </c>
      <c r="LO35" s="31">
        <v>1</v>
      </c>
      <c r="LP35" s="31">
        <v>2</v>
      </c>
      <c r="LQ35" s="31">
        <v>2</v>
      </c>
      <c r="LR35" s="31">
        <v>2</v>
      </c>
      <c r="LS35" s="31">
        <v>2</v>
      </c>
      <c r="LT35" s="31">
        <v>2</v>
      </c>
      <c r="LU35" s="31">
        <v>2</v>
      </c>
      <c r="LV35" s="31">
        <v>2</v>
      </c>
      <c r="LW35" s="31">
        <v>2</v>
      </c>
      <c r="LX35" s="31">
        <v>2</v>
      </c>
      <c r="LY35" s="31">
        <v>2</v>
      </c>
      <c r="LZ35" s="31">
        <v>2</v>
      </c>
      <c r="MA35" s="31" t="s">
        <v>1185</v>
      </c>
      <c r="MB35" s="31" t="s">
        <v>1185</v>
      </c>
      <c r="ME35" s="31">
        <v>5</v>
      </c>
      <c r="MF35" s="31">
        <v>2</v>
      </c>
      <c r="MG35" s="31">
        <v>2</v>
      </c>
      <c r="MH35" s="31">
        <v>2</v>
      </c>
      <c r="MI35" s="31">
        <v>2</v>
      </c>
      <c r="MJ35" s="31">
        <v>2</v>
      </c>
      <c r="MK35" s="31">
        <v>5</v>
      </c>
      <c r="ML35" s="31">
        <v>2</v>
      </c>
      <c r="MM35" s="31">
        <v>2</v>
      </c>
      <c r="MN35" s="31">
        <v>2</v>
      </c>
      <c r="MO35" s="31">
        <v>2</v>
      </c>
      <c r="MP35" s="31">
        <v>2</v>
      </c>
      <c r="MQ35" s="31">
        <v>2</v>
      </c>
      <c r="MR35" s="31">
        <v>2</v>
      </c>
      <c r="MS35" s="31">
        <v>2</v>
      </c>
    </row>
    <row r="36" spans="1:357" s="31" customFormat="1" ht="13.5" customHeight="1"/>
    <row r="37" spans="1:357" s="31" customFormat="1" ht="13.5" customHeight="1"/>
    <row r="38" spans="1:357" s="31" customFormat="1" ht="13.5" customHeight="1"/>
    <row r="39" spans="1:357" s="31" customFormat="1" ht="13.5" customHeight="1"/>
    <row r="40" spans="1:357" s="31" customFormat="1" ht="13.5" customHeight="1"/>
    <row r="41" spans="1:357" s="31" customFormat="1" ht="13.5" customHeight="1"/>
    <row r="42" spans="1:357" s="31" customFormat="1" ht="13.5" customHeight="1"/>
    <row r="43" spans="1:357" s="31" customFormat="1" ht="13.5" customHeight="1"/>
    <row r="44" spans="1:357" s="31" customFormat="1" ht="13.5" customHeight="1"/>
    <row r="45" spans="1:357" s="31" customFormat="1" ht="13.5" customHeight="1"/>
    <row r="46" spans="1:357" s="31" customFormat="1" ht="13.5" customHeight="1"/>
    <row r="47" spans="1:357" s="31" customFormat="1" ht="13.5" customHeight="1"/>
    <row r="48" spans="1:357" s="31" customFormat="1" ht="13.5" customHeight="1"/>
    <row r="49" s="31" customFormat="1" ht="13.5" customHeight="1"/>
    <row r="50" s="31" customFormat="1" ht="13.5" customHeight="1"/>
    <row r="51" s="31" customFormat="1" ht="13.5" customHeight="1"/>
    <row r="52" s="31" customFormat="1" ht="13.5" customHeight="1"/>
    <row r="53" s="31" customFormat="1" ht="13.5" customHeight="1"/>
    <row r="54" s="31" customFormat="1" ht="13.5" customHeight="1"/>
    <row r="55" s="31" customFormat="1" ht="13.5" customHeight="1"/>
    <row r="56" s="31" customFormat="1" ht="13.5" customHeight="1"/>
    <row r="57" s="31" customFormat="1" ht="13.5" customHeight="1"/>
    <row r="58" s="31" customFormat="1" ht="13.5" customHeight="1"/>
    <row r="59" s="31" customFormat="1" ht="13.5" customHeight="1"/>
    <row r="60" s="31" customFormat="1" ht="13.5" customHeight="1"/>
    <row r="61" s="31" customFormat="1" ht="13.5" customHeight="1"/>
    <row r="62" s="31" customFormat="1" ht="13.5" customHeight="1"/>
    <row r="63" s="31" customFormat="1" ht="13.5" customHeight="1"/>
    <row r="64" s="31" customFormat="1" ht="13.5" customHeight="1"/>
    <row r="65" spans="294:294" s="31" customFormat="1" ht="13.5" customHeight="1"/>
    <row r="66" spans="294:294" s="31" customFormat="1" ht="13.5" customHeight="1"/>
    <row r="67" spans="294:294" s="31" customFormat="1" ht="13.5" customHeight="1"/>
    <row r="68" spans="294:294" s="31" customFormat="1" ht="13.5" customHeight="1"/>
    <row r="69" spans="294:294" s="31" customFormat="1" ht="13.5" customHeight="1"/>
    <row r="70" spans="294:294" s="31" customFormat="1" ht="13.5" customHeight="1"/>
    <row r="71" spans="294:294" s="31" customFormat="1" ht="13.5" customHeight="1"/>
    <row r="72" spans="294:294" s="31" customFormat="1" ht="13.5" customHeight="1"/>
    <row r="73" spans="294:294" s="31" customFormat="1" ht="13.5" customHeight="1"/>
    <row r="74" spans="294:294" s="31" customFormat="1" ht="13.5" customHeight="1"/>
    <row r="75" spans="294:294" s="31" customFormat="1" ht="13.5" customHeight="1">
      <c r="KH75" s="33"/>
    </row>
    <row r="76" spans="294:294" s="31" customFormat="1" ht="13.5" customHeight="1"/>
    <row r="77" spans="294:294" s="31" customFormat="1" ht="13.5" customHeight="1"/>
    <row r="78" spans="294:294" s="31" customFormat="1" ht="13.5" customHeight="1"/>
    <row r="79" spans="294:294" s="31" customFormat="1" ht="13.5" customHeight="1"/>
    <row r="80" spans="294:294" s="31" customFormat="1" ht="13.5" customHeight="1"/>
    <row r="81" spans="124:288" s="31" customFormat="1" ht="13.5" customHeight="1">
      <c r="DT81" s="32"/>
    </row>
    <row r="82" spans="124:288" s="31" customFormat="1" ht="13.5" customHeight="1"/>
    <row r="83" spans="124:288" s="31" customFormat="1" ht="13.5" customHeight="1"/>
    <row r="84" spans="124:288" s="31" customFormat="1" ht="13.5" customHeight="1"/>
    <row r="85" spans="124:288" s="31" customFormat="1" ht="13.5" customHeight="1"/>
    <row r="86" spans="124:288" s="31" customFormat="1" ht="13.5" customHeight="1"/>
    <row r="87" spans="124:288" s="31" customFormat="1" ht="13.5" customHeight="1"/>
    <row r="88" spans="124:288" s="31" customFormat="1" ht="13.5" customHeight="1"/>
    <row r="89" spans="124:288" s="31" customFormat="1" ht="13.5" customHeight="1"/>
    <row r="90" spans="124:288" s="31" customFormat="1" ht="13.5" customHeight="1"/>
    <row r="91" spans="124:288" s="31" customFormat="1" ht="13.5" customHeight="1">
      <c r="KB91" s="33"/>
    </row>
    <row r="92" spans="124:288" s="31" customFormat="1" ht="13.5" customHeight="1"/>
    <row r="93" spans="124:288" s="31" customFormat="1" ht="13.5" customHeight="1"/>
    <row r="94" spans="124:288" s="31" customFormat="1" ht="13.5" customHeight="1"/>
    <row r="95" spans="124:288" s="31" customFormat="1" ht="13.5" customHeight="1"/>
    <row r="96" spans="124:288" s="31" customFormat="1" ht="13.5" customHeight="1"/>
    <row r="97" spans="531:531" s="31" customFormat="1" ht="13.5" customHeight="1">
      <c r="TK97" s="33"/>
    </row>
    <row r="98" spans="531:531" s="31" customFormat="1" ht="13.5" customHeight="1"/>
    <row r="99" spans="531:531" s="31" customFormat="1" ht="13.5" customHeight="1"/>
    <row r="100" spans="531:531" s="31" customFormat="1" ht="13.5" customHeight="1"/>
    <row r="101" spans="531:531" s="31" customFormat="1" ht="13.5" customHeight="1"/>
    <row r="102" spans="531:531" s="31" customFormat="1" ht="13.5" customHeight="1"/>
    <row r="103" spans="531:531" s="31" customFormat="1" ht="13.5" customHeight="1"/>
    <row r="104" spans="531:531" s="31" customFormat="1" ht="13.5" customHeight="1"/>
    <row r="105" spans="531:531" s="31" customFormat="1" ht="13.5" customHeight="1"/>
    <row r="106" spans="531:531" s="31" customFormat="1" ht="13.5" customHeight="1"/>
    <row r="107" spans="531:531" s="31" customFormat="1" ht="13.5" customHeight="1"/>
    <row r="108" spans="531:531" s="31" customFormat="1" ht="13.5" customHeight="1"/>
    <row r="109" spans="531:531" s="31" customFormat="1" ht="13.5" customHeight="1"/>
    <row r="110" spans="531:531" s="31" customFormat="1" ht="13.5" customHeight="1"/>
    <row r="111" spans="531:531" s="31" customFormat="1" ht="13.5" customHeight="1"/>
    <row r="112" spans="531:531" s="31" customFormat="1" ht="13.5" customHeight="1"/>
    <row r="113" spans="196:196" s="31" customFormat="1" ht="13.5" customHeight="1"/>
    <row r="114" spans="196:196" s="31" customFormat="1" ht="13.5" customHeight="1"/>
    <row r="115" spans="196:196" s="31" customFormat="1" ht="13.5" customHeight="1"/>
    <row r="116" spans="196:196" s="31" customFormat="1" ht="13.5" customHeight="1"/>
    <row r="117" spans="196:196" s="31" customFormat="1" ht="13.5" customHeight="1"/>
    <row r="118" spans="196:196" s="31" customFormat="1" ht="13.5" customHeight="1"/>
    <row r="119" spans="196:196" s="31" customFormat="1" ht="13.5" customHeight="1"/>
    <row r="120" spans="196:196" s="31" customFormat="1" ht="13.5" customHeight="1"/>
    <row r="121" spans="196:196" s="31" customFormat="1" ht="13.5" customHeight="1"/>
    <row r="122" spans="196:196" s="31" customFormat="1" ht="13.5" customHeight="1"/>
    <row r="123" spans="196:196" s="31" customFormat="1" ht="13.5" customHeight="1"/>
    <row r="124" spans="196:196" s="31" customFormat="1" ht="13.5" customHeight="1">
      <c r="GN124" s="34"/>
    </row>
    <row r="125" spans="196:196" s="31" customFormat="1" ht="13.5" customHeight="1"/>
    <row r="126" spans="196:196" s="31" customFormat="1" ht="13.5" customHeight="1"/>
    <row r="127" spans="196:196" s="31" customFormat="1" ht="13.5" customHeight="1"/>
    <row r="128" spans="196:196" s="31" customFormat="1" ht="13.5" customHeight="1"/>
    <row r="129" spans="196:196" s="31" customFormat="1" ht="13.5" customHeight="1"/>
    <row r="130" spans="196:196" s="31" customFormat="1" ht="13.5" customHeight="1">
      <c r="GN130" s="35"/>
    </row>
    <row r="131" spans="196:196" s="31" customFormat="1" ht="13.5" customHeight="1"/>
    <row r="132" spans="196:196" s="31" customFormat="1" ht="13.5" customHeight="1"/>
    <row r="133" spans="196:196" s="31" customFormat="1" ht="13.5" customHeight="1"/>
    <row r="134" spans="196:196" s="31" customFormat="1" ht="13.5" customHeight="1"/>
    <row r="135" spans="196:196" s="31" customFormat="1" ht="13.5" customHeight="1">
      <c r="GN135" s="34"/>
    </row>
    <row r="136" spans="196:196" s="31" customFormat="1" ht="13.5" customHeight="1"/>
    <row r="137" spans="196:196" s="31" customFormat="1" ht="13.5" customHeight="1">
      <c r="GN137" s="35"/>
    </row>
    <row r="138" spans="196:196" s="31" customFormat="1" ht="13.5" customHeight="1"/>
    <row r="139" spans="196:196" s="31" customFormat="1" ht="13.5" customHeight="1">
      <c r="GN139" s="35"/>
    </row>
    <row r="140" spans="196:196" s="31" customFormat="1" ht="13.5" customHeight="1"/>
    <row r="141" spans="196:196" s="31" customFormat="1" ht="13.5" customHeight="1"/>
    <row r="142" spans="196:196" s="31" customFormat="1" ht="13.5" customHeight="1">
      <c r="GN142" s="35"/>
    </row>
    <row r="143" spans="196:196" s="31" customFormat="1" ht="13.5" customHeight="1"/>
    <row r="144" spans="196:196" s="31" customFormat="1" ht="13.5" customHeight="1"/>
    <row r="145" s="31" customFormat="1" ht="13.5" customHeight="1"/>
    <row r="146" s="31" customFormat="1" ht="13.5" customHeight="1"/>
    <row r="147" s="31" customFormat="1" ht="13.5" customHeight="1"/>
    <row r="148" s="31" customFormat="1" ht="13.5" customHeight="1"/>
    <row r="149" s="31" customFormat="1" ht="13.5" customHeight="1"/>
    <row r="150" s="31" customFormat="1" ht="13.5" customHeight="1"/>
    <row r="151" s="31" customFormat="1" ht="13.5" customHeight="1"/>
    <row r="152" s="31" customFormat="1" ht="13.5" customHeight="1"/>
    <row r="153" s="31" customFormat="1" ht="13.5" customHeight="1"/>
    <row r="154" s="31" customFormat="1" ht="13.5" customHeight="1"/>
    <row r="155" s="31" customFormat="1" ht="13.5" customHeight="1"/>
    <row r="156" s="31" customFormat="1" ht="13.5" customHeight="1"/>
    <row r="157" s="31" customFormat="1" ht="13.5" customHeight="1"/>
    <row r="158" s="31" customFormat="1" ht="13.5" customHeight="1"/>
    <row r="159" s="31" customFormat="1" ht="13.5" customHeight="1"/>
    <row r="160" s="31" customFormat="1" ht="13.5" customHeight="1"/>
    <row r="161" s="31" customFormat="1" ht="13.5" customHeight="1"/>
    <row r="162" s="31" customFormat="1" ht="13.5" customHeight="1"/>
    <row r="163" s="31" customFormat="1" ht="13.5" customHeight="1"/>
    <row r="164" s="31" customFormat="1" ht="13.5" customHeight="1"/>
    <row r="165" s="31" customFormat="1" ht="13.5" customHeight="1"/>
    <row r="166" s="31" customFormat="1" ht="13.5" customHeight="1"/>
    <row r="167" s="31" customFormat="1" ht="13.5" customHeight="1"/>
    <row r="168" s="31" customFormat="1" ht="13.5" customHeight="1"/>
    <row r="169" s="31" customFormat="1" ht="13.5" customHeight="1"/>
    <row r="170" s="31" customFormat="1" ht="13.5" customHeight="1"/>
    <row r="171" s="31" customFormat="1" ht="13.5" customHeight="1"/>
    <row r="172" s="31" customFormat="1" ht="13.5" customHeight="1"/>
    <row r="173" s="31" customFormat="1" ht="13.5" customHeight="1"/>
    <row r="174" s="31" customFormat="1" ht="13.5" customHeight="1"/>
    <row r="175" s="31" customFormat="1" ht="13.5" customHeight="1"/>
    <row r="176" s="31" customFormat="1" ht="13.5" customHeight="1"/>
    <row r="177" s="31" customFormat="1" ht="13.5" customHeight="1"/>
    <row r="178" s="31" customFormat="1" ht="13.5" customHeight="1"/>
    <row r="179" s="31" customFormat="1" ht="13.5" customHeight="1"/>
    <row r="180" s="31" customFormat="1" ht="13.5" customHeight="1"/>
    <row r="181" s="31" customFormat="1" ht="13.5" customHeight="1"/>
    <row r="182" s="31" customFormat="1" ht="13.5" customHeight="1"/>
    <row r="183" s="31" customFormat="1" ht="13.5" customHeight="1"/>
    <row r="184" s="31" customFormat="1" ht="13.5" customHeight="1"/>
    <row r="185" s="31" customFormat="1" ht="13.5" customHeight="1"/>
    <row r="186" s="31" customFormat="1" ht="13.5" customHeight="1"/>
    <row r="187" s="31" customFormat="1" ht="13.5" customHeight="1"/>
    <row r="188" s="31" customFormat="1" ht="13.5" customHeight="1"/>
    <row r="189" s="31" customFormat="1" ht="13.5" customHeight="1"/>
    <row r="190" s="31" customFormat="1" ht="13.5" customHeight="1"/>
    <row r="191" s="31" customFormat="1" ht="13.5" customHeight="1"/>
    <row r="192" s="31" customFormat="1" ht="13.5" customHeight="1"/>
    <row r="193" spans="124:124" s="31" customFormat="1" ht="13.5" customHeight="1"/>
    <row r="194" spans="124:124" s="31" customFormat="1" ht="13.5" customHeight="1"/>
    <row r="195" spans="124:124" s="31" customFormat="1" ht="13.5" customHeight="1"/>
    <row r="196" spans="124:124" s="31" customFormat="1" ht="13.5" customHeight="1"/>
    <row r="197" spans="124:124" s="31" customFormat="1" ht="13.5" customHeight="1"/>
    <row r="198" spans="124:124" s="31" customFormat="1" ht="13.5" customHeight="1"/>
    <row r="199" spans="124:124" s="31" customFormat="1" ht="13.5" customHeight="1"/>
    <row r="200" spans="124:124" s="31" customFormat="1" ht="13.5" customHeight="1"/>
    <row r="201" spans="124:124" s="31" customFormat="1" ht="13.5" customHeight="1"/>
    <row r="202" spans="124:124" s="31" customFormat="1" ht="13.5" customHeight="1"/>
    <row r="203" spans="124:124" s="31" customFormat="1" ht="13.5" customHeight="1"/>
    <row r="204" spans="124:124" s="31" customFormat="1" ht="13.5" customHeight="1">
      <c r="DT204" s="32"/>
    </row>
    <row r="205" spans="124:124" s="31" customFormat="1" ht="13.5" customHeight="1"/>
    <row r="206" spans="124:124" s="31" customFormat="1" ht="13.5" customHeight="1"/>
    <row r="207" spans="124:124" s="31" customFormat="1" ht="13.5" customHeight="1"/>
    <row r="208" spans="124:124" s="31" customFormat="1" ht="13.5" customHeight="1"/>
    <row r="209" spans="124:124" s="31" customFormat="1" ht="13.5" customHeight="1"/>
    <row r="210" spans="124:124" s="31" customFormat="1" ht="13.5" customHeight="1"/>
    <row r="211" spans="124:124" s="31" customFormat="1" ht="13.5" customHeight="1"/>
    <row r="212" spans="124:124" s="31" customFormat="1" ht="13.5" customHeight="1"/>
    <row r="213" spans="124:124" s="31" customFormat="1" ht="13.5" customHeight="1"/>
    <row r="214" spans="124:124" s="31" customFormat="1" ht="13.5" customHeight="1"/>
    <row r="215" spans="124:124" s="31" customFormat="1" ht="13.5" customHeight="1"/>
    <row r="216" spans="124:124" s="31" customFormat="1" ht="13.5" customHeight="1"/>
    <row r="217" spans="124:124" s="31" customFormat="1" ht="13.5" customHeight="1"/>
    <row r="218" spans="124:124" s="31" customFormat="1" ht="13.5" customHeight="1"/>
    <row r="219" spans="124:124" s="31" customFormat="1" ht="13.5" customHeight="1">
      <c r="DT219" s="32"/>
    </row>
    <row r="220" spans="124:124" s="31" customFormat="1" ht="13.5" customHeight="1"/>
    <row r="221" spans="124:124" s="31" customFormat="1" ht="13.5" customHeight="1"/>
    <row r="222" spans="124:124" s="31" customFormat="1" ht="13.5" customHeight="1"/>
    <row r="223" spans="124:124" s="31" customFormat="1" ht="13.5" customHeight="1"/>
    <row r="224" spans="124:124" s="31" customFormat="1" ht="13.5" customHeight="1">
      <c r="DT224" s="32"/>
    </row>
    <row r="225" s="31" customFormat="1" ht="13.5" customHeight="1"/>
    <row r="226" s="31" customFormat="1" ht="13.5" customHeight="1"/>
    <row r="227" s="31" customFormat="1" ht="13.5" customHeight="1"/>
    <row r="228" s="31" customFormat="1" ht="13.5" customHeight="1"/>
    <row r="229" s="31" customFormat="1" ht="13.5" customHeight="1"/>
    <row r="230" s="31" customFormat="1" ht="13.5" customHeight="1"/>
    <row r="231" s="31" customFormat="1" ht="13.5" customHeight="1"/>
    <row r="232" s="31" customFormat="1" ht="13.5" customHeight="1"/>
    <row r="233" s="31" customFormat="1" ht="13.5" customHeight="1"/>
    <row r="234" s="31" customFormat="1" ht="13.5" customHeight="1"/>
    <row r="235" s="31" customFormat="1" ht="13.5" customHeight="1"/>
    <row r="236" s="31" customFormat="1" ht="13.5" customHeight="1"/>
    <row r="237" s="31" customFormat="1" ht="13.5" customHeight="1"/>
    <row r="238" s="31" customFormat="1" ht="13.5" customHeight="1"/>
    <row r="239" s="31" customFormat="1" ht="13.5" customHeight="1"/>
    <row r="240" s="31" customFormat="1" ht="13.5" customHeight="1"/>
    <row r="241" s="31" customFormat="1" ht="13.5" customHeight="1"/>
    <row r="242" s="31" customFormat="1" ht="13.5" customHeight="1"/>
    <row r="243" s="31" customFormat="1" ht="13.5" customHeight="1"/>
    <row r="244" s="31" customFormat="1" ht="13.5" customHeight="1"/>
    <row r="245" s="31" customFormat="1" ht="13.5" customHeight="1"/>
    <row r="246" s="31" customFormat="1" ht="13.5" customHeight="1"/>
    <row r="247" s="31" customFormat="1" ht="13.5" customHeight="1"/>
    <row r="248" s="31" customFormat="1" ht="13.5" customHeight="1"/>
    <row r="249" s="31" customFormat="1" ht="13.5" customHeight="1"/>
    <row r="250" s="31" customFormat="1" ht="13.5" customHeight="1"/>
    <row r="251" s="31" customFormat="1" ht="13.5" customHeight="1"/>
    <row r="252" s="31" customFormat="1" ht="13.5" customHeight="1"/>
    <row r="253" s="31" customFormat="1" ht="13.5" customHeight="1"/>
    <row r="254" s="31" customFormat="1" ht="13.5" customHeight="1"/>
    <row r="255" s="31" customFormat="1" ht="13.5" customHeight="1"/>
    <row r="256" s="31" customFormat="1" ht="13.5" customHeight="1"/>
    <row r="257" s="31" customFormat="1" ht="13.5" customHeight="1"/>
    <row r="258" s="31" customFormat="1" ht="13.5" customHeight="1"/>
    <row r="259" s="31" customFormat="1" ht="13.5" customHeight="1"/>
    <row r="260" s="31" customFormat="1" ht="13.5" customHeight="1"/>
    <row r="261" s="31" customFormat="1" ht="13.5" customHeight="1"/>
    <row r="262" s="31" customFormat="1" ht="13.5" customHeight="1"/>
    <row r="263" s="31" customFormat="1" ht="13.5" customHeight="1"/>
    <row r="264" s="31" customFormat="1" ht="13.5" customHeight="1"/>
    <row r="265" s="31" customFormat="1" ht="13.5" customHeight="1"/>
    <row r="266" s="31" customFormat="1" ht="13.5" customHeight="1"/>
    <row r="267" s="31" customFormat="1" ht="13.5" customHeight="1"/>
    <row r="268" s="31" customFormat="1" ht="13.5" customHeight="1"/>
    <row r="269" s="31" customFormat="1" ht="13.5" customHeight="1"/>
    <row r="270" s="31" customFormat="1" ht="13.5" customHeight="1"/>
    <row r="271" s="31" customFormat="1" ht="13.5" customHeight="1"/>
    <row r="272" s="31" customFormat="1" ht="13.5" customHeight="1"/>
    <row r="273" s="31" customFormat="1" ht="13.5" customHeight="1"/>
    <row r="274" s="31" customFormat="1" ht="13.5" customHeight="1"/>
    <row r="275" s="31" customFormat="1" ht="13.5" customHeight="1"/>
    <row r="276" s="31" customFormat="1" ht="13.5" customHeight="1"/>
    <row r="277" s="31" customFormat="1" ht="13.5" customHeight="1"/>
    <row r="278" s="31" customFormat="1" ht="13.5" customHeight="1"/>
    <row r="279" s="31" customFormat="1" ht="13.5" customHeight="1"/>
    <row r="280" s="31" customFormat="1" ht="13.5" customHeight="1"/>
    <row r="281" s="31" customFormat="1" ht="13.5" customHeight="1"/>
    <row r="282" s="31" customFormat="1" ht="13.5" customHeight="1"/>
    <row r="283" s="31" customFormat="1" ht="13.5" customHeight="1"/>
    <row r="284" s="31" customFormat="1" ht="13.5" customHeight="1"/>
    <row r="285" s="31" customFormat="1" ht="13.5" customHeight="1"/>
    <row r="286" s="31" customFormat="1" ht="13.5" customHeight="1"/>
    <row r="287" s="31" customFormat="1" ht="13.5" customHeight="1"/>
    <row r="288" s="31" customFormat="1" ht="13.5" customHeight="1"/>
    <row r="289" s="31" customFormat="1" ht="13.5" customHeight="1"/>
    <row r="290" s="31" customFormat="1" ht="13.5" customHeight="1"/>
    <row r="291" s="31" customFormat="1" ht="13.5" customHeight="1"/>
    <row r="292" s="31" customFormat="1" ht="13.5" customHeight="1"/>
    <row r="293" s="31" customFormat="1" ht="13.5" customHeight="1"/>
    <row r="294" s="31" customFormat="1" ht="13.5" customHeight="1"/>
    <row r="295" s="31" customFormat="1" ht="13.5" customHeight="1"/>
    <row r="296" s="31" customFormat="1" ht="13.5" customHeight="1"/>
    <row r="297" s="31" customFormat="1" ht="13.5" customHeight="1"/>
    <row r="298" s="31" customFormat="1" ht="13.5" customHeight="1"/>
    <row r="299" s="31" customFormat="1" ht="13.5" customHeight="1"/>
    <row r="300" s="31" customFormat="1" ht="13.5" customHeight="1"/>
    <row r="301" s="31" customFormat="1" ht="13.5" customHeight="1"/>
    <row r="302" s="31" customFormat="1" ht="13.5" customHeight="1"/>
    <row r="303" s="31" customFormat="1" ht="13.5" customHeight="1"/>
    <row r="304" s="31" customFormat="1" ht="13.5" customHeight="1"/>
    <row r="305" s="31" customFormat="1" ht="13.5" customHeight="1"/>
    <row r="306" s="31" customFormat="1" ht="13.5" customHeight="1"/>
    <row r="307" s="31" customFormat="1" ht="13.5" customHeight="1"/>
    <row r="308" s="31" customFormat="1" ht="13.5" customHeight="1"/>
    <row r="309" s="31" customFormat="1" ht="13.5" customHeight="1"/>
    <row r="310" s="31" customFormat="1" ht="13.5" customHeight="1"/>
    <row r="311" s="31" customFormat="1" ht="13.5" customHeight="1"/>
    <row r="312" s="31" customFormat="1" ht="13.5" customHeight="1"/>
    <row r="313" s="31" customFormat="1" ht="13.5" customHeight="1"/>
    <row r="314" s="31" customFormat="1" ht="13.5" customHeight="1"/>
    <row r="315" s="31" customFormat="1" ht="13.5" customHeight="1"/>
    <row r="316" s="31" customFormat="1" ht="13.5" customHeight="1"/>
    <row r="317" s="31" customFormat="1" ht="13.5" customHeight="1"/>
    <row r="318" s="31" customFormat="1" ht="13.5" customHeight="1"/>
    <row r="319" s="31" customFormat="1" ht="13.5" customHeight="1"/>
    <row r="320" s="31" customFormat="1" ht="13.5" customHeight="1"/>
    <row r="321" s="31" customFormat="1" ht="13.5" customHeight="1"/>
    <row r="322" s="31" customFormat="1" ht="13.5" customHeight="1"/>
    <row r="323" s="31" customFormat="1" ht="13.5" customHeight="1"/>
    <row r="324" s="31" customFormat="1" ht="13.5" customHeight="1"/>
    <row r="325" s="31" customFormat="1" ht="13.5" customHeight="1"/>
    <row r="326" s="31" customFormat="1" ht="13.5" customHeight="1"/>
    <row r="327" s="31" customFormat="1" ht="13.5" customHeight="1"/>
    <row r="328" s="31" customFormat="1" ht="13.5" customHeight="1"/>
    <row r="329" s="31" customFormat="1" ht="13.5" customHeight="1"/>
    <row r="330" s="31" customFormat="1" ht="13.5" customHeight="1"/>
    <row r="331" s="31" customFormat="1" ht="13.5" customHeight="1"/>
    <row r="332" s="31" customFormat="1" ht="13.5" customHeight="1"/>
    <row r="333" s="31" customFormat="1" ht="13.5" customHeight="1"/>
    <row r="334" s="31" customFormat="1" ht="13.5" customHeight="1"/>
    <row r="335" s="31" customFormat="1" ht="13.5" customHeight="1"/>
    <row r="336" s="31" customFormat="1" ht="13.5" customHeight="1"/>
    <row r="337" s="31" customFormat="1" ht="13.5" customHeight="1"/>
    <row r="338" s="31" customFormat="1" ht="13.5" customHeight="1"/>
    <row r="339" s="31" customFormat="1" ht="13.5" customHeight="1"/>
    <row r="340" s="31" customFormat="1" ht="13.5" customHeight="1"/>
    <row r="341" s="31" customFormat="1" ht="13.5" customHeight="1"/>
    <row r="342" s="31" customFormat="1" ht="13.5" customHeight="1"/>
    <row r="343" s="31" customFormat="1" ht="13.5" customHeight="1"/>
    <row r="344" s="31" customFormat="1" ht="13.5" customHeight="1"/>
    <row r="345" s="31" customFormat="1" ht="13.5" customHeight="1"/>
    <row r="346" s="31" customFormat="1" ht="13.5" customHeight="1"/>
    <row r="347" s="31" customFormat="1" ht="13.5" customHeight="1"/>
    <row r="348" s="31" customFormat="1" ht="13.5" customHeight="1"/>
    <row r="349" s="31" customFormat="1" ht="13.5" customHeight="1"/>
    <row r="350" s="31" customFormat="1" ht="13.5" customHeight="1"/>
    <row r="351" s="31" customFormat="1" ht="13.5" customHeight="1"/>
    <row r="352" s="31" customFormat="1" ht="13.5" customHeight="1"/>
    <row r="353" s="31" customFormat="1" ht="13.5" customHeight="1"/>
    <row r="354" s="31" customFormat="1" ht="13.5" customHeight="1"/>
    <row r="355" s="31" customFormat="1" ht="13.5" customHeight="1"/>
    <row r="356" s="31" customFormat="1" ht="13.5" customHeight="1"/>
    <row r="357" s="31" customFormat="1" ht="13.5" customHeight="1"/>
    <row r="358" s="31" customFormat="1" ht="13.5" customHeight="1"/>
    <row r="359" s="31" customFormat="1" ht="13.5" customHeight="1"/>
    <row r="360" s="31" customFormat="1" ht="13.5" customHeight="1"/>
    <row r="361" s="31" customFormat="1" ht="13.5" customHeight="1"/>
    <row r="362" s="31" customFormat="1" ht="13.5" customHeight="1"/>
    <row r="363" s="31" customFormat="1" ht="13.5" customHeight="1"/>
    <row r="364" s="31" customFormat="1" ht="13.5" customHeight="1"/>
    <row r="365" s="31" customFormat="1" ht="13.5" customHeight="1"/>
    <row r="366" s="31" customFormat="1" ht="13.5" customHeight="1"/>
    <row r="367" s="31" customFormat="1" ht="13.5" customHeight="1"/>
    <row r="368" s="31" customFormat="1" ht="13.5" customHeight="1"/>
    <row r="369" s="31" customFormat="1" ht="13.5" customHeight="1"/>
    <row r="370" s="31" customFormat="1" ht="13.5" customHeight="1"/>
    <row r="371" s="31" customFormat="1" ht="13.5" customHeight="1"/>
    <row r="372" s="31" customFormat="1" ht="13.5" customHeight="1"/>
    <row r="373" s="31" customFormat="1" ht="13.5" customHeight="1"/>
    <row r="374" s="31" customFormat="1" ht="13.5" customHeight="1"/>
    <row r="375" s="31" customFormat="1" ht="13.5" customHeight="1"/>
    <row r="376" s="31" customFormat="1" ht="13.5" customHeight="1"/>
    <row r="377" s="31" customFormat="1" ht="13.5" customHeight="1"/>
    <row r="378" s="31" customFormat="1" ht="13.5" customHeight="1"/>
    <row r="379" s="31" customFormat="1" ht="13.5" customHeight="1"/>
    <row r="380" s="31" customFormat="1" ht="13.5" customHeight="1"/>
    <row r="381" s="31" customFormat="1" ht="13.5" customHeight="1"/>
    <row r="382" s="31" customFormat="1" ht="13.5" customHeight="1"/>
    <row r="383" s="31" customFormat="1" ht="13.5" customHeight="1"/>
    <row r="384" s="31" customFormat="1" ht="13.5" customHeight="1"/>
    <row r="385" s="31" customFormat="1" ht="13.5" customHeight="1"/>
    <row r="386" s="31" customFormat="1" ht="13.5" customHeight="1"/>
    <row r="387" s="31" customFormat="1" ht="13.5" customHeight="1"/>
    <row r="388" s="31" customFormat="1" ht="13.5" customHeight="1"/>
    <row r="389" s="31" customFormat="1" ht="13.5" customHeight="1"/>
    <row r="390" s="31" customFormat="1" ht="13.5" customHeight="1"/>
    <row r="391" s="31" customFormat="1" ht="13.5" customHeight="1"/>
    <row r="392" s="31" customFormat="1" ht="13.5" customHeight="1"/>
    <row r="393" s="31" customFormat="1" ht="13.5" customHeight="1"/>
    <row r="394" s="31" customFormat="1" ht="13.5" customHeight="1"/>
    <row r="395" s="31" customFormat="1" ht="13.5" customHeight="1"/>
    <row r="396" s="31" customFormat="1" ht="13.5" customHeight="1"/>
    <row r="397" s="31" customFormat="1" ht="13.5" customHeight="1"/>
    <row r="398" s="31" customFormat="1" ht="13.5" customHeight="1"/>
    <row r="399" s="31" customFormat="1" ht="13.5" customHeight="1"/>
    <row r="400" s="31" customFormat="1" ht="13.5" customHeight="1"/>
    <row r="401" s="31" customFormat="1" ht="13.5" customHeight="1"/>
    <row r="402" s="31" customFormat="1" ht="13.5" customHeight="1"/>
    <row r="403" s="31" customFormat="1" ht="13.5" customHeight="1"/>
    <row r="404" s="31" customFormat="1" ht="13.5" customHeight="1"/>
    <row r="405" s="31" customFormat="1" ht="13.5" customHeight="1"/>
    <row r="406" s="31" customFormat="1" ht="13.5" customHeight="1"/>
    <row r="407" s="31" customFormat="1" ht="13.5" customHeight="1"/>
    <row r="408" s="31" customFormat="1" ht="13.5" customHeight="1"/>
    <row r="409" s="31" customFormat="1" ht="13.5" customHeight="1"/>
    <row r="410" s="31" customFormat="1" ht="13.5" customHeight="1"/>
    <row r="411" s="31" customFormat="1" ht="13.5" customHeight="1"/>
    <row r="412" s="31" customFormat="1" ht="13.5" customHeight="1"/>
    <row r="413" s="31" customFormat="1" ht="13.5" customHeight="1"/>
    <row r="414" s="31" customFormat="1" ht="13.5" customHeight="1"/>
    <row r="415" s="31" customFormat="1" ht="13.5" customHeight="1"/>
    <row r="416" s="31" customFormat="1" ht="13.5" customHeight="1"/>
    <row r="417" s="31" customFormat="1" ht="13.5" customHeight="1"/>
    <row r="418" s="31" customFormat="1" ht="13.5" customHeight="1"/>
    <row r="419" s="31" customFormat="1" ht="13.5" customHeight="1"/>
    <row r="420" s="31" customFormat="1" ht="13.5" customHeight="1"/>
    <row r="421" s="31" customFormat="1" ht="13.5" customHeight="1"/>
    <row r="422" s="31" customFormat="1" ht="13.5" customHeight="1"/>
    <row r="423" s="31" customFormat="1" ht="13.5" customHeight="1"/>
    <row r="424" s="31" customFormat="1" ht="13.5" customHeight="1"/>
    <row r="425" s="31" customFormat="1" ht="13.5" customHeight="1"/>
    <row r="426" s="31" customFormat="1" ht="13.5" customHeight="1"/>
    <row r="427" s="31" customFormat="1" ht="13.5" customHeight="1"/>
    <row r="428" s="31" customFormat="1" ht="13.5" customHeight="1"/>
    <row r="429" s="31" customFormat="1" ht="13.5" customHeight="1"/>
    <row r="430" s="31" customFormat="1" ht="13.5" customHeight="1"/>
    <row r="431" s="31" customFormat="1" ht="13.5" customHeight="1"/>
    <row r="432" s="31" customFormat="1" ht="13.5" customHeight="1"/>
    <row r="433" s="31" customFormat="1" ht="13.5" customHeight="1"/>
    <row r="434" s="31" customFormat="1" ht="13.5" customHeight="1"/>
    <row r="435" s="31" customFormat="1" ht="13.5" customHeight="1"/>
    <row r="436" s="31" customFormat="1" ht="13.5" customHeight="1"/>
    <row r="437" s="31" customFormat="1" ht="13.5" customHeight="1"/>
    <row r="438" s="31" customFormat="1" ht="13.5" customHeight="1"/>
    <row r="439" s="31" customFormat="1" ht="13.5" customHeight="1"/>
    <row r="440" s="31" customFormat="1" ht="13.5" customHeight="1"/>
    <row r="441" s="31" customFormat="1" ht="13.5" customHeight="1"/>
    <row r="442" s="31" customFormat="1" ht="13.5" customHeight="1"/>
    <row r="443" s="31" customFormat="1" ht="13.5" customHeight="1"/>
    <row r="444" s="31" customFormat="1" ht="13.5" customHeight="1"/>
    <row r="445" s="31" customFormat="1" ht="13.5" customHeight="1"/>
    <row r="446" s="31" customFormat="1" ht="13.5" customHeight="1"/>
    <row r="447" s="31" customFormat="1" ht="13.5" customHeight="1"/>
    <row r="448" s="31" customFormat="1" ht="13.5" customHeight="1"/>
    <row r="449" s="31" customFormat="1" ht="13.5" customHeight="1"/>
    <row r="450" s="31" customFormat="1" ht="13.5" customHeight="1"/>
    <row r="451" s="31" customFormat="1" ht="13.5" customHeight="1"/>
    <row r="452" s="31" customFormat="1" ht="13.5" customHeight="1"/>
    <row r="453" s="31" customFormat="1" ht="13.5" customHeight="1"/>
    <row r="454" s="31" customFormat="1" ht="13.5" customHeight="1"/>
    <row r="455" s="31" customFormat="1" ht="13.5" customHeight="1"/>
    <row r="456" s="31" customFormat="1" ht="13.5" customHeight="1"/>
    <row r="457" s="31" customFormat="1" ht="13.5" customHeight="1"/>
    <row r="458" s="31" customFormat="1" ht="13.5" customHeight="1"/>
    <row r="459" s="31" customFormat="1" ht="13.5" customHeight="1"/>
    <row r="460" s="31" customFormat="1" ht="13.5" customHeight="1"/>
    <row r="461" s="31" customFormat="1" ht="13.5" customHeight="1"/>
    <row r="462" s="31" customFormat="1" ht="13.5" customHeight="1"/>
    <row r="463" s="31" customFormat="1" ht="13.5" customHeight="1"/>
    <row r="464" s="31" customFormat="1" ht="13.5" customHeight="1"/>
    <row r="465" s="31" customFormat="1" ht="13.5" customHeight="1"/>
    <row r="466" s="31" customFormat="1" ht="13.5" customHeight="1"/>
    <row r="467" s="31" customFormat="1" ht="13.5" customHeight="1"/>
    <row r="468" s="31" customFormat="1" ht="13.5" customHeight="1"/>
    <row r="469" s="31" customFormat="1" ht="13.5" customHeight="1"/>
    <row r="470" s="31" customFormat="1" ht="13.5" customHeight="1"/>
    <row r="471" s="31" customFormat="1" ht="13.5" customHeight="1"/>
    <row r="472" s="31" customFormat="1" ht="13.5" customHeight="1"/>
    <row r="473" s="31" customFormat="1" ht="13.5" customHeight="1"/>
    <row r="474" s="31" customFormat="1" ht="13.5" customHeight="1"/>
    <row r="475" s="31" customFormat="1" ht="13.5" customHeight="1"/>
    <row r="476" s="31" customFormat="1" ht="13.5" customHeight="1"/>
    <row r="477" s="31" customFormat="1" ht="13.5" customHeight="1"/>
    <row r="478" s="31" customFormat="1" ht="13.5" customHeight="1"/>
    <row r="479" s="31" customFormat="1" ht="13.5" customHeight="1"/>
    <row r="480" s="31" customFormat="1" ht="13.5" customHeight="1"/>
    <row r="481" s="31" customFormat="1" ht="13.5" customHeight="1"/>
    <row r="482" s="31" customFormat="1" ht="13.5" customHeight="1"/>
    <row r="483" s="31" customFormat="1" ht="13.5" customHeight="1"/>
    <row r="484" s="31" customFormat="1" ht="13.5" customHeight="1"/>
    <row r="485" s="31" customFormat="1" ht="13.5" customHeight="1"/>
    <row r="486" s="31" customFormat="1" ht="13.5" customHeight="1"/>
    <row r="487" s="31" customFormat="1" ht="13.5" customHeight="1"/>
    <row r="488" s="31" customFormat="1" ht="13.5" customHeight="1"/>
    <row r="489" s="31" customFormat="1" ht="13.5" customHeight="1"/>
    <row r="490" s="31" customFormat="1" ht="13.5" customHeight="1"/>
    <row r="491" s="31" customFormat="1" ht="13.5" customHeight="1"/>
    <row r="492" s="31" customFormat="1" ht="13.5" customHeight="1"/>
    <row r="493" s="31" customFormat="1" ht="13.5" customHeight="1"/>
    <row r="494" s="31" customFormat="1" ht="13.5" customHeight="1"/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A1:UA1">
    <cfRule type="expression" dxfId="37" priority="5">
      <formula>INDIRECT(ADDRESS(COLUMN(A$2)+1,_Col_LongNameErr,,,_sheetname_var))&lt;&gt;0</formula>
    </cfRule>
    <cfRule type="expression" dxfId="36" priority="7">
      <formula>INDIRECT(ADDRESS(COLUMN(A$1)+1,_Col_SPSSNameErr,,,_sheetname_var))&lt;&gt;0</formula>
    </cfRule>
  </conditionalFormatting>
  <conditionalFormatting sqref="B3:UA494">
    <cfRule type="expression" dxfId="35" priority="2">
      <formula>IF(ISNUMBER(B3),AND(INDEX(_WEW_Typ_Niecalk,COLUMN(B$1))=2,B3&lt;&gt;INT(B3)),FALSE)</formula>
    </cfRule>
    <cfRule type="expression" priority="6" stopIfTrue="1">
      <formula>($A3="")</formula>
    </cfRule>
    <cfRule type="expression" priority="12" stopIfTrue="1">
      <formula>(B$1="")*(B$2="")</formula>
    </cfRule>
    <cfRule type="expression" dxfId="34" priority="13">
      <formula>(B3="")</formula>
    </cfRule>
    <cfRule type="expression" dxfId="33" priority="14">
      <formula>IF(ISNUMBER(B3),AND(INDEX(_Wew_ForceDiscrete,COLUMN(B$1)),B3&lt;&gt;INT(B3)),FALSE)</formula>
    </cfRule>
    <cfRule type="expression" dxfId="32" priority="15" stopIfTrue="1">
      <formula>NOT(ISNUMBER(B3))*(B3&lt;&gt;"")*(B3&lt;&gt;"NA")</formula>
    </cfRule>
    <cfRule type="expression" dxfId="31" priority="16">
      <formula>(B3="NA")</formula>
    </cfRule>
    <cfRule type="expression" dxfId="30" priority="17" stopIfTrue="1">
      <formula>IF(INDEX(_Wew_ForceMax,COLUMN(B$1))&lt;&gt;"",B3&gt;INDEX(INDIRECT(INDIRECT("wew!c19")),COLUMN(B$1)),FALSE)</formula>
    </cfRule>
    <cfRule type="expression" dxfId="29" priority="18" stopIfTrue="1">
      <formula>IF(INDEX(_Wew_ForceMin,COLUMN(B$1))&lt;&gt;"",B3&lt;INDEX(INDIRECT(INDIRECT("wew!c17")),COLUMN(B$1)),"")</formula>
    </cfRule>
    <cfRule type="expression" priority="19" stopIfTrue="1">
      <formula>INDEX(_WEW_LabelExist,COLUMN(B$1))</formula>
    </cfRule>
    <cfRule type="expression" dxfId="28" priority="20" stopIfTrue="1">
      <formula>(B3=INDEX(_WEW_Max,COLUMN(B$1)))</formula>
    </cfRule>
    <cfRule type="expression" dxfId="27" priority="21" stopIfTrue="1">
      <formula>(B3=INDEX(_WEW_Min,COLUMN(B$1)))</formula>
    </cfRule>
  </conditionalFormatting>
  <conditionalFormatting sqref="A1:UA494">
    <cfRule type="expression" priority="1" stopIfTrue="1">
      <formula>NOT(_Flag_HighlightValues)</formula>
    </cfRule>
  </conditionalFormatting>
  <conditionalFormatting sqref="B1:UA2">
    <cfRule type="expression" dxfId="26" priority="8" stopIfTrue="1">
      <formula>INDEX(_WEW_TypValueErr,COLUMN(B$1))&gt;0</formula>
    </cfRule>
    <cfRule type="expression" dxfId="25" priority="9">
      <formula>INDIRECT(ADDRESS(COLUMN(B$2)+1,_Col_IsCharacter,,,_sheetname_var))</formula>
    </cfRule>
    <cfRule type="expression" dxfId="24" priority="25">
      <formula>INDEX(_WEW_Typ_Niecalk,COLUMN(B$1))=2</formula>
    </cfRule>
    <cfRule type="expression" dxfId="23" priority="26">
      <formula>INDEX(_WEW_Typ_Niecalk,COLUMN(B$1))=1</formula>
    </cfRule>
  </conditionalFormatting>
  <conditionalFormatting sqref="A3">
    <cfRule type="expression" dxfId="22" priority="27">
      <formula>($A4&lt;&gt;"")*($A3&lt;&gt;"")*($A3&lt;&gt;$A4-1)</formula>
    </cfRule>
  </conditionalFormatting>
  <conditionalFormatting sqref="A4:A494">
    <cfRule type="expression" dxfId="21" priority="335">
      <formula>(#REF!&lt;&gt;"")*($A4&lt;&gt;"")*($A4&lt;&gt;#REF!-1)</formula>
    </cfRule>
  </conditionalFormatting>
  <conditionalFormatting sqref="A1:A2">
    <cfRule type="expression" dxfId="20" priority="587">
      <formula>(MIN($A$3:$A$4)&lt;&gt;1)+(MAX($A$3:$A$4)&lt;&gt;COUNT($A$3:$A$4))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OZ36"/>
  <sheetViews>
    <sheetView topLeftCell="BD1" zoomScale="160" zoomScaleNormal="160" workbookViewId="0">
      <selection activeCell="BM2" sqref="BM2"/>
    </sheetView>
  </sheetViews>
  <sheetFormatPr defaultRowHeight="12.75"/>
  <sheetData>
    <row r="1" spans="1:1092">
      <c r="A1" t="str">
        <f t="shared" ref="A1:BL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lp</v>
      </c>
      <c r="D1" t="str">
        <f t="shared" ca="1" si="0"/>
        <v/>
      </c>
      <c r="E1" t="str">
        <f t="shared" ca="1" si="0"/>
        <v>filename</v>
      </c>
      <c r="F1" t="str">
        <f t="shared" ca="1" si="0"/>
        <v/>
      </c>
      <c r="G1" t="str">
        <f t="shared" ca="1" si="0"/>
        <v>q_0</v>
      </c>
      <c r="H1" t="str">
        <f t="shared" ca="1" si="0"/>
        <v>id</v>
      </c>
      <c r="I1" t="str">
        <f t="shared" ca="1" si="0"/>
        <v>q_3a</v>
      </c>
      <c r="J1" t="str">
        <f t="shared" ca="1" si="0"/>
        <v>Relation to patient</v>
      </c>
      <c r="K1" t="str">
        <f t="shared" ca="1" si="0"/>
        <v>q_3b</v>
      </c>
      <c r="L1" t="str">
        <f t="shared" ca="1" si="0"/>
        <v>Patient code</v>
      </c>
      <c r="M1" t="str">
        <f t="shared" ca="1" si="0"/>
        <v/>
      </c>
      <c r="N1" t="str">
        <f t="shared" ca="1" si="0"/>
        <v/>
      </c>
      <c r="O1" t="str">
        <f t="shared" ca="1" si="0"/>
        <v>q_4</v>
      </c>
      <c r="P1" t="str">
        <f t="shared" ca="1" si="0"/>
        <v>Date of consultation</v>
      </c>
      <c r="Q1" t="str">
        <f t="shared" ca="1" si="0"/>
        <v>q_5</v>
      </c>
      <c r="R1" t="str">
        <f t="shared" ca="1" si="0"/>
        <v>Date of birth</v>
      </c>
      <c r="S1" t="str">
        <f t="shared" ca="1" si="0"/>
        <v>q_6</v>
      </c>
      <c r="T1" t="str">
        <f t="shared" ca="1" si="0"/>
        <v>Gender</v>
      </c>
      <c r="U1" t="str">
        <f t="shared" ca="1" si="0"/>
        <v>q_7</v>
      </c>
      <c r="V1" t="str">
        <f t="shared" ca="1" si="0"/>
        <v>Ethinicity</v>
      </c>
      <c r="W1" t="str">
        <f t="shared" ca="1" si="0"/>
        <v>q_8a</v>
      </c>
      <c r="X1" t="str">
        <f t="shared" ca="1" si="0"/>
        <v>Place of birth</v>
      </c>
      <c r="Y1" t="str">
        <f t="shared" ca="1" si="0"/>
        <v>q_8b</v>
      </c>
      <c r="Z1" t="str">
        <f t="shared" ca="1" si="0"/>
        <v>Place of birth characteristics</v>
      </c>
      <c r="AA1" t="str">
        <f t="shared" ca="1" si="0"/>
        <v>q_9a</v>
      </c>
      <c r="AB1" t="str">
        <f t="shared" ca="1" si="0"/>
        <v>Mother's Place of birth</v>
      </c>
      <c r="AC1" t="str">
        <f t="shared" ca="1" si="0"/>
        <v>q_9b</v>
      </c>
      <c r="AD1" t="str">
        <f t="shared" ca="1" si="0"/>
        <v>Mother's Place of birth characteristics</v>
      </c>
      <c r="AE1" t="str">
        <f t="shared" ca="1" si="0"/>
        <v>q_10a</v>
      </c>
      <c r="AF1" t="str">
        <f t="shared" ca="1" si="0"/>
        <v>Father's Place of birth</v>
      </c>
      <c r="AG1" t="str">
        <f t="shared" ca="1" si="0"/>
        <v>q_10b</v>
      </c>
      <c r="AH1" t="str">
        <f t="shared" ca="1" si="0"/>
        <v>Father's Place of birth characteristics</v>
      </c>
      <c r="AI1" t="str">
        <f t="shared" ca="1" si="0"/>
        <v>q_11</v>
      </c>
      <c r="AJ1" t="str">
        <f t="shared" ca="1" si="0"/>
        <v>Blood hypertension</v>
      </c>
      <c r="AK1" t="str">
        <f t="shared" ca="1" si="0"/>
        <v>q_12</v>
      </c>
      <c r="AL1" t="str">
        <f t="shared" ca="1" si="0"/>
        <v>Diabetes – type I / II</v>
      </c>
      <c r="AM1" t="str">
        <f t="shared" ca="1" si="0"/>
        <v>q_13</v>
      </c>
      <c r="AN1" t="str">
        <f t="shared" ca="1" si="0"/>
        <v>Hypercholesterolemia</v>
      </c>
      <c r="AO1" t="str">
        <f t="shared" ca="1" si="0"/>
        <v>q_14</v>
      </c>
      <c r="AP1" t="str">
        <f t="shared" ca="1" si="0"/>
        <v>Hypertriglyceridemia</v>
      </c>
      <c r="AQ1" t="str">
        <f t="shared" ca="1" si="0"/>
        <v>q_15</v>
      </c>
      <c r="AR1" t="str">
        <f t="shared" ca="1" si="0"/>
        <v>Hyperthyroidism</v>
      </c>
      <c r="AS1" t="str">
        <f t="shared" ca="1" si="0"/>
        <v>q_16</v>
      </c>
      <c r="AT1" t="str">
        <f t="shared" ca="1" si="0"/>
        <v>Hypothyroidism</v>
      </c>
      <c r="AU1" t="str">
        <f t="shared" ca="1" si="0"/>
        <v>q_17</v>
      </c>
      <c r="AV1" t="str">
        <f t="shared" ca="1" si="0"/>
        <v>Autoimmune rheumatologic disorder</v>
      </c>
      <c r="AW1" t="str">
        <f t="shared" ca="1" si="0"/>
        <v>q_18</v>
      </c>
      <c r="AX1" t="str">
        <f t="shared" ca="1" si="0"/>
        <v>Autoimmune intestinal disorder</v>
      </c>
      <c r="AY1" t="str">
        <f t="shared" ca="1" si="0"/>
        <v>q_19</v>
      </c>
      <c r="AZ1" t="str">
        <f t="shared" ca="1" si="0"/>
        <v>Stroke</v>
      </c>
      <c r="BA1" t="str">
        <f t="shared" ca="1" si="0"/>
        <v>q_20</v>
      </c>
      <c r="BB1" t="str">
        <f t="shared" ca="1" si="0"/>
        <v>Heart – ischemia</v>
      </c>
      <c r="BC1" t="str">
        <f t="shared" ca="1" si="0"/>
        <v>q_21</v>
      </c>
      <c r="BD1" t="str">
        <f t="shared" ca="1" si="0"/>
        <v>Heart – arrhytmia</v>
      </c>
      <c r="BE1" t="str">
        <f t="shared" ca="1" si="0"/>
        <v>q_22</v>
      </c>
      <c r="BF1" t="str">
        <f t="shared" ca="1" si="0"/>
        <v>Heart – insufficiency</v>
      </c>
      <c r="BG1" t="str">
        <f t="shared" ca="1" si="0"/>
        <v>q_23a</v>
      </c>
      <c r="BH1" t="str">
        <f t="shared" ca="1" si="0"/>
        <v>Primary cancer</v>
      </c>
      <c r="BI1" t="str">
        <f t="shared" ca="1" si="0"/>
        <v>q_23b</v>
      </c>
      <c r="BJ1" t="str">
        <f t="shared" ca="1" si="0"/>
        <v>Metastasis</v>
      </c>
      <c r="BK1" t="str">
        <f t="shared" ca="1" si="0"/>
        <v>q_24a</v>
      </c>
      <c r="BL1" t="str">
        <f t="shared" ca="1" si="0"/>
        <v>Cancer treatment – Chemotherapy</v>
      </c>
      <c r="BM1" t="str">
        <f t="shared" ref="BM1:DX1" ca="1" si="1">IF(INDIRECT(ADDRESS(MOD(COLUMN(BM2),2)+1,INT((COLUMN(BM2)-1)/2)+1, ,,"data_frame"))="","",INDIRECT(ADDRESS(MOD(COLUMN(BM2),2)+1,INT((COLUMN(BM2)-1)/2)+1, ,,"data_frame")))</f>
        <v>q_24b</v>
      </c>
      <c r="BN1" t="str">
        <f t="shared" ca="1" si="1"/>
        <v>Drug used in chemotherapy</v>
      </c>
      <c r="BO1" t="str">
        <f t="shared" ca="1" si="1"/>
        <v>q_25a</v>
      </c>
      <c r="BP1" t="str">
        <f t="shared" ca="1" si="1"/>
        <v>Cancer treatment – Radiotherapy</v>
      </c>
      <c r="BQ1" t="str">
        <f t="shared" ca="1" si="1"/>
        <v>q_25b</v>
      </c>
      <c r="BR1" t="str">
        <f t="shared" ca="1" si="1"/>
        <v>Cancer treatment – Radiotherapy of head or neck</v>
      </c>
      <c r="BS1" t="str">
        <f t="shared" ca="1" si="1"/>
        <v>q_26a</v>
      </c>
      <c r="BT1" t="str">
        <f t="shared" ca="1" si="1"/>
        <v>Smoking</v>
      </c>
      <c r="BU1" t="str">
        <f t="shared" ca="1" si="1"/>
        <v>q_26b</v>
      </c>
      <c r="BV1" t="str">
        <f t="shared" ca="1" si="1"/>
        <v>Date of initiation of smoking (year)</v>
      </c>
      <c r="BW1" t="str">
        <f t="shared" ca="1" si="1"/>
        <v>q_26c</v>
      </c>
      <c r="BX1" t="str">
        <f t="shared" ca="1" si="1"/>
        <v>Stopped smoking</v>
      </c>
      <c r="BY1" t="str">
        <f t="shared" ca="1" si="1"/>
        <v>q_26d</v>
      </c>
      <c r="BZ1" t="str">
        <f t="shared" ca="1" si="1"/>
        <v xml:space="preserve">Date of interruption of smoking (year) </v>
      </c>
      <c r="CA1" t="str">
        <f t="shared" ca="1" si="1"/>
        <v>q_26e</v>
      </c>
      <c r="CB1" t="str">
        <f t="shared" ca="1" si="1"/>
        <v>Mean number of packs/day</v>
      </c>
      <c r="CC1" t="str">
        <f t="shared" ca="1" si="1"/>
        <v>q_27a</v>
      </c>
      <c r="CD1" t="str">
        <f t="shared" ca="1" si="1"/>
        <v>Psychiatric medication</v>
      </c>
      <c r="CE1" t="str">
        <f t="shared" ca="1" si="1"/>
        <v>q_27b</v>
      </c>
      <c r="CF1" t="str">
        <f t="shared" ca="1" si="1"/>
        <v>Drug(s) used in psychiatric medication</v>
      </c>
      <c r="CG1" t="str">
        <f t="shared" ca="1" si="1"/>
        <v>q_28a</v>
      </c>
      <c r="CH1" t="str">
        <f t="shared" ca="1" si="1"/>
        <v xml:space="preserve">Supplements </v>
      </c>
      <c r="CI1" t="str">
        <f t="shared" ca="1" si="1"/>
        <v>q_28b</v>
      </c>
      <c r="CJ1" t="str">
        <f t="shared" ca="1" si="1"/>
        <v xml:space="preserve">Supplement name(s) </v>
      </c>
      <c r="CK1" t="str">
        <f t="shared" ca="1" si="1"/>
        <v>q_29a</v>
      </c>
      <c r="CL1" t="str">
        <f t="shared" ca="1" si="1"/>
        <v>Riluzole</v>
      </c>
      <c r="CM1" t="str">
        <f t="shared" ca="1" si="1"/>
        <v>q_29b</v>
      </c>
      <c r="CN1" t="str">
        <f t="shared" ca="1" si="1"/>
        <v>Date of initiation of Riluzole</v>
      </c>
      <c r="CO1" t="str">
        <f t="shared" ca="1" si="1"/>
        <v>q_29c</v>
      </c>
      <c r="CP1" t="str">
        <f t="shared" ca="1" si="1"/>
        <v>Side effects of Riluzole</v>
      </c>
      <c r="CQ1" t="str">
        <f t="shared" ca="1" si="1"/>
        <v>q_30a</v>
      </c>
      <c r="CR1" t="str">
        <f t="shared" ca="1" si="1"/>
        <v>Antiepileptc drug</v>
      </c>
      <c r="CS1" t="str">
        <f t="shared" ca="1" si="1"/>
        <v>q_30b</v>
      </c>
      <c r="CT1" t="str">
        <f t="shared" ca="1" si="1"/>
        <v>Antiepileptc's name</v>
      </c>
      <c r="CU1" t="str">
        <f t="shared" ca="1" si="1"/>
        <v>q_31a</v>
      </c>
      <c r="CV1" t="str">
        <f t="shared" ca="1" si="1"/>
        <v>Statins</v>
      </c>
      <c r="CW1" t="str">
        <f t="shared" ca="1" si="1"/>
        <v>q_31b</v>
      </c>
      <c r="CX1" t="str">
        <f t="shared" ca="1" si="1"/>
        <v>Statin's name</v>
      </c>
      <c r="CY1" t="str">
        <f t="shared" ca="1" si="1"/>
        <v>q_32a</v>
      </c>
      <c r="CZ1" t="str">
        <f t="shared" ca="1" si="1"/>
        <v>NSAID</v>
      </c>
      <c r="DA1" t="str">
        <f t="shared" ca="1" si="1"/>
        <v>q_32b</v>
      </c>
      <c r="DB1" t="str">
        <f t="shared" ca="1" si="1"/>
        <v>NSAID drug name</v>
      </c>
      <c r="DC1" t="str">
        <f t="shared" ca="1" si="1"/>
        <v>q_33a</v>
      </c>
      <c r="DD1" t="str">
        <f t="shared" ca="1" si="1"/>
        <v>Steroids</v>
      </c>
      <c r="DE1" t="str">
        <f t="shared" ca="1" si="1"/>
        <v>q_33b</v>
      </c>
      <c r="DF1" t="str">
        <f t="shared" ca="1" si="1"/>
        <v>Steroid's name</v>
      </c>
      <c r="DG1" t="str">
        <f t="shared" ca="1" si="1"/>
        <v>q_34a</v>
      </c>
      <c r="DH1" t="str">
        <f t="shared" ca="1" si="1"/>
        <v>Immunosupressors</v>
      </c>
      <c r="DI1" t="str">
        <f t="shared" ca="1" si="1"/>
        <v>q_34b</v>
      </c>
      <c r="DJ1" t="str">
        <f t="shared" ca="1" si="1"/>
        <v>Immunosupressor's name</v>
      </c>
      <c r="DK1" t="str">
        <f t="shared" ca="1" si="1"/>
        <v>q_35a</v>
      </c>
      <c r="DL1" t="str">
        <f t="shared" ca="1" si="1"/>
        <v>SOD1 mutation</v>
      </c>
      <c r="DM1" t="str">
        <f t="shared" ca="1" si="1"/>
        <v>q_35b</v>
      </c>
      <c r="DN1" t="str">
        <f t="shared" ca="1" si="1"/>
        <v>SOD1 mutation type</v>
      </c>
      <c r="DO1" t="str">
        <f t="shared" ca="1" si="1"/>
        <v>q_36</v>
      </c>
      <c r="DP1" t="str">
        <f t="shared" ca="1" si="1"/>
        <v>Abnormal C9orf72 repeat-expansion</v>
      </c>
      <c r="DQ1" t="str">
        <f t="shared" ca="1" si="1"/>
        <v>q_37.1</v>
      </c>
      <c r="DR1" t="str">
        <f t="shared" ca="1" si="1"/>
        <v>Other genes</v>
      </c>
      <c r="DS1" t="str">
        <f t="shared" ca="1" si="1"/>
        <v>q_37.1a</v>
      </c>
      <c r="DT1" t="str">
        <f t="shared" ca="1" si="1"/>
        <v>Other gene 1</v>
      </c>
      <c r="DU1" t="str">
        <f t="shared" ca="1" si="1"/>
        <v>q_37.1b</v>
      </c>
      <c r="DV1" t="str">
        <f t="shared" ca="1" si="1"/>
        <v>Gene 1 result</v>
      </c>
      <c r="DW1" t="str">
        <f t="shared" ca="1" si="1"/>
        <v>q_37.1c</v>
      </c>
      <c r="DX1" t="str">
        <f t="shared" ca="1" si="1"/>
        <v>Other gene 2</v>
      </c>
      <c r="DY1" t="str">
        <f t="shared" ref="DY1:GJ1" ca="1" si="2">IF(INDIRECT(ADDRESS(MOD(COLUMN(DY2),2)+1,INT((COLUMN(DY2)-1)/2)+1, ,,"data_frame"))="","",INDIRECT(ADDRESS(MOD(COLUMN(DY2),2)+1,INT((COLUMN(DY2)-1)/2)+1, ,,"data_frame")))</f>
        <v>q_37.1d</v>
      </c>
      <c r="DZ1" t="str">
        <f t="shared" ca="1" si="2"/>
        <v>Gene 2 result</v>
      </c>
      <c r="EA1" t="str">
        <f t="shared" ca="1" si="2"/>
        <v>q_37.1e</v>
      </c>
      <c r="EB1" t="str">
        <f t="shared" ca="1" si="2"/>
        <v>Other gene 3</v>
      </c>
      <c r="EC1" t="str">
        <f t="shared" ca="1" si="2"/>
        <v>q_37.1f</v>
      </c>
      <c r="ED1" t="str">
        <f t="shared" ca="1" si="2"/>
        <v>Gene 3 result</v>
      </c>
      <c r="EE1" t="str">
        <f t="shared" ca="1" si="2"/>
        <v>q_37.1g</v>
      </c>
      <c r="EF1" t="str">
        <f t="shared" ca="1" si="2"/>
        <v>Other gene 4</v>
      </c>
      <c r="EG1" t="str">
        <f t="shared" ca="1" si="2"/>
        <v>q_37.1h</v>
      </c>
      <c r="EH1" t="str">
        <f t="shared" ca="1" si="2"/>
        <v>Gene 4 result</v>
      </c>
      <c r="EI1" t="str">
        <f t="shared" ca="1" si="2"/>
        <v>q_37.1i</v>
      </c>
      <c r="EJ1" t="str">
        <f t="shared" ca="1" si="2"/>
        <v>Other gene 5</v>
      </c>
      <c r="EK1" t="str">
        <f t="shared" ca="1" si="2"/>
        <v>q_37.1j</v>
      </c>
      <c r="EL1" t="str">
        <f t="shared" ca="1" si="2"/>
        <v>Gene 4 result</v>
      </c>
      <c r="EM1" t="str">
        <f t="shared" ca="1" si="2"/>
        <v>q_37.2a</v>
      </c>
      <c r="EN1" t="str">
        <f t="shared" ca="1" si="2"/>
        <v>Was the patient included in other genomic studies</v>
      </c>
      <c r="EO1" t="str">
        <f t="shared" ca="1" si="2"/>
        <v>q_37.2b</v>
      </c>
      <c r="EP1" t="str">
        <f t="shared" ca="1" si="2"/>
        <v>Genomic study name 1</v>
      </c>
      <c r="EQ1" t="str">
        <f t="shared" ca="1" si="2"/>
        <v>q_37.2c</v>
      </c>
      <c r="ER1" t="str">
        <f t="shared" ca="1" si="2"/>
        <v>Genomic study name 2</v>
      </c>
      <c r="ES1" t="str">
        <f t="shared" ca="1" si="2"/>
        <v>q_38a</v>
      </c>
      <c r="ET1" t="str">
        <f t="shared" ca="1" si="2"/>
        <v>Was there ALS in the family</v>
      </c>
      <c r="EU1" t="str">
        <f t="shared" ca="1" si="2"/>
        <v>q_38b</v>
      </c>
      <c r="EV1" t="str">
        <f t="shared" ca="1" si="2"/>
        <v>Mother</v>
      </c>
      <c r="EW1" t="str">
        <f t="shared" ca="1" si="2"/>
        <v>q_38c</v>
      </c>
      <c r="EX1" t="str">
        <f t="shared" ca="1" si="2"/>
        <v>Father</v>
      </c>
      <c r="EY1" t="str">
        <f t="shared" ca="1" si="2"/>
        <v>q_38d</v>
      </c>
      <c r="EZ1" t="str">
        <f t="shared" ca="1" si="2"/>
        <v>Heterozygous twin brother</v>
      </c>
      <c r="FA1" t="str">
        <f t="shared" ca="1" si="2"/>
        <v>q_38e</v>
      </c>
      <c r="FB1" t="str">
        <f t="shared" ca="1" si="2"/>
        <v>homozygous twin brother</v>
      </c>
      <c r="FC1" t="str">
        <f t="shared" ca="1" si="2"/>
        <v>q_38f</v>
      </c>
      <c r="FD1" t="str">
        <f t="shared" ca="1" si="2"/>
        <v>heterozygous twin sister</v>
      </c>
      <c r="FE1" t="str">
        <f t="shared" ca="1" si="2"/>
        <v>q_38g</v>
      </c>
      <c r="FF1" t="str">
        <f t="shared" ca="1" si="2"/>
        <v>homozygous twin sister</v>
      </c>
      <c r="FG1" t="str">
        <f t="shared" ca="1" si="2"/>
        <v>q_38h</v>
      </c>
      <c r="FH1" t="str">
        <f t="shared" ca="1" si="2"/>
        <v>Other family member 1</v>
      </c>
      <c r="FI1" t="str">
        <f t="shared" ca="1" si="2"/>
        <v>q_38i</v>
      </c>
      <c r="FJ1" t="str">
        <f t="shared" ca="1" si="2"/>
        <v>Other family member 2</v>
      </c>
      <c r="FK1" t="str">
        <f t="shared" ca="1" si="2"/>
        <v>q_38j</v>
      </c>
      <c r="FL1" t="str">
        <f t="shared" ca="1" si="2"/>
        <v>Other family member 3</v>
      </c>
      <c r="FM1" t="str">
        <f t="shared" ca="1" si="2"/>
        <v>q_39a</v>
      </c>
      <c r="FN1" t="str">
        <f t="shared" ca="1" si="2"/>
        <v>Was there FTD in the family</v>
      </c>
      <c r="FO1" t="str">
        <f t="shared" ca="1" si="2"/>
        <v>q_39b</v>
      </c>
      <c r="FP1" t="str">
        <f t="shared" ca="1" si="2"/>
        <v>Mother</v>
      </c>
      <c r="FQ1" t="str">
        <f t="shared" ca="1" si="2"/>
        <v>q_39c</v>
      </c>
      <c r="FR1" t="str">
        <f t="shared" ca="1" si="2"/>
        <v>Father</v>
      </c>
      <c r="FS1" t="str">
        <f t="shared" ca="1" si="2"/>
        <v>q_39d</v>
      </c>
      <c r="FT1" t="str">
        <f t="shared" ca="1" si="2"/>
        <v>Heterozygous twin brother</v>
      </c>
      <c r="FU1" t="str">
        <f t="shared" ca="1" si="2"/>
        <v>q_39e</v>
      </c>
      <c r="FV1" t="str">
        <f t="shared" ca="1" si="2"/>
        <v>homozygous twin brother</v>
      </c>
      <c r="FW1" t="str">
        <f t="shared" ca="1" si="2"/>
        <v>q_39f</v>
      </c>
      <c r="FX1" t="str">
        <f t="shared" ca="1" si="2"/>
        <v>heterozygous twin sister</v>
      </c>
      <c r="FY1" t="str">
        <f t="shared" ca="1" si="2"/>
        <v>q_39g</v>
      </c>
      <c r="FZ1" t="str">
        <f t="shared" ca="1" si="2"/>
        <v>homozygous twin sister</v>
      </c>
      <c r="GA1" t="str">
        <f t="shared" ca="1" si="2"/>
        <v>q_39h</v>
      </c>
      <c r="GB1" t="str">
        <f t="shared" ca="1" si="2"/>
        <v>Other family member 1</v>
      </c>
      <c r="GC1" t="str">
        <f t="shared" ca="1" si="2"/>
        <v>q_39i</v>
      </c>
      <c r="GD1" t="str">
        <f t="shared" ca="1" si="2"/>
        <v>Other family member 2</v>
      </c>
      <c r="GE1" t="str">
        <f t="shared" ca="1" si="2"/>
        <v>q_39j</v>
      </c>
      <c r="GF1" t="str">
        <f t="shared" ca="1" si="2"/>
        <v>Other family member 3</v>
      </c>
      <c r="GG1" t="str">
        <f t="shared" ca="1" si="2"/>
        <v>q_40a</v>
      </c>
      <c r="GH1" t="str">
        <f t="shared" ca="1" si="2"/>
        <v>Was there AD in the family</v>
      </c>
      <c r="GI1" t="str">
        <f t="shared" ca="1" si="2"/>
        <v>q_40b</v>
      </c>
      <c r="GJ1" t="str">
        <f t="shared" ca="1" si="2"/>
        <v>Mother</v>
      </c>
      <c r="GK1" t="str">
        <f t="shared" ref="GK1:IV1" ca="1" si="3">IF(INDIRECT(ADDRESS(MOD(COLUMN(GK2),2)+1,INT((COLUMN(GK2)-1)/2)+1, ,,"data_frame"))="","",INDIRECT(ADDRESS(MOD(COLUMN(GK2),2)+1,INT((COLUMN(GK2)-1)/2)+1, ,,"data_frame")))</f>
        <v>q_40c</v>
      </c>
      <c r="GL1" t="str">
        <f t="shared" ca="1" si="3"/>
        <v>Father</v>
      </c>
      <c r="GM1" t="str">
        <f t="shared" ca="1" si="3"/>
        <v>q_40d</v>
      </c>
      <c r="GN1" t="str">
        <f t="shared" ca="1" si="3"/>
        <v>Heterozygous twin brother</v>
      </c>
      <c r="GO1" t="str">
        <f t="shared" ca="1" si="3"/>
        <v>q_40e</v>
      </c>
      <c r="GP1" t="str">
        <f t="shared" ca="1" si="3"/>
        <v>homozygous twin brother</v>
      </c>
      <c r="GQ1" t="str">
        <f t="shared" ca="1" si="3"/>
        <v>q_40f</v>
      </c>
      <c r="GR1" t="str">
        <f t="shared" ca="1" si="3"/>
        <v>heterozygous twin sister</v>
      </c>
      <c r="GS1" t="str">
        <f t="shared" ca="1" si="3"/>
        <v>q_40g</v>
      </c>
      <c r="GT1" t="str">
        <f t="shared" ca="1" si="3"/>
        <v>homozygous twin sister</v>
      </c>
      <c r="GU1" t="str">
        <f t="shared" ca="1" si="3"/>
        <v>q_40h</v>
      </c>
      <c r="GV1" t="str">
        <f t="shared" ca="1" si="3"/>
        <v>Other family member 1</v>
      </c>
      <c r="GW1" t="str">
        <f t="shared" ca="1" si="3"/>
        <v>q_40i</v>
      </c>
      <c r="GX1" t="str">
        <f t="shared" ca="1" si="3"/>
        <v>Other family member 2</v>
      </c>
      <c r="GY1" t="str">
        <f t="shared" ca="1" si="3"/>
        <v>q_40j</v>
      </c>
      <c r="GZ1" t="str">
        <f t="shared" ca="1" si="3"/>
        <v>Other family member 3</v>
      </c>
      <c r="HA1" t="str">
        <f t="shared" ca="1" si="3"/>
        <v>q_41a</v>
      </c>
      <c r="HB1" t="str">
        <f t="shared" ca="1" si="3"/>
        <v>Was there PD in the family</v>
      </c>
      <c r="HC1" t="str">
        <f t="shared" ca="1" si="3"/>
        <v>q_41b</v>
      </c>
      <c r="HD1" t="str">
        <f t="shared" ca="1" si="3"/>
        <v>Mother</v>
      </c>
      <c r="HE1" t="str">
        <f t="shared" ca="1" si="3"/>
        <v>q_41c</v>
      </c>
      <c r="HF1" t="str">
        <f t="shared" ca="1" si="3"/>
        <v>Father</v>
      </c>
      <c r="HG1" t="str">
        <f t="shared" ca="1" si="3"/>
        <v>q_41d</v>
      </c>
      <c r="HH1" t="str">
        <f t="shared" ca="1" si="3"/>
        <v>Heterozygous twin brother</v>
      </c>
      <c r="HI1" t="str">
        <f t="shared" ca="1" si="3"/>
        <v>q_41e</v>
      </c>
      <c r="HJ1" t="str">
        <f t="shared" ca="1" si="3"/>
        <v>homozygous twin brother</v>
      </c>
      <c r="HK1" t="str">
        <f t="shared" ca="1" si="3"/>
        <v>q_41f</v>
      </c>
      <c r="HL1" t="str">
        <f t="shared" ca="1" si="3"/>
        <v>heterozygous twin sister</v>
      </c>
      <c r="HM1" t="str">
        <f t="shared" ca="1" si="3"/>
        <v>q_41g</v>
      </c>
      <c r="HN1" t="str">
        <f t="shared" ca="1" si="3"/>
        <v>homozygous twin sister</v>
      </c>
      <c r="HO1" t="str">
        <f t="shared" ca="1" si="3"/>
        <v>q_41h</v>
      </c>
      <c r="HP1" t="str">
        <f t="shared" ca="1" si="3"/>
        <v>Other family member 1</v>
      </c>
      <c r="HQ1" t="str">
        <f t="shared" ca="1" si="3"/>
        <v>q_41i</v>
      </c>
      <c r="HR1" t="str">
        <f t="shared" ca="1" si="3"/>
        <v>Other family member 2</v>
      </c>
      <c r="HS1" t="str">
        <f t="shared" ca="1" si="3"/>
        <v>q_41j</v>
      </c>
      <c r="HT1" t="str">
        <f t="shared" ca="1" si="3"/>
        <v>Other family member 3</v>
      </c>
      <c r="HU1" t="str">
        <f t="shared" ca="1" si="3"/>
        <v>q_42a</v>
      </c>
      <c r="HV1" t="str">
        <f t="shared" ca="1" si="3"/>
        <v>Was there MS in the family</v>
      </c>
      <c r="HW1" t="str">
        <f t="shared" ca="1" si="3"/>
        <v>q_42b</v>
      </c>
      <c r="HX1" t="str">
        <f t="shared" ca="1" si="3"/>
        <v>Mother</v>
      </c>
      <c r="HY1" t="str">
        <f t="shared" ca="1" si="3"/>
        <v>q_42c</v>
      </c>
      <c r="HZ1" t="str">
        <f t="shared" ca="1" si="3"/>
        <v>Father</v>
      </c>
      <c r="IA1" t="str">
        <f t="shared" ca="1" si="3"/>
        <v>q_42d</v>
      </c>
      <c r="IB1" t="str">
        <f t="shared" ca="1" si="3"/>
        <v>Heterozygous twin brother</v>
      </c>
      <c r="IC1" t="str">
        <f t="shared" ca="1" si="3"/>
        <v>q_42e</v>
      </c>
      <c r="ID1" t="str">
        <f t="shared" ca="1" si="3"/>
        <v>homozygous twin brother</v>
      </c>
      <c r="IE1" t="str">
        <f t="shared" ca="1" si="3"/>
        <v>q_42f</v>
      </c>
      <c r="IF1" t="str">
        <f t="shared" ca="1" si="3"/>
        <v>heterozygous twin sister</v>
      </c>
      <c r="IG1" t="str">
        <f t="shared" ca="1" si="3"/>
        <v>q_42g</v>
      </c>
      <c r="IH1" t="str">
        <f t="shared" ca="1" si="3"/>
        <v>homozygous twin sister</v>
      </c>
      <c r="II1" t="str">
        <f t="shared" ca="1" si="3"/>
        <v>q_42h</v>
      </c>
      <c r="IJ1" t="str">
        <f t="shared" ca="1" si="3"/>
        <v>Other family member 1</v>
      </c>
      <c r="IK1" t="str">
        <f t="shared" ca="1" si="3"/>
        <v>q_42i</v>
      </c>
      <c r="IL1" t="str">
        <f t="shared" ca="1" si="3"/>
        <v>Other family member 2</v>
      </c>
      <c r="IM1" t="str">
        <f t="shared" ca="1" si="3"/>
        <v>q_42j</v>
      </c>
      <c r="IN1" t="str">
        <f t="shared" ca="1" si="3"/>
        <v>Other family member 3</v>
      </c>
      <c r="IO1" t="str">
        <f t="shared" ca="1" si="3"/>
        <v>q_43a</v>
      </c>
      <c r="IP1" t="str">
        <f t="shared" ca="1" si="3"/>
        <v>Other severe disease 1 of mother</v>
      </c>
      <c r="IQ1" t="str">
        <f t="shared" ca="1" si="3"/>
        <v>q_43b</v>
      </c>
      <c r="IR1" t="str">
        <f t="shared" ca="1" si="3"/>
        <v>Other severe disease 2 of mother</v>
      </c>
      <c r="IS1" t="str">
        <f t="shared" ca="1" si="3"/>
        <v>q_43c</v>
      </c>
      <c r="IT1" t="str">
        <f t="shared" ca="1" si="3"/>
        <v>Other severe disease 3 of mother</v>
      </c>
      <c r="IU1" t="str">
        <f t="shared" ca="1" si="3"/>
        <v>q_43d</v>
      </c>
      <c r="IV1" t="str">
        <f t="shared" ca="1" si="3"/>
        <v>Other severe disease 1 of father</v>
      </c>
      <c r="IW1" t="str">
        <f t="shared" ref="IW1:LH1" ca="1" si="4">IF(INDIRECT(ADDRESS(MOD(COLUMN(IW2),2)+1,INT((COLUMN(IW2)-1)/2)+1, ,,"data_frame"))="","",INDIRECT(ADDRESS(MOD(COLUMN(IW2),2)+1,INT((COLUMN(IW2)-1)/2)+1, ,,"data_frame")))</f>
        <v>q_43e</v>
      </c>
      <c r="IX1" t="str">
        <f t="shared" ca="1" si="4"/>
        <v>Other severe disease 2 of father</v>
      </c>
      <c r="IY1" t="str">
        <f t="shared" ca="1" si="4"/>
        <v>q_43f</v>
      </c>
      <c r="IZ1" t="str">
        <f t="shared" ca="1" si="4"/>
        <v>Other severe disease 3 of father</v>
      </c>
      <c r="JA1" t="str">
        <f t="shared" ca="1" si="4"/>
        <v>q_43g</v>
      </c>
      <c r="JB1" t="str">
        <f t="shared" ca="1" si="4"/>
        <v>Other severe disease 1 of other family members</v>
      </c>
      <c r="JC1" t="str">
        <f t="shared" ca="1" si="4"/>
        <v>q_43h</v>
      </c>
      <c r="JD1" t="str">
        <f t="shared" ca="1" si="4"/>
        <v>Other severe disease 2 of other family members</v>
      </c>
      <c r="JE1" t="str">
        <f t="shared" ca="1" si="4"/>
        <v>q_43i</v>
      </c>
      <c r="JF1" t="str">
        <f t="shared" ca="1" si="4"/>
        <v>Other severe disease 3 of other family members</v>
      </c>
      <c r="JG1" t="str">
        <f t="shared" ca="1" si="4"/>
        <v>q_43j</v>
      </c>
      <c r="JH1" t="str">
        <f t="shared" ca="1" si="4"/>
        <v>Other severe disease 4 of other family members</v>
      </c>
      <c r="JI1" t="str">
        <f t="shared" ca="1" si="4"/>
        <v>q_43k</v>
      </c>
      <c r="JJ1" t="str">
        <f t="shared" ca="1" si="4"/>
        <v>Other severe disease 5 of other family members</v>
      </c>
      <c r="JK1" t="str">
        <f t="shared" ca="1" si="4"/>
        <v>q_43l</v>
      </c>
      <c r="JL1" t="str">
        <f t="shared" ca="1" si="4"/>
        <v>Other severe disease 6 of other family members</v>
      </c>
      <c r="JM1" t="str">
        <f t="shared" ca="1" si="4"/>
        <v>q_44.1a</v>
      </c>
      <c r="JN1" t="str">
        <f t="shared" ca="1" si="4"/>
        <v>Mother alive</v>
      </c>
      <c r="JO1" t="str">
        <f t="shared" ca="1" si="4"/>
        <v>q_44.1b</v>
      </c>
      <c r="JP1" t="str">
        <f t="shared" ca="1" si="4"/>
        <v>Mother's cause of death</v>
      </c>
      <c r="JQ1" t="str">
        <f t="shared" ca="1" si="4"/>
        <v>q_44.1c</v>
      </c>
      <c r="JR1" t="str">
        <f t="shared" ca="1" si="4"/>
        <v>Mother's age at death</v>
      </c>
      <c r="JS1" t="str">
        <f t="shared" ca="1" si="4"/>
        <v>q_44.2a</v>
      </c>
      <c r="JT1" t="str">
        <f t="shared" ca="1" si="4"/>
        <v>Father alive</v>
      </c>
      <c r="JU1" t="str">
        <f t="shared" ca="1" si="4"/>
        <v>q_44.2b</v>
      </c>
      <c r="JV1" t="str">
        <f t="shared" ca="1" si="4"/>
        <v>Father's cause of death</v>
      </c>
      <c r="JW1" t="str">
        <f t="shared" ca="1" si="4"/>
        <v>q_44.2c</v>
      </c>
      <c r="JX1" t="str">
        <f t="shared" ca="1" si="4"/>
        <v>Father's age at death</v>
      </c>
      <c r="JY1" t="str">
        <f t="shared" ca="1" si="4"/>
        <v>q_44.3a</v>
      </c>
      <c r="JZ1" t="str">
        <f t="shared" ca="1" si="4"/>
        <v>Other family member 1, who died</v>
      </c>
      <c r="KA1" t="str">
        <f t="shared" ca="1" si="4"/>
        <v>q_44.3b</v>
      </c>
      <c r="KB1" t="str">
        <f t="shared" ca="1" si="4"/>
        <v>Family member 1 cause of death</v>
      </c>
      <c r="KC1" t="str">
        <f t="shared" ca="1" si="4"/>
        <v>q_44.3c</v>
      </c>
      <c r="KD1" t="str">
        <f t="shared" ca="1" si="4"/>
        <v>Family member 1 age at death</v>
      </c>
      <c r="KE1" t="str">
        <f t="shared" ca="1" si="4"/>
        <v>q_44.4a</v>
      </c>
      <c r="KF1" t="str">
        <f t="shared" ca="1" si="4"/>
        <v>Other family member 2, who died</v>
      </c>
      <c r="KG1" t="str">
        <f t="shared" ca="1" si="4"/>
        <v>q_44.4b</v>
      </c>
      <c r="KH1" t="str">
        <f t="shared" ca="1" si="4"/>
        <v>Family member 2 cause of death</v>
      </c>
      <c r="KI1" t="str">
        <f t="shared" ca="1" si="4"/>
        <v>q_44.4c</v>
      </c>
      <c r="KJ1" t="str">
        <f t="shared" ca="1" si="4"/>
        <v>Family member 2 age at death</v>
      </c>
      <c r="KK1" t="str">
        <f t="shared" ca="1" si="4"/>
        <v>q_44.5a</v>
      </c>
      <c r="KL1" t="str">
        <f t="shared" ca="1" si="4"/>
        <v>Other family member 3, who died</v>
      </c>
      <c r="KM1" t="str">
        <f t="shared" ca="1" si="4"/>
        <v>q_44.5b</v>
      </c>
      <c r="KN1" t="str">
        <f t="shared" ca="1" si="4"/>
        <v>Family member 3 cause of death</v>
      </c>
      <c r="KO1" t="str">
        <f t="shared" ca="1" si="4"/>
        <v>q_44.5c</v>
      </c>
      <c r="KP1" t="str">
        <f t="shared" ca="1" si="4"/>
        <v>Family member 3 age at death</v>
      </c>
      <c r="KQ1" t="str">
        <f t="shared" ca="1" si="4"/>
        <v>q_44.6a</v>
      </c>
      <c r="KR1" t="str">
        <f t="shared" ca="1" si="4"/>
        <v>Other family member 4, who died</v>
      </c>
      <c r="KS1" t="str">
        <f t="shared" ca="1" si="4"/>
        <v>q_44.6b</v>
      </c>
      <c r="KT1" t="str">
        <f t="shared" ca="1" si="4"/>
        <v>Family member 4 cause of death</v>
      </c>
      <c r="KU1" t="str">
        <f t="shared" ca="1" si="4"/>
        <v>q_44.6c</v>
      </c>
      <c r="KV1" t="str">
        <f t="shared" ca="1" si="4"/>
        <v>Family member 4 age at death</v>
      </c>
      <c r="KW1" t="str">
        <f t="shared" ca="1" si="4"/>
        <v>q_44.7a</v>
      </c>
      <c r="KX1" t="str">
        <f t="shared" ca="1" si="4"/>
        <v>Other family member 5, who died</v>
      </c>
      <c r="KY1" t="str">
        <f t="shared" ca="1" si="4"/>
        <v>q_44.7b</v>
      </c>
      <c r="KZ1" t="str">
        <f t="shared" ca="1" si="4"/>
        <v>Family member 5 cause of death</v>
      </c>
      <c r="LA1" t="str">
        <f t="shared" ca="1" si="4"/>
        <v>q_44.7c</v>
      </c>
      <c r="LB1" t="str">
        <f t="shared" ca="1" si="4"/>
        <v>Family member 5 age at death</v>
      </c>
      <c r="LC1" t="str">
        <f t="shared" ca="1" si="4"/>
        <v>q_44.8a</v>
      </c>
      <c r="LD1" t="str">
        <f t="shared" ca="1" si="4"/>
        <v>Other family member 6, who died</v>
      </c>
      <c r="LE1" t="str">
        <f t="shared" ca="1" si="4"/>
        <v>q_44.8b</v>
      </c>
      <c r="LF1" t="str">
        <f t="shared" ca="1" si="4"/>
        <v>Family member 6 cause of death</v>
      </c>
      <c r="LG1" t="str">
        <f t="shared" ca="1" si="4"/>
        <v>q_44.8c</v>
      </c>
      <c r="LH1" t="str">
        <f t="shared" ca="1" si="4"/>
        <v>Family member 6 age at death</v>
      </c>
      <c r="LI1" t="str">
        <f t="shared" ref="LI1:NT1" ca="1" si="5">IF(INDIRECT(ADDRESS(MOD(COLUMN(LI2),2)+1,INT((COLUMN(LI2)-1)/2)+1, ,,"data_frame"))="","",INDIRECT(ADDRESS(MOD(COLUMN(LI2),2)+1,INT((COLUMN(LI2)-1)/2)+1, ,,"data_frame")))</f>
        <v>q_44.9a</v>
      </c>
      <c r="LJ1" t="str">
        <f t="shared" ca="1" si="5"/>
        <v>Other family member 7, who died</v>
      </c>
      <c r="LK1" t="str">
        <f t="shared" ca="1" si="5"/>
        <v>q_44.9b</v>
      </c>
      <c r="LL1" t="str">
        <f t="shared" ca="1" si="5"/>
        <v>Family member 7 cause of death</v>
      </c>
      <c r="LM1" t="str">
        <f t="shared" ca="1" si="5"/>
        <v>q_44.9c</v>
      </c>
      <c r="LN1" t="str">
        <f t="shared" ca="1" si="5"/>
        <v>Family member 7 age at death</v>
      </c>
      <c r="LO1" t="str">
        <f t="shared" ca="1" si="5"/>
        <v>q_45</v>
      </c>
      <c r="LP1" t="str">
        <f t="shared" ca="1" si="5"/>
        <v>Mother´s number of siblings and birth order</v>
      </c>
      <c r="LQ1" t="str">
        <f t="shared" ca="1" si="5"/>
        <v>q_46</v>
      </c>
      <c r="LR1" t="str">
        <f t="shared" ca="1" si="5"/>
        <v>Father´s number of siblings and birth order</v>
      </c>
      <c r="LS1" t="str">
        <f t="shared" ca="1" si="5"/>
        <v>q_47</v>
      </c>
      <c r="LT1" t="str">
        <f t="shared" ca="1" si="5"/>
        <v>Consanguinity of parents</v>
      </c>
      <c r="LU1" t="str">
        <f t="shared" ca="1" si="5"/>
        <v>q_48a</v>
      </c>
      <c r="LV1" t="str">
        <f t="shared" ca="1" si="5"/>
        <v>Number of children</v>
      </c>
      <c r="LW1" t="str">
        <f t="shared" ca="1" si="5"/>
        <v>q_48b</v>
      </c>
      <c r="LX1" t="str">
        <f t="shared" ca="1" si="5"/>
        <v>Number of siblings and birth order</v>
      </c>
      <c r="LY1" t="str">
        <f t="shared" ca="1" si="5"/>
        <v>q_48c</v>
      </c>
      <c r="LZ1" t="str">
        <f t="shared" ca="1" si="5"/>
        <v>With a monozygous twin</v>
      </c>
      <c r="MA1" t="str">
        <f t="shared" ca="1" si="5"/>
        <v>q_48d</v>
      </c>
      <c r="MB1" t="str">
        <f t="shared" ca="1" si="5"/>
        <v>With a dizygous twin</v>
      </c>
      <c r="MC1" t="str">
        <f t="shared" ca="1" si="5"/>
        <v>q_49</v>
      </c>
      <c r="MD1" t="str">
        <f t="shared" ca="1" si="5"/>
        <v>Regular physical exercise</v>
      </c>
      <c r="ME1" t="str">
        <f t="shared" ca="1" si="5"/>
        <v>q_50a.1</v>
      </c>
      <c r="MF1" t="str">
        <f t="shared" ca="1" si="5"/>
        <v>Moderate Basketball activity</v>
      </c>
      <c r="MG1" t="str">
        <f t="shared" ca="1" si="5"/>
        <v>q_50a.2</v>
      </c>
      <c r="MH1" t="str">
        <f t="shared" ca="1" si="5"/>
        <v>How long Basketball activity</v>
      </c>
      <c r="MI1" t="str">
        <f t="shared" ca="1" si="5"/>
        <v>q_50b.1</v>
      </c>
      <c r="MJ1" t="str">
        <f t="shared" ca="1" si="5"/>
        <v>Moderate Boxing activity</v>
      </c>
      <c r="MK1" t="str">
        <f t="shared" ca="1" si="5"/>
        <v>q_50b.2</v>
      </c>
      <c r="ML1" t="str">
        <f t="shared" ca="1" si="5"/>
        <v>How long Boxing activity</v>
      </c>
      <c r="MM1" t="str">
        <f t="shared" ca="1" si="5"/>
        <v>q_50c.1</v>
      </c>
      <c r="MN1" t="str">
        <f t="shared" ca="1" si="5"/>
        <v>Moderate Climbing activity</v>
      </c>
      <c r="MO1" t="str">
        <f t="shared" ca="1" si="5"/>
        <v>q_50c.2</v>
      </c>
      <c r="MP1" t="str">
        <f t="shared" ca="1" si="5"/>
        <v>How long Climbing activity</v>
      </c>
      <c r="MQ1" t="str">
        <f t="shared" ca="1" si="5"/>
        <v>q_50d.1</v>
      </c>
      <c r="MR1" t="str">
        <f t="shared" ca="1" si="5"/>
        <v>Moderate Cycling activity</v>
      </c>
      <c r="MS1" t="str">
        <f t="shared" ca="1" si="5"/>
        <v>q_50d.2</v>
      </c>
      <c r="MT1" t="str">
        <f t="shared" ca="1" si="5"/>
        <v>How long Cycling activity</v>
      </c>
      <c r="MU1" t="str">
        <f t="shared" ca="1" si="5"/>
        <v>q_50e.1</v>
      </c>
      <c r="MV1" t="str">
        <f t="shared" ca="1" si="5"/>
        <v>Moderate Dancing activity</v>
      </c>
      <c r="MW1" t="str">
        <f t="shared" ca="1" si="5"/>
        <v>q_50e.2</v>
      </c>
      <c r="MX1" t="str">
        <f t="shared" ca="1" si="5"/>
        <v>How long Dancing activity</v>
      </c>
      <c r="MY1" t="str">
        <f t="shared" ca="1" si="5"/>
        <v>q_50f.1</v>
      </c>
      <c r="MZ1" t="str">
        <f t="shared" ca="1" si="5"/>
        <v>Moderate Diving activity</v>
      </c>
      <c r="NA1" t="str">
        <f t="shared" ca="1" si="5"/>
        <v>q_50f.2</v>
      </c>
      <c r="NB1" t="str">
        <f t="shared" ca="1" si="5"/>
        <v>How long Diving activity</v>
      </c>
      <c r="NC1" t="str">
        <f t="shared" ca="1" si="5"/>
        <v>q_50g.1</v>
      </c>
      <c r="ND1" t="str">
        <f t="shared" ca="1" si="5"/>
        <v>Moderate Fast walking activity</v>
      </c>
      <c r="NE1" t="str">
        <f t="shared" ca="1" si="5"/>
        <v>q_50g.2</v>
      </c>
      <c r="NF1" t="str">
        <f t="shared" ca="1" si="5"/>
        <v>How long Fast walking activity</v>
      </c>
      <c r="NG1" t="str">
        <f t="shared" ca="1" si="5"/>
        <v>q_50h.1</v>
      </c>
      <c r="NH1" t="str">
        <f t="shared" ca="1" si="5"/>
        <v>Moderate Fencing activity</v>
      </c>
      <c r="NI1" t="str">
        <f t="shared" ca="1" si="5"/>
        <v>q_50h.2</v>
      </c>
      <c r="NJ1" t="str">
        <f t="shared" ca="1" si="5"/>
        <v>How long Fencing activity</v>
      </c>
      <c r="NK1" t="str">
        <f t="shared" ca="1" si="5"/>
        <v>q_50i.1</v>
      </c>
      <c r="NL1" t="str">
        <f t="shared" ca="1" si="5"/>
        <v>Moderate Fitness activity</v>
      </c>
      <c r="NM1" t="str">
        <f t="shared" ca="1" si="5"/>
        <v>q_50i.2</v>
      </c>
      <c r="NN1" t="str">
        <f t="shared" ca="1" si="5"/>
        <v>How long Fitness activity</v>
      </c>
      <c r="NO1" t="str">
        <f t="shared" ca="1" si="5"/>
        <v>q_50j.1</v>
      </c>
      <c r="NP1" t="str">
        <f t="shared" ca="1" si="5"/>
        <v>Moderate Football activity</v>
      </c>
      <c r="NQ1" t="str">
        <f t="shared" ca="1" si="5"/>
        <v>q_50j.2</v>
      </c>
      <c r="NR1" t="str">
        <f t="shared" ca="1" si="5"/>
        <v>How long Football activity</v>
      </c>
      <c r="NS1" t="str">
        <f t="shared" ca="1" si="5"/>
        <v>q_50k.1</v>
      </c>
      <c r="NT1" t="str">
        <f t="shared" ca="1" si="5"/>
        <v>Moderate Golf activity</v>
      </c>
      <c r="NU1" t="str">
        <f t="shared" ref="NU1:QF1" ca="1" si="6">IF(INDIRECT(ADDRESS(MOD(COLUMN(NU2),2)+1,INT((COLUMN(NU2)-1)/2)+1, ,,"data_frame"))="","",INDIRECT(ADDRESS(MOD(COLUMN(NU2),2)+1,INT((COLUMN(NU2)-1)/2)+1, ,,"data_frame")))</f>
        <v>q_50k.2</v>
      </c>
      <c r="NV1" t="str">
        <f t="shared" ca="1" si="6"/>
        <v>How long Golf activity</v>
      </c>
      <c r="NW1" t="str">
        <f t="shared" ca="1" si="6"/>
        <v>q_50l.1</v>
      </c>
      <c r="NX1" t="str">
        <f t="shared" ca="1" si="6"/>
        <v>Moderate Handball activity</v>
      </c>
      <c r="NY1" t="str">
        <f t="shared" ca="1" si="6"/>
        <v>q_50l.2</v>
      </c>
      <c r="NZ1" t="str">
        <f t="shared" ca="1" si="6"/>
        <v>How long Handball activity</v>
      </c>
      <c r="OA1" t="str">
        <f t="shared" ca="1" si="6"/>
        <v>q_50m.1</v>
      </c>
      <c r="OB1" t="str">
        <f t="shared" ca="1" si="6"/>
        <v>Moderate Hockey activity</v>
      </c>
      <c r="OC1" t="str">
        <f t="shared" ca="1" si="6"/>
        <v>q_50m.2</v>
      </c>
      <c r="OD1" t="str">
        <f t="shared" ca="1" si="6"/>
        <v>How long Hockey activity</v>
      </c>
      <c r="OE1" t="str">
        <f t="shared" ca="1" si="6"/>
        <v>q_50n.1</v>
      </c>
      <c r="OF1" t="str">
        <f t="shared" ca="1" si="6"/>
        <v>Moderate Rowing activity</v>
      </c>
      <c r="OG1" t="str">
        <f t="shared" ca="1" si="6"/>
        <v>q_50n.2</v>
      </c>
      <c r="OH1" t="str">
        <f t="shared" ca="1" si="6"/>
        <v>How long Rowing activity</v>
      </c>
      <c r="OI1" t="str">
        <f t="shared" ca="1" si="6"/>
        <v>q_50o.1</v>
      </c>
      <c r="OJ1" t="str">
        <f t="shared" ca="1" si="6"/>
        <v>Moderate Rugby activity</v>
      </c>
      <c r="OK1" t="str">
        <f t="shared" ca="1" si="6"/>
        <v>q_50o.2</v>
      </c>
      <c r="OL1" t="str">
        <f t="shared" ca="1" si="6"/>
        <v>How long Rugby activity</v>
      </c>
      <c r="OM1" t="str">
        <f t="shared" ca="1" si="6"/>
        <v>q_50p.1</v>
      </c>
      <c r="ON1" t="str">
        <f t="shared" ca="1" si="6"/>
        <v>Moderate Running activity</v>
      </c>
      <c r="OO1" t="str">
        <f t="shared" ca="1" si="6"/>
        <v>q_50p.2</v>
      </c>
      <c r="OP1" t="str">
        <f t="shared" ca="1" si="6"/>
        <v>How long Running activity</v>
      </c>
      <c r="OQ1" t="str">
        <f t="shared" ca="1" si="6"/>
        <v>q_50q.1</v>
      </c>
      <c r="OR1" t="str">
        <f t="shared" ca="1" si="6"/>
        <v>Moderate Skiing activity</v>
      </c>
      <c r="OS1" t="str">
        <f t="shared" ca="1" si="6"/>
        <v>q_50q.2</v>
      </c>
      <c r="OT1" t="str">
        <f t="shared" ca="1" si="6"/>
        <v>How long Skiing activity</v>
      </c>
      <c r="OU1" t="str">
        <f t="shared" ca="1" si="6"/>
        <v>q_50r.1</v>
      </c>
      <c r="OV1" t="str">
        <f t="shared" ca="1" si="6"/>
        <v>Moderate Swimming activity</v>
      </c>
      <c r="OW1" t="str">
        <f t="shared" ca="1" si="6"/>
        <v>q_50r.2</v>
      </c>
      <c r="OX1" t="str">
        <f t="shared" ca="1" si="6"/>
        <v>How long Swimming activity</v>
      </c>
      <c r="OY1" t="str">
        <f t="shared" ca="1" si="6"/>
        <v>q_50s.1</v>
      </c>
      <c r="OZ1" t="str">
        <f t="shared" ca="1" si="6"/>
        <v>Moderate Tennis activity</v>
      </c>
      <c r="PA1" t="str">
        <f t="shared" ca="1" si="6"/>
        <v>q_50s.2</v>
      </c>
      <c r="PB1" t="str">
        <f t="shared" ca="1" si="6"/>
        <v>How long Tennis activity</v>
      </c>
      <c r="PC1" t="str">
        <f t="shared" ca="1" si="6"/>
        <v>q_50t.1</v>
      </c>
      <c r="PD1" t="str">
        <f t="shared" ca="1" si="6"/>
        <v>Moderate Volleyball activity</v>
      </c>
      <c r="PE1" t="str">
        <f t="shared" ca="1" si="6"/>
        <v>q_50t.2</v>
      </c>
      <c r="PF1" t="str">
        <f t="shared" ca="1" si="6"/>
        <v>How long Volleyball activity</v>
      </c>
      <c r="PG1" t="str">
        <f t="shared" ca="1" si="6"/>
        <v>q_50u.1</v>
      </c>
      <c r="PH1" t="str">
        <f t="shared" ca="1" si="6"/>
        <v>Moderate Weightlifting activity</v>
      </c>
      <c r="PI1" t="str">
        <f t="shared" ca="1" si="6"/>
        <v>q_50u.2</v>
      </c>
      <c r="PJ1" t="str">
        <f t="shared" ca="1" si="6"/>
        <v>How long Weightlifting activity</v>
      </c>
      <c r="PK1" t="str">
        <f t="shared" ca="1" si="6"/>
        <v>q_50v.1</v>
      </c>
      <c r="PL1" t="str">
        <f t="shared" ca="1" si="6"/>
        <v>Other moderate activity</v>
      </c>
      <c r="PM1" t="str">
        <f t="shared" ca="1" si="6"/>
        <v>q_50v.2</v>
      </c>
      <c r="PN1" t="str">
        <f t="shared" ca="1" si="6"/>
        <v>How long other moderate activity</v>
      </c>
      <c r="PO1" t="str">
        <f t="shared" ca="1" si="6"/>
        <v>q_50a.3</v>
      </c>
      <c r="PP1" t="str">
        <f t="shared" ca="1" si="6"/>
        <v>vigorous Basketball activity</v>
      </c>
      <c r="PQ1" t="str">
        <f t="shared" ca="1" si="6"/>
        <v>q_50a.4</v>
      </c>
      <c r="PR1" t="str">
        <f t="shared" ca="1" si="6"/>
        <v>How long Basketball activity</v>
      </c>
      <c r="PS1" t="str">
        <f t="shared" ca="1" si="6"/>
        <v>q_50b.3</v>
      </c>
      <c r="PT1" t="str">
        <f t="shared" ca="1" si="6"/>
        <v>vigorous Boxing activity</v>
      </c>
      <c r="PU1" t="str">
        <f t="shared" ca="1" si="6"/>
        <v>q_50b.4</v>
      </c>
      <c r="PV1" t="str">
        <f t="shared" ca="1" si="6"/>
        <v>How long Boxing activity</v>
      </c>
      <c r="PW1" t="str">
        <f t="shared" ca="1" si="6"/>
        <v>q_50c.3</v>
      </c>
      <c r="PX1" t="str">
        <f t="shared" ca="1" si="6"/>
        <v>vigorous Climbing activity</v>
      </c>
      <c r="PY1" t="str">
        <f t="shared" ca="1" si="6"/>
        <v>q_50c.4</v>
      </c>
      <c r="PZ1" t="str">
        <f t="shared" ca="1" si="6"/>
        <v>How long Climbing activity</v>
      </c>
      <c r="QA1" t="str">
        <f t="shared" ca="1" si="6"/>
        <v>q_50d.3</v>
      </c>
      <c r="QB1" t="str">
        <f t="shared" ca="1" si="6"/>
        <v>vigorous Cycling activity</v>
      </c>
      <c r="QC1" t="str">
        <f t="shared" ca="1" si="6"/>
        <v>q_50d.4</v>
      </c>
      <c r="QD1" t="str">
        <f t="shared" ca="1" si="6"/>
        <v>How long Cycling activity</v>
      </c>
      <c r="QE1" t="str">
        <f t="shared" ca="1" si="6"/>
        <v>q_50e.3</v>
      </c>
      <c r="QF1" t="str">
        <f t="shared" ca="1" si="6"/>
        <v>vigorous Dancing activity</v>
      </c>
      <c r="QG1" t="str">
        <f t="shared" ref="QG1:SR1" ca="1" si="7">IF(INDIRECT(ADDRESS(MOD(COLUMN(QG2),2)+1,INT((COLUMN(QG2)-1)/2)+1, ,,"data_frame"))="","",INDIRECT(ADDRESS(MOD(COLUMN(QG2),2)+1,INT((COLUMN(QG2)-1)/2)+1, ,,"data_frame")))</f>
        <v>q_50e.4</v>
      </c>
      <c r="QH1" t="str">
        <f t="shared" ca="1" si="7"/>
        <v>How long Dancing activity</v>
      </c>
      <c r="QI1" t="str">
        <f t="shared" ca="1" si="7"/>
        <v>q_50f.3</v>
      </c>
      <c r="QJ1" t="str">
        <f t="shared" ca="1" si="7"/>
        <v>vigorous Diving activity</v>
      </c>
      <c r="QK1" t="str">
        <f t="shared" ca="1" si="7"/>
        <v>q_50f.4</v>
      </c>
      <c r="QL1" t="str">
        <f t="shared" ca="1" si="7"/>
        <v>How long Diving activity</v>
      </c>
      <c r="QM1" t="str">
        <f t="shared" ca="1" si="7"/>
        <v>q_50g.3</v>
      </c>
      <c r="QN1" t="str">
        <f t="shared" ca="1" si="7"/>
        <v>vigorous Fast walking activity</v>
      </c>
      <c r="QO1" t="str">
        <f t="shared" ca="1" si="7"/>
        <v>q_50g.4</v>
      </c>
      <c r="QP1" t="str">
        <f t="shared" ca="1" si="7"/>
        <v>How long Fast walking activity</v>
      </c>
      <c r="QQ1" t="str">
        <f t="shared" ca="1" si="7"/>
        <v>q_50h.3</v>
      </c>
      <c r="QR1" t="str">
        <f t="shared" ca="1" si="7"/>
        <v>vigorous Fencing activity</v>
      </c>
      <c r="QS1" t="str">
        <f t="shared" ca="1" si="7"/>
        <v>q_50h.4</v>
      </c>
      <c r="QT1" t="str">
        <f t="shared" ca="1" si="7"/>
        <v>How long Fencing activity</v>
      </c>
      <c r="QU1" t="str">
        <f t="shared" ca="1" si="7"/>
        <v>q_50i.3</v>
      </c>
      <c r="QV1" t="str">
        <f t="shared" ca="1" si="7"/>
        <v>vigorous Fitness activity</v>
      </c>
      <c r="QW1" t="str">
        <f t="shared" ca="1" si="7"/>
        <v>q_50i.4</v>
      </c>
      <c r="QX1" t="str">
        <f t="shared" ca="1" si="7"/>
        <v>How long Fitness activity</v>
      </c>
      <c r="QY1" t="str">
        <f t="shared" ca="1" si="7"/>
        <v>q_50j.3</v>
      </c>
      <c r="QZ1" t="str">
        <f t="shared" ca="1" si="7"/>
        <v>vigorous Football activity</v>
      </c>
      <c r="RA1" t="str">
        <f t="shared" ca="1" si="7"/>
        <v>q_50j.4</v>
      </c>
      <c r="RB1" t="str">
        <f t="shared" ca="1" si="7"/>
        <v>How long Football activity</v>
      </c>
      <c r="RC1" t="str">
        <f t="shared" ca="1" si="7"/>
        <v>q_50k.3</v>
      </c>
      <c r="RD1" t="str">
        <f t="shared" ca="1" si="7"/>
        <v>vigorous Golf activity</v>
      </c>
      <c r="RE1" t="str">
        <f t="shared" ca="1" si="7"/>
        <v>q_50k.4</v>
      </c>
      <c r="RF1" t="str">
        <f t="shared" ca="1" si="7"/>
        <v>How long Golf activity</v>
      </c>
      <c r="RG1" t="str">
        <f t="shared" ca="1" si="7"/>
        <v>q_50l.3</v>
      </c>
      <c r="RH1" t="str">
        <f t="shared" ca="1" si="7"/>
        <v>vigorous Handball activity</v>
      </c>
      <c r="RI1" t="str">
        <f t="shared" ca="1" si="7"/>
        <v>q_50l.4</v>
      </c>
      <c r="RJ1" t="str">
        <f t="shared" ca="1" si="7"/>
        <v>How long Handball activity</v>
      </c>
      <c r="RK1" t="str">
        <f t="shared" ca="1" si="7"/>
        <v>q_50m.3</v>
      </c>
      <c r="RL1" t="str">
        <f t="shared" ca="1" si="7"/>
        <v>vigorous Hockey activity</v>
      </c>
      <c r="RM1" t="str">
        <f t="shared" ca="1" si="7"/>
        <v>q_50m.4</v>
      </c>
      <c r="RN1" t="str">
        <f t="shared" ca="1" si="7"/>
        <v>How long Hockey activity</v>
      </c>
      <c r="RO1" t="str">
        <f t="shared" ca="1" si="7"/>
        <v>q_50n.3</v>
      </c>
      <c r="RP1" t="str">
        <f t="shared" ca="1" si="7"/>
        <v>vigorous Rowing activity</v>
      </c>
      <c r="RQ1" t="str">
        <f t="shared" ca="1" si="7"/>
        <v>q_50n.4</v>
      </c>
      <c r="RR1" t="str">
        <f t="shared" ca="1" si="7"/>
        <v>How long Rowing activity</v>
      </c>
      <c r="RS1" t="str">
        <f t="shared" ca="1" si="7"/>
        <v>q_50o.3</v>
      </c>
      <c r="RT1" t="str">
        <f t="shared" ca="1" si="7"/>
        <v>vigorous Rugby activity</v>
      </c>
      <c r="RU1" t="str">
        <f t="shared" ca="1" si="7"/>
        <v>q_50o.4</v>
      </c>
      <c r="RV1" t="str">
        <f t="shared" ca="1" si="7"/>
        <v>How long Rugby activity</v>
      </c>
      <c r="RW1" t="str">
        <f t="shared" ca="1" si="7"/>
        <v>q_50p.3</v>
      </c>
      <c r="RX1" t="str">
        <f t="shared" ca="1" si="7"/>
        <v>vigorous Running activity</v>
      </c>
      <c r="RY1" t="str">
        <f t="shared" ca="1" si="7"/>
        <v>q_50p.4</v>
      </c>
      <c r="RZ1" t="str">
        <f t="shared" ca="1" si="7"/>
        <v>How long Running activity</v>
      </c>
      <c r="SA1" t="str">
        <f t="shared" ca="1" si="7"/>
        <v>q_50q.3</v>
      </c>
      <c r="SB1" t="str">
        <f t="shared" ca="1" si="7"/>
        <v>vigorous Skiing activity</v>
      </c>
      <c r="SC1" t="str">
        <f t="shared" ca="1" si="7"/>
        <v>q_50q.4</v>
      </c>
      <c r="SD1" t="str">
        <f t="shared" ca="1" si="7"/>
        <v>How long Skiing activity</v>
      </c>
      <c r="SE1" t="str">
        <f t="shared" ca="1" si="7"/>
        <v>q_50r.3</v>
      </c>
      <c r="SF1" t="str">
        <f t="shared" ca="1" si="7"/>
        <v>vigorous Swimming activity</v>
      </c>
      <c r="SG1" t="str">
        <f t="shared" ca="1" si="7"/>
        <v>q_50r.4</v>
      </c>
      <c r="SH1" t="str">
        <f t="shared" ca="1" si="7"/>
        <v>How long Swimming activity</v>
      </c>
      <c r="SI1" t="str">
        <f t="shared" ca="1" si="7"/>
        <v>q_50s.3</v>
      </c>
      <c r="SJ1" t="str">
        <f t="shared" ca="1" si="7"/>
        <v>vigorous Tennis activity</v>
      </c>
      <c r="SK1" t="str">
        <f t="shared" ca="1" si="7"/>
        <v>q_50s.4</v>
      </c>
      <c r="SL1" t="str">
        <f t="shared" ca="1" si="7"/>
        <v>How long Tennis activity</v>
      </c>
      <c r="SM1" t="str">
        <f t="shared" ca="1" si="7"/>
        <v>q_50t.3</v>
      </c>
      <c r="SN1" t="str">
        <f t="shared" ca="1" si="7"/>
        <v>vigorous Volleyball activity</v>
      </c>
      <c r="SO1" t="str">
        <f t="shared" ca="1" si="7"/>
        <v>q_50t.4</v>
      </c>
      <c r="SP1" t="str">
        <f t="shared" ca="1" si="7"/>
        <v>How long Volleyball activity</v>
      </c>
      <c r="SQ1" t="str">
        <f t="shared" ca="1" si="7"/>
        <v>q_50u.3</v>
      </c>
      <c r="SR1" t="str">
        <f t="shared" ca="1" si="7"/>
        <v>vigorous Weightlifting activity</v>
      </c>
      <c r="SS1" t="str">
        <f t="shared" ref="SS1:VD1" ca="1" si="8">IF(INDIRECT(ADDRESS(MOD(COLUMN(SS2),2)+1,INT((COLUMN(SS2)-1)/2)+1, ,,"data_frame"))="","",INDIRECT(ADDRESS(MOD(COLUMN(SS2),2)+1,INT((COLUMN(SS2)-1)/2)+1, ,,"data_frame")))</f>
        <v>q_50u.4</v>
      </c>
      <c r="ST1" t="str">
        <f t="shared" ca="1" si="8"/>
        <v>How long Weightlifting activity</v>
      </c>
      <c r="SU1" t="str">
        <f t="shared" ca="1" si="8"/>
        <v>q_50v.3</v>
      </c>
      <c r="SV1" t="str">
        <f t="shared" ca="1" si="8"/>
        <v>Other vigorous activity</v>
      </c>
      <c r="SW1" t="str">
        <f t="shared" ca="1" si="8"/>
        <v>q_50v.4</v>
      </c>
      <c r="SX1" t="str">
        <f t="shared" ca="1" si="8"/>
        <v>How long other vigorous activity</v>
      </c>
      <c r="SY1" t="str">
        <f t="shared" ca="1" si="8"/>
        <v>q_51a.1</v>
      </c>
      <c r="SZ1" t="str">
        <f t="shared" ca="1" si="8"/>
        <v>Mild Basketball activity</v>
      </c>
      <c r="TA1" t="str">
        <f t="shared" ca="1" si="8"/>
        <v>q_51a.2</v>
      </c>
      <c r="TB1" t="str">
        <f t="shared" ca="1" si="8"/>
        <v>How long mild Basketball activity</v>
      </c>
      <c r="TC1" t="str">
        <f t="shared" ca="1" si="8"/>
        <v>q_51b.1</v>
      </c>
      <c r="TD1" t="str">
        <f t="shared" ca="1" si="8"/>
        <v>Mild Boxing activity</v>
      </c>
      <c r="TE1" t="str">
        <f t="shared" ca="1" si="8"/>
        <v>q_51b.2</v>
      </c>
      <c r="TF1" t="str">
        <f t="shared" ca="1" si="8"/>
        <v>How long mild Boxing activity</v>
      </c>
      <c r="TG1" t="str">
        <f t="shared" ca="1" si="8"/>
        <v>q_51c.1</v>
      </c>
      <c r="TH1" t="str">
        <f t="shared" ca="1" si="8"/>
        <v>Mild Climbing activity</v>
      </c>
      <c r="TI1" t="str">
        <f t="shared" ca="1" si="8"/>
        <v>q_51c.2</v>
      </c>
      <c r="TJ1" t="str">
        <f t="shared" ca="1" si="8"/>
        <v>How long mild Climbing activity</v>
      </c>
      <c r="TK1" t="str">
        <f t="shared" ca="1" si="8"/>
        <v>q_51d.1</v>
      </c>
      <c r="TL1" t="str">
        <f t="shared" ca="1" si="8"/>
        <v>Mild Cycling activity</v>
      </c>
      <c r="TM1" t="str">
        <f t="shared" ca="1" si="8"/>
        <v>q_51d.2</v>
      </c>
      <c r="TN1" t="str">
        <f t="shared" ca="1" si="8"/>
        <v>How long mild Cycling activity</v>
      </c>
      <c r="TO1" t="str">
        <f t="shared" ca="1" si="8"/>
        <v>q_51e.1</v>
      </c>
      <c r="TP1" t="str">
        <f t="shared" ca="1" si="8"/>
        <v>Mild Dancing activity</v>
      </c>
      <c r="TQ1" t="str">
        <f t="shared" ca="1" si="8"/>
        <v>q_51e.2</v>
      </c>
      <c r="TR1" t="str">
        <f t="shared" ca="1" si="8"/>
        <v>How long mild Dancing activity</v>
      </c>
      <c r="TS1" t="str">
        <f t="shared" ca="1" si="8"/>
        <v>q_51f.1</v>
      </c>
      <c r="TT1" t="str">
        <f t="shared" ca="1" si="8"/>
        <v>Mild Diving activity</v>
      </c>
      <c r="TU1" t="str">
        <f t="shared" ca="1" si="8"/>
        <v>q_51f.2</v>
      </c>
      <c r="TV1" t="str">
        <f t="shared" ca="1" si="8"/>
        <v>How long mild Diving activity</v>
      </c>
      <c r="TW1" t="str">
        <f t="shared" ca="1" si="8"/>
        <v>q_51g.1</v>
      </c>
      <c r="TX1" t="str">
        <f t="shared" ca="1" si="8"/>
        <v>Mild Fast walking activity</v>
      </c>
      <c r="TY1" t="str">
        <f t="shared" ca="1" si="8"/>
        <v>q_51g.2</v>
      </c>
      <c r="TZ1" t="str">
        <f t="shared" ca="1" si="8"/>
        <v>How long mild Fast walking activity</v>
      </c>
      <c r="UA1" t="str">
        <f t="shared" ca="1" si="8"/>
        <v>q_51h.1</v>
      </c>
      <c r="UB1" t="str">
        <f t="shared" ca="1" si="8"/>
        <v>Mild Fencing activity</v>
      </c>
      <c r="UC1" t="str">
        <f t="shared" ca="1" si="8"/>
        <v>q_51h.2</v>
      </c>
      <c r="UD1" t="str">
        <f t="shared" ca="1" si="8"/>
        <v>How long mild Fencing activity</v>
      </c>
      <c r="UE1" t="str">
        <f t="shared" ca="1" si="8"/>
        <v>q_51i.1</v>
      </c>
      <c r="UF1" t="str">
        <f t="shared" ca="1" si="8"/>
        <v>Mild Fitness activity</v>
      </c>
      <c r="UG1" t="str">
        <f t="shared" ca="1" si="8"/>
        <v>q_51i.2</v>
      </c>
      <c r="UH1" t="str">
        <f t="shared" ca="1" si="8"/>
        <v>How long mild Fitness activity</v>
      </c>
      <c r="UI1" t="str">
        <f t="shared" ca="1" si="8"/>
        <v>q_51j.1</v>
      </c>
      <c r="UJ1" t="str">
        <f t="shared" ca="1" si="8"/>
        <v>Mild Football activity</v>
      </c>
      <c r="UK1" t="str">
        <f t="shared" ca="1" si="8"/>
        <v>q_51j.2</v>
      </c>
      <c r="UL1" t="str">
        <f t="shared" ca="1" si="8"/>
        <v>How long mild Football activity</v>
      </c>
      <c r="UM1" t="str">
        <f t="shared" ca="1" si="8"/>
        <v>q_51k.1</v>
      </c>
      <c r="UN1" t="str">
        <f t="shared" ca="1" si="8"/>
        <v>Mild Golf activity</v>
      </c>
      <c r="UO1" t="str">
        <f t="shared" ca="1" si="8"/>
        <v>q_51k.2</v>
      </c>
      <c r="UP1" t="str">
        <f t="shared" ca="1" si="8"/>
        <v>How long mild Golf activity</v>
      </c>
      <c r="UQ1" t="str">
        <f t="shared" ca="1" si="8"/>
        <v>q_51l.1</v>
      </c>
      <c r="UR1" t="str">
        <f t="shared" ca="1" si="8"/>
        <v>Mild Handball activity</v>
      </c>
      <c r="US1" t="str">
        <f t="shared" ca="1" si="8"/>
        <v>q_51l.2</v>
      </c>
      <c r="UT1" t="str">
        <f t="shared" ca="1" si="8"/>
        <v>How long mild Handball activity</v>
      </c>
      <c r="UU1" t="str">
        <f t="shared" ca="1" si="8"/>
        <v>q_51m.1</v>
      </c>
      <c r="UV1" t="str">
        <f t="shared" ca="1" si="8"/>
        <v>Mild Hockey activity</v>
      </c>
      <c r="UW1" t="str">
        <f t="shared" ca="1" si="8"/>
        <v>q_51m.2</v>
      </c>
      <c r="UX1" t="str">
        <f t="shared" ca="1" si="8"/>
        <v>How long mild Hockey activity</v>
      </c>
      <c r="UY1" t="str">
        <f t="shared" ca="1" si="8"/>
        <v>q_51n.1</v>
      </c>
      <c r="UZ1" t="str">
        <f t="shared" ca="1" si="8"/>
        <v>Mild Rowing activity</v>
      </c>
      <c r="VA1" t="str">
        <f t="shared" ca="1" si="8"/>
        <v>q_51n.2</v>
      </c>
      <c r="VB1" t="str">
        <f t="shared" ca="1" si="8"/>
        <v>How long mild Rowing activity</v>
      </c>
      <c r="VC1" t="str">
        <f t="shared" ca="1" si="8"/>
        <v>q_51o.1</v>
      </c>
      <c r="VD1" t="str">
        <f t="shared" ca="1" si="8"/>
        <v>Mild Rugby activity</v>
      </c>
      <c r="VE1" t="str">
        <f t="shared" ref="VE1:XP1" ca="1" si="9">IF(INDIRECT(ADDRESS(MOD(COLUMN(VE2),2)+1,INT((COLUMN(VE2)-1)/2)+1, ,,"data_frame"))="","",INDIRECT(ADDRESS(MOD(COLUMN(VE2),2)+1,INT((COLUMN(VE2)-1)/2)+1, ,,"data_frame")))</f>
        <v>q_51o.2</v>
      </c>
      <c r="VF1" t="str">
        <f t="shared" ca="1" si="9"/>
        <v>How long mild Rugby activity</v>
      </c>
      <c r="VG1" t="str">
        <f t="shared" ca="1" si="9"/>
        <v>q_51p.1</v>
      </c>
      <c r="VH1" t="str">
        <f t="shared" ca="1" si="9"/>
        <v>Mild Running activity</v>
      </c>
      <c r="VI1" t="str">
        <f t="shared" ca="1" si="9"/>
        <v>q_51p.2</v>
      </c>
      <c r="VJ1" t="str">
        <f t="shared" ca="1" si="9"/>
        <v>How long mild Running activity</v>
      </c>
      <c r="VK1" t="str">
        <f t="shared" ca="1" si="9"/>
        <v>q_51q.1</v>
      </c>
      <c r="VL1" t="str">
        <f t="shared" ca="1" si="9"/>
        <v>Mild Skiing activity</v>
      </c>
      <c r="VM1" t="str">
        <f t="shared" ca="1" si="9"/>
        <v>q_51q.2</v>
      </c>
      <c r="VN1" t="str">
        <f t="shared" ca="1" si="9"/>
        <v>How long mild Skiing activity</v>
      </c>
      <c r="VO1" t="str">
        <f t="shared" ca="1" si="9"/>
        <v>q_51r.1</v>
      </c>
      <c r="VP1" t="str">
        <f t="shared" ca="1" si="9"/>
        <v>Mild Swimming activity</v>
      </c>
      <c r="VQ1" t="str">
        <f t="shared" ca="1" si="9"/>
        <v>q_51r.2</v>
      </c>
      <c r="VR1" t="str">
        <f t="shared" ca="1" si="9"/>
        <v>How long mild Swimming activity</v>
      </c>
      <c r="VS1" t="str">
        <f t="shared" ca="1" si="9"/>
        <v>q_51s.1</v>
      </c>
      <c r="VT1" t="str">
        <f t="shared" ca="1" si="9"/>
        <v>Mild Tennis activity</v>
      </c>
      <c r="VU1" t="str">
        <f t="shared" ca="1" si="9"/>
        <v>q_51s.2</v>
      </c>
      <c r="VV1" t="str">
        <f t="shared" ca="1" si="9"/>
        <v>How long mild Tennis activity</v>
      </c>
      <c r="VW1" t="str">
        <f t="shared" ca="1" si="9"/>
        <v>q_51t.1</v>
      </c>
      <c r="VX1" t="str">
        <f t="shared" ca="1" si="9"/>
        <v>Mild Volleyball activity</v>
      </c>
      <c r="VY1" t="str">
        <f t="shared" ca="1" si="9"/>
        <v>q_51t.2</v>
      </c>
      <c r="VZ1" t="str">
        <f t="shared" ca="1" si="9"/>
        <v>How long mild Volleyball activity</v>
      </c>
      <c r="WA1" t="str">
        <f t="shared" ca="1" si="9"/>
        <v>q_51u.1</v>
      </c>
      <c r="WB1" t="str">
        <f t="shared" ca="1" si="9"/>
        <v>Mild Weightlifting activity</v>
      </c>
      <c r="WC1" t="str">
        <f t="shared" ca="1" si="9"/>
        <v>q_51u.2</v>
      </c>
      <c r="WD1" t="str">
        <f t="shared" ca="1" si="9"/>
        <v>How long mild Weightlifting activity</v>
      </c>
      <c r="WE1" t="str">
        <f t="shared" ca="1" si="9"/>
        <v>q_51v.1</v>
      </c>
      <c r="WF1" t="str">
        <f t="shared" ca="1" si="9"/>
        <v>Other mild activity</v>
      </c>
      <c r="WG1" t="str">
        <f t="shared" ca="1" si="9"/>
        <v>q_51v.2</v>
      </c>
      <c r="WH1" t="str">
        <f t="shared" ca="1" si="9"/>
        <v>How long other mild activity</v>
      </c>
      <c r="WI1" t="str">
        <f t="shared" ca="1" si="9"/>
        <v>q_52</v>
      </c>
      <c r="WJ1" t="str">
        <f t="shared" ca="1" si="9"/>
        <v>Regular specific diet</v>
      </c>
      <c r="WK1" t="str">
        <f t="shared" ca="1" si="9"/>
        <v>q_53</v>
      </c>
      <c r="WL1" t="str">
        <f t="shared" ca="1" si="9"/>
        <v>Head/Neck trauma in the last 5 years</v>
      </c>
      <c r="WM1" t="str">
        <f t="shared" ca="1" si="9"/>
        <v>q_54</v>
      </c>
      <c r="WN1" t="str">
        <f t="shared" ca="1" si="9"/>
        <v>Head/Neck trauma &gt; 5 years</v>
      </c>
      <c r="WO1" t="str">
        <f t="shared" ca="1" si="9"/>
        <v>q_55a</v>
      </c>
      <c r="WP1" t="str">
        <f t="shared" ca="1" si="9"/>
        <v>Other Cervical trauma in the last 5 years</v>
      </c>
      <c r="WQ1" t="str">
        <f t="shared" ca="1" si="9"/>
        <v>q_55b</v>
      </c>
      <c r="WR1" t="str">
        <f t="shared" ca="1" si="9"/>
        <v>Other Thoracic trauma in the last 5 years</v>
      </c>
      <c r="WS1" t="str">
        <f t="shared" ca="1" si="9"/>
        <v>q_55c</v>
      </c>
      <c r="WT1" t="str">
        <f t="shared" ca="1" si="9"/>
        <v>Other Lumbo-sacral trauma in the last 5 years</v>
      </c>
      <c r="WU1" t="str">
        <f t="shared" ca="1" si="9"/>
        <v>q_56a</v>
      </c>
      <c r="WV1" t="str">
        <f t="shared" ca="1" si="9"/>
        <v>Other Cervical trauma &gt; 5 years</v>
      </c>
      <c r="WW1" t="str">
        <f t="shared" ca="1" si="9"/>
        <v>q_56b</v>
      </c>
      <c r="WX1" t="str">
        <f t="shared" ca="1" si="9"/>
        <v>Other Thoracic trauma &gt; 5 years</v>
      </c>
      <c r="WY1" t="str">
        <f t="shared" ca="1" si="9"/>
        <v>q_56c</v>
      </c>
      <c r="WZ1" t="str">
        <f t="shared" ca="1" si="9"/>
        <v>Other Lumbo-sacral trauma &gt; 5 years</v>
      </c>
      <c r="XA1" t="str">
        <f t="shared" ca="1" si="9"/>
        <v>q_57a</v>
      </c>
      <c r="XB1" t="str">
        <f t="shared" ca="1" si="9"/>
        <v>Cervical Spine surgery in the last 5 years</v>
      </c>
      <c r="XC1" t="str">
        <f t="shared" ca="1" si="9"/>
        <v>q_57b</v>
      </c>
      <c r="XD1" t="str">
        <f t="shared" ca="1" si="9"/>
        <v>Thoracic Spine surgery in the last 5 years</v>
      </c>
      <c r="XE1" t="str">
        <f t="shared" ca="1" si="9"/>
        <v>q_57c</v>
      </c>
      <c r="XF1" t="str">
        <f t="shared" ca="1" si="9"/>
        <v>Lumbo-Sacral Spine surgery in the last 5 years</v>
      </c>
      <c r="XG1" t="str">
        <f t="shared" ca="1" si="9"/>
        <v>q_58a</v>
      </c>
      <c r="XH1" t="str">
        <f t="shared" ca="1" si="9"/>
        <v>Cervical Spine surgery &gt; 5 years</v>
      </c>
      <c r="XI1" t="str">
        <f t="shared" ca="1" si="9"/>
        <v>q_58b</v>
      </c>
      <c r="XJ1" t="str">
        <f t="shared" ca="1" si="9"/>
        <v>Thoracic Spine surgery &gt; 5 years</v>
      </c>
      <c r="XK1" t="str">
        <f t="shared" ca="1" si="9"/>
        <v>q_58c</v>
      </c>
      <c r="XL1" t="str">
        <f t="shared" ca="1" si="9"/>
        <v>Lumbo-Sacral Spine surgery &gt; 5 years</v>
      </c>
      <c r="XM1" t="str">
        <f t="shared" ca="1" si="9"/>
        <v>q_59a</v>
      </c>
      <c r="XN1" t="str">
        <f t="shared" ca="1" si="9"/>
        <v>Upper Limb surgery in the last years</v>
      </c>
      <c r="XO1" t="str">
        <f t="shared" ca="1" si="9"/>
        <v>q_59b</v>
      </c>
      <c r="XP1" t="str">
        <f t="shared" ca="1" si="9"/>
        <v>Lower Limb surgery in the last 5 years</v>
      </c>
      <c r="XQ1" t="str">
        <f t="shared" ref="XQ1:AAB1" ca="1" si="10">IF(INDIRECT(ADDRESS(MOD(COLUMN(XQ2),2)+1,INT((COLUMN(XQ2)-1)/2)+1, ,,"data_frame"))="","",INDIRECT(ADDRESS(MOD(COLUMN(XQ2),2)+1,INT((COLUMN(XQ2)-1)/2)+1, ,,"data_frame")))</f>
        <v>q_60a</v>
      </c>
      <c r="XR1" t="str">
        <f t="shared" ca="1" si="10"/>
        <v>Upper Limb surgery &gt; 5 years</v>
      </c>
      <c r="XS1" t="str">
        <f t="shared" ca="1" si="10"/>
        <v>q_60b</v>
      </c>
      <c r="XT1" t="str">
        <f t="shared" ca="1" si="10"/>
        <v>Lower Limb surgery &gt; 5 years</v>
      </c>
      <c r="XU1" t="str">
        <f t="shared" ca="1" si="10"/>
        <v>q_61</v>
      </c>
      <c r="XV1" t="str">
        <f t="shared" ca="1" si="10"/>
        <v>Abdominal surgery in the last 5 years</v>
      </c>
      <c r="XW1" t="str">
        <f t="shared" ca="1" si="10"/>
        <v>q_62</v>
      </c>
      <c r="XX1" t="str">
        <f t="shared" ca="1" si="10"/>
        <v>Abdominal surgery &gt; 5 years</v>
      </c>
      <c r="XY1" t="str">
        <f t="shared" ca="1" si="10"/>
        <v>q_63</v>
      </c>
      <c r="XZ1" t="str">
        <f t="shared" ca="1" si="10"/>
        <v>Thoracic surgery in the last 5 years</v>
      </c>
      <c r="YA1" t="str">
        <f t="shared" ca="1" si="10"/>
        <v>q_64</v>
      </c>
      <c r="YB1" t="str">
        <f t="shared" ca="1" si="10"/>
        <v>Thoracic surgery &gt; 5 years</v>
      </c>
      <c r="YC1" t="str">
        <f t="shared" ca="1" si="10"/>
        <v>q_65</v>
      </c>
      <c r="YD1" t="str">
        <f t="shared" ca="1" si="10"/>
        <v>Pelvic Surgery in the last 5 years</v>
      </c>
      <c r="YE1" t="str">
        <f t="shared" ca="1" si="10"/>
        <v>q_66</v>
      </c>
      <c r="YF1" t="str">
        <f t="shared" ca="1" si="10"/>
        <v>Pelvic Surgery &gt; 5 years</v>
      </c>
      <c r="YG1" t="str">
        <f t="shared" ca="1" si="10"/>
        <v>q_67</v>
      </c>
      <c r="YH1" t="str">
        <f t="shared" ca="1" si="10"/>
        <v>Head/neck Surgery in the last 5 years</v>
      </c>
      <c r="YI1" t="str">
        <f t="shared" ca="1" si="10"/>
        <v>q_68</v>
      </c>
      <c r="YJ1" t="str">
        <f t="shared" ca="1" si="10"/>
        <v>Head/neck Surgery &gt; 5 years</v>
      </c>
      <c r="YK1" t="str">
        <f t="shared" ca="1" si="10"/>
        <v>q_69</v>
      </c>
      <c r="YL1" t="str">
        <f t="shared" ca="1" si="10"/>
        <v>Blood transfusion in the last 5 years</v>
      </c>
      <c r="YM1" t="str">
        <f t="shared" ca="1" si="10"/>
        <v>q_70</v>
      </c>
      <c r="YN1" t="str">
        <f t="shared" ca="1" si="10"/>
        <v>Blood transfusion &gt; 5 years</v>
      </c>
      <c r="YO1" t="str">
        <f t="shared" ca="1" si="10"/>
        <v>q_71</v>
      </c>
      <c r="YP1" t="str">
        <f t="shared" ca="1" si="10"/>
        <v>Blood donor in the last 5 years</v>
      </c>
      <c r="YQ1" t="str">
        <f t="shared" ca="1" si="10"/>
        <v>q_72</v>
      </c>
      <c r="YR1" t="str">
        <f t="shared" ca="1" si="10"/>
        <v>Blood donor &gt; 5 years</v>
      </c>
      <c r="YS1" t="str">
        <f t="shared" ca="1" si="10"/>
        <v>q_73</v>
      </c>
      <c r="YT1" t="str">
        <f t="shared" ca="1" si="10"/>
        <v>Electric shock in the last 5 years</v>
      </c>
      <c r="YU1" t="str">
        <f t="shared" ca="1" si="10"/>
        <v>q_74</v>
      </c>
      <c r="YV1" t="str">
        <f t="shared" ca="1" si="10"/>
        <v>Electric shock &gt; 5 years</v>
      </c>
      <c r="YW1" t="str">
        <f t="shared" ca="1" si="10"/>
        <v>q_75</v>
      </c>
      <c r="YX1" t="str">
        <f t="shared" ca="1" si="10"/>
        <v>Emotional stress in the last 5 years</v>
      </c>
      <c r="YY1" t="str">
        <f t="shared" ca="1" si="10"/>
        <v>q_76</v>
      </c>
      <c r="YZ1" t="str">
        <f t="shared" ca="1" si="10"/>
        <v xml:space="preserve">Emotional stress &gt;5 years </v>
      </c>
      <c r="ZA1" t="str">
        <f t="shared" ca="1" si="10"/>
        <v>q_77</v>
      </c>
      <c r="ZB1" t="str">
        <f t="shared" ca="1" si="10"/>
        <v>Main Ocupation</v>
      </c>
      <c r="ZC1" t="str">
        <f t="shared" ca="1" si="10"/>
        <v>q_78</v>
      </c>
      <c r="ZD1" t="str">
        <f t="shared" ca="1" si="10"/>
        <v>Main Ocupation</v>
      </c>
      <c r="ZE1" t="str">
        <f t="shared" ca="1" si="10"/>
        <v>q_79</v>
      </c>
      <c r="ZF1" t="str">
        <f t="shared" ca="1" si="10"/>
        <v xml:space="preserve">Second Occupation </v>
      </c>
      <c r="ZG1" t="str">
        <f t="shared" ca="1" si="10"/>
        <v>q_80</v>
      </c>
      <c r="ZH1" t="str">
        <f t="shared" ca="1" si="10"/>
        <v xml:space="preserve">Second Occupation </v>
      </c>
      <c r="ZI1" t="str">
        <f t="shared" ca="1" si="10"/>
        <v>q_81</v>
      </c>
      <c r="ZJ1" t="str">
        <f t="shared" ca="1" si="10"/>
        <v xml:space="preserve">Place of living </v>
      </c>
      <c r="ZK1" t="str">
        <f t="shared" ca="1" si="10"/>
        <v>q_81a</v>
      </c>
      <c r="ZL1" t="str">
        <f t="shared" ca="1" si="10"/>
        <v>Lives in Rural Area/Urban</v>
      </c>
      <c r="ZM1" t="str">
        <f t="shared" ca="1" si="10"/>
        <v>q_81b</v>
      </c>
      <c r="ZN1" t="str">
        <f t="shared" ca="1" si="10"/>
        <v>Lives near sewege plant</v>
      </c>
      <c r="ZO1" t="str">
        <f t="shared" ca="1" si="10"/>
        <v>q_81c</v>
      </c>
      <c r="ZP1" t="str">
        <f t="shared" ca="1" si="10"/>
        <v>Lives near landfills</v>
      </c>
      <c r="ZQ1" t="str">
        <f t="shared" ca="1" si="10"/>
        <v>q_81d</v>
      </c>
      <c r="ZR1" t="str">
        <f t="shared" ca="1" si="10"/>
        <v>Lives near waste incinerators</v>
      </c>
      <c r="ZS1" t="str">
        <f t="shared" ca="1" si="10"/>
        <v>q_81e</v>
      </c>
      <c r="ZT1" t="str">
        <f t="shared" ca="1" si="10"/>
        <v>Lives near source of EM fields</v>
      </c>
      <c r="ZU1" t="str">
        <f t="shared" ca="1" si="10"/>
        <v>q_82</v>
      </c>
      <c r="ZV1" t="str">
        <f t="shared" ca="1" si="10"/>
        <v xml:space="preserve">Place of living </v>
      </c>
      <c r="ZW1" t="str">
        <f t="shared" ca="1" si="10"/>
        <v>q_82a</v>
      </c>
      <c r="ZX1" t="str">
        <f t="shared" ca="1" si="10"/>
        <v>Lives in Rural Area/Urban</v>
      </c>
      <c r="ZY1" t="str">
        <f t="shared" ca="1" si="10"/>
        <v>q_82b</v>
      </c>
      <c r="ZZ1" t="str">
        <f t="shared" ca="1" si="10"/>
        <v>Lives near sewege plant</v>
      </c>
      <c r="AAA1" t="str">
        <f t="shared" ca="1" si="10"/>
        <v>q_82c</v>
      </c>
      <c r="AAB1" t="str">
        <f t="shared" ca="1" si="10"/>
        <v>Lives near landfills</v>
      </c>
      <c r="AAC1" t="str">
        <f t="shared" ref="AAC1:ACN1" ca="1" si="11">IF(INDIRECT(ADDRESS(MOD(COLUMN(AAC2),2)+1,INT((COLUMN(AAC2)-1)/2)+1, ,,"data_frame"))="","",INDIRECT(ADDRESS(MOD(COLUMN(AAC2),2)+1,INT((COLUMN(AAC2)-1)/2)+1, ,,"data_frame")))</f>
        <v>q_82d</v>
      </c>
      <c r="AAD1" t="str">
        <f t="shared" ca="1" si="11"/>
        <v>Lives near waste incinerators</v>
      </c>
      <c r="AAE1" t="str">
        <f t="shared" ca="1" si="11"/>
        <v>q_82e</v>
      </c>
      <c r="AAF1" t="str">
        <f t="shared" ca="1" si="11"/>
        <v>Lives near source of EM fields</v>
      </c>
      <c r="AAG1" t="str">
        <f t="shared" ca="1" si="11"/>
        <v>q_83</v>
      </c>
      <c r="AAH1" t="str">
        <f t="shared" ca="1" si="11"/>
        <v>ALS cases in the neighborhood</v>
      </c>
      <c r="AAI1" t="str">
        <f t="shared" ca="1" si="11"/>
        <v>q_84</v>
      </c>
      <c r="AAJ1" t="str">
        <f t="shared" ca="1" si="11"/>
        <v>ALS disease in co-workers</v>
      </c>
      <c r="AAK1" t="str">
        <f t="shared" ca="1" si="11"/>
        <v>q_85</v>
      </c>
      <c r="AAL1" t="str">
        <f t="shared" ca="1" si="11"/>
        <v>ALS disease in friends</v>
      </c>
      <c r="AAM1" t="str">
        <f t="shared" ca="1" si="11"/>
        <v/>
      </c>
      <c r="AAN1" t="str">
        <f t="shared" ca="1" si="11"/>
        <v/>
      </c>
      <c r="AAO1" t="str">
        <f t="shared" ca="1" si="11"/>
        <v/>
      </c>
      <c r="AAP1" t="str">
        <f t="shared" ca="1" si="11"/>
        <v/>
      </c>
      <c r="AAQ1" t="str">
        <f t="shared" ca="1" si="11"/>
        <v/>
      </c>
      <c r="AAR1" t="str">
        <f t="shared" ca="1" si="11"/>
        <v/>
      </c>
      <c r="AAS1" t="str">
        <f t="shared" ca="1" si="11"/>
        <v/>
      </c>
      <c r="AAT1" t="str">
        <f t="shared" ca="1" si="11"/>
        <v/>
      </c>
      <c r="AAU1" t="str">
        <f t="shared" ca="1" si="11"/>
        <v/>
      </c>
      <c r="AAV1" t="str">
        <f t="shared" ca="1" si="11"/>
        <v/>
      </c>
      <c r="AAW1" t="str">
        <f t="shared" ca="1" si="11"/>
        <v/>
      </c>
      <c r="AAX1" t="str">
        <f t="shared" ca="1" si="11"/>
        <v/>
      </c>
      <c r="AAY1" t="str">
        <f t="shared" ca="1" si="11"/>
        <v/>
      </c>
      <c r="AAZ1" t="str">
        <f t="shared" ca="1" si="11"/>
        <v/>
      </c>
      <c r="ABA1" t="str">
        <f t="shared" ca="1" si="11"/>
        <v/>
      </c>
      <c r="ABB1" t="str">
        <f t="shared" ca="1" si="11"/>
        <v/>
      </c>
      <c r="ABC1" t="str">
        <f t="shared" ca="1" si="11"/>
        <v/>
      </c>
      <c r="ABD1" t="str">
        <f t="shared" ca="1" si="11"/>
        <v/>
      </c>
      <c r="ABE1" t="str">
        <f t="shared" ca="1" si="11"/>
        <v/>
      </c>
      <c r="ABF1" t="str">
        <f t="shared" ca="1" si="11"/>
        <v/>
      </c>
      <c r="ABG1" t="str">
        <f t="shared" ca="1" si="11"/>
        <v/>
      </c>
      <c r="ABH1" t="str">
        <f t="shared" ca="1" si="11"/>
        <v/>
      </c>
      <c r="ABI1" t="str">
        <f t="shared" ca="1" si="11"/>
        <v/>
      </c>
      <c r="ABJ1" t="str">
        <f t="shared" ca="1" si="11"/>
        <v/>
      </c>
      <c r="ABK1" t="str">
        <f t="shared" ca="1" si="11"/>
        <v/>
      </c>
      <c r="ABL1" t="str">
        <f t="shared" ca="1" si="11"/>
        <v/>
      </c>
      <c r="ABM1" t="str">
        <f t="shared" ca="1" si="11"/>
        <v/>
      </c>
      <c r="ABN1" t="str">
        <f t="shared" ca="1" si="11"/>
        <v/>
      </c>
      <c r="ABO1" t="str">
        <f t="shared" ca="1" si="11"/>
        <v/>
      </c>
      <c r="ABP1" t="str">
        <f t="shared" ca="1" si="11"/>
        <v/>
      </c>
      <c r="ABQ1" t="str">
        <f t="shared" ca="1" si="11"/>
        <v/>
      </c>
      <c r="ABR1" t="str">
        <f t="shared" ca="1" si="11"/>
        <v/>
      </c>
      <c r="ABS1" t="str">
        <f t="shared" ca="1" si="11"/>
        <v/>
      </c>
      <c r="ABT1" t="str">
        <f t="shared" ca="1" si="11"/>
        <v/>
      </c>
      <c r="ABU1" t="str">
        <f t="shared" ca="1" si="11"/>
        <v/>
      </c>
      <c r="ABV1" t="str">
        <f t="shared" ca="1" si="11"/>
        <v/>
      </c>
      <c r="ABW1" t="str">
        <f t="shared" ca="1" si="11"/>
        <v/>
      </c>
      <c r="ABX1" t="str">
        <f t="shared" ca="1" si="11"/>
        <v/>
      </c>
      <c r="ABY1" t="str">
        <f t="shared" ca="1" si="11"/>
        <v/>
      </c>
      <c r="ABZ1" t="str">
        <f t="shared" ca="1" si="11"/>
        <v/>
      </c>
      <c r="ACA1" t="str">
        <f t="shared" ca="1" si="11"/>
        <v/>
      </c>
      <c r="ACB1" t="str">
        <f t="shared" ca="1" si="11"/>
        <v/>
      </c>
      <c r="ACC1" t="str">
        <f t="shared" ca="1" si="11"/>
        <v/>
      </c>
      <c r="ACD1" t="str">
        <f t="shared" ca="1" si="11"/>
        <v/>
      </c>
      <c r="ACE1" t="str">
        <f t="shared" ca="1" si="11"/>
        <v/>
      </c>
      <c r="ACF1" t="str">
        <f t="shared" ca="1" si="11"/>
        <v/>
      </c>
      <c r="ACG1" t="str">
        <f t="shared" ca="1" si="11"/>
        <v/>
      </c>
      <c r="ACH1" t="str">
        <f t="shared" ca="1" si="11"/>
        <v/>
      </c>
      <c r="ACI1" t="str">
        <f t="shared" ca="1" si="11"/>
        <v/>
      </c>
      <c r="ACJ1" t="str">
        <f t="shared" ca="1" si="11"/>
        <v/>
      </c>
      <c r="ACK1" t="str">
        <f t="shared" ca="1" si="11"/>
        <v/>
      </c>
      <c r="ACL1" t="str">
        <f t="shared" ca="1" si="11"/>
        <v/>
      </c>
      <c r="ACM1" t="str">
        <f t="shared" ca="1" si="11"/>
        <v/>
      </c>
      <c r="ACN1" t="str">
        <f t="shared" ca="1" si="11"/>
        <v/>
      </c>
      <c r="ACO1" t="str">
        <f t="shared" ref="ACO1:AEZ1" ca="1" si="12">IF(INDIRECT(ADDRESS(MOD(COLUMN(ACO2),2)+1,INT((COLUMN(ACO2)-1)/2)+1, ,,"data_frame"))="","",INDIRECT(ADDRESS(MOD(COLUMN(ACO2),2)+1,INT((COLUMN(ACO2)-1)/2)+1, ,,"data_frame")))</f>
        <v/>
      </c>
      <c r="ACP1" t="str">
        <f t="shared" ca="1" si="12"/>
        <v/>
      </c>
      <c r="ACQ1" t="str">
        <f t="shared" ca="1" si="12"/>
        <v/>
      </c>
      <c r="ACR1" t="str">
        <f t="shared" ca="1" si="12"/>
        <v/>
      </c>
      <c r="ACS1" t="str">
        <f t="shared" ca="1" si="12"/>
        <v/>
      </c>
      <c r="ACT1" t="str">
        <f t="shared" ca="1" si="12"/>
        <v/>
      </c>
      <c r="ACU1" t="str">
        <f t="shared" ca="1" si="12"/>
        <v/>
      </c>
      <c r="ACV1" t="str">
        <f t="shared" ca="1" si="12"/>
        <v/>
      </c>
      <c r="ACW1" t="str">
        <f t="shared" ca="1" si="12"/>
        <v/>
      </c>
      <c r="ACX1" t="str">
        <f t="shared" ca="1" si="12"/>
        <v/>
      </c>
      <c r="ACY1" t="str">
        <f t="shared" ca="1" si="12"/>
        <v/>
      </c>
      <c r="ACZ1" t="str">
        <f t="shared" ca="1" si="12"/>
        <v/>
      </c>
      <c r="ADA1" t="str">
        <f t="shared" ca="1" si="12"/>
        <v/>
      </c>
      <c r="ADB1" t="str">
        <f t="shared" ca="1" si="12"/>
        <v/>
      </c>
      <c r="ADC1" t="str">
        <f t="shared" ca="1" si="12"/>
        <v/>
      </c>
      <c r="ADD1" t="str">
        <f t="shared" ca="1" si="12"/>
        <v/>
      </c>
      <c r="ADE1" t="str">
        <f t="shared" ca="1" si="12"/>
        <v/>
      </c>
      <c r="ADF1" t="str">
        <f t="shared" ca="1" si="12"/>
        <v/>
      </c>
      <c r="ADG1" t="str">
        <f t="shared" ca="1" si="12"/>
        <v/>
      </c>
      <c r="ADH1" t="str">
        <f t="shared" ca="1" si="12"/>
        <v/>
      </c>
      <c r="ADI1" t="str">
        <f t="shared" ca="1" si="12"/>
        <v/>
      </c>
      <c r="ADJ1" t="str">
        <f t="shared" ca="1" si="12"/>
        <v/>
      </c>
      <c r="ADK1" t="str">
        <f t="shared" ca="1" si="12"/>
        <v/>
      </c>
      <c r="ADL1" t="str">
        <f t="shared" ca="1" si="12"/>
        <v/>
      </c>
      <c r="ADM1" t="str">
        <f t="shared" ca="1" si="12"/>
        <v/>
      </c>
      <c r="ADN1" t="str">
        <f t="shared" ca="1" si="12"/>
        <v/>
      </c>
      <c r="ADO1" t="str">
        <f t="shared" ca="1" si="12"/>
        <v/>
      </c>
      <c r="ADP1" t="str">
        <f t="shared" ca="1" si="12"/>
        <v/>
      </c>
      <c r="ADQ1" t="str">
        <f t="shared" ca="1" si="12"/>
        <v/>
      </c>
      <c r="ADR1" t="str">
        <f t="shared" ca="1" si="12"/>
        <v/>
      </c>
      <c r="ADS1" t="str">
        <f t="shared" ca="1" si="12"/>
        <v/>
      </c>
      <c r="ADT1" t="str">
        <f t="shared" ca="1" si="12"/>
        <v/>
      </c>
      <c r="ADU1" t="str">
        <f t="shared" ca="1" si="12"/>
        <v/>
      </c>
      <c r="ADV1" t="str">
        <f t="shared" ca="1" si="12"/>
        <v/>
      </c>
      <c r="ADW1" t="str">
        <f t="shared" ca="1" si="12"/>
        <v/>
      </c>
      <c r="ADX1" t="str">
        <f t="shared" ca="1" si="12"/>
        <v/>
      </c>
      <c r="ADY1" t="str">
        <f t="shared" ca="1" si="12"/>
        <v/>
      </c>
      <c r="ADZ1" t="str">
        <f t="shared" ca="1" si="12"/>
        <v/>
      </c>
      <c r="AEA1" t="str">
        <f t="shared" ca="1" si="12"/>
        <v/>
      </c>
      <c r="AEB1" t="str">
        <f t="shared" ca="1" si="12"/>
        <v/>
      </c>
      <c r="AEC1" t="str">
        <f t="shared" ca="1" si="12"/>
        <v/>
      </c>
      <c r="AED1" t="str">
        <f t="shared" ca="1" si="12"/>
        <v/>
      </c>
      <c r="AEE1" t="str">
        <f t="shared" ca="1" si="12"/>
        <v/>
      </c>
      <c r="AEF1" t="str">
        <f t="shared" ca="1" si="12"/>
        <v/>
      </c>
      <c r="AEG1" t="str">
        <f t="shared" ca="1" si="12"/>
        <v/>
      </c>
      <c r="AEH1" t="str">
        <f t="shared" ca="1" si="12"/>
        <v/>
      </c>
      <c r="AEI1" t="str">
        <f t="shared" ca="1" si="12"/>
        <v/>
      </c>
      <c r="AEJ1" t="str">
        <f t="shared" ca="1" si="12"/>
        <v/>
      </c>
      <c r="AEK1" t="str">
        <f t="shared" ca="1" si="12"/>
        <v/>
      </c>
      <c r="AEL1" t="str">
        <f t="shared" ca="1" si="12"/>
        <v/>
      </c>
      <c r="AEM1" t="str">
        <f t="shared" ca="1" si="12"/>
        <v/>
      </c>
      <c r="AEN1" t="str">
        <f t="shared" ca="1" si="12"/>
        <v/>
      </c>
      <c r="AEO1" t="str">
        <f t="shared" ca="1" si="12"/>
        <v/>
      </c>
      <c r="AEP1" t="str">
        <f t="shared" ca="1" si="12"/>
        <v/>
      </c>
      <c r="AEQ1" t="str">
        <f t="shared" ca="1" si="12"/>
        <v/>
      </c>
      <c r="AER1" t="str">
        <f t="shared" ca="1" si="12"/>
        <v/>
      </c>
      <c r="AES1" t="str">
        <f t="shared" ca="1" si="12"/>
        <v/>
      </c>
      <c r="AET1" t="str">
        <f t="shared" ca="1" si="12"/>
        <v/>
      </c>
      <c r="AEU1" t="str">
        <f t="shared" ca="1" si="12"/>
        <v/>
      </c>
      <c r="AEV1" t="str">
        <f t="shared" ca="1" si="12"/>
        <v/>
      </c>
      <c r="AEW1" t="str">
        <f t="shared" ca="1" si="12"/>
        <v/>
      </c>
      <c r="AEX1" t="str">
        <f t="shared" ca="1" si="12"/>
        <v/>
      </c>
      <c r="AEY1" t="str">
        <f t="shared" ca="1" si="12"/>
        <v/>
      </c>
      <c r="AEZ1" t="str">
        <f t="shared" ca="1" si="12"/>
        <v/>
      </c>
      <c r="AFA1" t="str">
        <f t="shared" ref="AFA1:AHL1" ca="1" si="13">IF(INDIRECT(ADDRESS(MOD(COLUMN(AFA2),2)+1,INT((COLUMN(AFA2)-1)/2)+1, ,,"data_frame"))="","",INDIRECT(ADDRESS(MOD(COLUMN(AFA2),2)+1,INT((COLUMN(AFA2)-1)/2)+1, ,,"data_frame")))</f>
        <v/>
      </c>
      <c r="AFB1" t="str">
        <f t="shared" ca="1" si="13"/>
        <v/>
      </c>
      <c r="AFC1" t="str">
        <f t="shared" ca="1" si="13"/>
        <v/>
      </c>
      <c r="AFD1" t="str">
        <f t="shared" ca="1" si="13"/>
        <v/>
      </c>
      <c r="AFE1" t="str">
        <f t="shared" ca="1" si="13"/>
        <v/>
      </c>
      <c r="AFF1" t="str">
        <f t="shared" ca="1" si="13"/>
        <v/>
      </c>
      <c r="AFG1" t="str">
        <f t="shared" ca="1" si="13"/>
        <v/>
      </c>
      <c r="AFH1" t="str">
        <f t="shared" ca="1" si="13"/>
        <v/>
      </c>
      <c r="AFI1" t="str">
        <f t="shared" ca="1" si="13"/>
        <v/>
      </c>
      <c r="AFJ1" t="str">
        <f t="shared" ca="1" si="13"/>
        <v/>
      </c>
      <c r="AFK1" t="str">
        <f t="shared" ca="1" si="13"/>
        <v/>
      </c>
      <c r="AFL1" t="str">
        <f t="shared" ca="1" si="13"/>
        <v/>
      </c>
      <c r="AFM1" t="str">
        <f t="shared" ca="1" si="13"/>
        <v/>
      </c>
      <c r="AFN1" t="str">
        <f t="shared" ca="1" si="13"/>
        <v/>
      </c>
      <c r="AFO1" t="str">
        <f t="shared" ca="1" si="13"/>
        <v/>
      </c>
      <c r="AFP1" t="str">
        <f t="shared" ca="1" si="13"/>
        <v/>
      </c>
      <c r="AFQ1" t="str">
        <f t="shared" ca="1" si="13"/>
        <v/>
      </c>
      <c r="AFR1" t="str">
        <f t="shared" ca="1" si="13"/>
        <v/>
      </c>
      <c r="AFS1" t="str">
        <f t="shared" ca="1" si="13"/>
        <v/>
      </c>
      <c r="AFT1" t="str">
        <f t="shared" ca="1" si="13"/>
        <v/>
      </c>
      <c r="AFU1" t="str">
        <f t="shared" ca="1" si="13"/>
        <v/>
      </c>
      <c r="AFV1" t="str">
        <f t="shared" ca="1" si="13"/>
        <v/>
      </c>
      <c r="AFW1" t="str">
        <f t="shared" ca="1" si="13"/>
        <v/>
      </c>
      <c r="AFX1" t="str">
        <f t="shared" ca="1" si="13"/>
        <v/>
      </c>
      <c r="AFY1" t="str">
        <f t="shared" ca="1" si="13"/>
        <v/>
      </c>
      <c r="AFZ1" t="str">
        <f t="shared" ca="1" si="13"/>
        <v/>
      </c>
      <c r="AGA1" t="str">
        <f t="shared" ca="1" si="13"/>
        <v/>
      </c>
      <c r="AGB1" t="str">
        <f t="shared" ca="1" si="13"/>
        <v/>
      </c>
      <c r="AGC1" t="str">
        <f t="shared" ca="1" si="13"/>
        <v/>
      </c>
      <c r="AGD1" t="str">
        <f t="shared" ca="1" si="13"/>
        <v/>
      </c>
      <c r="AGE1" t="str">
        <f t="shared" ca="1" si="13"/>
        <v/>
      </c>
      <c r="AGF1" t="str">
        <f t="shared" ca="1" si="13"/>
        <v/>
      </c>
      <c r="AGG1" t="str">
        <f t="shared" ca="1" si="13"/>
        <v/>
      </c>
      <c r="AGH1" t="str">
        <f t="shared" ca="1" si="13"/>
        <v/>
      </c>
      <c r="AGI1" t="str">
        <f t="shared" ca="1" si="13"/>
        <v/>
      </c>
      <c r="AGJ1" t="str">
        <f t="shared" ca="1" si="13"/>
        <v/>
      </c>
      <c r="AGK1" t="str">
        <f t="shared" ca="1" si="13"/>
        <v/>
      </c>
      <c r="AGL1" t="str">
        <f t="shared" ca="1" si="13"/>
        <v/>
      </c>
      <c r="AGM1" t="str">
        <f t="shared" ca="1" si="13"/>
        <v/>
      </c>
      <c r="AGN1" t="str">
        <f t="shared" ca="1" si="13"/>
        <v/>
      </c>
      <c r="AGO1" t="str">
        <f t="shared" ca="1" si="13"/>
        <v/>
      </c>
      <c r="AGP1" t="str">
        <f t="shared" ca="1" si="13"/>
        <v/>
      </c>
      <c r="AGQ1" t="str">
        <f t="shared" ca="1" si="13"/>
        <v/>
      </c>
      <c r="AGR1" t="str">
        <f t="shared" ca="1" si="13"/>
        <v/>
      </c>
      <c r="AGS1" t="str">
        <f t="shared" ca="1" si="13"/>
        <v/>
      </c>
      <c r="AGT1" t="str">
        <f t="shared" ca="1" si="13"/>
        <v/>
      </c>
      <c r="AGU1" t="str">
        <f t="shared" ca="1" si="13"/>
        <v/>
      </c>
      <c r="AGV1" t="str">
        <f t="shared" ca="1" si="13"/>
        <v/>
      </c>
      <c r="AGW1" t="str">
        <f t="shared" ca="1" si="13"/>
        <v/>
      </c>
      <c r="AGX1" t="str">
        <f t="shared" ca="1" si="13"/>
        <v/>
      </c>
      <c r="AGY1" t="str">
        <f t="shared" ca="1" si="13"/>
        <v/>
      </c>
      <c r="AGZ1" t="str">
        <f t="shared" ca="1" si="13"/>
        <v/>
      </c>
      <c r="AHA1" t="str">
        <f t="shared" ca="1" si="13"/>
        <v/>
      </c>
      <c r="AHB1" t="str">
        <f t="shared" ca="1" si="13"/>
        <v/>
      </c>
      <c r="AHC1" t="str">
        <f t="shared" ca="1" si="13"/>
        <v/>
      </c>
      <c r="AHD1" t="str">
        <f t="shared" ca="1" si="13"/>
        <v/>
      </c>
      <c r="AHE1" t="str">
        <f t="shared" ca="1" si="13"/>
        <v/>
      </c>
      <c r="AHF1" t="str">
        <f t="shared" ca="1" si="13"/>
        <v/>
      </c>
      <c r="AHG1" t="str">
        <f t="shared" ca="1" si="13"/>
        <v/>
      </c>
      <c r="AHH1" t="str">
        <f t="shared" ca="1" si="13"/>
        <v/>
      </c>
      <c r="AHI1" t="str">
        <f t="shared" ca="1" si="13"/>
        <v/>
      </c>
      <c r="AHJ1" t="str">
        <f t="shared" ca="1" si="13"/>
        <v/>
      </c>
      <c r="AHK1" t="str">
        <f t="shared" ca="1" si="13"/>
        <v/>
      </c>
      <c r="AHL1" t="str">
        <f t="shared" ca="1" si="13"/>
        <v/>
      </c>
      <c r="AHM1" t="str">
        <f t="shared" ref="AHM1:AJX1" ca="1" si="14">IF(INDIRECT(ADDRESS(MOD(COLUMN(AHM2),2)+1,INT((COLUMN(AHM2)-1)/2)+1, ,,"data_frame"))="","",INDIRECT(ADDRESS(MOD(COLUMN(AHM2),2)+1,INT((COLUMN(AHM2)-1)/2)+1, ,,"data_frame")))</f>
        <v/>
      </c>
      <c r="AHN1" t="str">
        <f t="shared" ca="1" si="14"/>
        <v/>
      </c>
      <c r="AHO1" t="str">
        <f t="shared" ca="1" si="14"/>
        <v/>
      </c>
      <c r="AHP1" t="str">
        <f t="shared" ca="1" si="14"/>
        <v/>
      </c>
      <c r="AHQ1" t="str">
        <f t="shared" ca="1" si="14"/>
        <v/>
      </c>
      <c r="AHR1" t="str">
        <f t="shared" ca="1" si="14"/>
        <v/>
      </c>
      <c r="AHS1" t="str">
        <f t="shared" ca="1" si="14"/>
        <v/>
      </c>
      <c r="AHT1" t="str">
        <f t="shared" ca="1" si="14"/>
        <v/>
      </c>
      <c r="AHU1" t="str">
        <f t="shared" ca="1" si="14"/>
        <v/>
      </c>
      <c r="AHV1" t="str">
        <f t="shared" ca="1" si="14"/>
        <v/>
      </c>
      <c r="AHW1" t="str">
        <f t="shared" ca="1" si="14"/>
        <v/>
      </c>
      <c r="AHX1" t="str">
        <f t="shared" ca="1" si="14"/>
        <v/>
      </c>
      <c r="AHY1" t="str">
        <f t="shared" ca="1" si="14"/>
        <v/>
      </c>
      <c r="AHZ1" t="str">
        <f t="shared" ca="1" si="14"/>
        <v/>
      </c>
      <c r="AIA1" t="str">
        <f t="shared" ca="1" si="14"/>
        <v/>
      </c>
      <c r="AIB1" t="str">
        <f t="shared" ca="1" si="14"/>
        <v/>
      </c>
      <c r="AIC1" t="str">
        <f t="shared" ca="1" si="14"/>
        <v/>
      </c>
      <c r="AID1" t="str">
        <f t="shared" ca="1" si="14"/>
        <v/>
      </c>
      <c r="AIE1" t="str">
        <f t="shared" ca="1" si="14"/>
        <v/>
      </c>
      <c r="AIF1" t="str">
        <f t="shared" ca="1" si="14"/>
        <v/>
      </c>
      <c r="AIG1" t="str">
        <f t="shared" ca="1" si="14"/>
        <v/>
      </c>
      <c r="AIH1" t="str">
        <f t="shared" ca="1" si="14"/>
        <v/>
      </c>
      <c r="AII1" t="str">
        <f t="shared" ca="1" si="14"/>
        <v/>
      </c>
      <c r="AIJ1" t="str">
        <f t="shared" ca="1" si="14"/>
        <v/>
      </c>
      <c r="AIK1" t="str">
        <f t="shared" ca="1" si="14"/>
        <v/>
      </c>
      <c r="AIL1" t="str">
        <f t="shared" ca="1" si="14"/>
        <v/>
      </c>
      <c r="AIM1" t="str">
        <f t="shared" ca="1" si="14"/>
        <v/>
      </c>
      <c r="AIN1" t="str">
        <f t="shared" ca="1" si="14"/>
        <v/>
      </c>
      <c r="AIO1" t="str">
        <f t="shared" ca="1" si="14"/>
        <v/>
      </c>
      <c r="AIP1" t="str">
        <f t="shared" ca="1" si="14"/>
        <v/>
      </c>
      <c r="AIQ1" t="str">
        <f t="shared" ca="1" si="14"/>
        <v/>
      </c>
      <c r="AIR1" t="str">
        <f t="shared" ca="1" si="14"/>
        <v/>
      </c>
      <c r="AIS1" t="str">
        <f t="shared" ca="1" si="14"/>
        <v/>
      </c>
      <c r="AIT1" t="str">
        <f t="shared" ca="1" si="14"/>
        <v/>
      </c>
      <c r="AIU1" t="str">
        <f t="shared" ca="1" si="14"/>
        <v/>
      </c>
      <c r="AIV1" t="str">
        <f t="shared" ca="1" si="14"/>
        <v/>
      </c>
      <c r="AIW1" t="str">
        <f t="shared" ca="1" si="14"/>
        <v/>
      </c>
      <c r="AIX1" t="str">
        <f t="shared" ca="1" si="14"/>
        <v/>
      </c>
      <c r="AIY1" t="str">
        <f t="shared" ca="1" si="14"/>
        <v/>
      </c>
      <c r="AIZ1" t="str">
        <f t="shared" ca="1" si="14"/>
        <v/>
      </c>
      <c r="AJA1" t="str">
        <f t="shared" ca="1" si="14"/>
        <v/>
      </c>
      <c r="AJB1" t="str">
        <f t="shared" ca="1" si="14"/>
        <v/>
      </c>
      <c r="AJC1" t="str">
        <f t="shared" ca="1" si="14"/>
        <v/>
      </c>
      <c r="AJD1" t="str">
        <f t="shared" ca="1" si="14"/>
        <v/>
      </c>
      <c r="AJE1" t="str">
        <f t="shared" ca="1" si="14"/>
        <v/>
      </c>
      <c r="AJF1" t="str">
        <f t="shared" ca="1" si="14"/>
        <v/>
      </c>
      <c r="AJG1" t="str">
        <f t="shared" ca="1" si="14"/>
        <v/>
      </c>
      <c r="AJH1" t="str">
        <f t="shared" ca="1" si="14"/>
        <v/>
      </c>
      <c r="AJI1" t="str">
        <f t="shared" ca="1" si="14"/>
        <v/>
      </c>
      <c r="AJJ1" t="str">
        <f t="shared" ca="1" si="14"/>
        <v/>
      </c>
      <c r="AJK1" t="str">
        <f t="shared" ca="1" si="14"/>
        <v/>
      </c>
      <c r="AJL1" t="str">
        <f t="shared" ca="1" si="14"/>
        <v/>
      </c>
      <c r="AJM1" t="str">
        <f t="shared" ca="1" si="14"/>
        <v/>
      </c>
      <c r="AJN1" t="str">
        <f t="shared" ca="1" si="14"/>
        <v/>
      </c>
      <c r="AJO1" t="str">
        <f t="shared" ca="1" si="14"/>
        <v/>
      </c>
      <c r="AJP1" t="str">
        <f t="shared" ca="1" si="14"/>
        <v/>
      </c>
      <c r="AJQ1" t="str">
        <f t="shared" ca="1" si="14"/>
        <v/>
      </c>
      <c r="AJR1" t="str">
        <f t="shared" ca="1" si="14"/>
        <v/>
      </c>
      <c r="AJS1" t="str">
        <f t="shared" ca="1" si="14"/>
        <v/>
      </c>
      <c r="AJT1" t="str">
        <f t="shared" ca="1" si="14"/>
        <v/>
      </c>
      <c r="AJU1" t="str">
        <f t="shared" ca="1" si="14"/>
        <v/>
      </c>
      <c r="AJV1" t="str">
        <f t="shared" ca="1" si="14"/>
        <v/>
      </c>
      <c r="AJW1" t="str">
        <f t="shared" ca="1" si="14"/>
        <v/>
      </c>
      <c r="AJX1" t="str">
        <f t="shared" ca="1" si="14"/>
        <v/>
      </c>
      <c r="AJY1" t="str">
        <f t="shared" ref="AJY1:AMJ1" ca="1" si="15">IF(INDIRECT(ADDRESS(MOD(COLUMN(AJY2),2)+1,INT((COLUMN(AJY2)-1)/2)+1, ,,"data_frame"))="","",INDIRECT(ADDRESS(MOD(COLUMN(AJY2),2)+1,INT((COLUMN(AJY2)-1)/2)+1, ,,"data_frame")))</f>
        <v/>
      </c>
      <c r="AJZ1" t="str">
        <f t="shared" ca="1" si="15"/>
        <v/>
      </c>
      <c r="AKA1" t="str">
        <f t="shared" ca="1" si="15"/>
        <v/>
      </c>
      <c r="AKB1" t="str">
        <f t="shared" ca="1" si="15"/>
        <v/>
      </c>
      <c r="AKC1" t="str">
        <f t="shared" ca="1" si="15"/>
        <v/>
      </c>
      <c r="AKD1" t="str">
        <f t="shared" ca="1" si="15"/>
        <v/>
      </c>
      <c r="AKE1" t="str">
        <f t="shared" ca="1" si="15"/>
        <v/>
      </c>
      <c r="AKF1" t="str">
        <f t="shared" ca="1" si="15"/>
        <v/>
      </c>
      <c r="AKG1" t="str">
        <f t="shared" ca="1" si="15"/>
        <v/>
      </c>
      <c r="AKH1" t="str">
        <f t="shared" ca="1" si="15"/>
        <v/>
      </c>
      <c r="AKI1" t="str">
        <f t="shared" ca="1" si="15"/>
        <v/>
      </c>
      <c r="AKJ1" t="str">
        <f t="shared" ca="1" si="15"/>
        <v/>
      </c>
      <c r="AKK1" t="str">
        <f t="shared" ca="1" si="15"/>
        <v/>
      </c>
      <c r="AKL1" t="str">
        <f t="shared" ca="1" si="15"/>
        <v/>
      </c>
      <c r="AKM1" t="str">
        <f t="shared" ca="1" si="15"/>
        <v/>
      </c>
      <c r="AKN1" t="str">
        <f t="shared" ca="1" si="15"/>
        <v/>
      </c>
      <c r="AKO1" t="str">
        <f t="shared" ca="1" si="15"/>
        <v/>
      </c>
      <c r="AKP1" t="str">
        <f t="shared" ca="1" si="15"/>
        <v/>
      </c>
      <c r="AKQ1" t="str">
        <f t="shared" ca="1" si="15"/>
        <v/>
      </c>
      <c r="AKR1" t="str">
        <f t="shared" ca="1" si="15"/>
        <v/>
      </c>
      <c r="AKS1" t="str">
        <f t="shared" ca="1" si="15"/>
        <v/>
      </c>
      <c r="AKT1" t="str">
        <f t="shared" ca="1" si="15"/>
        <v/>
      </c>
      <c r="AKU1" t="str">
        <f t="shared" ca="1" si="15"/>
        <v/>
      </c>
      <c r="AKV1" t="str">
        <f t="shared" ca="1" si="15"/>
        <v/>
      </c>
      <c r="AKW1" t="str">
        <f t="shared" ca="1" si="15"/>
        <v/>
      </c>
      <c r="AKX1" t="str">
        <f t="shared" ca="1" si="15"/>
        <v/>
      </c>
      <c r="AKY1" t="str">
        <f t="shared" ca="1" si="15"/>
        <v/>
      </c>
      <c r="AKZ1" t="str">
        <f t="shared" ca="1" si="15"/>
        <v/>
      </c>
      <c r="ALA1" t="str">
        <f t="shared" ca="1" si="15"/>
        <v/>
      </c>
      <c r="ALB1" t="str">
        <f t="shared" ca="1" si="15"/>
        <v/>
      </c>
      <c r="ALC1" t="str">
        <f t="shared" ca="1" si="15"/>
        <v/>
      </c>
      <c r="ALD1" t="str">
        <f t="shared" ca="1" si="15"/>
        <v/>
      </c>
      <c r="ALE1" t="str">
        <f t="shared" ca="1" si="15"/>
        <v/>
      </c>
      <c r="ALF1" t="str">
        <f t="shared" ca="1" si="15"/>
        <v/>
      </c>
      <c r="ALG1" t="str">
        <f t="shared" ca="1" si="15"/>
        <v/>
      </c>
      <c r="ALH1" t="str">
        <f t="shared" ca="1" si="15"/>
        <v/>
      </c>
      <c r="ALI1" t="str">
        <f t="shared" ca="1" si="15"/>
        <v/>
      </c>
      <c r="ALJ1" t="str">
        <f t="shared" ca="1" si="15"/>
        <v/>
      </c>
      <c r="ALK1" t="str">
        <f t="shared" ca="1" si="15"/>
        <v/>
      </c>
      <c r="ALL1" t="str">
        <f t="shared" ca="1" si="15"/>
        <v/>
      </c>
      <c r="ALM1" t="str">
        <f t="shared" ca="1" si="15"/>
        <v/>
      </c>
      <c r="ALN1" t="str">
        <f t="shared" ca="1" si="15"/>
        <v/>
      </c>
      <c r="ALO1" t="str">
        <f t="shared" ca="1" si="15"/>
        <v/>
      </c>
      <c r="ALP1" t="str">
        <f t="shared" ca="1" si="15"/>
        <v/>
      </c>
      <c r="ALQ1" t="str">
        <f t="shared" ca="1" si="15"/>
        <v/>
      </c>
      <c r="ALR1" t="str">
        <f t="shared" ca="1" si="15"/>
        <v/>
      </c>
      <c r="ALS1" t="str">
        <f t="shared" ca="1" si="15"/>
        <v/>
      </c>
      <c r="ALT1" t="str">
        <f t="shared" ca="1" si="15"/>
        <v/>
      </c>
      <c r="ALU1" t="str">
        <f t="shared" ca="1" si="15"/>
        <v/>
      </c>
      <c r="ALV1" t="str">
        <f t="shared" ca="1" si="15"/>
        <v/>
      </c>
      <c r="ALW1" t="str">
        <f t="shared" ca="1" si="15"/>
        <v/>
      </c>
      <c r="ALX1" t="str">
        <f t="shared" ca="1" si="15"/>
        <v/>
      </c>
      <c r="ALY1" t="str">
        <f t="shared" ca="1" si="15"/>
        <v/>
      </c>
      <c r="ALZ1" t="str">
        <f t="shared" ca="1" si="15"/>
        <v/>
      </c>
      <c r="AMA1" t="str">
        <f t="shared" ca="1" si="15"/>
        <v/>
      </c>
      <c r="AMB1" t="str">
        <f t="shared" ca="1" si="15"/>
        <v/>
      </c>
      <c r="AMC1" t="str">
        <f t="shared" ca="1" si="15"/>
        <v/>
      </c>
      <c r="AMD1" t="str">
        <f t="shared" ca="1" si="15"/>
        <v/>
      </c>
      <c r="AME1" t="str">
        <f t="shared" ca="1" si="15"/>
        <v/>
      </c>
      <c r="AMF1" t="str">
        <f t="shared" ca="1" si="15"/>
        <v/>
      </c>
      <c r="AMG1" t="str">
        <f t="shared" ca="1" si="15"/>
        <v/>
      </c>
      <c r="AMH1" t="str">
        <f t="shared" ca="1" si="15"/>
        <v/>
      </c>
      <c r="AMI1" t="str">
        <f t="shared" ca="1" si="15"/>
        <v/>
      </c>
      <c r="AMJ1" t="str">
        <f t="shared" ca="1" si="15"/>
        <v/>
      </c>
      <c r="AMK1" t="str">
        <f t="shared" ref="AMK1:AOV1" ca="1" si="16">IF(INDIRECT(ADDRESS(MOD(COLUMN(AMK2),2)+1,INT((COLUMN(AMK2)-1)/2)+1, ,,"data_frame"))="","",INDIRECT(ADDRESS(MOD(COLUMN(AMK2),2)+1,INT((COLUMN(AMK2)-1)/2)+1, ,,"data_frame")))</f>
        <v/>
      </c>
      <c r="AML1" t="str">
        <f t="shared" ca="1" si="16"/>
        <v/>
      </c>
      <c r="AMM1" t="str">
        <f t="shared" ca="1" si="16"/>
        <v/>
      </c>
      <c r="AMN1" t="str">
        <f t="shared" ca="1" si="16"/>
        <v/>
      </c>
      <c r="AMO1" t="str">
        <f t="shared" ca="1" si="16"/>
        <v/>
      </c>
      <c r="AMP1" t="str">
        <f t="shared" ca="1" si="16"/>
        <v/>
      </c>
      <c r="AMQ1" t="str">
        <f t="shared" ca="1" si="16"/>
        <v/>
      </c>
      <c r="AMR1" t="str">
        <f t="shared" ca="1" si="16"/>
        <v/>
      </c>
      <c r="AMS1" t="str">
        <f t="shared" ca="1" si="16"/>
        <v/>
      </c>
      <c r="AMT1" t="str">
        <f t="shared" ca="1" si="16"/>
        <v/>
      </c>
      <c r="AMU1" t="str">
        <f t="shared" ca="1" si="16"/>
        <v/>
      </c>
      <c r="AMV1" t="str">
        <f t="shared" ca="1" si="16"/>
        <v/>
      </c>
      <c r="AMW1" t="str">
        <f t="shared" ca="1" si="16"/>
        <v/>
      </c>
      <c r="AMX1" t="str">
        <f t="shared" ca="1" si="16"/>
        <v/>
      </c>
      <c r="AMY1" t="str">
        <f t="shared" ca="1" si="16"/>
        <v/>
      </c>
      <c r="AMZ1" t="str">
        <f t="shared" ca="1" si="16"/>
        <v/>
      </c>
      <c r="ANA1" t="str">
        <f t="shared" ca="1" si="16"/>
        <v/>
      </c>
      <c r="ANB1" t="str">
        <f t="shared" ca="1" si="16"/>
        <v/>
      </c>
      <c r="ANC1" t="str">
        <f t="shared" ca="1" si="16"/>
        <v/>
      </c>
      <c r="AND1" t="str">
        <f t="shared" ca="1" si="16"/>
        <v/>
      </c>
      <c r="ANE1" t="str">
        <f t="shared" ca="1" si="16"/>
        <v/>
      </c>
      <c r="ANF1" t="str">
        <f t="shared" ca="1" si="16"/>
        <v/>
      </c>
      <c r="ANG1" t="str">
        <f t="shared" ca="1" si="16"/>
        <v/>
      </c>
      <c r="ANH1" t="str">
        <f t="shared" ca="1" si="16"/>
        <v/>
      </c>
      <c r="ANI1" t="str">
        <f t="shared" ca="1" si="16"/>
        <v/>
      </c>
      <c r="ANJ1" t="str">
        <f t="shared" ca="1" si="16"/>
        <v/>
      </c>
      <c r="ANK1" t="str">
        <f t="shared" ca="1" si="16"/>
        <v/>
      </c>
      <c r="ANL1" t="str">
        <f t="shared" ca="1" si="16"/>
        <v/>
      </c>
      <c r="ANM1" t="str">
        <f t="shared" ca="1" si="16"/>
        <v/>
      </c>
      <c r="ANN1" t="str">
        <f t="shared" ca="1" si="16"/>
        <v/>
      </c>
      <c r="ANO1" t="str">
        <f t="shared" ca="1" si="16"/>
        <v/>
      </c>
      <c r="ANP1" t="str">
        <f t="shared" ca="1" si="16"/>
        <v/>
      </c>
      <c r="ANQ1" t="str">
        <f t="shared" ca="1" si="16"/>
        <v/>
      </c>
      <c r="ANR1" t="str">
        <f t="shared" ca="1" si="16"/>
        <v/>
      </c>
      <c r="ANS1" t="str">
        <f t="shared" ca="1" si="16"/>
        <v/>
      </c>
      <c r="ANT1" t="str">
        <f t="shared" ca="1" si="16"/>
        <v/>
      </c>
      <c r="ANU1" t="str">
        <f t="shared" ca="1" si="16"/>
        <v/>
      </c>
      <c r="ANV1" t="str">
        <f t="shared" ca="1" si="16"/>
        <v/>
      </c>
      <c r="ANW1" t="str">
        <f t="shared" ca="1" si="16"/>
        <v/>
      </c>
      <c r="ANX1" t="str">
        <f t="shared" ca="1" si="16"/>
        <v/>
      </c>
      <c r="ANY1" t="str">
        <f t="shared" ca="1" si="16"/>
        <v/>
      </c>
      <c r="ANZ1" t="str">
        <f t="shared" ca="1" si="16"/>
        <v/>
      </c>
      <c r="AOA1" t="str">
        <f t="shared" ca="1" si="16"/>
        <v/>
      </c>
      <c r="AOB1" t="str">
        <f t="shared" ca="1" si="16"/>
        <v/>
      </c>
      <c r="AOC1" t="str">
        <f t="shared" ca="1" si="16"/>
        <v/>
      </c>
      <c r="AOD1" t="str">
        <f t="shared" ca="1" si="16"/>
        <v/>
      </c>
      <c r="AOE1" t="str">
        <f t="shared" ca="1" si="16"/>
        <v/>
      </c>
      <c r="AOF1" t="str">
        <f t="shared" ca="1" si="16"/>
        <v/>
      </c>
      <c r="AOG1" t="str">
        <f t="shared" ca="1" si="16"/>
        <v/>
      </c>
      <c r="AOH1" t="str">
        <f t="shared" ca="1" si="16"/>
        <v/>
      </c>
      <c r="AOI1" t="str">
        <f t="shared" ca="1" si="16"/>
        <v/>
      </c>
      <c r="AOJ1" t="str">
        <f t="shared" ca="1" si="16"/>
        <v/>
      </c>
      <c r="AOK1" t="str">
        <f t="shared" ca="1" si="16"/>
        <v/>
      </c>
      <c r="AOL1" t="str">
        <f t="shared" ca="1" si="16"/>
        <v/>
      </c>
      <c r="AOM1" t="str">
        <f t="shared" ca="1" si="16"/>
        <v/>
      </c>
      <c r="AON1" t="str">
        <f t="shared" ca="1" si="16"/>
        <v/>
      </c>
      <c r="AOO1" t="str">
        <f t="shared" ca="1" si="16"/>
        <v/>
      </c>
      <c r="AOP1" t="str">
        <f t="shared" ca="1" si="16"/>
        <v/>
      </c>
      <c r="AOQ1" t="str">
        <f t="shared" ca="1" si="16"/>
        <v/>
      </c>
      <c r="AOR1" t="str">
        <f t="shared" ca="1" si="16"/>
        <v/>
      </c>
      <c r="AOS1" t="str">
        <f t="shared" ca="1" si="16"/>
        <v/>
      </c>
      <c r="AOT1" t="str">
        <f t="shared" ca="1" si="16"/>
        <v/>
      </c>
      <c r="AOU1" t="str">
        <f t="shared" ca="1" si="16"/>
        <v/>
      </c>
      <c r="AOV1" t="str">
        <f t="shared" ca="1" si="16"/>
        <v/>
      </c>
      <c r="AOW1" t="str">
        <f t="shared" ref="AOW1:AOZ1" ca="1" si="17">IF(INDIRECT(ADDRESS(MOD(COLUMN(AOW2),2)+1,INT((COLUMN(AOW2)-1)/2)+1, ,,"data_frame"))="","",INDIRECT(ADDRESS(MOD(COLUMN(AOW2),2)+1,INT((COLUMN(AOW2)-1)/2)+1, ,,"data_frame")))</f>
        <v/>
      </c>
      <c r="AOX1" t="str">
        <f t="shared" ca="1" si="17"/>
        <v/>
      </c>
      <c r="AOY1" t="str">
        <f t="shared" ca="1" si="17"/>
        <v/>
      </c>
      <c r="AOZ1" t="str">
        <f t="shared" ca="1" si="17"/>
        <v/>
      </c>
    </row>
    <row r="2" spans="1:1092">
      <c r="A2" t="str">
        <f t="shared" ref="A2:BL2" ca="1" si="18">IF(A1="","",IF(MOD(COLUMN(B1)-1,2)=0,"Labels","Values"))</f>
        <v>Values</v>
      </c>
      <c r="B2" t="str">
        <f t="shared" ca="1" si="18"/>
        <v>Labels</v>
      </c>
      <c r="C2" t="str">
        <f t="shared" ca="1" si="18"/>
        <v>Values</v>
      </c>
      <c r="D2" t="str">
        <f t="shared" ca="1" si="18"/>
        <v/>
      </c>
      <c r="E2" t="str">
        <f t="shared" ca="1" si="18"/>
        <v>Values</v>
      </c>
      <c r="F2" t="str">
        <f t="shared" ca="1" si="18"/>
        <v/>
      </c>
      <c r="G2" t="str">
        <f t="shared" ca="1" si="18"/>
        <v>Values</v>
      </c>
      <c r="H2" t="str">
        <f t="shared" ca="1" si="18"/>
        <v>Labels</v>
      </c>
      <c r="I2" t="str">
        <f t="shared" ca="1" si="18"/>
        <v>Values</v>
      </c>
      <c r="J2" t="str">
        <f t="shared" ca="1" si="18"/>
        <v>Labels</v>
      </c>
      <c r="K2" t="str">
        <f t="shared" ca="1" si="18"/>
        <v>Values</v>
      </c>
      <c r="L2" t="str">
        <f t="shared" ca="1" si="18"/>
        <v>Labels</v>
      </c>
      <c r="M2" t="str">
        <f t="shared" ca="1" si="18"/>
        <v/>
      </c>
      <c r="N2" t="str">
        <f t="shared" ca="1" si="18"/>
        <v/>
      </c>
      <c r="O2" t="str">
        <f t="shared" ca="1" si="18"/>
        <v>Values</v>
      </c>
      <c r="P2" t="str">
        <f t="shared" ca="1" si="18"/>
        <v>Labels</v>
      </c>
      <c r="Q2" t="str">
        <f t="shared" ca="1" si="18"/>
        <v>Values</v>
      </c>
      <c r="R2" t="str">
        <f t="shared" ca="1" si="18"/>
        <v>Labels</v>
      </c>
      <c r="S2" t="str">
        <f t="shared" ca="1" si="18"/>
        <v>Values</v>
      </c>
      <c r="T2" t="str">
        <f t="shared" ca="1" si="18"/>
        <v>Labels</v>
      </c>
      <c r="U2" t="str">
        <f t="shared" ca="1" si="18"/>
        <v>Values</v>
      </c>
      <c r="V2" t="str">
        <f t="shared" ca="1" si="18"/>
        <v>Labels</v>
      </c>
      <c r="W2" t="str">
        <f t="shared" ca="1" si="18"/>
        <v>Values</v>
      </c>
      <c r="X2" t="str">
        <f t="shared" ca="1" si="18"/>
        <v>Labels</v>
      </c>
      <c r="Y2" t="str">
        <f t="shared" ca="1" si="18"/>
        <v>Values</v>
      </c>
      <c r="Z2" t="str">
        <f t="shared" ca="1" si="18"/>
        <v>Labels</v>
      </c>
      <c r="AA2" t="str">
        <f t="shared" ca="1" si="18"/>
        <v>Values</v>
      </c>
      <c r="AB2" t="str">
        <f t="shared" ca="1" si="18"/>
        <v>Labels</v>
      </c>
      <c r="AC2" t="str">
        <f t="shared" ca="1" si="18"/>
        <v>Values</v>
      </c>
      <c r="AD2" t="str">
        <f t="shared" ca="1" si="18"/>
        <v>Labels</v>
      </c>
      <c r="AE2" t="str">
        <f t="shared" ca="1" si="18"/>
        <v>Values</v>
      </c>
      <c r="AF2" t="str">
        <f t="shared" ca="1" si="18"/>
        <v>Labels</v>
      </c>
      <c r="AG2" t="str">
        <f t="shared" ca="1" si="18"/>
        <v>Values</v>
      </c>
      <c r="AH2" t="str">
        <f t="shared" ca="1" si="18"/>
        <v>Labels</v>
      </c>
      <c r="AI2" t="str">
        <f t="shared" ca="1" si="18"/>
        <v>Values</v>
      </c>
      <c r="AJ2" t="str">
        <f t="shared" ca="1" si="18"/>
        <v>Labels</v>
      </c>
      <c r="AK2" t="str">
        <f t="shared" ca="1" si="18"/>
        <v>Values</v>
      </c>
      <c r="AL2" t="str">
        <f t="shared" ca="1" si="18"/>
        <v>Labels</v>
      </c>
      <c r="AM2" t="str">
        <f t="shared" ca="1" si="18"/>
        <v>Values</v>
      </c>
      <c r="AN2" t="str">
        <f t="shared" ca="1" si="18"/>
        <v>Labels</v>
      </c>
      <c r="AO2" t="str">
        <f t="shared" ca="1" si="18"/>
        <v>Values</v>
      </c>
      <c r="AP2" t="str">
        <f t="shared" ca="1" si="18"/>
        <v>Labels</v>
      </c>
      <c r="AQ2" t="str">
        <f t="shared" ca="1" si="18"/>
        <v>Values</v>
      </c>
      <c r="AR2" t="str">
        <f t="shared" ca="1" si="18"/>
        <v>Labels</v>
      </c>
      <c r="AS2" t="str">
        <f t="shared" ca="1" si="18"/>
        <v>Values</v>
      </c>
      <c r="AT2" t="str">
        <f t="shared" ca="1" si="18"/>
        <v>Labels</v>
      </c>
      <c r="AU2" t="str">
        <f t="shared" ca="1" si="18"/>
        <v>Values</v>
      </c>
      <c r="AV2" t="str">
        <f t="shared" ca="1" si="18"/>
        <v>Labels</v>
      </c>
      <c r="AW2" t="str">
        <f t="shared" ca="1" si="18"/>
        <v>Values</v>
      </c>
      <c r="AX2" t="str">
        <f t="shared" ca="1" si="18"/>
        <v>Labels</v>
      </c>
      <c r="AY2" t="str">
        <f t="shared" ca="1" si="18"/>
        <v>Values</v>
      </c>
      <c r="AZ2" t="str">
        <f t="shared" ca="1" si="18"/>
        <v>Labels</v>
      </c>
      <c r="BA2" t="str">
        <f t="shared" ca="1" si="18"/>
        <v>Values</v>
      </c>
      <c r="BB2" t="str">
        <f t="shared" ca="1" si="18"/>
        <v>Labels</v>
      </c>
      <c r="BC2" t="str">
        <f t="shared" ca="1" si="18"/>
        <v>Values</v>
      </c>
      <c r="BD2" t="str">
        <f t="shared" ca="1" si="18"/>
        <v>Labels</v>
      </c>
      <c r="BE2" t="str">
        <f t="shared" ca="1" si="18"/>
        <v>Values</v>
      </c>
      <c r="BF2" t="str">
        <f t="shared" ca="1" si="18"/>
        <v>Labels</v>
      </c>
      <c r="BG2" t="str">
        <f t="shared" ca="1" si="18"/>
        <v>Values</v>
      </c>
      <c r="BH2" t="str">
        <f t="shared" ca="1" si="18"/>
        <v>Labels</v>
      </c>
      <c r="BI2" t="str">
        <f t="shared" ca="1" si="18"/>
        <v>Values</v>
      </c>
      <c r="BJ2" t="str">
        <f t="shared" ca="1" si="18"/>
        <v>Labels</v>
      </c>
      <c r="BK2" t="str">
        <f t="shared" ca="1" si="18"/>
        <v>Values</v>
      </c>
      <c r="BL2" t="str">
        <f t="shared" ca="1" si="18"/>
        <v>Labels</v>
      </c>
      <c r="BM2" t="str">
        <f t="shared" ref="BM2:DX2" ca="1" si="19">IF(BM1="","",IF(MOD(COLUMN(BN1)-1,2)=0,"Labels","Values"))</f>
        <v>Values</v>
      </c>
      <c r="BN2" t="str">
        <f t="shared" ca="1" si="19"/>
        <v>Labels</v>
      </c>
      <c r="BO2" t="str">
        <f t="shared" ca="1" si="19"/>
        <v>Values</v>
      </c>
      <c r="BP2" t="str">
        <f t="shared" ca="1" si="19"/>
        <v>Labels</v>
      </c>
      <c r="BQ2" t="str">
        <f t="shared" ca="1" si="19"/>
        <v>Values</v>
      </c>
      <c r="BR2" t="str">
        <f t="shared" ca="1" si="19"/>
        <v>Labels</v>
      </c>
      <c r="BS2" t="str">
        <f t="shared" ca="1" si="19"/>
        <v>Values</v>
      </c>
      <c r="BT2" t="str">
        <f t="shared" ca="1" si="19"/>
        <v>Labels</v>
      </c>
      <c r="BU2" t="str">
        <f t="shared" ca="1" si="19"/>
        <v>Values</v>
      </c>
      <c r="BV2" t="str">
        <f t="shared" ca="1" si="19"/>
        <v>Labels</v>
      </c>
      <c r="BW2" t="str">
        <f t="shared" ca="1" si="19"/>
        <v>Values</v>
      </c>
      <c r="BX2" t="str">
        <f t="shared" ca="1" si="19"/>
        <v>Labels</v>
      </c>
      <c r="BY2" t="str">
        <f t="shared" ca="1" si="19"/>
        <v>Values</v>
      </c>
      <c r="BZ2" t="str">
        <f t="shared" ca="1" si="19"/>
        <v>Labels</v>
      </c>
      <c r="CA2" t="str">
        <f t="shared" ca="1" si="19"/>
        <v>Values</v>
      </c>
      <c r="CB2" t="str">
        <f t="shared" ca="1" si="19"/>
        <v>Labels</v>
      </c>
      <c r="CC2" t="str">
        <f t="shared" ca="1" si="19"/>
        <v>Values</v>
      </c>
      <c r="CD2" t="str">
        <f t="shared" ca="1" si="19"/>
        <v>Labels</v>
      </c>
      <c r="CE2" t="str">
        <f t="shared" ca="1" si="19"/>
        <v>Values</v>
      </c>
      <c r="CF2" t="str">
        <f t="shared" ca="1" si="19"/>
        <v>Labels</v>
      </c>
      <c r="CG2" t="str">
        <f t="shared" ca="1" si="19"/>
        <v>Values</v>
      </c>
      <c r="CH2" t="str">
        <f t="shared" ca="1" si="19"/>
        <v>Labels</v>
      </c>
      <c r="CI2" t="str">
        <f t="shared" ca="1" si="19"/>
        <v>Values</v>
      </c>
      <c r="CJ2" t="str">
        <f t="shared" ca="1" si="19"/>
        <v>Labels</v>
      </c>
      <c r="CK2" t="str">
        <f t="shared" ca="1" si="19"/>
        <v>Values</v>
      </c>
      <c r="CL2" t="str">
        <f t="shared" ca="1" si="19"/>
        <v>Labels</v>
      </c>
      <c r="CM2" t="str">
        <f t="shared" ca="1" si="19"/>
        <v>Values</v>
      </c>
      <c r="CN2" t="str">
        <f t="shared" ca="1" si="19"/>
        <v>Labels</v>
      </c>
      <c r="CO2" t="str">
        <f t="shared" ca="1" si="19"/>
        <v>Values</v>
      </c>
      <c r="CP2" t="str">
        <f t="shared" ca="1" si="19"/>
        <v>Labels</v>
      </c>
      <c r="CQ2" t="str">
        <f t="shared" ca="1" si="19"/>
        <v>Values</v>
      </c>
      <c r="CR2" t="str">
        <f t="shared" ca="1" si="19"/>
        <v>Labels</v>
      </c>
      <c r="CS2" t="str">
        <f t="shared" ca="1" si="19"/>
        <v>Values</v>
      </c>
      <c r="CT2" t="str">
        <f t="shared" ca="1" si="19"/>
        <v>Labels</v>
      </c>
      <c r="CU2" t="str">
        <f t="shared" ca="1" si="19"/>
        <v>Values</v>
      </c>
      <c r="CV2" t="str">
        <f t="shared" ca="1" si="19"/>
        <v>Labels</v>
      </c>
      <c r="CW2" t="str">
        <f t="shared" ca="1" si="19"/>
        <v>Values</v>
      </c>
      <c r="CX2" t="str">
        <f t="shared" ca="1" si="19"/>
        <v>Labels</v>
      </c>
      <c r="CY2" t="str">
        <f t="shared" ca="1" si="19"/>
        <v>Values</v>
      </c>
      <c r="CZ2" t="str">
        <f t="shared" ca="1" si="19"/>
        <v>Labels</v>
      </c>
      <c r="DA2" t="str">
        <f t="shared" ca="1" si="19"/>
        <v>Values</v>
      </c>
      <c r="DB2" t="str">
        <f t="shared" ca="1" si="19"/>
        <v>Labels</v>
      </c>
      <c r="DC2" t="str">
        <f t="shared" ca="1" si="19"/>
        <v>Values</v>
      </c>
      <c r="DD2" t="str">
        <f t="shared" ca="1" si="19"/>
        <v>Labels</v>
      </c>
      <c r="DE2" t="str">
        <f t="shared" ca="1" si="19"/>
        <v>Values</v>
      </c>
      <c r="DF2" t="str">
        <f t="shared" ca="1" si="19"/>
        <v>Labels</v>
      </c>
      <c r="DG2" t="str">
        <f t="shared" ca="1" si="19"/>
        <v>Values</v>
      </c>
      <c r="DH2" t="str">
        <f t="shared" ca="1" si="19"/>
        <v>Labels</v>
      </c>
      <c r="DI2" t="str">
        <f t="shared" ca="1" si="19"/>
        <v>Values</v>
      </c>
      <c r="DJ2" t="str">
        <f t="shared" ca="1" si="19"/>
        <v>Labels</v>
      </c>
      <c r="DK2" t="str">
        <f t="shared" ca="1" si="19"/>
        <v>Values</v>
      </c>
      <c r="DL2" t="str">
        <f t="shared" ca="1" si="19"/>
        <v>Labels</v>
      </c>
      <c r="DM2" t="str">
        <f t="shared" ca="1" si="19"/>
        <v>Values</v>
      </c>
      <c r="DN2" t="str">
        <f t="shared" ca="1" si="19"/>
        <v>Labels</v>
      </c>
      <c r="DO2" t="str">
        <f t="shared" ca="1" si="19"/>
        <v>Values</v>
      </c>
      <c r="DP2" t="str">
        <f t="shared" ca="1" si="19"/>
        <v>Labels</v>
      </c>
      <c r="DQ2" t="str">
        <f t="shared" ca="1" si="19"/>
        <v>Values</v>
      </c>
      <c r="DR2" t="str">
        <f t="shared" ca="1" si="19"/>
        <v>Labels</v>
      </c>
      <c r="DS2" t="str">
        <f t="shared" ca="1" si="19"/>
        <v>Values</v>
      </c>
      <c r="DT2" t="str">
        <f t="shared" ca="1" si="19"/>
        <v>Labels</v>
      </c>
      <c r="DU2" t="str">
        <f t="shared" ca="1" si="19"/>
        <v>Values</v>
      </c>
      <c r="DV2" t="str">
        <f t="shared" ca="1" si="19"/>
        <v>Labels</v>
      </c>
      <c r="DW2" t="str">
        <f t="shared" ca="1" si="19"/>
        <v>Values</v>
      </c>
      <c r="DX2" t="str">
        <f t="shared" ca="1" si="19"/>
        <v>Labels</v>
      </c>
      <c r="DY2" t="str">
        <f t="shared" ref="DY2:GJ2" ca="1" si="20">IF(DY1="","",IF(MOD(COLUMN(DZ1)-1,2)=0,"Labels","Values"))</f>
        <v>Values</v>
      </c>
      <c r="DZ2" t="str">
        <f t="shared" ca="1" si="20"/>
        <v>Labels</v>
      </c>
      <c r="EA2" t="str">
        <f t="shared" ca="1" si="20"/>
        <v>Values</v>
      </c>
      <c r="EB2" t="str">
        <f t="shared" ca="1" si="20"/>
        <v>Labels</v>
      </c>
      <c r="EC2" t="str">
        <f t="shared" ca="1" si="20"/>
        <v>Values</v>
      </c>
      <c r="ED2" t="str">
        <f t="shared" ca="1" si="20"/>
        <v>Labels</v>
      </c>
      <c r="EE2" t="str">
        <f t="shared" ca="1" si="20"/>
        <v>Values</v>
      </c>
      <c r="EF2" t="str">
        <f t="shared" ca="1" si="20"/>
        <v>Labels</v>
      </c>
      <c r="EG2" t="str">
        <f t="shared" ca="1" si="20"/>
        <v>Values</v>
      </c>
      <c r="EH2" t="str">
        <f t="shared" ca="1" si="20"/>
        <v>Labels</v>
      </c>
      <c r="EI2" t="str">
        <f t="shared" ca="1" si="20"/>
        <v>Values</v>
      </c>
      <c r="EJ2" t="str">
        <f t="shared" ca="1" si="20"/>
        <v>Labels</v>
      </c>
      <c r="EK2" t="str">
        <f t="shared" ca="1" si="20"/>
        <v>Values</v>
      </c>
      <c r="EL2" t="str">
        <f t="shared" ca="1" si="20"/>
        <v>Labels</v>
      </c>
      <c r="EM2" t="str">
        <f t="shared" ca="1" si="20"/>
        <v>Values</v>
      </c>
      <c r="EN2" t="str">
        <f t="shared" ca="1" si="20"/>
        <v>Labels</v>
      </c>
      <c r="EO2" t="str">
        <f t="shared" ca="1" si="20"/>
        <v>Values</v>
      </c>
      <c r="EP2" t="str">
        <f t="shared" ca="1" si="20"/>
        <v>Labels</v>
      </c>
      <c r="EQ2" t="str">
        <f t="shared" ca="1" si="20"/>
        <v>Values</v>
      </c>
      <c r="ER2" t="str">
        <f t="shared" ca="1" si="20"/>
        <v>Labels</v>
      </c>
      <c r="ES2" t="str">
        <f t="shared" ca="1" si="20"/>
        <v>Values</v>
      </c>
      <c r="ET2" t="str">
        <f t="shared" ca="1" si="20"/>
        <v>Labels</v>
      </c>
      <c r="EU2" t="str">
        <f t="shared" ca="1" si="20"/>
        <v>Values</v>
      </c>
      <c r="EV2" t="str">
        <f t="shared" ca="1" si="20"/>
        <v>Labels</v>
      </c>
      <c r="EW2" t="str">
        <f t="shared" ca="1" si="20"/>
        <v>Values</v>
      </c>
      <c r="EX2" t="str">
        <f t="shared" ca="1" si="20"/>
        <v>Labels</v>
      </c>
      <c r="EY2" t="str">
        <f t="shared" ca="1" si="20"/>
        <v>Values</v>
      </c>
      <c r="EZ2" t="str">
        <f t="shared" ca="1" si="20"/>
        <v>Labels</v>
      </c>
      <c r="FA2" t="str">
        <f t="shared" ca="1" si="20"/>
        <v>Values</v>
      </c>
      <c r="FB2" t="str">
        <f t="shared" ca="1" si="20"/>
        <v>Labels</v>
      </c>
      <c r="FC2" t="str">
        <f t="shared" ca="1" si="20"/>
        <v>Values</v>
      </c>
      <c r="FD2" t="str">
        <f t="shared" ca="1" si="20"/>
        <v>Labels</v>
      </c>
      <c r="FE2" t="str">
        <f t="shared" ca="1" si="20"/>
        <v>Values</v>
      </c>
      <c r="FF2" t="str">
        <f t="shared" ca="1" si="20"/>
        <v>Labels</v>
      </c>
      <c r="FG2" t="str">
        <f t="shared" ca="1" si="20"/>
        <v>Values</v>
      </c>
      <c r="FH2" t="str">
        <f t="shared" ca="1" si="20"/>
        <v>Labels</v>
      </c>
      <c r="FI2" t="str">
        <f t="shared" ca="1" si="20"/>
        <v>Values</v>
      </c>
      <c r="FJ2" t="str">
        <f t="shared" ca="1" si="20"/>
        <v>Labels</v>
      </c>
      <c r="FK2" t="str">
        <f t="shared" ca="1" si="20"/>
        <v>Values</v>
      </c>
      <c r="FL2" t="str">
        <f t="shared" ca="1" si="20"/>
        <v>Labels</v>
      </c>
      <c r="FM2" t="str">
        <f t="shared" ca="1" si="20"/>
        <v>Values</v>
      </c>
      <c r="FN2" t="str">
        <f t="shared" ca="1" si="20"/>
        <v>Labels</v>
      </c>
      <c r="FO2" t="str">
        <f t="shared" ca="1" si="20"/>
        <v>Values</v>
      </c>
      <c r="FP2" t="str">
        <f t="shared" ca="1" si="20"/>
        <v>Labels</v>
      </c>
      <c r="FQ2" t="str">
        <f t="shared" ca="1" si="20"/>
        <v>Values</v>
      </c>
      <c r="FR2" t="str">
        <f t="shared" ca="1" si="20"/>
        <v>Labels</v>
      </c>
      <c r="FS2" t="str">
        <f t="shared" ca="1" si="20"/>
        <v>Values</v>
      </c>
      <c r="FT2" t="str">
        <f t="shared" ca="1" si="20"/>
        <v>Labels</v>
      </c>
      <c r="FU2" t="str">
        <f t="shared" ca="1" si="20"/>
        <v>Values</v>
      </c>
      <c r="FV2" t="str">
        <f t="shared" ca="1" si="20"/>
        <v>Labels</v>
      </c>
      <c r="FW2" t="str">
        <f t="shared" ca="1" si="20"/>
        <v>Values</v>
      </c>
      <c r="FX2" t="str">
        <f t="shared" ca="1" si="20"/>
        <v>Labels</v>
      </c>
      <c r="FY2" t="str">
        <f t="shared" ca="1" si="20"/>
        <v>Values</v>
      </c>
      <c r="FZ2" t="str">
        <f t="shared" ca="1" si="20"/>
        <v>Labels</v>
      </c>
      <c r="GA2" t="str">
        <f t="shared" ca="1" si="20"/>
        <v>Values</v>
      </c>
      <c r="GB2" t="str">
        <f t="shared" ca="1" si="20"/>
        <v>Labels</v>
      </c>
      <c r="GC2" t="str">
        <f t="shared" ca="1" si="20"/>
        <v>Values</v>
      </c>
      <c r="GD2" t="str">
        <f t="shared" ca="1" si="20"/>
        <v>Labels</v>
      </c>
      <c r="GE2" t="str">
        <f t="shared" ca="1" si="20"/>
        <v>Values</v>
      </c>
      <c r="GF2" t="str">
        <f t="shared" ca="1" si="20"/>
        <v>Labels</v>
      </c>
      <c r="GG2" t="str">
        <f t="shared" ca="1" si="20"/>
        <v>Values</v>
      </c>
      <c r="GH2" t="str">
        <f t="shared" ca="1" si="20"/>
        <v>Labels</v>
      </c>
      <c r="GI2" t="str">
        <f t="shared" ca="1" si="20"/>
        <v>Values</v>
      </c>
      <c r="GJ2" t="str">
        <f t="shared" ca="1" si="20"/>
        <v>Labels</v>
      </c>
      <c r="GK2" t="str">
        <f t="shared" ref="GK2:IV2" ca="1" si="21">IF(GK1="","",IF(MOD(COLUMN(GL1)-1,2)=0,"Labels","Values"))</f>
        <v>Values</v>
      </c>
      <c r="GL2" t="str">
        <f t="shared" ca="1" si="21"/>
        <v>Labels</v>
      </c>
      <c r="GM2" t="str">
        <f t="shared" ca="1" si="21"/>
        <v>Values</v>
      </c>
      <c r="GN2" t="str">
        <f t="shared" ca="1" si="21"/>
        <v>Labels</v>
      </c>
      <c r="GO2" t="str">
        <f t="shared" ca="1" si="21"/>
        <v>Values</v>
      </c>
      <c r="GP2" t="str">
        <f t="shared" ca="1" si="21"/>
        <v>Labels</v>
      </c>
      <c r="GQ2" t="str">
        <f t="shared" ca="1" si="21"/>
        <v>Values</v>
      </c>
      <c r="GR2" t="str">
        <f t="shared" ca="1" si="21"/>
        <v>Labels</v>
      </c>
      <c r="GS2" t="str">
        <f t="shared" ca="1" si="21"/>
        <v>Values</v>
      </c>
      <c r="GT2" t="str">
        <f t="shared" ca="1" si="21"/>
        <v>Labels</v>
      </c>
      <c r="GU2" t="str">
        <f t="shared" ca="1" si="21"/>
        <v>Values</v>
      </c>
      <c r="GV2" t="str">
        <f t="shared" ca="1" si="21"/>
        <v>Labels</v>
      </c>
      <c r="GW2" t="str">
        <f t="shared" ca="1" si="21"/>
        <v>Values</v>
      </c>
      <c r="GX2" t="str">
        <f t="shared" ca="1" si="21"/>
        <v>Labels</v>
      </c>
      <c r="GY2" t="str">
        <f t="shared" ca="1" si="21"/>
        <v>Values</v>
      </c>
      <c r="GZ2" t="str">
        <f t="shared" ca="1" si="21"/>
        <v>Labels</v>
      </c>
      <c r="HA2" t="str">
        <f t="shared" ca="1" si="21"/>
        <v>Values</v>
      </c>
      <c r="HB2" t="str">
        <f t="shared" ca="1" si="21"/>
        <v>Labels</v>
      </c>
      <c r="HC2" t="str">
        <f t="shared" ca="1" si="21"/>
        <v>Values</v>
      </c>
      <c r="HD2" t="str">
        <f t="shared" ca="1" si="21"/>
        <v>Labels</v>
      </c>
      <c r="HE2" t="str">
        <f t="shared" ca="1" si="21"/>
        <v>Values</v>
      </c>
      <c r="HF2" t="str">
        <f t="shared" ca="1" si="21"/>
        <v>Labels</v>
      </c>
      <c r="HG2" t="str">
        <f t="shared" ca="1" si="21"/>
        <v>Values</v>
      </c>
      <c r="HH2" t="str">
        <f t="shared" ca="1" si="21"/>
        <v>Labels</v>
      </c>
      <c r="HI2" t="str">
        <f t="shared" ca="1" si="21"/>
        <v>Values</v>
      </c>
      <c r="HJ2" t="str">
        <f t="shared" ca="1" si="21"/>
        <v>Labels</v>
      </c>
      <c r="HK2" t="str">
        <f t="shared" ca="1" si="21"/>
        <v>Values</v>
      </c>
      <c r="HL2" t="str">
        <f t="shared" ca="1" si="21"/>
        <v>Labels</v>
      </c>
      <c r="HM2" t="str">
        <f t="shared" ca="1" si="21"/>
        <v>Values</v>
      </c>
      <c r="HN2" t="str">
        <f t="shared" ca="1" si="21"/>
        <v>Labels</v>
      </c>
      <c r="HO2" t="str">
        <f t="shared" ca="1" si="21"/>
        <v>Values</v>
      </c>
      <c r="HP2" t="str">
        <f t="shared" ca="1" si="21"/>
        <v>Labels</v>
      </c>
      <c r="HQ2" t="str">
        <f t="shared" ca="1" si="21"/>
        <v>Values</v>
      </c>
      <c r="HR2" t="str">
        <f t="shared" ca="1" si="21"/>
        <v>Labels</v>
      </c>
      <c r="HS2" t="str">
        <f t="shared" ca="1" si="21"/>
        <v>Values</v>
      </c>
      <c r="HT2" t="str">
        <f t="shared" ca="1" si="21"/>
        <v>Labels</v>
      </c>
      <c r="HU2" t="str">
        <f t="shared" ca="1" si="21"/>
        <v>Values</v>
      </c>
      <c r="HV2" t="str">
        <f t="shared" ca="1" si="21"/>
        <v>Labels</v>
      </c>
      <c r="HW2" t="str">
        <f t="shared" ca="1" si="21"/>
        <v>Values</v>
      </c>
      <c r="HX2" t="str">
        <f t="shared" ca="1" si="21"/>
        <v>Labels</v>
      </c>
      <c r="HY2" t="str">
        <f t="shared" ca="1" si="21"/>
        <v>Values</v>
      </c>
      <c r="HZ2" t="str">
        <f t="shared" ca="1" si="21"/>
        <v>Labels</v>
      </c>
      <c r="IA2" t="str">
        <f t="shared" ca="1" si="21"/>
        <v>Values</v>
      </c>
      <c r="IB2" t="str">
        <f t="shared" ca="1" si="21"/>
        <v>Labels</v>
      </c>
      <c r="IC2" t="str">
        <f t="shared" ca="1" si="21"/>
        <v>Values</v>
      </c>
      <c r="ID2" t="str">
        <f t="shared" ca="1" si="21"/>
        <v>Labels</v>
      </c>
      <c r="IE2" t="str">
        <f t="shared" ca="1" si="21"/>
        <v>Values</v>
      </c>
      <c r="IF2" t="str">
        <f t="shared" ca="1" si="21"/>
        <v>Labels</v>
      </c>
      <c r="IG2" t="str">
        <f t="shared" ca="1" si="21"/>
        <v>Values</v>
      </c>
      <c r="IH2" t="str">
        <f t="shared" ca="1" si="21"/>
        <v>Labels</v>
      </c>
      <c r="II2" t="str">
        <f t="shared" ca="1" si="21"/>
        <v>Values</v>
      </c>
      <c r="IJ2" t="str">
        <f t="shared" ca="1" si="21"/>
        <v>Labels</v>
      </c>
      <c r="IK2" t="str">
        <f t="shared" ca="1" si="21"/>
        <v>Values</v>
      </c>
      <c r="IL2" t="str">
        <f t="shared" ca="1" si="21"/>
        <v>Labels</v>
      </c>
      <c r="IM2" t="str">
        <f t="shared" ca="1" si="21"/>
        <v>Values</v>
      </c>
      <c r="IN2" t="str">
        <f t="shared" ca="1" si="21"/>
        <v>Labels</v>
      </c>
      <c r="IO2" t="str">
        <f t="shared" ca="1" si="21"/>
        <v>Values</v>
      </c>
      <c r="IP2" t="str">
        <f t="shared" ca="1" si="21"/>
        <v>Labels</v>
      </c>
      <c r="IQ2" t="str">
        <f t="shared" ca="1" si="21"/>
        <v>Values</v>
      </c>
      <c r="IR2" t="str">
        <f t="shared" ca="1" si="21"/>
        <v>Labels</v>
      </c>
      <c r="IS2" t="str">
        <f t="shared" ca="1" si="21"/>
        <v>Values</v>
      </c>
      <c r="IT2" t="str">
        <f t="shared" ca="1" si="21"/>
        <v>Labels</v>
      </c>
      <c r="IU2" t="str">
        <f t="shared" ca="1" si="21"/>
        <v>Values</v>
      </c>
      <c r="IV2" t="str">
        <f t="shared" ca="1" si="21"/>
        <v>Labels</v>
      </c>
      <c r="IW2" t="str">
        <f t="shared" ref="IW2:LH2" ca="1" si="22">IF(IW1="","",IF(MOD(COLUMN(IX1)-1,2)=0,"Labels","Values"))</f>
        <v>Values</v>
      </c>
      <c r="IX2" t="str">
        <f t="shared" ca="1" si="22"/>
        <v>Labels</v>
      </c>
      <c r="IY2" t="str">
        <f t="shared" ca="1" si="22"/>
        <v>Values</v>
      </c>
      <c r="IZ2" t="str">
        <f t="shared" ca="1" si="22"/>
        <v>Labels</v>
      </c>
      <c r="JA2" t="str">
        <f t="shared" ca="1" si="22"/>
        <v>Values</v>
      </c>
      <c r="JB2" t="str">
        <f t="shared" ca="1" si="22"/>
        <v>Labels</v>
      </c>
      <c r="JC2" t="str">
        <f t="shared" ca="1" si="22"/>
        <v>Values</v>
      </c>
      <c r="JD2" t="str">
        <f t="shared" ca="1" si="22"/>
        <v>Labels</v>
      </c>
      <c r="JE2" t="str">
        <f t="shared" ca="1" si="22"/>
        <v>Values</v>
      </c>
      <c r="JF2" t="str">
        <f t="shared" ca="1" si="22"/>
        <v>Labels</v>
      </c>
      <c r="JG2" t="str">
        <f t="shared" ca="1" si="22"/>
        <v>Values</v>
      </c>
      <c r="JH2" t="str">
        <f t="shared" ca="1" si="22"/>
        <v>Labels</v>
      </c>
      <c r="JI2" t="str">
        <f t="shared" ca="1" si="22"/>
        <v>Values</v>
      </c>
      <c r="JJ2" t="str">
        <f t="shared" ca="1" si="22"/>
        <v>Labels</v>
      </c>
      <c r="JK2" t="str">
        <f t="shared" ca="1" si="22"/>
        <v>Values</v>
      </c>
      <c r="JL2" t="str">
        <f t="shared" ca="1" si="22"/>
        <v>Labels</v>
      </c>
      <c r="JM2" t="str">
        <f t="shared" ca="1" si="22"/>
        <v>Values</v>
      </c>
      <c r="JN2" t="str">
        <f t="shared" ca="1" si="22"/>
        <v>Labels</v>
      </c>
      <c r="JO2" t="str">
        <f t="shared" ca="1" si="22"/>
        <v>Values</v>
      </c>
      <c r="JP2" t="str">
        <f t="shared" ca="1" si="22"/>
        <v>Labels</v>
      </c>
      <c r="JQ2" t="str">
        <f t="shared" ca="1" si="22"/>
        <v>Values</v>
      </c>
      <c r="JR2" t="str">
        <f t="shared" ca="1" si="22"/>
        <v>Labels</v>
      </c>
      <c r="JS2" t="str">
        <f t="shared" ca="1" si="22"/>
        <v>Values</v>
      </c>
      <c r="JT2" t="str">
        <f t="shared" ca="1" si="22"/>
        <v>Labels</v>
      </c>
      <c r="JU2" t="str">
        <f t="shared" ca="1" si="22"/>
        <v>Values</v>
      </c>
      <c r="JV2" t="str">
        <f t="shared" ca="1" si="22"/>
        <v>Labels</v>
      </c>
      <c r="JW2" t="str">
        <f t="shared" ca="1" si="22"/>
        <v>Values</v>
      </c>
      <c r="JX2" t="str">
        <f t="shared" ca="1" si="22"/>
        <v>Labels</v>
      </c>
      <c r="JY2" t="str">
        <f t="shared" ca="1" si="22"/>
        <v>Values</v>
      </c>
      <c r="JZ2" t="str">
        <f t="shared" ca="1" si="22"/>
        <v>Labels</v>
      </c>
      <c r="KA2" t="str">
        <f t="shared" ca="1" si="22"/>
        <v>Values</v>
      </c>
      <c r="KB2" t="str">
        <f t="shared" ca="1" si="22"/>
        <v>Labels</v>
      </c>
      <c r="KC2" t="str">
        <f t="shared" ca="1" si="22"/>
        <v>Values</v>
      </c>
      <c r="KD2" t="str">
        <f t="shared" ca="1" si="22"/>
        <v>Labels</v>
      </c>
      <c r="KE2" t="str">
        <f t="shared" ca="1" si="22"/>
        <v>Values</v>
      </c>
      <c r="KF2" t="str">
        <f t="shared" ca="1" si="22"/>
        <v>Labels</v>
      </c>
      <c r="KG2" t="str">
        <f t="shared" ca="1" si="22"/>
        <v>Values</v>
      </c>
      <c r="KH2" t="str">
        <f t="shared" ca="1" si="22"/>
        <v>Labels</v>
      </c>
      <c r="KI2" t="str">
        <f t="shared" ca="1" si="22"/>
        <v>Values</v>
      </c>
      <c r="KJ2" t="str">
        <f t="shared" ca="1" si="22"/>
        <v>Labels</v>
      </c>
      <c r="KK2" t="str">
        <f t="shared" ca="1" si="22"/>
        <v>Values</v>
      </c>
      <c r="KL2" t="str">
        <f t="shared" ca="1" si="22"/>
        <v>Labels</v>
      </c>
      <c r="KM2" t="str">
        <f t="shared" ca="1" si="22"/>
        <v>Values</v>
      </c>
      <c r="KN2" t="str">
        <f t="shared" ca="1" si="22"/>
        <v>Labels</v>
      </c>
      <c r="KO2" t="str">
        <f t="shared" ca="1" si="22"/>
        <v>Values</v>
      </c>
      <c r="KP2" t="str">
        <f t="shared" ca="1" si="22"/>
        <v>Labels</v>
      </c>
      <c r="KQ2" t="str">
        <f t="shared" ca="1" si="22"/>
        <v>Values</v>
      </c>
      <c r="KR2" t="str">
        <f t="shared" ca="1" si="22"/>
        <v>Labels</v>
      </c>
      <c r="KS2" t="str">
        <f t="shared" ca="1" si="22"/>
        <v>Values</v>
      </c>
      <c r="KT2" t="str">
        <f t="shared" ca="1" si="22"/>
        <v>Labels</v>
      </c>
      <c r="KU2" t="str">
        <f t="shared" ca="1" si="22"/>
        <v>Values</v>
      </c>
      <c r="KV2" t="str">
        <f t="shared" ca="1" si="22"/>
        <v>Labels</v>
      </c>
      <c r="KW2" t="str">
        <f t="shared" ca="1" si="22"/>
        <v>Values</v>
      </c>
      <c r="KX2" t="str">
        <f t="shared" ca="1" si="22"/>
        <v>Labels</v>
      </c>
      <c r="KY2" t="str">
        <f t="shared" ca="1" si="22"/>
        <v>Values</v>
      </c>
      <c r="KZ2" t="str">
        <f t="shared" ca="1" si="22"/>
        <v>Labels</v>
      </c>
      <c r="LA2" t="str">
        <f t="shared" ca="1" si="22"/>
        <v>Values</v>
      </c>
      <c r="LB2" t="str">
        <f t="shared" ca="1" si="22"/>
        <v>Labels</v>
      </c>
      <c r="LC2" t="str">
        <f t="shared" ca="1" si="22"/>
        <v>Values</v>
      </c>
      <c r="LD2" t="str">
        <f t="shared" ca="1" si="22"/>
        <v>Labels</v>
      </c>
      <c r="LE2" t="str">
        <f t="shared" ca="1" si="22"/>
        <v>Values</v>
      </c>
      <c r="LF2" t="str">
        <f t="shared" ca="1" si="22"/>
        <v>Labels</v>
      </c>
      <c r="LG2" t="str">
        <f t="shared" ca="1" si="22"/>
        <v>Values</v>
      </c>
      <c r="LH2" t="str">
        <f t="shared" ca="1" si="22"/>
        <v>Labels</v>
      </c>
      <c r="LI2" t="str">
        <f t="shared" ref="LI2:NT2" ca="1" si="23">IF(LI1="","",IF(MOD(COLUMN(LJ1)-1,2)=0,"Labels","Values"))</f>
        <v>Values</v>
      </c>
      <c r="LJ2" t="str">
        <f t="shared" ca="1" si="23"/>
        <v>Labels</v>
      </c>
      <c r="LK2" t="str">
        <f t="shared" ca="1" si="23"/>
        <v>Values</v>
      </c>
      <c r="LL2" t="str">
        <f t="shared" ca="1" si="23"/>
        <v>Labels</v>
      </c>
      <c r="LM2" t="str">
        <f t="shared" ca="1" si="23"/>
        <v>Values</v>
      </c>
      <c r="LN2" t="str">
        <f t="shared" ca="1" si="23"/>
        <v>Labels</v>
      </c>
      <c r="LO2" t="str">
        <f t="shared" ca="1" si="23"/>
        <v>Values</v>
      </c>
      <c r="LP2" t="str">
        <f t="shared" ca="1" si="23"/>
        <v>Labels</v>
      </c>
      <c r="LQ2" t="str">
        <f t="shared" ca="1" si="23"/>
        <v>Values</v>
      </c>
      <c r="LR2" t="str">
        <f t="shared" ca="1" si="23"/>
        <v>Labels</v>
      </c>
      <c r="LS2" t="str">
        <f t="shared" ca="1" si="23"/>
        <v>Values</v>
      </c>
      <c r="LT2" t="str">
        <f t="shared" ca="1" si="23"/>
        <v>Labels</v>
      </c>
      <c r="LU2" t="str">
        <f t="shared" ca="1" si="23"/>
        <v>Values</v>
      </c>
      <c r="LV2" t="str">
        <f t="shared" ca="1" si="23"/>
        <v>Labels</v>
      </c>
      <c r="LW2" t="str">
        <f t="shared" ca="1" si="23"/>
        <v>Values</v>
      </c>
      <c r="LX2" t="str">
        <f t="shared" ca="1" si="23"/>
        <v>Labels</v>
      </c>
      <c r="LY2" t="str">
        <f t="shared" ca="1" si="23"/>
        <v>Values</v>
      </c>
      <c r="LZ2" t="str">
        <f t="shared" ca="1" si="23"/>
        <v>Labels</v>
      </c>
      <c r="MA2" t="str">
        <f t="shared" ca="1" si="23"/>
        <v>Values</v>
      </c>
      <c r="MB2" t="str">
        <f t="shared" ca="1" si="23"/>
        <v>Labels</v>
      </c>
      <c r="MC2" t="str">
        <f t="shared" ca="1" si="23"/>
        <v>Values</v>
      </c>
      <c r="MD2" t="str">
        <f t="shared" ca="1" si="23"/>
        <v>Labels</v>
      </c>
      <c r="ME2" t="str">
        <f t="shared" ca="1" si="23"/>
        <v>Values</v>
      </c>
      <c r="MF2" t="str">
        <f t="shared" ca="1" si="23"/>
        <v>Labels</v>
      </c>
      <c r="MG2" t="str">
        <f t="shared" ca="1" si="23"/>
        <v>Values</v>
      </c>
      <c r="MH2" t="str">
        <f t="shared" ca="1" si="23"/>
        <v>Labels</v>
      </c>
      <c r="MI2" t="str">
        <f t="shared" ca="1" si="23"/>
        <v>Values</v>
      </c>
      <c r="MJ2" t="str">
        <f t="shared" ca="1" si="23"/>
        <v>Labels</v>
      </c>
      <c r="MK2" t="str">
        <f t="shared" ca="1" si="23"/>
        <v>Values</v>
      </c>
      <c r="ML2" t="str">
        <f t="shared" ca="1" si="23"/>
        <v>Labels</v>
      </c>
      <c r="MM2" t="str">
        <f t="shared" ca="1" si="23"/>
        <v>Values</v>
      </c>
      <c r="MN2" t="str">
        <f t="shared" ca="1" si="23"/>
        <v>Labels</v>
      </c>
      <c r="MO2" t="str">
        <f t="shared" ca="1" si="23"/>
        <v>Values</v>
      </c>
      <c r="MP2" t="str">
        <f t="shared" ca="1" si="23"/>
        <v>Labels</v>
      </c>
      <c r="MQ2" t="str">
        <f t="shared" ca="1" si="23"/>
        <v>Values</v>
      </c>
      <c r="MR2" t="str">
        <f t="shared" ca="1" si="23"/>
        <v>Labels</v>
      </c>
      <c r="MS2" t="str">
        <f t="shared" ca="1" si="23"/>
        <v>Values</v>
      </c>
      <c r="MT2" t="str">
        <f t="shared" ca="1" si="23"/>
        <v>Labels</v>
      </c>
      <c r="MU2" t="str">
        <f t="shared" ca="1" si="23"/>
        <v>Values</v>
      </c>
      <c r="MV2" t="str">
        <f t="shared" ca="1" si="23"/>
        <v>Labels</v>
      </c>
      <c r="MW2" t="str">
        <f t="shared" ca="1" si="23"/>
        <v>Values</v>
      </c>
      <c r="MX2" t="str">
        <f t="shared" ca="1" si="23"/>
        <v>Labels</v>
      </c>
      <c r="MY2" t="str">
        <f t="shared" ca="1" si="23"/>
        <v>Values</v>
      </c>
      <c r="MZ2" t="str">
        <f t="shared" ca="1" si="23"/>
        <v>Labels</v>
      </c>
      <c r="NA2" t="str">
        <f t="shared" ca="1" si="23"/>
        <v>Values</v>
      </c>
      <c r="NB2" t="str">
        <f t="shared" ca="1" si="23"/>
        <v>Labels</v>
      </c>
      <c r="NC2" t="str">
        <f t="shared" ca="1" si="23"/>
        <v>Values</v>
      </c>
      <c r="ND2" t="str">
        <f t="shared" ca="1" si="23"/>
        <v>Labels</v>
      </c>
      <c r="NE2" t="str">
        <f t="shared" ca="1" si="23"/>
        <v>Values</v>
      </c>
      <c r="NF2" t="str">
        <f t="shared" ca="1" si="23"/>
        <v>Labels</v>
      </c>
      <c r="NG2" t="str">
        <f t="shared" ca="1" si="23"/>
        <v>Values</v>
      </c>
      <c r="NH2" t="str">
        <f t="shared" ca="1" si="23"/>
        <v>Labels</v>
      </c>
      <c r="NI2" t="str">
        <f t="shared" ca="1" si="23"/>
        <v>Values</v>
      </c>
      <c r="NJ2" t="str">
        <f t="shared" ca="1" si="23"/>
        <v>Labels</v>
      </c>
      <c r="NK2" t="str">
        <f t="shared" ca="1" si="23"/>
        <v>Values</v>
      </c>
      <c r="NL2" t="str">
        <f t="shared" ca="1" si="23"/>
        <v>Labels</v>
      </c>
      <c r="NM2" t="str">
        <f t="shared" ca="1" si="23"/>
        <v>Values</v>
      </c>
      <c r="NN2" t="str">
        <f t="shared" ca="1" si="23"/>
        <v>Labels</v>
      </c>
      <c r="NO2" t="str">
        <f t="shared" ca="1" si="23"/>
        <v>Values</v>
      </c>
      <c r="NP2" t="str">
        <f t="shared" ca="1" si="23"/>
        <v>Labels</v>
      </c>
      <c r="NQ2" t="str">
        <f t="shared" ca="1" si="23"/>
        <v>Values</v>
      </c>
      <c r="NR2" t="str">
        <f t="shared" ca="1" si="23"/>
        <v>Labels</v>
      </c>
      <c r="NS2" t="str">
        <f t="shared" ca="1" si="23"/>
        <v>Values</v>
      </c>
      <c r="NT2" t="str">
        <f t="shared" ca="1" si="23"/>
        <v>Labels</v>
      </c>
      <c r="NU2" t="str">
        <f t="shared" ref="NU2:QF2" ca="1" si="24">IF(NU1="","",IF(MOD(COLUMN(NV1)-1,2)=0,"Labels","Values"))</f>
        <v>Values</v>
      </c>
      <c r="NV2" t="str">
        <f t="shared" ca="1" si="24"/>
        <v>Labels</v>
      </c>
      <c r="NW2" t="str">
        <f t="shared" ca="1" si="24"/>
        <v>Values</v>
      </c>
      <c r="NX2" t="str">
        <f t="shared" ca="1" si="24"/>
        <v>Labels</v>
      </c>
      <c r="NY2" t="str">
        <f t="shared" ca="1" si="24"/>
        <v>Values</v>
      </c>
      <c r="NZ2" t="str">
        <f t="shared" ca="1" si="24"/>
        <v>Labels</v>
      </c>
      <c r="OA2" t="str">
        <f t="shared" ca="1" si="24"/>
        <v>Values</v>
      </c>
      <c r="OB2" t="str">
        <f t="shared" ca="1" si="24"/>
        <v>Labels</v>
      </c>
      <c r="OC2" t="str">
        <f t="shared" ca="1" si="24"/>
        <v>Values</v>
      </c>
      <c r="OD2" t="str">
        <f t="shared" ca="1" si="24"/>
        <v>Labels</v>
      </c>
      <c r="OE2" t="str">
        <f t="shared" ca="1" si="24"/>
        <v>Values</v>
      </c>
      <c r="OF2" t="str">
        <f t="shared" ca="1" si="24"/>
        <v>Labels</v>
      </c>
      <c r="OG2" t="str">
        <f t="shared" ca="1" si="24"/>
        <v>Values</v>
      </c>
      <c r="OH2" t="str">
        <f t="shared" ca="1" si="24"/>
        <v>Labels</v>
      </c>
      <c r="OI2" t="str">
        <f t="shared" ca="1" si="24"/>
        <v>Values</v>
      </c>
      <c r="OJ2" t="str">
        <f t="shared" ca="1" si="24"/>
        <v>Labels</v>
      </c>
      <c r="OK2" t="str">
        <f t="shared" ca="1" si="24"/>
        <v>Values</v>
      </c>
      <c r="OL2" t="str">
        <f t="shared" ca="1" si="24"/>
        <v>Labels</v>
      </c>
      <c r="OM2" t="str">
        <f t="shared" ca="1" si="24"/>
        <v>Values</v>
      </c>
      <c r="ON2" t="str">
        <f t="shared" ca="1" si="24"/>
        <v>Labels</v>
      </c>
      <c r="OO2" t="str">
        <f t="shared" ca="1" si="24"/>
        <v>Values</v>
      </c>
      <c r="OP2" t="str">
        <f t="shared" ca="1" si="24"/>
        <v>Labels</v>
      </c>
      <c r="OQ2" t="str">
        <f t="shared" ca="1" si="24"/>
        <v>Values</v>
      </c>
      <c r="OR2" t="str">
        <f t="shared" ca="1" si="24"/>
        <v>Labels</v>
      </c>
      <c r="OS2" t="str">
        <f t="shared" ca="1" si="24"/>
        <v>Values</v>
      </c>
      <c r="OT2" t="str">
        <f t="shared" ca="1" si="24"/>
        <v>Labels</v>
      </c>
      <c r="OU2" t="str">
        <f t="shared" ca="1" si="24"/>
        <v>Values</v>
      </c>
      <c r="OV2" t="str">
        <f t="shared" ca="1" si="24"/>
        <v>Labels</v>
      </c>
      <c r="OW2" t="str">
        <f t="shared" ca="1" si="24"/>
        <v>Values</v>
      </c>
      <c r="OX2" t="str">
        <f t="shared" ca="1" si="24"/>
        <v>Labels</v>
      </c>
      <c r="OY2" t="str">
        <f t="shared" ca="1" si="24"/>
        <v>Values</v>
      </c>
      <c r="OZ2" t="str">
        <f t="shared" ca="1" si="24"/>
        <v>Labels</v>
      </c>
      <c r="PA2" t="str">
        <f t="shared" ca="1" si="24"/>
        <v>Values</v>
      </c>
      <c r="PB2" t="str">
        <f t="shared" ca="1" si="24"/>
        <v>Labels</v>
      </c>
      <c r="PC2" t="str">
        <f t="shared" ca="1" si="24"/>
        <v>Values</v>
      </c>
      <c r="PD2" t="str">
        <f t="shared" ca="1" si="24"/>
        <v>Labels</v>
      </c>
      <c r="PE2" t="str">
        <f t="shared" ca="1" si="24"/>
        <v>Values</v>
      </c>
      <c r="PF2" t="str">
        <f t="shared" ca="1" si="24"/>
        <v>Labels</v>
      </c>
      <c r="PG2" t="str">
        <f t="shared" ca="1" si="24"/>
        <v>Values</v>
      </c>
      <c r="PH2" t="str">
        <f t="shared" ca="1" si="24"/>
        <v>Labels</v>
      </c>
      <c r="PI2" t="str">
        <f t="shared" ca="1" si="24"/>
        <v>Values</v>
      </c>
      <c r="PJ2" t="str">
        <f t="shared" ca="1" si="24"/>
        <v>Labels</v>
      </c>
      <c r="PK2" t="str">
        <f t="shared" ca="1" si="24"/>
        <v>Values</v>
      </c>
      <c r="PL2" t="str">
        <f t="shared" ca="1" si="24"/>
        <v>Labels</v>
      </c>
      <c r="PM2" t="str">
        <f t="shared" ca="1" si="24"/>
        <v>Values</v>
      </c>
      <c r="PN2" t="str">
        <f t="shared" ca="1" si="24"/>
        <v>Labels</v>
      </c>
      <c r="PO2" t="str">
        <f t="shared" ca="1" si="24"/>
        <v>Values</v>
      </c>
      <c r="PP2" t="str">
        <f t="shared" ca="1" si="24"/>
        <v>Labels</v>
      </c>
      <c r="PQ2" t="str">
        <f t="shared" ca="1" si="24"/>
        <v>Values</v>
      </c>
      <c r="PR2" t="str">
        <f t="shared" ca="1" si="24"/>
        <v>Labels</v>
      </c>
      <c r="PS2" t="str">
        <f t="shared" ca="1" si="24"/>
        <v>Values</v>
      </c>
      <c r="PT2" t="str">
        <f t="shared" ca="1" si="24"/>
        <v>Labels</v>
      </c>
      <c r="PU2" t="str">
        <f t="shared" ca="1" si="24"/>
        <v>Values</v>
      </c>
      <c r="PV2" t="str">
        <f t="shared" ca="1" si="24"/>
        <v>Labels</v>
      </c>
      <c r="PW2" t="str">
        <f t="shared" ca="1" si="24"/>
        <v>Values</v>
      </c>
      <c r="PX2" t="str">
        <f t="shared" ca="1" si="24"/>
        <v>Labels</v>
      </c>
      <c r="PY2" t="str">
        <f t="shared" ca="1" si="24"/>
        <v>Values</v>
      </c>
      <c r="PZ2" t="str">
        <f t="shared" ca="1" si="24"/>
        <v>Labels</v>
      </c>
      <c r="QA2" t="str">
        <f t="shared" ca="1" si="24"/>
        <v>Values</v>
      </c>
      <c r="QB2" t="str">
        <f t="shared" ca="1" si="24"/>
        <v>Labels</v>
      </c>
      <c r="QC2" t="str">
        <f t="shared" ca="1" si="24"/>
        <v>Values</v>
      </c>
      <c r="QD2" t="str">
        <f t="shared" ca="1" si="24"/>
        <v>Labels</v>
      </c>
      <c r="QE2" t="str">
        <f t="shared" ca="1" si="24"/>
        <v>Values</v>
      </c>
      <c r="QF2" t="str">
        <f t="shared" ca="1" si="24"/>
        <v>Labels</v>
      </c>
      <c r="QG2" t="str">
        <f t="shared" ref="QG2:SR2" ca="1" si="25">IF(QG1="","",IF(MOD(COLUMN(QH1)-1,2)=0,"Labels","Values"))</f>
        <v>Values</v>
      </c>
      <c r="QH2" t="str">
        <f t="shared" ca="1" si="25"/>
        <v>Labels</v>
      </c>
      <c r="QI2" t="str">
        <f t="shared" ca="1" si="25"/>
        <v>Values</v>
      </c>
      <c r="QJ2" t="str">
        <f t="shared" ca="1" si="25"/>
        <v>Labels</v>
      </c>
      <c r="QK2" t="str">
        <f t="shared" ca="1" si="25"/>
        <v>Values</v>
      </c>
      <c r="QL2" t="str">
        <f t="shared" ca="1" si="25"/>
        <v>Labels</v>
      </c>
      <c r="QM2" t="str">
        <f t="shared" ca="1" si="25"/>
        <v>Values</v>
      </c>
      <c r="QN2" t="str">
        <f t="shared" ca="1" si="25"/>
        <v>Labels</v>
      </c>
      <c r="QO2" t="str">
        <f t="shared" ca="1" si="25"/>
        <v>Values</v>
      </c>
      <c r="QP2" t="str">
        <f t="shared" ca="1" si="25"/>
        <v>Labels</v>
      </c>
      <c r="QQ2" t="str">
        <f t="shared" ca="1" si="25"/>
        <v>Values</v>
      </c>
      <c r="QR2" t="str">
        <f t="shared" ca="1" si="25"/>
        <v>Labels</v>
      </c>
      <c r="QS2" t="str">
        <f t="shared" ca="1" si="25"/>
        <v>Values</v>
      </c>
      <c r="QT2" t="str">
        <f t="shared" ca="1" si="25"/>
        <v>Labels</v>
      </c>
      <c r="QU2" t="str">
        <f t="shared" ca="1" si="25"/>
        <v>Values</v>
      </c>
      <c r="QV2" t="str">
        <f t="shared" ca="1" si="25"/>
        <v>Labels</v>
      </c>
      <c r="QW2" t="str">
        <f t="shared" ca="1" si="25"/>
        <v>Values</v>
      </c>
      <c r="QX2" t="str">
        <f t="shared" ca="1" si="25"/>
        <v>Labels</v>
      </c>
      <c r="QY2" t="str">
        <f t="shared" ca="1" si="25"/>
        <v>Values</v>
      </c>
      <c r="QZ2" t="str">
        <f t="shared" ca="1" si="25"/>
        <v>Labels</v>
      </c>
      <c r="RA2" t="str">
        <f t="shared" ca="1" si="25"/>
        <v>Values</v>
      </c>
      <c r="RB2" t="str">
        <f t="shared" ca="1" si="25"/>
        <v>Labels</v>
      </c>
      <c r="RC2" t="str">
        <f t="shared" ca="1" si="25"/>
        <v>Values</v>
      </c>
      <c r="RD2" t="str">
        <f t="shared" ca="1" si="25"/>
        <v>Labels</v>
      </c>
      <c r="RE2" t="str">
        <f t="shared" ca="1" si="25"/>
        <v>Values</v>
      </c>
      <c r="RF2" t="str">
        <f t="shared" ca="1" si="25"/>
        <v>Labels</v>
      </c>
      <c r="RG2" t="str">
        <f t="shared" ca="1" si="25"/>
        <v>Values</v>
      </c>
      <c r="RH2" t="str">
        <f t="shared" ca="1" si="25"/>
        <v>Labels</v>
      </c>
      <c r="RI2" t="str">
        <f t="shared" ca="1" si="25"/>
        <v>Values</v>
      </c>
      <c r="RJ2" t="str">
        <f t="shared" ca="1" si="25"/>
        <v>Labels</v>
      </c>
      <c r="RK2" t="str">
        <f t="shared" ca="1" si="25"/>
        <v>Values</v>
      </c>
      <c r="RL2" t="str">
        <f t="shared" ca="1" si="25"/>
        <v>Labels</v>
      </c>
      <c r="RM2" t="str">
        <f t="shared" ca="1" si="25"/>
        <v>Values</v>
      </c>
      <c r="RN2" t="str">
        <f t="shared" ca="1" si="25"/>
        <v>Labels</v>
      </c>
      <c r="RO2" t="str">
        <f t="shared" ca="1" si="25"/>
        <v>Values</v>
      </c>
      <c r="RP2" t="str">
        <f t="shared" ca="1" si="25"/>
        <v>Labels</v>
      </c>
      <c r="RQ2" t="str">
        <f t="shared" ca="1" si="25"/>
        <v>Values</v>
      </c>
      <c r="RR2" t="str">
        <f t="shared" ca="1" si="25"/>
        <v>Labels</v>
      </c>
      <c r="RS2" t="str">
        <f t="shared" ca="1" si="25"/>
        <v>Values</v>
      </c>
      <c r="RT2" t="str">
        <f t="shared" ca="1" si="25"/>
        <v>Labels</v>
      </c>
      <c r="RU2" t="str">
        <f t="shared" ca="1" si="25"/>
        <v>Values</v>
      </c>
      <c r="RV2" t="str">
        <f t="shared" ca="1" si="25"/>
        <v>Labels</v>
      </c>
      <c r="RW2" t="str">
        <f t="shared" ca="1" si="25"/>
        <v>Values</v>
      </c>
      <c r="RX2" t="str">
        <f t="shared" ca="1" si="25"/>
        <v>Labels</v>
      </c>
      <c r="RY2" t="str">
        <f t="shared" ca="1" si="25"/>
        <v>Values</v>
      </c>
      <c r="RZ2" t="str">
        <f t="shared" ca="1" si="25"/>
        <v>Labels</v>
      </c>
      <c r="SA2" t="str">
        <f t="shared" ca="1" si="25"/>
        <v>Values</v>
      </c>
      <c r="SB2" t="str">
        <f t="shared" ca="1" si="25"/>
        <v>Labels</v>
      </c>
      <c r="SC2" t="str">
        <f t="shared" ca="1" si="25"/>
        <v>Values</v>
      </c>
      <c r="SD2" t="str">
        <f t="shared" ca="1" si="25"/>
        <v>Labels</v>
      </c>
      <c r="SE2" t="str">
        <f t="shared" ca="1" si="25"/>
        <v>Values</v>
      </c>
      <c r="SF2" t="str">
        <f t="shared" ca="1" si="25"/>
        <v>Labels</v>
      </c>
      <c r="SG2" t="str">
        <f t="shared" ca="1" si="25"/>
        <v>Values</v>
      </c>
      <c r="SH2" t="str">
        <f t="shared" ca="1" si="25"/>
        <v>Labels</v>
      </c>
      <c r="SI2" t="str">
        <f t="shared" ca="1" si="25"/>
        <v>Values</v>
      </c>
      <c r="SJ2" t="str">
        <f t="shared" ca="1" si="25"/>
        <v>Labels</v>
      </c>
      <c r="SK2" t="str">
        <f t="shared" ca="1" si="25"/>
        <v>Values</v>
      </c>
      <c r="SL2" t="str">
        <f t="shared" ca="1" si="25"/>
        <v>Labels</v>
      </c>
      <c r="SM2" t="str">
        <f t="shared" ca="1" si="25"/>
        <v>Values</v>
      </c>
      <c r="SN2" t="str">
        <f t="shared" ca="1" si="25"/>
        <v>Labels</v>
      </c>
      <c r="SO2" t="str">
        <f t="shared" ca="1" si="25"/>
        <v>Values</v>
      </c>
      <c r="SP2" t="str">
        <f t="shared" ca="1" si="25"/>
        <v>Labels</v>
      </c>
      <c r="SQ2" t="str">
        <f t="shared" ca="1" si="25"/>
        <v>Values</v>
      </c>
      <c r="SR2" t="str">
        <f t="shared" ca="1" si="25"/>
        <v>Labels</v>
      </c>
      <c r="SS2" t="str">
        <f t="shared" ref="SS2:VD2" ca="1" si="26">IF(SS1="","",IF(MOD(COLUMN(ST1)-1,2)=0,"Labels","Values"))</f>
        <v>Values</v>
      </c>
      <c r="ST2" t="str">
        <f t="shared" ca="1" si="26"/>
        <v>Labels</v>
      </c>
      <c r="SU2" t="str">
        <f t="shared" ca="1" si="26"/>
        <v>Values</v>
      </c>
      <c r="SV2" t="str">
        <f t="shared" ca="1" si="26"/>
        <v>Labels</v>
      </c>
      <c r="SW2" t="str">
        <f t="shared" ca="1" si="26"/>
        <v>Values</v>
      </c>
      <c r="SX2" t="str">
        <f t="shared" ca="1" si="26"/>
        <v>Labels</v>
      </c>
      <c r="SY2" t="str">
        <f t="shared" ca="1" si="26"/>
        <v>Values</v>
      </c>
      <c r="SZ2" t="str">
        <f t="shared" ca="1" si="26"/>
        <v>Labels</v>
      </c>
      <c r="TA2" t="str">
        <f t="shared" ca="1" si="26"/>
        <v>Values</v>
      </c>
      <c r="TB2" t="str">
        <f t="shared" ca="1" si="26"/>
        <v>Labels</v>
      </c>
      <c r="TC2" t="str">
        <f t="shared" ca="1" si="26"/>
        <v>Values</v>
      </c>
      <c r="TD2" t="str">
        <f t="shared" ca="1" si="26"/>
        <v>Labels</v>
      </c>
      <c r="TE2" t="str">
        <f t="shared" ca="1" si="26"/>
        <v>Values</v>
      </c>
      <c r="TF2" t="str">
        <f t="shared" ca="1" si="26"/>
        <v>Labels</v>
      </c>
      <c r="TG2" t="str">
        <f t="shared" ca="1" si="26"/>
        <v>Values</v>
      </c>
      <c r="TH2" t="str">
        <f t="shared" ca="1" si="26"/>
        <v>Labels</v>
      </c>
      <c r="TI2" t="str">
        <f t="shared" ca="1" si="26"/>
        <v>Values</v>
      </c>
      <c r="TJ2" t="str">
        <f t="shared" ca="1" si="26"/>
        <v>Labels</v>
      </c>
      <c r="TK2" t="str">
        <f t="shared" ca="1" si="26"/>
        <v>Values</v>
      </c>
      <c r="TL2" t="str">
        <f t="shared" ca="1" si="26"/>
        <v>Labels</v>
      </c>
      <c r="TM2" t="str">
        <f t="shared" ca="1" si="26"/>
        <v>Values</v>
      </c>
      <c r="TN2" t="str">
        <f t="shared" ca="1" si="26"/>
        <v>Labels</v>
      </c>
      <c r="TO2" t="str">
        <f t="shared" ca="1" si="26"/>
        <v>Values</v>
      </c>
      <c r="TP2" t="str">
        <f t="shared" ca="1" si="26"/>
        <v>Labels</v>
      </c>
      <c r="TQ2" t="str">
        <f t="shared" ca="1" si="26"/>
        <v>Values</v>
      </c>
      <c r="TR2" t="str">
        <f t="shared" ca="1" si="26"/>
        <v>Labels</v>
      </c>
      <c r="TS2" t="str">
        <f t="shared" ca="1" si="26"/>
        <v>Values</v>
      </c>
      <c r="TT2" t="str">
        <f t="shared" ca="1" si="26"/>
        <v>Labels</v>
      </c>
      <c r="TU2" t="str">
        <f t="shared" ca="1" si="26"/>
        <v>Values</v>
      </c>
      <c r="TV2" t="str">
        <f t="shared" ca="1" si="26"/>
        <v>Labels</v>
      </c>
      <c r="TW2" t="str">
        <f t="shared" ca="1" si="26"/>
        <v>Values</v>
      </c>
      <c r="TX2" t="str">
        <f t="shared" ca="1" si="26"/>
        <v>Labels</v>
      </c>
      <c r="TY2" t="str">
        <f t="shared" ca="1" si="26"/>
        <v>Values</v>
      </c>
      <c r="TZ2" t="str">
        <f t="shared" ca="1" si="26"/>
        <v>Labels</v>
      </c>
      <c r="UA2" t="str">
        <f t="shared" ca="1" si="26"/>
        <v>Values</v>
      </c>
      <c r="UB2" t="str">
        <f t="shared" ca="1" si="26"/>
        <v>Labels</v>
      </c>
      <c r="UC2" t="str">
        <f t="shared" ca="1" si="26"/>
        <v>Values</v>
      </c>
      <c r="UD2" t="str">
        <f t="shared" ca="1" si="26"/>
        <v>Labels</v>
      </c>
      <c r="UE2" t="str">
        <f t="shared" ca="1" si="26"/>
        <v>Values</v>
      </c>
      <c r="UF2" t="str">
        <f t="shared" ca="1" si="26"/>
        <v>Labels</v>
      </c>
      <c r="UG2" t="str">
        <f t="shared" ca="1" si="26"/>
        <v>Values</v>
      </c>
      <c r="UH2" t="str">
        <f t="shared" ca="1" si="26"/>
        <v>Labels</v>
      </c>
      <c r="UI2" t="str">
        <f t="shared" ca="1" si="26"/>
        <v>Values</v>
      </c>
      <c r="UJ2" t="str">
        <f t="shared" ca="1" si="26"/>
        <v>Labels</v>
      </c>
      <c r="UK2" t="str">
        <f t="shared" ca="1" si="26"/>
        <v>Values</v>
      </c>
      <c r="UL2" t="str">
        <f t="shared" ca="1" si="26"/>
        <v>Labels</v>
      </c>
      <c r="UM2" t="str">
        <f t="shared" ca="1" si="26"/>
        <v>Values</v>
      </c>
      <c r="UN2" t="str">
        <f t="shared" ca="1" si="26"/>
        <v>Labels</v>
      </c>
      <c r="UO2" t="str">
        <f t="shared" ca="1" si="26"/>
        <v>Values</v>
      </c>
      <c r="UP2" t="str">
        <f t="shared" ca="1" si="26"/>
        <v>Labels</v>
      </c>
      <c r="UQ2" t="str">
        <f t="shared" ca="1" si="26"/>
        <v>Values</v>
      </c>
      <c r="UR2" t="str">
        <f t="shared" ca="1" si="26"/>
        <v>Labels</v>
      </c>
      <c r="US2" t="str">
        <f t="shared" ca="1" si="26"/>
        <v>Values</v>
      </c>
      <c r="UT2" t="str">
        <f t="shared" ca="1" si="26"/>
        <v>Labels</v>
      </c>
      <c r="UU2" t="str">
        <f t="shared" ca="1" si="26"/>
        <v>Values</v>
      </c>
      <c r="UV2" t="str">
        <f t="shared" ca="1" si="26"/>
        <v>Labels</v>
      </c>
      <c r="UW2" t="str">
        <f t="shared" ca="1" si="26"/>
        <v>Values</v>
      </c>
      <c r="UX2" t="str">
        <f t="shared" ca="1" si="26"/>
        <v>Labels</v>
      </c>
      <c r="UY2" t="str">
        <f t="shared" ca="1" si="26"/>
        <v>Values</v>
      </c>
      <c r="UZ2" t="str">
        <f t="shared" ca="1" si="26"/>
        <v>Labels</v>
      </c>
      <c r="VA2" t="str">
        <f t="shared" ca="1" si="26"/>
        <v>Values</v>
      </c>
      <c r="VB2" t="str">
        <f t="shared" ca="1" si="26"/>
        <v>Labels</v>
      </c>
      <c r="VC2" t="str">
        <f t="shared" ca="1" si="26"/>
        <v>Values</v>
      </c>
      <c r="VD2" t="str">
        <f t="shared" ca="1" si="26"/>
        <v>Labels</v>
      </c>
      <c r="VE2" t="str">
        <f t="shared" ref="VE2:XP2" ca="1" si="27">IF(VE1="","",IF(MOD(COLUMN(VF1)-1,2)=0,"Labels","Values"))</f>
        <v>Values</v>
      </c>
      <c r="VF2" t="str">
        <f t="shared" ca="1" si="27"/>
        <v>Labels</v>
      </c>
      <c r="VG2" t="str">
        <f t="shared" ca="1" si="27"/>
        <v>Values</v>
      </c>
      <c r="VH2" t="str">
        <f t="shared" ca="1" si="27"/>
        <v>Labels</v>
      </c>
      <c r="VI2" t="str">
        <f t="shared" ca="1" si="27"/>
        <v>Values</v>
      </c>
      <c r="VJ2" t="str">
        <f t="shared" ca="1" si="27"/>
        <v>Labels</v>
      </c>
      <c r="VK2" t="str">
        <f t="shared" ca="1" si="27"/>
        <v>Values</v>
      </c>
      <c r="VL2" t="str">
        <f t="shared" ca="1" si="27"/>
        <v>Labels</v>
      </c>
      <c r="VM2" t="str">
        <f t="shared" ca="1" si="27"/>
        <v>Values</v>
      </c>
      <c r="VN2" t="str">
        <f t="shared" ca="1" si="27"/>
        <v>Labels</v>
      </c>
      <c r="VO2" t="str">
        <f t="shared" ca="1" si="27"/>
        <v>Values</v>
      </c>
      <c r="VP2" t="str">
        <f t="shared" ca="1" si="27"/>
        <v>Labels</v>
      </c>
      <c r="VQ2" t="str">
        <f t="shared" ca="1" si="27"/>
        <v>Values</v>
      </c>
      <c r="VR2" t="str">
        <f t="shared" ca="1" si="27"/>
        <v>Labels</v>
      </c>
      <c r="VS2" t="str">
        <f t="shared" ca="1" si="27"/>
        <v>Values</v>
      </c>
      <c r="VT2" t="str">
        <f t="shared" ca="1" si="27"/>
        <v>Labels</v>
      </c>
      <c r="VU2" t="str">
        <f t="shared" ca="1" si="27"/>
        <v>Values</v>
      </c>
      <c r="VV2" t="str">
        <f t="shared" ca="1" si="27"/>
        <v>Labels</v>
      </c>
      <c r="VW2" t="str">
        <f t="shared" ca="1" si="27"/>
        <v>Values</v>
      </c>
      <c r="VX2" t="str">
        <f t="shared" ca="1" si="27"/>
        <v>Labels</v>
      </c>
      <c r="VY2" t="str">
        <f t="shared" ca="1" si="27"/>
        <v>Values</v>
      </c>
      <c r="VZ2" t="str">
        <f t="shared" ca="1" si="27"/>
        <v>Labels</v>
      </c>
      <c r="WA2" t="str">
        <f t="shared" ca="1" si="27"/>
        <v>Values</v>
      </c>
      <c r="WB2" t="str">
        <f t="shared" ca="1" si="27"/>
        <v>Labels</v>
      </c>
      <c r="WC2" t="str">
        <f t="shared" ca="1" si="27"/>
        <v>Values</v>
      </c>
      <c r="WD2" t="str">
        <f t="shared" ca="1" si="27"/>
        <v>Labels</v>
      </c>
      <c r="WE2" t="str">
        <f t="shared" ca="1" si="27"/>
        <v>Values</v>
      </c>
      <c r="WF2" t="str">
        <f t="shared" ca="1" si="27"/>
        <v>Labels</v>
      </c>
      <c r="WG2" t="str">
        <f t="shared" ca="1" si="27"/>
        <v>Values</v>
      </c>
      <c r="WH2" t="str">
        <f t="shared" ca="1" si="27"/>
        <v>Labels</v>
      </c>
      <c r="WI2" t="str">
        <f t="shared" ca="1" si="27"/>
        <v>Values</v>
      </c>
      <c r="WJ2" t="str">
        <f t="shared" ca="1" si="27"/>
        <v>Labels</v>
      </c>
      <c r="WK2" t="str">
        <f t="shared" ca="1" si="27"/>
        <v>Values</v>
      </c>
      <c r="WL2" t="str">
        <f t="shared" ca="1" si="27"/>
        <v>Labels</v>
      </c>
      <c r="WM2" t="str">
        <f t="shared" ca="1" si="27"/>
        <v>Values</v>
      </c>
      <c r="WN2" t="str">
        <f t="shared" ca="1" si="27"/>
        <v>Labels</v>
      </c>
      <c r="WO2" t="str">
        <f t="shared" ca="1" si="27"/>
        <v>Values</v>
      </c>
      <c r="WP2" t="str">
        <f t="shared" ca="1" si="27"/>
        <v>Labels</v>
      </c>
      <c r="WQ2" t="str">
        <f t="shared" ca="1" si="27"/>
        <v>Values</v>
      </c>
      <c r="WR2" t="str">
        <f t="shared" ca="1" si="27"/>
        <v>Labels</v>
      </c>
      <c r="WS2" t="str">
        <f t="shared" ca="1" si="27"/>
        <v>Values</v>
      </c>
      <c r="WT2" t="str">
        <f t="shared" ca="1" si="27"/>
        <v>Labels</v>
      </c>
      <c r="WU2" t="str">
        <f t="shared" ca="1" si="27"/>
        <v>Values</v>
      </c>
      <c r="WV2" t="str">
        <f t="shared" ca="1" si="27"/>
        <v>Labels</v>
      </c>
      <c r="WW2" t="str">
        <f t="shared" ca="1" si="27"/>
        <v>Values</v>
      </c>
      <c r="WX2" t="str">
        <f t="shared" ca="1" si="27"/>
        <v>Labels</v>
      </c>
      <c r="WY2" t="str">
        <f t="shared" ca="1" si="27"/>
        <v>Values</v>
      </c>
      <c r="WZ2" t="str">
        <f t="shared" ca="1" si="27"/>
        <v>Labels</v>
      </c>
      <c r="XA2" t="str">
        <f t="shared" ca="1" si="27"/>
        <v>Values</v>
      </c>
      <c r="XB2" t="str">
        <f t="shared" ca="1" si="27"/>
        <v>Labels</v>
      </c>
      <c r="XC2" t="str">
        <f t="shared" ca="1" si="27"/>
        <v>Values</v>
      </c>
      <c r="XD2" t="str">
        <f t="shared" ca="1" si="27"/>
        <v>Labels</v>
      </c>
      <c r="XE2" t="str">
        <f t="shared" ca="1" si="27"/>
        <v>Values</v>
      </c>
      <c r="XF2" t="str">
        <f t="shared" ca="1" si="27"/>
        <v>Labels</v>
      </c>
      <c r="XG2" t="str">
        <f t="shared" ca="1" si="27"/>
        <v>Values</v>
      </c>
      <c r="XH2" t="str">
        <f t="shared" ca="1" si="27"/>
        <v>Labels</v>
      </c>
      <c r="XI2" t="str">
        <f t="shared" ca="1" si="27"/>
        <v>Values</v>
      </c>
      <c r="XJ2" t="str">
        <f t="shared" ca="1" si="27"/>
        <v>Labels</v>
      </c>
      <c r="XK2" t="str">
        <f t="shared" ca="1" si="27"/>
        <v>Values</v>
      </c>
      <c r="XL2" t="str">
        <f t="shared" ca="1" si="27"/>
        <v>Labels</v>
      </c>
      <c r="XM2" t="str">
        <f t="shared" ca="1" si="27"/>
        <v>Values</v>
      </c>
      <c r="XN2" t="str">
        <f t="shared" ca="1" si="27"/>
        <v>Labels</v>
      </c>
      <c r="XO2" t="str">
        <f t="shared" ca="1" si="27"/>
        <v>Values</v>
      </c>
      <c r="XP2" t="str">
        <f t="shared" ca="1" si="27"/>
        <v>Labels</v>
      </c>
      <c r="XQ2" t="str">
        <f t="shared" ref="XQ2:AAB2" ca="1" si="28">IF(XQ1="","",IF(MOD(COLUMN(XR1)-1,2)=0,"Labels","Values"))</f>
        <v>Values</v>
      </c>
      <c r="XR2" t="str">
        <f t="shared" ca="1" si="28"/>
        <v>Labels</v>
      </c>
      <c r="XS2" t="str">
        <f t="shared" ca="1" si="28"/>
        <v>Values</v>
      </c>
      <c r="XT2" t="str">
        <f t="shared" ca="1" si="28"/>
        <v>Labels</v>
      </c>
      <c r="XU2" t="str">
        <f t="shared" ca="1" si="28"/>
        <v>Values</v>
      </c>
      <c r="XV2" t="str">
        <f t="shared" ca="1" si="28"/>
        <v>Labels</v>
      </c>
      <c r="XW2" t="str">
        <f t="shared" ca="1" si="28"/>
        <v>Values</v>
      </c>
      <c r="XX2" t="str">
        <f t="shared" ca="1" si="28"/>
        <v>Labels</v>
      </c>
      <c r="XY2" t="str">
        <f t="shared" ca="1" si="28"/>
        <v>Values</v>
      </c>
      <c r="XZ2" t="str">
        <f t="shared" ca="1" si="28"/>
        <v>Labels</v>
      </c>
      <c r="YA2" t="str">
        <f t="shared" ca="1" si="28"/>
        <v>Values</v>
      </c>
      <c r="YB2" t="str">
        <f t="shared" ca="1" si="28"/>
        <v>Labels</v>
      </c>
      <c r="YC2" t="str">
        <f t="shared" ca="1" si="28"/>
        <v>Values</v>
      </c>
      <c r="YD2" t="str">
        <f t="shared" ca="1" si="28"/>
        <v>Labels</v>
      </c>
      <c r="YE2" t="str">
        <f t="shared" ca="1" si="28"/>
        <v>Values</v>
      </c>
      <c r="YF2" t="str">
        <f t="shared" ca="1" si="28"/>
        <v>Labels</v>
      </c>
      <c r="YG2" t="str">
        <f t="shared" ca="1" si="28"/>
        <v>Values</v>
      </c>
      <c r="YH2" t="str">
        <f t="shared" ca="1" si="28"/>
        <v>Labels</v>
      </c>
      <c r="YI2" t="str">
        <f t="shared" ca="1" si="28"/>
        <v>Values</v>
      </c>
      <c r="YJ2" t="str">
        <f t="shared" ca="1" si="28"/>
        <v>Labels</v>
      </c>
      <c r="YK2" t="str">
        <f t="shared" ca="1" si="28"/>
        <v>Values</v>
      </c>
      <c r="YL2" t="str">
        <f t="shared" ca="1" si="28"/>
        <v>Labels</v>
      </c>
      <c r="YM2" t="str">
        <f t="shared" ca="1" si="28"/>
        <v>Values</v>
      </c>
      <c r="YN2" t="str">
        <f t="shared" ca="1" si="28"/>
        <v>Labels</v>
      </c>
      <c r="YO2" t="str">
        <f t="shared" ca="1" si="28"/>
        <v>Values</v>
      </c>
      <c r="YP2" t="str">
        <f t="shared" ca="1" si="28"/>
        <v>Labels</v>
      </c>
      <c r="YQ2" t="str">
        <f t="shared" ca="1" si="28"/>
        <v>Values</v>
      </c>
      <c r="YR2" t="str">
        <f t="shared" ca="1" si="28"/>
        <v>Labels</v>
      </c>
      <c r="YS2" t="str">
        <f t="shared" ca="1" si="28"/>
        <v>Values</v>
      </c>
      <c r="YT2" t="str">
        <f t="shared" ca="1" si="28"/>
        <v>Labels</v>
      </c>
      <c r="YU2" t="str">
        <f t="shared" ca="1" si="28"/>
        <v>Values</v>
      </c>
      <c r="YV2" t="str">
        <f t="shared" ca="1" si="28"/>
        <v>Labels</v>
      </c>
      <c r="YW2" t="str">
        <f t="shared" ca="1" si="28"/>
        <v>Values</v>
      </c>
      <c r="YX2" t="str">
        <f t="shared" ca="1" si="28"/>
        <v>Labels</v>
      </c>
      <c r="YY2" t="str">
        <f t="shared" ca="1" si="28"/>
        <v>Values</v>
      </c>
      <c r="YZ2" t="str">
        <f t="shared" ca="1" si="28"/>
        <v>Labels</v>
      </c>
      <c r="ZA2" t="str">
        <f t="shared" ca="1" si="28"/>
        <v>Values</v>
      </c>
      <c r="ZB2" t="str">
        <f t="shared" ca="1" si="28"/>
        <v>Labels</v>
      </c>
      <c r="ZC2" t="str">
        <f t="shared" ca="1" si="28"/>
        <v>Values</v>
      </c>
      <c r="ZD2" t="str">
        <f t="shared" ca="1" si="28"/>
        <v>Labels</v>
      </c>
      <c r="ZE2" t="str">
        <f t="shared" ca="1" si="28"/>
        <v>Values</v>
      </c>
      <c r="ZF2" t="str">
        <f t="shared" ca="1" si="28"/>
        <v>Labels</v>
      </c>
      <c r="ZG2" t="str">
        <f t="shared" ca="1" si="28"/>
        <v>Values</v>
      </c>
      <c r="ZH2" t="str">
        <f t="shared" ca="1" si="28"/>
        <v>Labels</v>
      </c>
      <c r="ZI2" t="str">
        <f t="shared" ca="1" si="28"/>
        <v>Values</v>
      </c>
      <c r="ZJ2" t="str">
        <f t="shared" ca="1" si="28"/>
        <v>Labels</v>
      </c>
      <c r="ZK2" t="str">
        <f t="shared" ca="1" si="28"/>
        <v>Values</v>
      </c>
      <c r="ZL2" t="str">
        <f t="shared" ca="1" si="28"/>
        <v>Labels</v>
      </c>
      <c r="ZM2" t="str">
        <f t="shared" ca="1" si="28"/>
        <v>Values</v>
      </c>
      <c r="ZN2" t="str">
        <f t="shared" ca="1" si="28"/>
        <v>Labels</v>
      </c>
      <c r="ZO2" t="str">
        <f t="shared" ca="1" si="28"/>
        <v>Values</v>
      </c>
      <c r="ZP2" t="str">
        <f t="shared" ca="1" si="28"/>
        <v>Labels</v>
      </c>
      <c r="ZQ2" t="str">
        <f t="shared" ca="1" si="28"/>
        <v>Values</v>
      </c>
      <c r="ZR2" t="str">
        <f t="shared" ca="1" si="28"/>
        <v>Labels</v>
      </c>
      <c r="ZS2" t="str">
        <f t="shared" ca="1" si="28"/>
        <v>Values</v>
      </c>
      <c r="ZT2" t="str">
        <f t="shared" ca="1" si="28"/>
        <v>Labels</v>
      </c>
      <c r="ZU2" t="str">
        <f t="shared" ca="1" si="28"/>
        <v>Values</v>
      </c>
      <c r="ZV2" t="str">
        <f t="shared" ca="1" si="28"/>
        <v>Labels</v>
      </c>
      <c r="ZW2" t="str">
        <f t="shared" ca="1" si="28"/>
        <v>Values</v>
      </c>
      <c r="ZX2" t="str">
        <f t="shared" ca="1" si="28"/>
        <v>Labels</v>
      </c>
      <c r="ZY2" t="str">
        <f t="shared" ca="1" si="28"/>
        <v>Values</v>
      </c>
      <c r="ZZ2" t="str">
        <f t="shared" ca="1" si="28"/>
        <v>Labels</v>
      </c>
      <c r="AAA2" t="str">
        <f t="shared" ca="1" si="28"/>
        <v>Values</v>
      </c>
      <c r="AAB2" t="str">
        <f t="shared" ca="1" si="28"/>
        <v>Labels</v>
      </c>
      <c r="AAC2" t="str">
        <f t="shared" ref="AAC2:ACN2" ca="1" si="29">IF(AAC1="","",IF(MOD(COLUMN(AAD1)-1,2)=0,"Labels","Values"))</f>
        <v>Values</v>
      </c>
      <c r="AAD2" t="str">
        <f t="shared" ca="1" si="29"/>
        <v>Labels</v>
      </c>
      <c r="AAE2" t="str">
        <f t="shared" ca="1" si="29"/>
        <v>Values</v>
      </c>
      <c r="AAF2" t="str">
        <f t="shared" ca="1" si="29"/>
        <v>Labels</v>
      </c>
      <c r="AAG2" t="str">
        <f t="shared" ca="1" si="29"/>
        <v>Values</v>
      </c>
      <c r="AAH2" t="str">
        <f t="shared" ca="1" si="29"/>
        <v>Labels</v>
      </c>
      <c r="AAI2" t="str">
        <f t="shared" ca="1" si="29"/>
        <v>Values</v>
      </c>
      <c r="AAJ2" t="str">
        <f t="shared" ca="1" si="29"/>
        <v>Labels</v>
      </c>
      <c r="AAK2" t="str">
        <f t="shared" ca="1" si="29"/>
        <v>Values</v>
      </c>
      <c r="AAL2" t="str">
        <f t="shared" ca="1" si="29"/>
        <v>Labels</v>
      </c>
      <c r="AAM2" t="str">
        <f t="shared" ca="1" si="29"/>
        <v/>
      </c>
      <c r="AAN2" t="str">
        <f t="shared" ca="1" si="29"/>
        <v/>
      </c>
      <c r="AAO2" t="str">
        <f t="shared" ca="1" si="29"/>
        <v/>
      </c>
      <c r="AAP2" t="str">
        <f t="shared" ca="1" si="29"/>
        <v/>
      </c>
      <c r="AAQ2" t="str">
        <f t="shared" ca="1" si="29"/>
        <v/>
      </c>
      <c r="AAR2" t="str">
        <f t="shared" ca="1" si="29"/>
        <v/>
      </c>
      <c r="AAS2" t="str">
        <f t="shared" ca="1" si="29"/>
        <v/>
      </c>
      <c r="AAT2" t="str">
        <f t="shared" ca="1" si="29"/>
        <v/>
      </c>
      <c r="AAU2" t="str">
        <f t="shared" ca="1" si="29"/>
        <v/>
      </c>
      <c r="AAV2" t="str">
        <f t="shared" ca="1" si="29"/>
        <v/>
      </c>
      <c r="AAW2" t="str">
        <f t="shared" ca="1" si="29"/>
        <v/>
      </c>
      <c r="AAX2" t="str">
        <f t="shared" ca="1" si="29"/>
        <v/>
      </c>
      <c r="AAY2" t="str">
        <f t="shared" ca="1" si="29"/>
        <v/>
      </c>
      <c r="AAZ2" t="str">
        <f t="shared" ca="1" si="29"/>
        <v/>
      </c>
      <c r="ABA2" t="str">
        <f t="shared" ca="1" si="29"/>
        <v/>
      </c>
      <c r="ABB2" t="str">
        <f t="shared" ca="1" si="29"/>
        <v/>
      </c>
      <c r="ABC2" t="str">
        <f t="shared" ca="1" si="29"/>
        <v/>
      </c>
      <c r="ABD2" t="str">
        <f t="shared" ca="1" si="29"/>
        <v/>
      </c>
      <c r="ABE2" t="str">
        <f t="shared" ca="1" si="29"/>
        <v/>
      </c>
      <c r="ABF2" t="str">
        <f t="shared" ca="1" si="29"/>
        <v/>
      </c>
      <c r="ABG2" t="str">
        <f t="shared" ca="1" si="29"/>
        <v/>
      </c>
      <c r="ABH2" t="str">
        <f t="shared" ca="1" si="29"/>
        <v/>
      </c>
      <c r="ABI2" t="str">
        <f t="shared" ca="1" si="29"/>
        <v/>
      </c>
      <c r="ABJ2" t="str">
        <f t="shared" ca="1" si="29"/>
        <v/>
      </c>
      <c r="ABK2" t="str">
        <f t="shared" ca="1" si="29"/>
        <v/>
      </c>
      <c r="ABL2" t="str">
        <f t="shared" ca="1" si="29"/>
        <v/>
      </c>
      <c r="ABM2" t="str">
        <f t="shared" ca="1" si="29"/>
        <v/>
      </c>
      <c r="ABN2" t="str">
        <f t="shared" ca="1" si="29"/>
        <v/>
      </c>
      <c r="ABO2" t="str">
        <f t="shared" ca="1" si="29"/>
        <v/>
      </c>
      <c r="ABP2" t="str">
        <f t="shared" ca="1" si="29"/>
        <v/>
      </c>
      <c r="ABQ2" t="str">
        <f t="shared" ca="1" si="29"/>
        <v/>
      </c>
      <c r="ABR2" t="str">
        <f t="shared" ca="1" si="29"/>
        <v/>
      </c>
      <c r="ABS2" t="str">
        <f t="shared" ca="1" si="29"/>
        <v/>
      </c>
      <c r="ABT2" t="str">
        <f t="shared" ca="1" si="29"/>
        <v/>
      </c>
      <c r="ABU2" t="str">
        <f t="shared" ca="1" si="29"/>
        <v/>
      </c>
      <c r="ABV2" t="str">
        <f t="shared" ca="1" si="29"/>
        <v/>
      </c>
      <c r="ABW2" t="str">
        <f t="shared" ca="1" si="29"/>
        <v/>
      </c>
      <c r="ABX2" t="str">
        <f t="shared" ca="1" si="29"/>
        <v/>
      </c>
      <c r="ABY2" t="str">
        <f t="shared" ca="1" si="29"/>
        <v/>
      </c>
      <c r="ABZ2" t="str">
        <f t="shared" ca="1" si="29"/>
        <v/>
      </c>
      <c r="ACA2" t="str">
        <f t="shared" ca="1" si="29"/>
        <v/>
      </c>
      <c r="ACB2" t="str">
        <f t="shared" ca="1" si="29"/>
        <v/>
      </c>
      <c r="ACC2" t="str">
        <f t="shared" ca="1" si="29"/>
        <v/>
      </c>
      <c r="ACD2" t="str">
        <f t="shared" ca="1" si="29"/>
        <v/>
      </c>
      <c r="ACE2" t="str">
        <f t="shared" ca="1" si="29"/>
        <v/>
      </c>
      <c r="ACF2" t="str">
        <f t="shared" ca="1" si="29"/>
        <v/>
      </c>
      <c r="ACG2" t="str">
        <f t="shared" ca="1" si="29"/>
        <v/>
      </c>
      <c r="ACH2" t="str">
        <f t="shared" ca="1" si="29"/>
        <v/>
      </c>
      <c r="ACI2" t="str">
        <f t="shared" ca="1" si="29"/>
        <v/>
      </c>
      <c r="ACJ2" t="str">
        <f t="shared" ca="1" si="29"/>
        <v/>
      </c>
      <c r="ACK2" t="str">
        <f t="shared" ca="1" si="29"/>
        <v/>
      </c>
      <c r="ACL2" t="str">
        <f t="shared" ca="1" si="29"/>
        <v/>
      </c>
      <c r="ACM2" t="str">
        <f t="shared" ca="1" si="29"/>
        <v/>
      </c>
      <c r="ACN2" t="str">
        <f t="shared" ca="1" si="29"/>
        <v/>
      </c>
      <c r="ACO2" t="str">
        <f t="shared" ref="ACO2:AEZ2" ca="1" si="30">IF(ACO1="","",IF(MOD(COLUMN(ACP1)-1,2)=0,"Labels","Values"))</f>
        <v/>
      </c>
      <c r="ACP2" t="str">
        <f t="shared" ca="1" si="30"/>
        <v/>
      </c>
      <c r="ACQ2" t="str">
        <f t="shared" ca="1" si="30"/>
        <v/>
      </c>
      <c r="ACR2" t="str">
        <f t="shared" ca="1" si="30"/>
        <v/>
      </c>
      <c r="ACS2" t="str">
        <f t="shared" ca="1" si="30"/>
        <v/>
      </c>
      <c r="ACT2" t="str">
        <f t="shared" ca="1" si="30"/>
        <v/>
      </c>
      <c r="ACU2" t="str">
        <f t="shared" ca="1" si="30"/>
        <v/>
      </c>
      <c r="ACV2" t="str">
        <f t="shared" ca="1" si="30"/>
        <v/>
      </c>
      <c r="ACW2" t="str">
        <f t="shared" ca="1" si="30"/>
        <v/>
      </c>
      <c r="ACX2" t="str">
        <f t="shared" ca="1" si="30"/>
        <v/>
      </c>
      <c r="ACY2" t="str">
        <f t="shared" ca="1" si="30"/>
        <v/>
      </c>
      <c r="ACZ2" t="str">
        <f t="shared" ca="1" si="30"/>
        <v/>
      </c>
      <c r="ADA2" t="str">
        <f t="shared" ca="1" si="30"/>
        <v/>
      </c>
      <c r="ADB2" t="str">
        <f t="shared" ca="1" si="30"/>
        <v/>
      </c>
      <c r="ADC2" t="str">
        <f t="shared" ca="1" si="30"/>
        <v/>
      </c>
      <c r="ADD2" t="str">
        <f t="shared" ca="1" si="30"/>
        <v/>
      </c>
      <c r="ADE2" t="str">
        <f t="shared" ca="1" si="30"/>
        <v/>
      </c>
      <c r="ADF2" t="str">
        <f t="shared" ca="1" si="30"/>
        <v/>
      </c>
      <c r="ADG2" t="str">
        <f t="shared" ca="1" si="30"/>
        <v/>
      </c>
      <c r="ADH2" t="str">
        <f t="shared" ca="1" si="30"/>
        <v/>
      </c>
      <c r="ADI2" t="str">
        <f t="shared" ca="1" si="30"/>
        <v/>
      </c>
      <c r="ADJ2" t="str">
        <f t="shared" ca="1" si="30"/>
        <v/>
      </c>
      <c r="ADK2" t="str">
        <f t="shared" ca="1" si="30"/>
        <v/>
      </c>
      <c r="ADL2" t="str">
        <f t="shared" ca="1" si="30"/>
        <v/>
      </c>
      <c r="ADM2" t="str">
        <f t="shared" ca="1" si="30"/>
        <v/>
      </c>
      <c r="ADN2" t="str">
        <f t="shared" ca="1" si="30"/>
        <v/>
      </c>
      <c r="ADO2" t="str">
        <f t="shared" ca="1" si="30"/>
        <v/>
      </c>
      <c r="ADP2" t="str">
        <f t="shared" ca="1" si="30"/>
        <v/>
      </c>
      <c r="ADQ2" t="str">
        <f t="shared" ca="1" si="30"/>
        <v/>
      </c>
      <c r="ADR2" t="str">
        <f t="shared" ca="1" si="30"/>
        <v/>
      </c>
      <c r="ADS2" t="str">
        <f t="shared" ca="1" si="30"/>
        <v/>
      </c>
      <c r="ADT2" t="str">
        <f t="shared" ca="1" si="30"/>
        <v/>
      </c>
      <c r="ADU2" t="str">
        <f t="shared" ca="1" si="30"/>
        <v/>
      </c>
      <c r="ADV2" t="str">
        <f t="shared" ca="1" si="30"/>
        <v/>
      </c>
      <c r="ADW2" t="str">
        <f t="shared" ca="1" si="30"/>
        <v/>
      </c>
      <c r="ADX2" t="str">
        <f t="shared" ca="1" si="30"/>
        <v/>
      </c>
      <c r="ADY2" t="str">
        <f t="shared" ca="1" si="30"/>
        <v/>
      </c>
      <c r="ADZ2" t="str">
        <f t="shared" ca="1" si="30"/>
        <v/>
      </c>
      <c r="AEA2" t="str">
        <f t="shared" ca="1" si="30"/>
        <v/>
      </c>
      <c r="AEB2" t="str">
        <f t="shared" ca="1" si="30"/>
        <v/>
      </c>
      <c r="AEC2" t="str">
        <f t="shared" ca="1" si="30"/>
        <v/>
      </c>
      <c r="AED2" t="str">
        <f t="shared" ca="1" si="30"/>
        <v/>
      </c>
      <c r="AEE2" t="str">
        <f t="shared" ca="1" si="30"/>
        <v/>
      </c>
      <c r="AEF2" t="str">
        <f t="shared" ca="1" si="30"/>
        <v/>
      </c>
      <c r="AEG2" t="str">
        <f t="shared" ca="1" si="30"/>
        <v/>
      </c>
      <c r="AEH2" t="str">
        <f t="shared" ca="1" si="30"/>
        <v/>
      </c>
      <c r="AEI2" t="str">
        <f t="shared" ca="1" si="30"/>
        <v/>
      </c>
      <c r="AEJ2" t="str">
        <f t="shared" ca="1" si="30"/>
        <v/>
      </c>
      <c r="AEK2" t="str">
        <f t="shared" ca="1" si="30"/>
        <v/>
      </c>
      <c r="AEL2" t="str">
        <f t="shared" ca="1" si="30"/>
        <v/>
      </c>
      <c r="AEM2" t="str">
        <f t="shared" ca="1" si="30"/>
        <v/>
      </c>
      <c r="AEN2" t="str">
        <f t="shared" ca="1" si="30"/>
        <v/>
      </c>
      <c r="AEO2" t="str">
        <f t="shared" ca="1" si="30"/>
        <v/>
      </c>
      <c r="AEP2" t="str">
        <f t="shared" ca="1" si="30"/>
        <v/>
      </c>
      <c r="AEQ2" t="str">
        <f t="shared" ca="1" si="30"/>
        <v/>
      </c>
      <c r="AER2" t="str">
        <f t="shared" ca="1" si="30"/>
        <v/>
      </c>
      <c r="AES2" t="str">
        <f t="shared" ca="1" si="30"/>
        <v/>
      </c>
      <c r="AET2" t="str">
        <f t="shared" ca="1" si="30"/>
        <v/>
      </c>
      <c r="AEU2" t="str">
        <f t="shared" ca="1" si="30"/>
        <v/>
      </c>
      <c r="AEV2" t="str">
        <f t="shared" ca="1" si="30"/>
        <v/>
      </c>
      <c r="AEW2" t="str">
        <f t="shared" ca="1" si="30"/>
        <v/>
      </c>
      <c r="AEX2" t="str">
        <f t="shared" ca="1" si="30"/>
        <v/>
      </c>
      <c r="AEY2" t="str">
        <f t="shared" ca="1" si="30"/>
        <v/>
      </c>
      <c r="AEZ2" t="str">
        <f t="shared" ca="1" si="30"/>
        <v/>
      </c>
      <c r="AFA2" t="str">
        <f t="shared" ref="AFA2:AHL2" ca="1" si="31">IF(AFA1="","",IF(MOD(COLUMN(AFB1)-1,2)=0,"Labels","Values"))</f>
        <v/>
      </c>
      <c r="AFB2" t="str">
        <f t="shared" ca="1" si="31"/>
        <v/>
      </c>
      <c r="AFC2" t="str">
        <f t="shared" ca="1" si="31"/>
        <v/>
      </c>
      <c r="AFD2" t="str">
        <f t="shared" ca="1" si="31"/>
        <v/>
      </c>
      <c r="AFE2" t="str">
        <f t="shared" ca="1" si="31"/>
        <v/>
      </c>
      <c r="AFF2" t="str">
        <f t="shared" ca="1" si="31"/>
        <v/>
      </c>
      <c r="AFG2" t="str">
        <f t="shared" ca="1" si="31"/>
        <v/>
      </c>
      <c r="AFH2" t="str">
        <f t="shared" ca="1" si="31"/>
        <v/>
      </c>
      <c r="AFI2" t="str">
        <f t="shared" ca="1" si="31"/>
        <v/>
      </c>
      <c r="AFJ2" t="str">
        <f t="shared" ca="1" si="31"/>
        <v/>
      </c>
      <c r="AFK2" t="str">
        <f t="shared" ca="1" si="31"/>
        <v/>
      </c>
      <c r="AFL2" t="str">
        <f t="shared" ca="1" si="31"/>
        <v/>
      </c>
      <c r="AFM2" t="str">
        <f t="shared" ca="1" si="31"/>
        <v/>
      </c>
      <c r="AFN2" t="str">
        <f t="shared" ca="1" si="31"/>
        <v/>
      </c>
      <c r="AFO2" t="str">
        <f t="shared" ca="1" si="31"/>
        <v/>
      </c>
      <c r="AFP2" t="str">
        <f t="shared" ca="1" si="31"/>
        <v/>
      </c>
      <c r="AFQ2" t="str">
        <f t="shared" ca="1" si="31"/>
        <v/>
      </c>
      <c r="AFR2" t="str">
        <f t="shared" ca="1" si="31"/>
        <v/>
      </c>
      <c r="AFS2" t="str">
        <f t="shared" ca="1" si="31"/>
        <v/>
      </c>
      <c r="AFT2" t="str">
        <f t="shared" ca="1" si="31"/>
        <v/>
      </c>
      <c r="AFU2" t="str">
        <f t="shared" ca="1" si="31"/>
        <v/>
      </c>
      <c r="AFV2" t="str">
        <f t="shared" ca="1" si="31"/>
        <v/>
      </c>
      <c r="AFW2" t="str">
        <f t="shared" ca="1" si="31"/>
        <v/>
      </c>
      <c r="AFX2" t="str">
        <f t="shared" ca="1" si="31"/>
        <v/>
      </c>
      <c r="AFY2" t="str">
        <f t="shared" ca="1" si="31"/>
        <v/>
      </c>
      <c r="AFZ2" t="str">
        <f t="shared" ca="1" si="31"/>
        <v/>
      </c>
      <c r="AGA2" t="str">
        <f t="shared" ca="1" si="31"/>
        <v/>
      </c>
      <c r="AGB2" t="str">
        <f t="shared" ca="1" si="31"/>
        <v/>
      </c>
      <c r="AGC2" t="str">
        <f t="shared" ca="1" si="31"/>
        <v/>
      </c>
      <c r="AGD2" t="str">
        <f t="shared" ca="1" si="31"/>
        <v/>
      </c>
      <c r="AGE2" t="str">
        <f t="shared" ca="1" si="31"/>
        <v/>
      </c>
      <c r="AGF2" t="str">
        <f t="shared" ca="1" si="31"/>
        <v/>
      </c>
      <c r="AGG2" t="str">
        <f t="shared" ca="1" si="31"/>
        <v/>
      </c>
      <c r="AGH2" t="str">
        <f t="shared" ca="1" si="31"/>
        <v/>
      </c>
      <c r="AGI2" t="str">
        <f t="shared" ca="1" si="31"/>
        <v/>
      </c>
      <c r="AGJ2" t="str">
        <f t="shared" ca="1" si="31"/>
        <v/>
      </c>
      <c r="AGK2" t="str">
        <f t="shared" ca="1" si="31"/>
        <v/>
      </c>
      <c r="AGL2" t="str">
        <f t="shared" ca="1" si="31"/>
        <v/>
      </c>
      <c r="AGM2" t="str">
        <f t="shared" ca="1" si="31"/>
        <v/>
      </c>
      <c r="AGN2" t="str">
        <f t="shared" ca="1" si="31"/>
        <v/>
      </c>
      <c r="AGO2" t="str">
        <f t="shared" ca="1" si="31"/>
        <v/>
      </c>
      <c r="AGP2" t="str">
        <f t="shared" ca="1" si="31"/>
        <v/>
      </c>
      <c r="AGQ2" t="str">
        <f t="shared" ca="1" si="31"/>
        <v/>
      </c>
      <c r="AGR2" t="str">
        <f t="shared" ca="1" si="31"/>
        <v/>
      </c>
      <c r="AGS2" t="str">
        <f t="shared" ca="1" si="31"/>
        <v/>
      </c>
      <c r="AGT2" t="str">
        <f t="shared" ca="1" si="31"/>
        <v/>
      </c>
      <c r="AGU2" t="str">
        <f t="shared" ca="1" si="31"/>
        <v/>
      </c>
      <c r="AGV2" t="str">
        <f t="shared" ca="1" si="31"/>
        <v/>
      </c>
      <c r="AGW2" t="str">
        <f t="shared" ca="1" si="31"/>
        <v/>
      </c>
      <c r="AGX2" t="str">
        <f t="shared" ca="1" si="31"/>
        <v/>
      </c>
      <c r="AGY2" t="str">
        <f t="shared" ca="1" si="31"/>
        <v/>
      </c>
      <c r="AGZ2" t="str">
        <f t="shared" ca="1" si="31"/>
        <v/>
      </c>
      <c r="AHA2" t="str">
        <f t="shared" ca="1" si="31"/>
        <v/>
      </c>
      <c r="AHB2" t="str">
        <f t="shared" ca="1" si="31"/>
        <v/>
      </c>
      <c r="AHC2" t="str">
        <f t="shared" ca="1" si="31"/>
        <v/>
      </c>
      <c r="AHD2" t="str">
        <f t="shared" ca="1" si="31"/>
        <v/>
      </c>
      <c r="AHE2" t="str">
        <f t="shared" ca="1" si="31"/>
        <v/>
      </c>
      <c r="AHF2" t="str">
        <f t="shared" ca="1" si="31"/>
        <v/>
      </c>
      <c r="AHG2" t="str">
        <f t="shared" ca="1" si="31"/>
        <v/>
      </c>
      <c r="AHH2" t="str">
        <f t="shared" ca="1" si="31"/>
        <v/>
      </c>
      <c r="AHI2" t="str">
        <f t="shared" ca="1" si="31"/>
        <v/>
      </c>
      <c r="AHJ2" t="str">
        <f t="shared" ca="1" si="31"/>
        <v/>
      </c>
      <c r="AHK2" t="str">
        <f t="shared" ca="1" si="31"/>
        <v/>
      </c>
      <c r="AHL2" t="str">
        <f t="shared" ca="1" si="31"/>
        <v/>
      </c>
      <c r="AHM2" t="str">
        <f t="shared" ref="AHM2:AJX2" ca="1" si="32">IF(AHM1="","",IF(MOD(COLUMN(AHN1)-1,2)=0,"Labels","Values"))</f>
        <v/>
      </c>
      <c r="AHN2" t="str">
        <f t="shared" ca="1" si="32"/>
        <v/>
      </c>
      <c r="AHO2" t="str">
        <f t="shared" ca="1" si="32"/>
        <v/>
      </c>
      <c r="AHP2" t="str">
        <f t="shared" ca="1" si="32"/>
        <v/>
      </c>
      <c r="AHQ2" t="str">
        <f t="shared" ca="1" si="32"/>
        <v/>
      </c>
      <c r="AHR2" t="str">
        <f t="shared" ca="1" si="32"/>
        <v/>
      </c>
      <c r="AHS2" t="str">
        <f t="shared" ca="1" si="32"/>
        <v/>
      </c>
      <c r="AHT2" t="str">
        <f t="shared" ca="1" si="32"/>
        <v/>
      </c>
      <c r="AHU2" t="str">
        <f t="shared" ca="1" si="32"/>
        <v/>
      </c>
      <c r="AHV2" t="str">
        <f t="shared" ca="1" si="32"/>
        <v/>
      </c>
      <c r="AHW2" t="str">
        <f t="shared" ca="1" si="32"/>
        <v/>
      </c>
      <c r="AHX2" t="str">
        <f t="shared" ca="1" si="32"/>
        <v/>
      </c>
      <c r="AHY2" t="str">
        <f t="shared" ca="1" si="32"/>
        <v/>
      </c>
      <c r="AHZ2" t="str">
        <f t="shared" ca="1" si="32"/>
        <v/>
      </c>
      <c r="AIA2" t="str">
        <f t="shared" ca="1" si="32"/>
        <v/>
      </c>
      <c r="AIB2" t="str">
        <f t="shared" ca="1" si="32"/>
        <v/>
      </c>
      <c r="AIC2" t="str">
        <f t="shared" ca="1" si="32"/>
        <v/>
      </c>
      <c r="AID2" t="str">
        <f t="shared" ca="1" si="32"/>
        <v/>
      </c>
      <c r="AIE2" t="str">
        <f t="shared" ca="1" si="32"/>
        <v/>
      </c>
      <c r="AIF2" t="str">
        <f t="shared" ca="1" si="32"/>
        <v/>
      </c>
      <c r="AIG2" t="str">
        <f t="shared" ca="1" si="32"/>
        <v/>
      </c>
      <c r="AIH2" t="str">
        <f t="shared" ca="1" si="32"/>
        <v/>
      </c>
      <c r="AII2" t="str">
        <f t="shared" ca="1" si="32"/>
        <v/>
      </c>
      <c r="AIJ2" t="str">
        <f t="shared" ca="1" si="32"/>
        <v/>
      </c>
      <c r="AIK2" t="str">
        <f t="shared" ca="1" si="32"/>
        <v/>
      </c>
      <c r="AIL2" t="str">
        <f t="shared" ca="1" si="32"/>
        <v/>
      </c>
      <c r="AIM2" t="str">
        <f t="shared" ca="1" si="32"/>
        <v/>
      </c>
      <c r="AIN2" t="str">
        <f t="shared" ca="1" si="32"/>
        <v/>
      </c>
      <c r="AIO2" t="str">
        <f t="shared" ca="1" si="32"/>
        <v/>
      </c>
      <c r="AIP2" t="str">
        <f t="shared" ca="1" si="32"/>
        <v/>
      </c>
      <c r="AIQ2" t="str">
        <f t="shared" ca="1" si="32"/>
        <v/>
      </c>
      <c r="AIR2" t="str">
        <f t="shared" ca="1" si="32"/>
        <v/>
      </c>
      <c r="AIS2" t="str">
        <f t="shared" ca="1" si="32"/>
        <v/>
      </c>
      <c r="AIT2" t="str">
        <f t="shared" ca="1" si="32"/>
        <v/>
      </c>
      <c r="AIU2" t="str">
        <f t="shared" ca="1" si="32"/>
        <v/>
      </c>
      <c r="AIV2" t="str">
        <f t="shared" ca="1" si="32"/>
        <v/>
      </c>
      <c r="AIW2" t="str">
        <f t="shared" ca="1" si="32"/>
        <v/>
      </c>
      <c r="AIX2" t="str">
        <f t="shared" ca="1" si="32"/>
        <v/>
      </c>
      <c r="AIY2" t="str">
        <f t="shared" ca="1" si="32"/>
        <v/>
      </c>
      <c r="AIZ2" t="str">
        <f t="shared" ca="1" si="32"/>
        <v/>
      </c>
      <c r="AJA2" t="str">
        <f t="shared" ca="1" si="32"/>
        <v/>
      </c>
      <c r="AJB2" t="str">
        <f t="shared" ca="1" si="32"/>
        <v/>
      </c>
      <c r="AJC2" t="str">
        <f t="shared" ca="1" si="32"/>
        <v/>
      </c>
      <c r="AJD2" t="str">
        <f t="shared" ca="1" si="32"/>
        <v/>
      </c>
      <c r="AJE2" t="str">
        <f t="shared" ca="1" si="32"/>
        <v/>
      </c>
      <c r="AJF2" t="str">
        <f t="shared" ca="1" si="32"/>
        <v/>
      </c>
      <c r="AJG2" t="str">
        <f t="shared" ca="1" si="32"/>
        <v/>
      </c>
      <c r="AJH2" t="str">
        <f t="shared" ca="1" si="32"/>
        <v/>
      </c>
      <c r="AJI2" t="str">
        <f t="shared" ca="1" si="32"/>
        <v/>
      </c>
      <c r="AJJ2" t="str">
        <f t="shared" ca="1" si="32"/>
        <v/>
      </c>
      <c r="AJK2" t="str">
        <f t="shared" ca="1" si="32"/>
        <v/>
      </c>
      <c r="AJL2" t="str">
        <f t="shared" ca="1" si="32"/>
        <v/>
      </c>
      <c r="AJM2" t="str">
        <f t="shared" ca="1" si="32"/>
        <v/>
      </c>
      <c r="AJN2" t="str">
        <f t="shared" ca="1" si="32"/>
        <v/>
      </c>
      <c r="AJO2" t="str">
        <f t="shared" ca="1" si="32"/>
        <v/>
      </c>
      <c r="AJP2" t="str">
        <f t="shared" ca="1" si="32"/>
        <v/>
      </c>
      <c r="AJQ2" t="str">
        <f t="shared" ca="1" si="32"/>
        <v/>
      </c>
      <c r="AJR2" t="str">
        <f t="shared" ca="1" si="32"/>
        <v/>
      </c>
      <c r="AJS2" t="str">
        <f t="shared" ca="1" si="32"/>
        <v/>
      </c>
      <c r="AJT2" t="str">
        <f t="shared" ca="1" si="32"/>
        <v/>
      </c>
      <c r="AJU2" t="str">
        <f t="shared" ca="1" si="32"/>
        <v/>
      </c>
      <c r="AJV2" t="str">
        <f t="shared" ca="1" si="32"/>
        <v/>
      </c>
      <c r="AJW2" t="str">
        <f t="shared" ca="1" si="32"/>
        <v/>
      </c>
      <c r="AJX2" t="str">
        <f t="shared" ca="1" si="32"/>
        <v/>
      </c>
      <c r="AJY2" t="str">
        <f t="shared" ref="AJY2:AMJ2" ca="1" si="33">IF(AJY1="","",IF(MOD(COLUMN(AJZ1)-1,2)=0,"Labels","Values"))</f>
        <v/>
      </c>
      <c r="AJZ2" t="str">
        <f t="shared" ca="1" si="33"/>
        <v/>
      </c>
      <c r="AKA2" t="str">
        <f t="shared" ca="1" si="33"/>
        <v/>
      </c>
      <c r="AKB2" t="str">
        <f t="shared" ca="1" si="33"/>
        <v/>
      </c>
      <c r="AKC2" t="str">
        <f t="shared" ca="1" si="33"/>
        <v/>
      </c>
      <c r="AKD2" t="str">
        <f t="shared" ca="1" si="33"/>
        <v/>
      </c>
      <c r="AKE2" t="str">
        <f t="shared" ca="1" si="33"/>
        <v/>
      </c>
      <c r="AKF2" t="str">
        <f t="shared" ca="1" si="33"/>
        <v/>
      </c>
      <c r="AKG2" t="str">
        <f t="shared" ca="1" si="33"/>
        <v/>
      </c>
      <c r="AKH2" t="str">
        <f t="shared" ca="1" si="33"/>
        <v/>
      </c>
      <c r="AKI2" t="str">
        <f t="shared" ca="1" si="33"/>
        <v/>
      </c>
      <c r="AKJ2" t="str">
        <f t="shared" ca="1" si="33"/>
        <v/>
      </c>
      <c r="AKK2" t="str">
        <f t="shared" ca="1" si="33"/>
        <v/>
      </c>
      <c r="AKL2" t="str">
        <f t="shared" ca="1" si="33"/>
        <v/>
      </c>
      <c r="AKM2" t="str">
        <f t="shared" ca="1" si="33"/>
        <v/>
      </c>
      <c r="AKN2" t="str">
        <f t="shared" ca="1" si="33"/>
        <v/>
      </c>
      <c r="AKO2" t="str">
        <f t="shared" ca="1" si="33"/>
        <v/>
      </c>
      <c r="AKP2" t="str">
        <f t="shared" ca="1" si="33"/>
        <v/>
      </c>
      <c r="AKQ2" t="str">
        <f t="shared" ca="1" si="33"/>
        <v/>
      </c>
      <c r="AKR2" t="str">
        <f t="shared" ca="1" si="33"/>
        <v/>
      </c>
      <c r="AKS2" t="str">
        <f t="shared" ca="1" si="33"/>
        <v/>
      </c>
      <c r="AKT2" t="str">
        <f t="shared" ca="1" si="33"/>
        <v/>
      </c>
      <c r="AKU2" t="str">
        <f t="shared" ca="1" si="33"/>
        <v/>
      </c>
      <c r="AKV2" t="str">
        <f t="shared" ca="1" si="33"/>
        <v/>
      </c>
      <c r="AKW2" t="str">
        <f t="shared" ca="1" si="33"/>
        <v/>
      </c>
      <c r="AKX2" t="str">
        <f t="shared" ca="1" si="33"/>
        <v/>
      </c>
      <c r="AKY2" t="str">
        <f t="shared" ca="1" si="33"/>
        <v/>
      </c>
      <c r="AKZ2" t="str">
        <f t="shared" ca="1" si="33"/>
        <v/>
      </c>
      <c r="ALA2" t="str">
        <f t="shared" ca="1" si="33"/>
        <v/>
      </c>
      <c r="ALB2" t="str">
        <f t="shared" ca="1" si="33"/>
        <v/>
      </c>
      <c r="ALC2" t="str">
        <f t="shared" ca="1" si="33"/>
        <v/>
      </c>
      <c r="ALD2" t="str">
        <f t="shared" ca="1" si="33"/>
        <v/>
      </c>
      <c r="ALE2" t="str">
        <f t="shared" ca="1" si="33"/>
        <v/>
      </c>
      <c r="ALF2" t="str">
        <f t="shared" ca="1" si="33"/>
        <v/>
      </c>
      <c r="ALG2" t="str">
        <f t="shared" ca="1" si="33"/>
        <v/>
      </c>
      <c r="ALH2" t="str">
        <f t="shared" ca="1" si="33"/>
        <v/>
      </c>
      <c r="ALI2" t="str">
        <f t="shared" ca="1" si="33"/>
        <v/>
      </c>
      <c r="ALJ2" t="str">
        <f t="shared" ca="1" si="33"/>
        <v/>
      </c>
      <c r="ALK2" t="str">
        <f t="shared" ca="1" si="33"/>
        <v/>
      </c>
      <c r="ALL2" t="str">
        <f t="shared" ca="1" si="33"/>
        <v/>
      </c>
      <c r="ALM2" t="str">
        <f t="shared" ca="1" si="33"/>
        <v/>
      </c>
      <c r="ALN2" t="str">
        <f t="shared" ca="1" si="33"/>
        <v/>
      </c>
      <c r="ALO2" t="str">
        <f t="shared" ca="1" si="33"/>
        <v/>
      </c>
      <c r="ALP2" t="str">
        <f t="shared" ca="1" si="33"/>
        <v/>
      </c>
      <c r="ALQ2" t="str">
        <f t="shared" ca="1" si="33"/>
        <v/>
      </c>
      <c r="ALR2" t="str">
        <f t="shared" ca="1" si="33"/>
        <v/>
      </c>
      <c r="ALS2" t="str">
        <f t="shared" ca="1" si="33"/>
        <v/>
      </c>
      <c r="ALT2" t="str">
        <f t="shared" ca="1" si="33"/>
        <v/>
      </c>
      <c r="ALU2" t="str">
        <f t="shared" ca="1" si="33"/>
        <v/>
      </c>
      <c r="ALV2" t="str">
        <f t="shared" ca="1" si="33"/>
        <v/>
      </c>
      <c r="ALW2" t="str">
        <f t="shared" ca="1" si="33"/>
        <v/>
      </c>
      <c r="ALX2" t="str">
        <f t="shared" ca="1" si="33"/>
        <v/>
      </c>
      <c r="ALY2" t="str">
        <f t="shared" ca="1" si="33"/>
        <v/>
      </c>
      <c r="ALZ2" t="str">
        <f t="shared" ca="1" si="33"/>
        <v/>
      </c>
      <c r="AMA2" t="str">
        <f t="shared" ca="1" si="33"/>
        <v/>
      </c>
      <c r="AMB2" t="str">
        <f t="shared" ca="1" si="33"/>
        <v/>
      </c>
      <c r="AMC2" t="str">
        <f t="shared" ca="1" si="33"/>
        <v/>
      </c>
      <c r="AMD2" t="str">
        <f t="shared" ca="1" si="33"/>
        <v/>
      </c>
      <c r="AME2" t="str">
        <f t="shared" ca="1" si="33"/>
        <v/>
      </c>
      <c r="AMF2" t="str">
        <f t="shared" ca="1" si="33"/>
        <v/>
      </c>
      <c r="AMG2" t="str">
        <f t="shared" ca="1" si="33"/>
        <v/>
      </c>
      <c r="AMH2" t="str">
        <f t="shared" ca="1" si="33"/>
        <v/>
      </c>
      <c r="AMI2" t="str">
        <f t="shared" ca="1" si="33"/>
        <v/>
      </c>
      <c r="AMJ2" t="str">
        <f t="shared" ca="1" si="33"/>
        <v/>
      </c>
      <c r="AMK2" t="str">
        <f t="shared" ref="AMK2:AOV2" ca="1" si="34">IF(AMK1="","",IF(MOD(COLUMN(AML1)-1,2)=0,"Labels","Values"))</f>
        <v/>
      </c>
      <c r="AML2" t="str">
        <f t="shared" ca="1" si="34"/>
        <v/>
      </c>
      <c r="AMM2" t="str">
        <f t="shared" ca="1" si="34"/>
        <v/>
      </c>
      <c r="AMN2" t="str">
        <f t="shared" ca="1" si="34"/>
        <v/>
      </c>
      <c r="AMO2" t="str">
        <f t="shared" ca="1" si="34"/>
        <v/>
      </c>
      <c r="AMP2" t="str">
        <f t="shared" ca="1" si="34"/>
        <v/>
      </c>
      <c r="AMQ2" t="str">
        <f t="shared" ca="1" si="34"/>
        <v/>
      </c>
      <c r="AMR2" t="str">
        <f t="shared" ca="1" si="34"/>
        <v/>
      </c>
      <c r="AMS2" t="str">
        <f t="shared" ca="1" si="34"/>
        <v/>
      </c>
      <c r="AMT2" t="str">
        <f t="shared" ca="1" si="34"/>
        <v/>
      </c>
      <c r="AMU2" t="str">
        <f t="shared" ca="1" si="34"/>
        <v/>
      </c>
      <c r="AMV2" t="str">
        <f t="shared" ca="1" si="34"/>
        <v/>
      </c>
      <c r="AMW2" t="str">
        <f t="shared" ca="1" si="34"/>
        <v/>
      </c>
      <c r="AMX2" t="str">
        <f t="shared" ca="1" si="34"/>
        <v/>
      </c>
      <c r="AMY2" t="str">
        <f t="shared" ca="1" si="34"/>
        <v/>
      </c>
      <c r="AMZ2" t="str">
        <f t="shared" ca="1" si="34"/>
        <v/>
      </c>
      <c r="ANA2" t="str">
        <f t="shared" ca="1" si="34"/>
        <v/>
      </c>
      <c r="ANB2" t="str">
        <f t="shared" ca="1" si="34"/>
        <v/>
      </c>
      <c r="ANC2" t="str">
        <f t="shared" ca="1" si="34"/>
        <v/>
      </c>
      <c r="AND2" t="str">
        <f t="shared" ca="1" si="34"/>
        <v/>
      </c>
      <c r="ANE2" t="str">
        <f t="shared" ca="1" si="34"/>
        <v/>
      </c>
      <c r="ANF2" t="str">
        <f t="shared" ca="1" si="34"/>
        <v/>
      </c>
      <c r="ANG2" t="str">
        <f t="shared" ca="1" si="34"/>
        <v/>
      </c>
      <c r="ANH2" t="str">
        <f t="shared" ca="1" si="34"/>
        <v/>
      </c>
      <c r="ANI2" t="str">
        <f t="shared" ca="1" si="34"/>
        <v/>
      </c>
      <c r="ANJ2" t="str">
        <f t="shared" ca="1" si="34"/>
        <v/>
      </c>
      <c r="ANK2" t="str">
        <f t="shared" ca="1" si="34"/>
        <v/>
      </c>
      <c r="ANL2" t="str">
        <f t="shared" ca="1" si="34"/>
        <v/>
      </c>
      <c r="ANM2" t="str">
        <f t="shared" ca="1" si="34"/>
        <v/>
      </c>
      <c r="ANN2" t="str">
        <f t="shared" ca="1" si="34"/>
        <v/>
      </c>
      <c r="ANO2" t="str">
        <f t="shared" ca="1" si="34"/>
        <v/>
      </c>
      <c r="ANP2" t="str">
        <f t="shared" ca="1" si="34"/>
        <v/>
      </c>
      <c r="ANQ2" t="str">
        <f t="shared" ca="1" si="34"/>
        <v/>
      </c>
      <c r="ANR2" t="str">
        <f t="shared" ca="1" si="34"/>
        <v/>
      </c>
      <c r="ANS2" t="str">
        <f t="shared" ca="1" si="34"/>
        <v/>
      </c>
      <c r="ANT2" t="str">
        <f t="shared" ca="1" si="34"/>
        <v/>
      </c>
      <c r="ANU2" t="str">
        <f t="shared" ca="1" si="34"/>
        <v/>
      </c>
      <c r="ANV2" t="str">
        <f t="shared" ca="1" si="34"/>
        <v/>
      </c>
      <c r="ANW2" t="str">
        <f t="shared" ca="1" si="34"/>
        <v/>
      </c>
      <c r="ANX2" t="str">
        <f t="shared" ca="1" si="34"/>
        <v/>
      </c>
      <c r="ANY2" t="str">
        <f t="shared" ca="1" si="34"/>
        <v/>
      </c>
      <c r="ANZ2" t="str">
        <f t="shared" ca="1" si="34"/>
        <v/>
      </c>
      <c r="AOA2" t="str">
        <f t="shared" ca="1" si="34"/>
        <v/>
      </c>
      <c r="AOB2" t="str">
        <f t="shared" ca="1" si="34"/>
        <v/>
      </c>
      <c r="AOC2" t="str">
        <f t="shared" ca="1" si="34"/>
        <v/>
      </c>
      <c r="AOD2" t="str">
        <f t="shared" ca="1" si="34"/>
        <v/>
      </c>
      <c r="AOE2" t="str">
        <f t="shared" ca="1" si="34"/>
        <v/>
      </c>
      <c r="AOF2" t="str">
        <f t="shared" ca="1" si="34"/>
        <v/>
      </c>
      <c r="AOG2" t="str">
        <f t="shared" ca="1" si="34"/>
        <v/>
      </c>
      <c r="AOH2" t="str">
        <f t="shared" ca="1" si="34"/>
        <v/>
      </c>
      <c r="AOI2" t="str">
        <f t="shared" ca="1" si="34"/>
        <v/>
      </c>
      <c r="AOJ2" t="str">
        <f t="shared" ca="1" si="34"/>
        <v/>
      </c>
      <c r="AOK2" t="str">
        <f t="shared" ca="1" si="34"/>
        <v/>
      </c>
      <c r="AOL2" t="str">
        <f t="shared" ca="1" si="34"/>
        <v/>
      </c>
      <c r="AOM2" t="str">
        <f t="shared" ca="1" si="34"/>
        <v/>
      </c>
      <c r="AON2" t="str">
        <f t="shared" ca="1" si="34"/>
        <v/>
      </c>
      <c r="AOO2" t="str">
        <f t="shared" ca="1" si="34"/>
        <v/>
      </c>
      <c r="AOP2" t="str">
        <f t="shared" ca="1" si="34"/>
        <v/>
      </c>
      <c r="AOQ2" t="str">
        <f t="shared" ca="1" si="34"/>
        <v/>
      </c>
      <c r="AOR2" t="str">
        <f t="shared" ca="1" si="34"/>
        <v/>
      </c>
      <c r="AOS2" t="str">
        <f t="shared" ca="1" si="34"/>
        <v/>
      </c>
      <c r="AOT2" t="str">
        <f t="shared" ca="1" si="34"/>
        <v/>
      </c>
      <c r="AOU2" t="str">
        <f t="shared" ca="1" si="34"/>
        <v/>
      </c>
      <c r="AOV2" t="str">
        <f t="shared" ca="1" si="34"/>
        <v/>
      </c>
      <c r="AOW2" t="str">
        <f t="shared" ref="AOW2:AOZ2" ca="1" si="35">IF(AOW1="","",IF(MOD(COLUMN(AOX1)-1,2)=0,"Labels","Values"))</f>
        <v/>
      </c>
      <c r="AOX2" t="str">
        <f t="shared" ca="1" si="35"/>
        <v/>
      </c>
      <c r="AOY2" t="str">
        <f t="shared" ca="1" si="35"/>
        <v/>
      </c>
      <c r="AOZ2" t="str">
        <f t="shared" ca="1" si="35"/>
        <v/>
      </c>
    </row>
    <row r="3" spans="1:1092">
      <c r="I3">
        <v>1</v>
      </c>
      <c r="J3" t="s">
        <v>795</v>
      </c>
      <c r="L3" s="14"/>
      <c r="S3">
        <v>1</v>
      </c>
      <c r="T3" t="s">
        <v>796</v>
      </c>
      <c r="U3">
        <v>1</v>
      </c>
      <c r="V3" s="14" t="s">
        <v>797</v>
      </c>
      <c r="W3">
        <v>1</v>
      </c>
      <c r="X3" s="14" t="s">
        <v>798</v>
      </c>
      <c r="Y3">
        <v>1</v>
      </c>
      <c r="Z3" s="14" t="s">
        <v>799</v>
      </c>
      <c r="AA3">
        <v>1</v>
      </c>
      <c r="AB3" s="14" t="s">
        <v>798</v>
      </c>
      <c r="AC3">
        <v>1</v>
      </c>
      <c r="AD3" s="14" t="s">
        <v>799</v>
      </c>
      <c r="AE3">
        <v>1</v>
      </c>
      <c r="AF3" s="14" t="s">
        <v>798</v>
      </c>
      <c r="AG3">
        <v>1</v>
      </c>
      <c r="AH3" s="14" t="s">
        <v>799</v>
      </c>
      <c r="AI3">
        <v>1</v>
      </c>
      <c r="AJ3" s="14" t="s">
        <v>356</v>
      </c>
      <c r="AK3">
        <v>1</v>
      </c>
      <c r="AL3" t="s">
        <v>356</v>
      </c>
      <c r="AM3">
        <v>1</v>
      </c>
      <c r="AN3" t="s">
        <v>356</v>
      </c>
      <c r="AO3">
        <v>1</v>
      </c>
      <c r="AP3" t="s">
        <v>356</v>
      </c>
      <c r="AQ3">
        <v>1</v>
      </c>
      <c r="AR3" t="s">
        <v>356</v>
      </c>
      <c r="AS3">
        <v>1</v>
      </c>
      <c r="AT3" t="s">
        <v>356</v>
      </c>
      <c r="AU3">
        <v>1</v>
      </c>
      <c r="AV3" s="14" t="s">
        <v>356</v>
      </c>
      <c r="AW3">
        <v>1</v>
      </c>
      <c r="AX3" s="14" t="s">
        <v>356</v>
      </c>
      <c r="AY3">
        <v>1</v>
      </c>
      <c r="AZ3" s="14" t="s">
        <v>800</v>
      </c>
      <c r="BA3">
        <v>1</v>
      </c>
      <c r="BB3" s="14" t="s">
        <v>356</v>
      </c>
      <c r="BC3">
        <v>1</v>
      </c>
      <c r="BD3" s="14" t="s">
        <v>356</v>
      </c>
      <c r="BE3">
        <v>1</v>
      </c>
      <c r="BF3" s="14" t="s">
        <v>356</v>
      </c>
      <c r="BG3">
        <v>1</v>
      </c>
      <c r="BH3" s="14" t="s">
        <v>355</v>
      </c>
      <c r="BI3">
        <v>1</v>
      </c>
      <c r="BJ3" s="14" t="s">
        <v>355</v>
      </c>
      <c r="BK3">
        <v>1</v>
      </c>
      <c r="BL3" s="14" t="s">
        <v>356</v>
      </c>
      <c r="BN3" s="14"/>
      <c r="BO3">
        <v>1</v>
      </c>
      <c r="BP3" s="14" t="s">
        <v>356</v>
      </c>
      <c r="BQ3">
        <v>1</v>
      </c>
      <c r="BR3" s="14" t="s">
        <v>356</v>
      </c>
      <c r="BS3">
        <v>1</v>
      </c>
      <c r="BT3" s="14" t="s">
        <v>801</v>
      </c>
      <c r="BV3" s="14"/>
      <c r="BW3">
        <v>1</v>
      </c>
      <c r="BX3" s="14" t="s">
        <v>356</v>
      </c>
      <c r="BZ3" s="14"/>
      <c r="CB3" s="14"/>
      <c r="CC3">
        <v>1</v>
      </c>
      <c r="CD3" s="14" t="s">
        <v>356</v>
      </c>
      <c r="CF3" s="14"/>
      <c r="CG3">
        <v>1</v>
      </c>
      <c r="CH3" s="14" t="s">
        <v>356</v>
      </c>
      <c r="CJ3" s="14"/>
      <c r="CK3">
        <v>1</v>
      </c>
      <c r="CL3" s="14" t="s">
        <v>356</v>
      </c>
      <c r="CN3" s="14"/>
      <c r="CP3" s="14"/>
      <c r="CQ3">
        <v>1</v>
      </c>
      <c r="CR3" s="14" t="s">
        <v>356</v>
      </c>
      <c r="CT3" s="14"/>
      <c r="CU3">
        <v>1</v>
      </c>
      <c r="CV3" s="14" t="s">
        <v>356</v>
      </c>
      <c r="CX3" s="14"/>
      <c r="CY3">
        <v>1</v>
      </c>
      <c r="CZ3" s="14" t="s">
        <v>356</v>
      </c>
      <c r="DB3" s="14"/>
      <c r="DC3">
        <v>1</v>
      </c>
      <c r="DD3" s="14" t="s">
        <v>356</v>
      </c>
      <c r="DF3" s="14"/>
      <c r="DG3">
        <v>1</v>
      </c>
      <c r="DH3" s="14" t="s">
        <v>356</v>
      </c>
      <c r="DJ3" s="14"/>
      <c r="DK3">
        <v>1</v>
      </c>
      <c r="DL3" s="14" t="s">
        <v>356</v>
      </c>
      <c r="DN3" s="14"/>
      <c r="DO3">
        <v>1</v>
      </c>
      <c r="DP3" s="14" t="s">
        <v>356</v>
      </c>
      <c r="DR3" s="14"/>
      <c r="DT3" s="14"/>
      <c r="DV3" s="14"/>
      <c r="DX3" s="14"/>
      <c r="DZ3" s="14"/>
      <c r="EB3" s="14"/>
      <c r="ED3" s="14"/>
      <c r="EF3" s="14"/>
      <c r="EH3" s="14"/>
      <c r="EJ3" s="14"/>
      <c r="EL3" s="14"/>
      <c r="EM3">
        <v>1</v>
      </c>
      <c r="EN3" t="s">
        <v>356</v>
      </c>
      <c r="EP3" s="14"/>
      <c r="ER3" s="14"/>
      <c r="ES3">
        <v>1</v>
      </c>
      <c r="ET3" s="14" t="s">
        <v>356</v>
      </c>
      <c r="EU3">
        <v>1</v>
      </c>
      <c r="EV3" s="14" t="s">
        <v>356</v>
      </c>
      <c r="EW3">
        <v>1</v>
      </c>
      <c r="EX3" s="14" t="s">
        <v>356</v>
      </c>
      <c r="EY3">
        <v>1</v>
      </c>
      <c r="EZ3" s="14" t="s">
        <v>356</v>
      </c>
      <c r="FA3">
        <v>1</v>
      </c>
      <c r="FB3" s="14" t="s">
        <v>356</v>
      </c>
      <c r="FC3">
        <v>1</v>
      </c>
      <c r="FD3" s="14" t="s">
        <v>356</v>
      </c>
      <c r="FE3">
        <v>1</v>
      </c>
      <c r="FF3" s="14" t="s">
        <v>356</v>
      </c>
      <c r="FH3" s="14"/>
      <c r="FJ3" s="14"/>
      <c r="FM3">
        <v>1</v>
      </c>
      <c r="FN3" t="s">
        <v>356</v>
      </c>
      <c r="FO3">
        <v>1</v>
      </c>
      <c r="FP3" t="s">
        <v>356</v>
      </c>
      <c r="FQ3">
        <v>1</v>
      </c>
      <c r="FR3" s="14" t="s">
        <v>356</v>
      </c>
      <c r="FS3">
        <v>1</v>
      </c>
      <c r="FT3" t="s">
        <v>356</v>
      </c>
      <c r="FU3">
        <v>1</v>
      </c>
      <c r="FV3" t="s">
        <v>356</v>
      </c>
      <c r="FW3">
        <v>1</v>
      </c>
      <c r="FX3" t="s">
        <v>356</v>
      </c>
      <c r="FY3">
        <v>1</v>
      </c>
      <c r="FZ3" s="14" t="s">
        <v>356</v>
      </c>
      <c r="GB3" s="14"/>
      <c r="GD3" s="14"/>
      <c r="GF3" s="14"/>
      <c r="GG3">
        <v>1</v>
      </c>
      <c r="GH3" s="14" t="s">
        <v>356</v>
      </c>
      <c r="GI3">
        <v>1</v>
      </c>
      <c r="GJ3" s="14" t="s">
        <v>356</v>
      </c>
      <c r="GK3">
        <v>1</v>
      </c>
      <c r="GL3" s="14" t="s">
        <v>356</v>
      </c>
      <c r="GM3">
        <v>1</v>
      </c>
      <c r="GN3" s="14" t="s">
        <v>356</v>
      </c>
      <c r="GO3">
        <v>1</v>
      </c>
      <c r="GP3" s="14" t="s">
        <v>356</v>
      </c>
      <c r="GQ3">
        <v>1</v>
      </c>
      <c r="GR3" s="14" t="s">
        <v>356</v>
      </c>
      <c r="GS3">
        <v>1</v>
      </c>
      <c r="GT3" s="14" t="s">
        <v>356</v>
      </c>
      <c r="GV3" s="14"/>
      <c r="GX3" s="14"/>
      <c r="GZ3" s="14"/>
      <c r="HA3">
        <v>1</v>
      </c>
      <c r="HB3" s="14" t="s">
        <v>356</v>
      </c>
      <c r="HC3">
        <v>1</v>
      </c>
      <c r="HD3" s="14" t="s">
        <v>356</v>
      </c>
      <c r="HE3">
        <v>1</v>
      </c>
      <c r="HF3" s="14" t="s">
        <v>356</v>
      </c>
      <c r="HG3">
        <v>1</v>
      </c>
      <c r="HH3" t="s">
        <v>356</v>
      </c>
      <c r="HI3">
        <v>1</v>
      </c>
      <c r="HJ3" s="14" t="s">
        <v>356</v>
      </c>
      <c r="HK3">
        <v>1</v>
      </c>
      <c r="HL3" t="s">
        <v>356</v>
      </c>
      <c r="HM3">
        <v>1</v>
      </c>
      <c r="HN3" t="s">
        <v>356</v>
      </c>
      <c r="HU3">
        <v>1</v>
      </c>
      <c r="HV3" t="s">
        <v>356</v>
      </c>
      <c r="HW3">
        <v>1</v>
      </c>
      <c r="HX3" t="s">
        <v>356</v>
      </c>
      <c r="HY3">
        <v>1</v>
      </c>
      <c r="HZ3" t="s">
        <v>356</v>
      </c>
      <c r="IA3">
        <v>1</v>
      </c>
      <c r="IB3" t="s">
        <v>356</v>
      </c>
      <c r="IC3">
        <v>1</v>
      </c>
      <c r="ID3" t="s">
        <v>356</v>
      </c>
      <c r="IE3">
        <v>1</v>
      </c>
      <c r="IF3" t="s">
        <v>356</v>
      </c>
      <c r="IG3">
        <v>1</v>
      </c>
      <c r="IH3" t="s">
        <v>356</v>
      </c>
      <c r="JM3">
        <v>1</v>
      </c>
      <c r="JN3" t="s">
        <v>356</v>
      </c>
      <c r="JS3">
        <v>1</v>
      </c>
      <c r="JT3" t="s">
        <v>356</v>
      </c>
      <c r="KT3" s="14"/>
      <c r="KV3" s="14"/>
      <c r="KX3" s="14"/>
      <c r="KZ3" s="14"/>
      <c r="LB3" s="14"/>
      <c r="LD3" s="14"/>
      <c r="LF3" s="14"/>
      <c r="LH3" s="14"/>
      <c r="LS3">
        <v>1</v>
      </c>
      <c r="LT3" t="s">
        <v>356</v>
      </c>
      <c r="LX3" s="14"/>
      <c r="LY3">
        <v>1</v>
      </c>
      <c r="LZ3" s="14" t="s">
        <v>356</v>
      </c>
      <c r="MA3">
        <v>1</v>
      </c>
      <c r="MB3" s="14" t="s">
        <v>356</v>
      </c>
      <c r="MC3">
        <v>1</v>
      </c>
      <c r="MD3" s="14" t="s">
        <v>356</v>
      </c>
      <c r="ME3">
        <v>1</v>
      </c>
      <c r="MF3" s="14" t="s">
        <v>356</v>
      </c>
      <c r="MH3" s="14"/>
      <c r="MI3">
        <v>1</v>
      </c>
      <c r="MJ3" s="14" t="s">
        <v>356</v>
      </c>
      <c r="ML3" s="14"/>
      <c r="MM3">
        <v>1</v>
      </c>
      <c r="MN3" s="14" t="s">
        <v>356</v>
      </c>
      <c r="MP3" s="14"/>
      <c r="MQ3">
        <v>1</v>
      </c>
      <c r="MR3" s="14" t="s">
        <v>356</v>
      </c>
      <c r="MT3" s="14"/>
      <c r="MU3">
        <v>1</v>
      </c>
      <c r="MV3" s="14" t="s">
        <v>356</v>
      </c>
      <c r="MX3" s="14"/>
      <c r="MY3">
        <v>1</v>
      </c>
      <c r="MZ3" s="14" t="s">
        <v>356</v>
      </c>
      <c r="NC3">
        <v>1</v>
      </c>
      <c r="ND3" s="14" t="s">
        <v>356</v>
      </c>
      <c r="NF3" s="14"/>
      <c r="NG3">
        <v>1</v>
      </c>
      <c r="NH3" s="14" t="s">
        <v>356</v>
      </c>
      <c r="NK3">
        <v>1</v>
      </c>
      <c r="NL3" s="14" t="s">
        <v>356</v>
      </c>
      <c r="NO3">
        <v>1</v>
      </c>
      <c r="NP3" t="s">
        <v>356</v>
      </c>
      <c r="NR3" s="14"/>
      <c r="NS3">
        <v>1</v>
      </c>
      <c r="NT3" t="s">
        <v>356</v>
      </c>
      <c r="NV3" s="14"/>
      <c r="NW3">
        <v>1</v>
      </c>
      <c r="NX3" t="s">
        <v>356</v>
      </c>
      <c r="NZ3" s="14"/>
      <c r="OA3">
        <v>1</v>
      </c>
      <c r="OB3" t="s">
        <v>356</v>
      </c>
      <c r="OE3">
        <v>1</v>
      </c>
      <c r="OF3" s="14" t="s">
        <v>356</v>
      </c>
      <c r="OI3">
        <v>1</v>
      </c>
      <c r="OJ3" s="14" t="s">
        <v>356</v>
      </c>
      <c r="OM3">
        <v>1</v>
      </c>
      <c r="ON3" s="14" t="s">
        <v>356</v>
      </c>
      <c r="OQ3">
        <v>1</v>
      </c>
      <c r="OR3" s="14" t="s">
        <v>356</v>
      </c>
      <c r="OU3">
        <v>1</v>
      </c>
      <c r="OV3" s="14" t="s">
        <v>356</v>
      </c>
      <c r="OY3">
        <v>1</v>
      </c>
      <c r="OZ3" s="14" t="s">
        <v>356</v>
      </c>
      <c r="PC3">
        <v>1</v>
      </c>
      <c r="PD3" s="14" t="s">
        <v>356</v>
      </c>
      <c r="PG3">
        <v>1</v>
      </c>
      <c r="PH3" t="s">
        <v>356</v>
      </c>
      <c r="PO3">
        <v>1</v>
      </c>
      <c r="PP3" t="s">
        <v>356</v>
      </c>
      <c r="PS3">
        <v>1</v>
      </c>
      <c r="PT3" t="s">
        <v>356</v>
      </c>
      <c r="PW3">
        <v>1</v>
      </c>
      <c r="PX3" t="s">
        <v>356</v>
      </c>
      <c r="QA3">
        <v>1</v>
      </c>
      <c r="QB3" s="14" t="s">
        <v>356</v>
      </c>
      <c r="QE3">
        <v>1</v>
      </c>
      <c r="QF3" t="s">
        <v>356</v>
      </c>
      <c r="QH3" s="14"/>
      <c r="QI3">
        <v>1</v>
      </c>
      <c r="QJ3" s="14" t="s">
        <v>356</v>
      </c>
      <c r="QL3" s="14"/>
      <c r="QM3">
        <v>1</v>
      </c>
      <c r="QN3" s="14" t="s">
        <v>356</v>
      </c>
      <c r="QP3" s="14"/>
      <c r="QQ3">
        <v>1</v>
      </c>
      <c r="QR3" s="14" t="s">
        <v>356</v>
      </c>
      <c r="QT3" s="14"/>
      <c r="QU3">
        <v>1</v>
      </c>
      <c r="QV3" t="s">
        <v>356</v>
      </c>
      <c r="QY3">
        <v>1</v>
      </c>
      <c r="QZ3" t="s">
        <v>356</v>
      </c>
      <c r="RB3" s="14"/>
      <c r="RC3">
        <v>1</v>
      </c>
      <c r="RD3" s="14" t="s">
        <v>356</v>
      </c>
      <c r="RF3" s="14"/>
      <c r="RG3">
        <v>1</v>
      </c>
      <c r="RH3" s="14" t="s">
        <v>356</v>
      </c>
      <c r="RJ3" s="14"/>
      <c r="RK3">
        <v>1</v>
      </c>
      <c r="RL3" s="14" t="s">
        <v>356</v>
      </c>
      <c r="RN3" s="14"/>
      <c r="RO3">
        <v>1</v>
      </c>
      <c r="RP3" t="s">
        <v>356</v>
      </c>
      <c r="RS3">
        <v>1</v>
      </c>
      <c r="RT3" t="s">
        <v>356</v>
      </c>
      <c r="RV3" s="14"/>
      <c r="RW3">
        <v>1</v>
      </c>
      <c r="RX3" s="14" t="s">
        <v>356</v>
      </c>
      <c r="RZ3" s="14"/>
      <c r="SA3">
        <v>1</v>
      </c>
      <c r="SB3" s="14" t="s">
        <v>356</v>
      </c>
      <c r="SD3" s="14"/>
      <c r="SE3">
        <v>1</v>
      </c>
      <c r="SF3" s="14" t="s">
        <v>356</v>
      </c>
      <c r="SH3" s="14"/>
      <c r="SI3">
        <v>1</v>
      </c>
      <c r="SJ3" t="s">
        <v>356</v>
      </c>
      <c r="SM3">
        <v>1</v>
      </c>
      <c r="SN3" t="s">
        <v>356</v>
      </c>
      <c r="SP3" s="14"/>
      <c r="SQ3">
        <v>1</v>
      </c>
      <c r="SR3" s="14" t="s">
        <v>356</v>
      </c>
      <c r="ST3" s="14"/>
      <c r="SV3" s="14"/>
      <c r="SX3" s="14"/>
      <c r="SY3">
        <v>1</v>
      </c>
      <c r="SZ3" s="14" t="s">
        <v>356</v>
      </c>
      <c r="TB3" s="14"/>
      <c r="TC3">
        <v>1</v>
      </c>
      <c r="TD3" t="s">
        <v>356</v>
      </c>
      <c r="TG3">
        <v>1</v>
      </c>
      <c r="TH3" t="s">
        <v>356</v>
      </c>
      <c r="TJ3" s="14"/>
      <c r="TK3">
        <v>1</v>
      </c>
      <c r="TL3" s="14" t="s">
        <v>356</v>
      </c>
      <c r="TN3" s="14"/>
      <c r="TO3">
        <v>1</v>
      </c>
      <c r="TP3" s="14" t="s">
        <v>356</v>
      </c>
      <c r="TR3" s="14"/>
      <c r="TS3">
        <v>1</v>
      </c>
      <c r="TT3" s="14" t="s">
        <v>356</v>
      </c>
      <c r="TV3" s="14"/>
      <c r="TW3">
        <v>1</v>
      </c>
      <c r="TX3" t="s">
        <v>356</v>
      </c>
      <c r="UA3">
        <v>1</v>
      </c>
      <c r="UB3" t="s">
        <v>356</v>
      </c>
      <c r="UE3">
        <v>1</v>
      </c>
      <c r="UF3" t="s">
        <v>356</v>
      </c>
      <c r="UI3">
        <v>1</v>
      </c>
      <c r="UJ3" t="s">
        <v>356</v>
      </c>
      <c r="UM3">
        <v>1</v>
      </c>
      <c r="UN3" t="s">
        <v>356</v>
      </c>
      <c r="UQ3">
        <v>1</v>
      </c>
      <c r="UR3" t="s">
        <v>356</v>
      </c>
      <c r="UU3">
        <v>1</v>
      </c>
      <c r="UV3" t="s">
        <v>356</v>
      </c>
      <c r="UY3">
        <v>1</v>
      </c>
      <c r="UZ3" t="s">
        <v>356</v>
      </c>
      <c r="VB3" s="14"/>
      <c r="VC3">
        <v>1</v>
      </c>
      <c r="VD3" t="s">
        <v>356</v>
      </c>
      <c r="VG3">
        <v>1</v>
      </c>
      <c r="VH3" s="14" t="s">
        <v>356</v>
      </c>
      <c r="VK3">
        <v>1</v>
      </c>
      <c r="VL3" t="s">
        <v>356</v>
      </c>
      <c r="VO3">
        <v>1</v>
      </c>
      <c r="VP3" t="s">
        <v>356</v>
      </c>
      <c r="VS3">
        <v>1</v>
      </c>
      <c r="VT3" t="s">
        <v>356</v>
      </c>
      <c r="VW3">
        <v>1</v>
      </c>
      <c r="VX3" t="s">
        <v>356</v>
      </c>
      <c r="WA3">
        <v>1</v>
      </c>
      <c r="WB3" t="s">
        <v>356</v>
      </c>
      <c r="WI3">
        <v>1</v>
      </c>
      <c r="WJ3" t="s">
        <v>355</v>
      </c>
      <c r="WK3">
        <v>1</v>
      </c>
      <c r="WL3" t="s">
        <v>356</v>
      </c>
      <c r="WM3">
        <v>1</v>
      </c>
      <c r="WN3" t="s">
        <v>356</v>
      </c>
      <c r="WO3">
        <v>1</v>
      </c>
      <c r="WP3" t="s">
        <v>356</v>
      </c>
      <c r="WQ3">
        <v>1</v>
      </c>
      <c r="WR3" t="s">
        <v>356</v>
      </c>
      <c r="WS3">
        <v>1</v>
      </c>
      <c r="WT3" t="s">
        <v>356</v>
      </c>
      <c r="WU3">
        <v>1</v>
      </c>
      <c r="WV3" t="s">
        <v>356</v>
      </c>
      <c r="WW3">
        <v>1</v>
      </c>
      <c r="WX3" t="s">
        <v>356</v>
      </c>
      <c r="WY3">
        <v>1</v>
      </c>
      <c r="WZ3" t="s">
        <v>356</v>
      </c>
      <c r="XA3">
        <v>1</v>
      </c>
      <c r="XB3" t="s">
        <v>356</v>
      </c>
      <c r="XC3">
        <v>1</v>
      </c>
      <c r="XD3" t="s">
        <v>356</v>
      </c>
      <c r="XE3">
        <v>1</v>
      </c>
      <c r="XF3" t="s">
        <v>356</v>
      </c>
      <c r="XG3">
        <v>1</v>
      </c>
      <c r="XH3" s="14" t="s">
        <v>356</v>
      </c>
      <c r="XI3">
        <v>1</v>
      </c>
      <c r="XJ3" t="s">
        <v>356</v>
      </c>
      <c r="XK3">
        <v>1</v>
      </c>
      <c r="XL3" t="s">
        <v>356</v>
      </c>
      <c r="XM3">
        <v>1</v>
      </c>
      <c r="XN3" s="14" t="s">
        <v>356</v>
      </c>
      <c r="XO3">
        <v>1</v>
      </c>
      <c r="XP3" s="14" t="s">
        <v>356</v>
      </c>
      <c r="XQ3">
        <v>1</v>
      </c>
      <c r="XR3" s="14" t="s">
        <v>356</v>
      </c>
      <c r="XS3">
        <v>1</v>
      </c>
      <c r="XT3" s="14" t="s">
        <v>356</v>
      </c>
      <c r="XU3">
        <v>1</v>
      </c>
      <c r="XV3" t="s">
        <v>356</v>
      </c>
      <c r="XW3">
        <v>1</v>
      </c>
      <c r="XX3" s="14" t="s">
        <v>356</v>
      </c>
      <c r="XY3">
        <v>1</v>
      </c>
      <c r="XZ3" t="s">
        <v>356</v>
      </c>
      <c r="YA3">
        <v>1</v>
      </c>
      <c r="YB3" s="14" t="s">
        <v>356</v>
      </c>
      <c r="YC3">
        <v>1</v>
      </c>
      <c r="YD3" t="s">
        <v>356</v>
      </c>
      <c r="YE3">
        <v>1</v>
      </c>
      <c r="YF3" s="14" t="s">
        <v>356</v>
      </c>
      <c r="YG3">
        <v>1</v>
      </c>
      <c r="YH3" t="s">
        <v>356</v>
      </c>
      <c r="YI3">
        <v>1</v>
      </c>
      <c r="YJ3" s="14" t="s">
        <v>356</v>
      </c>
      <c r="YK3">
        <v>1</v>
      </c>
      <c r="YL3" t="s">
        <v>356</v>
      </c>
      <c r="YM3">
        <v>1</v>
      </c>
      <c r="YN3" s="14" t="s">
        <v>356</v>
      </c>
      <c r="YO3">
        <v>1</v>
      </c>
      <c r="YP3" t="s">
        <v>356</v>
      </c>
      <c r="YQ3">
        <v>1</v>
      </c>
      <c r="YR3" s="14" t="s">
        <v>356</v>
      </c>
      <c r="YS3">
        <v>1</v>
      </c>
      <c r="YT3" t="s">
        <v>356</v>
      </c>
      <c r="YU3">
        <v>1</v>
      </c>
      <c r="YV3" s="14" t="s">
        <v>356</v>
      </c>
      <c r="YW3">
        <v>1</v>
      </c>
      <c r="YX3" t="s">
        <v>356</v>
      </c>
      <c r="YY3">
        <v>1</v>
      </c>
      <c r="YZ3" s="14" t="s">
        <v>356</v>
      </c>
      <c r="ZD3" s="14"/>
      <c r="ZH3" s="14"/>
      <c r="ZI3">
        <v>1</v>
      </c>
      <c r="ZJ3" t="s">
        <v>798</v>
      </c>
      <c r="ZK3">
        <v>1</v>
      </c>
      <c r="ZL3" s="14" t="s">
        <v>802</v>
      </c>
      <c r="ZM3">
        <v>1</v>
      </c>
      <c r="ZN3" t="s">
        <v>356</v>
      </c>
      <c r="ZO3">
        <v>1</v>
      </c>
      <c r="ZP3" s="14" t="s">
        <v>356</v>
      </c>
      <c r="ZQ3">
        <v>1</v>
      </c>
      <c r="ZR3" t="s">
        <v>356</v>
      </c>
      <c r="ZS3">
        <v>1</v>
      </c>
      <c r="ZT3" s="14" t="s">
        <v>356</v>
      </c>
      <c r="ZU3">
        <v>1</v>
      </c>
      <c r="ZV3" t="s">
        <v>798</v>
      </c>
      <c r="ZW3">
        <v>1</v>
      </c>
      <c r="ZX3" s="14" t="s">
        <v>802</v>
      </c>
      <c r="ZY3">
        <v>1</v>
      </c>
      <c r="ZZ3" t="s">
        <v>356</v>
      </c>
      <c r="AAA3">
        <v>1</v>
      </c>
      <c r="AAB3" s="14" t="s">
        <v>356</v>
      </c>
      <c r="AAC3">
        <v>1</v>
      </c>
      <c r="AAD3" t="s">
        <v>356</v>
      </c>
      <c r="AAE3">
        <v>1</v>
      </c>
      <c r="AAF3" s="14" t="s">
        <v>356</v>
      </c>
      <c r="AAG3">
        <v>1</v>
      </c>
      <c r="AAH3" t="s">
        <v>356</v>
      </c>
      <c r="AAI3">
        <v>1</v>
      </c>
      <c r="AAJ3" s="14" t="s">
        <v>356</v>
      </c>
      <c r="AAK3">
        <v>1</v>
      </c>
      <c r="AAL3" t="s">
        <v>356</v>
      </c>
      <c r="AAP3" s="14"/>
      <c r="AAT3" s="14"/>
      <c r="ABB3" s="14"/>
      <c r="ABF3" s="14"/>
      <c r="ABJ3" s="14"/>
      <c r="ABN3" s="14"/>
      <c r="ABR3" s="14"/>
      <c r="ABV3" s="14"/>
      <c r="ABZ3" s="14"/>
      <c r="ACD3" s="14"/>
      <c r="ACH3" s="14"/>
      <c r="ACL3" s="14"/>
      <c r="ACP3" s="14"/>
      <c r="ACT3" s="14"/>
      <c r="ACX3" s="14"/>
      <c r="ADB3" s="14"/>
      <c r="ADF3" s="14"/>
      <c r="ADJ3" s="14"/>
      <c r="ADN3" s="14"/>
      <c r="ADR3" s="14"/>
      <c r="ADV3" s="14"/>
      <c r="ADZ3" s="14"/>
      <c r="AED3" s="14"/>
      <c r="AEL3" s="14"/>
      <c r="AEP3" s="14"/>
      <c r="AET3" s="14"/>
      <c r="AEX3" s="14"/>
      <c r="AFB3" s="14"/>
      <c r="AFF3" s="14"/>
      <c r="AFJ3" s="14"/>
      <c r="AFN3" s="14"/>
      <c r="AFR3" s="14"/>
      <c r="AFV3" s="14"/>
      <c r="AFZ3" s="14"/>
      <c r="AGD3" s="14"/>
      <c r="AGH3" s="14"/>
      <c r="AGL3" s="14"/>
      <c r="AGP3" s="14"/>
      <c r="AGT3" s="14"/>
      <c r="AGX3" s="14"/>
      <c r="AHB3" s="14"/>
      <c r="AHF3" s="14"/>
      <c r="AHJ3" s="14"/>
      <c r="AHN3" s="14"/>
      <c r="AHV3" s="14"/>
      <c r="AHX3" s="14"/>
      <c r="AHZ3" s="14"/>
      <c r="AIB3" s="14"/>
      <c r="AID3" s="14"/>
      <c r="AIF3" s="14"/>
      <c r="AIH3" s="14"/>
      <c r="AIJ3" s="14"/>
      <c r="AIL3" s="14"/>
      <c r="AIN3" s="14"/>
      <c r="AIP3" s="14"/>
      <c r="AIR3" s="14"/>
      <c r="AIT3" s="14"/>
      <c r="AIV3" s="14"/>
      <c r="AIX3" s="14"/>
      <c r="AIZ3" s="14"/>
      <c r="AJB3" s="14"/>
      <c r="AJD3" s="14"/>
      <c r="AJF3" s="14"/>
      <c r="AJH3" s="14"/>
      <c r="AJJ3" s="14"/>
      <c r="AJL3" s="14"/>
      <c r="AJN3" s="14"/>
      <c r="AJP3" s="14"/>
      <c r="AJR3" s="14"/>
      <c r="AJT3" s="14"/>
      <c r="AJV3" s="14"/>
      <c r="AJX3" s="14"/>
      <c r="AJZ3" s="14"/>
      <c r="AKB3" s="14"/>
      <c r="AKD3" s="14"/>
      <c r="AKF3" s="14"/>
      <c r="AKH3" s="14"/>
      <c r="AKJ3" s="14"/>
      <c r="AKL3" s="14"/>
      <c r="AKV3" s="14"/>
      <c r="AKX3" s="14"/>
      <c r="AKZ3" s="14"/>
      <c r="ALB3" s="14"/>
      <c r="ALD3" s="14"/>
      <c r="ALF3" s="14"/>
      <c r="ALH3" s="14"/>
      <c r="ALJ3" s="14"/>
      <c r="ALL3" s="14"/>
      <c r="ALN3" s="14"/>
      <c r="ALP3" s="14"/>
      <c r="ALR3" s="14"/>
      <c r="ALT3" s="14"/>
      <c r="ALV3" s="14"/>
      <c r="ALX3" s="14"/>
      <c r="AMD3" s="14"/>
      <c r="AMF3" s="14"/>
      <c r="AMH3" s="14"/>
      <c r="AMJ3" s="14"/>
      <c r="AML3" s="14"/>
      <c r="AMN3" s="14"/>
      <c r="AMP3" s="14"/>
      <c r="AMR3" s="14"/>
      <c r="AMX3" s="14"/>
      <c r="AMZ3" s="14"/>
      <c r="ANB3" s="14"/>
      <c r="AND3" s="14"/>
      <c r="ANF3" s="14"/>
      <c r="ANH3" s="14"/>
      <c r="ANJ3" s="14"/>
      <c r="ANL3" s="14"/>
      <c r="ANN3" s="14"/>
      <c r="ANR3" s="14"/>
      <c r="AOJ3" s="14"/>
      <c r="AOL3" s="14"/>
      <c r="AON3" s="14"/>
      <c r="AOP3" s="14"/>
      <c r="AOR3" s="14"/>
      <c r="AOT3" s="14"/>
      <c r="AOV3" s="14"/>
      <c r="AOX3" s="14"/>
      <c r="AOZ3" s="14"/>
    </row>
    <row r="4" spans="1:1092">
      <c r="I4">
        <v>2</v>
      </c>
      <c r="J4" t="s">
        <v>803</v>
      </c>
      <c r="L4" s="14"/>
      <c r="S4">
        <v>2</v>
      </c>
      <c r="T4" t="s">
        <v>804</v>
      </c>
      <c r="U4">
        <v>2</v>
      </c>
      <c r="V4" s="14" t="s">
        <v>805</v>
      </c>
      <c r="W4">
        <v>2</v>
      </c>
      <c r="X4" s="14" t="s">
        <v>806</v>
      </c>
      <c r="Y4">
        <v>2</v>
      </c>
      <c r="Z4" s="14" t="s">
        <v>807</v>
      </c>
      <c r="AA4">
        <v>2</v>
      </c>
      <c r="AB4" s="14" t="s">
        <v>806</v>
      </c>
      <c r="AC4">
        <v>2</v>
      </c>
      <c r="AD4" s="14" t="s">
        <v>807</v>
      </c>
      <c r="AE4">
        <v>2</v>
      </c>
      <c r="AF4" s="14" t="s">
        <v>806</v>
      </c>
      <c r="AG4">
        <v>2</v>
      </c>
      <c r="AH4" s="14" t="s">
        <v>807</v>
      </c>
      <c r="AI4">
        <v>2</v>
      </c>
      <c r="AJ4" s="14" t="s">
        <v>355</v>
      </c>
      <c r="AK4">
        <v>2</v>
      </c>
      <c r="AL4" t="s">
        <v>355</v>
      </c>
      <c r="AM4">
        <v>2</v>
      </c>
      <c r="AN4" t="s">
        <v>355</v>
      </c>
      <c r="AO4">
        <v>2</v>
      </c>
      <c r="AP4" t="s">
        <v>355</v>
      </c>
      <c r="AQ4">
        <v>2</v>
      </c>
      <c r="AR4" t="s">
        <v>355</v>
      </c>
      <c r="AS4">
        <v>2</v>
      </c>
      <c r="AT4" t="s">
        <v>355</v>
      </c>
      <c r="AU4">
        <v>2</v>
      </c>
      <c r="AV4" s="14" t="s">
        <v>355</v>
      </c>
      <c r="AW4">
        <v>2</v>
      </c>
      <c r="AX4" s="14" t="s">
        <v>355</v>
      </c>
      <c r="AY4">
        <v>2</v>
      </c>
      <c r="AZ4" s="14" t="s">
        <v>808</v>
      </c>
      <c r="BA4">
        <v>2</v>
      </c>
      <c r="BB4" s="14" t="s">
        <v>355</v>
      </c>
      <c r="BC4">
        <v>2</v>
      </c>
      <c r="BD4" s="14" t="s">
        <v>355</v>
      </c>
      <c r="BE4">
        <v>2</v>
      </c>
      <c r="BF4" s="14" t="s">
        <v>355</v>
      </c>
      <c r="BG4">
        <v>2</v>
      </c>
      <c r="BH4" s="14" t="s">
        <v>809</v>
      </c>
      <c r="BI4">
        <v>2</v>
      </c>
      <c r="BJ4" s="14" t="s">
        <v>809</v>
      </c>
      <c r="BK4">
        <v>2</v>
      </c>
      <c r="BL4" s="14" t="s">
        <v>355</v>
      </c>
      <c r="BN4" s="14"/>
      <c r="BO4">
        <v>2</v>
      </c>
      <c r="BP4" s="14" t="s">
        <v>355</v>
      </c>
      <c r="BQ4">
        <v>2</v>
      </c>
      <c r="BR4" s="14" t="s">
        <v>355</v>
      </c>
      <c r="BS4">
        <v>2</v>
      </c>
      <c r="BT4" s="14" t="s">
        <v>355</v>
      </c>
      <c r="BV4" s="14"/>
      <c r="BW4">
        <v>2</v>
      </c>
      <c r="BX4" s="14" t="s">
        <v>355</v>
      </c>
      <c r="BZ4" s="14"/>
      <c r="CB4" s="14"/>
      <c r="CC4">
        <v>2</v>
      </c>
      <c r="CD4" s="14" t="s">
        <v>355</v>
      </c>
      <c r="CF4" s="14"/>
      <c r="CG4">
        <v>2</v>
      </c>
      <c r="CH4" s="14" t="s">
        <v>355</v>
      </c>
      <c r="CJ4" s="14"/>
      <c r="CK4">
        <v>2</v>
      </c>
      <c r="CL4" s="14" t="s">
        <v>355</v>
      </c>
      <c r="CN4" s="14"/>
      <c r="CP4" s="14"/>
      <c r="CQ4">
        <v>2</v>
      </c>
      <c r="CR4" s="14" t="s">
        <v>355</v>
      </c>
      <c r="CT4" s="14"/>
      <c r="CU4">
        <v>2</v>
      </c>
      <c r="CV4" s="14" t="s">
        <v>355</v>
      </c>
      <c r="CX4" s="14"/>
      <c r="CY4">
        <v>2</v>
      </c>
      <c r="CZ4" s="14" t="s">
        <v>355</v>
      </c>
      <c r="DB4" s="14"/>
      <c r="DC4">
        <v>2</v>
      </c>
      <c r="DD4" s="14" t="s">
        <v>355</v>
      </c>
      <c r="DF4" s="14"/>
      <c r="DG4">
        <v>2</v>
      </c>
      <c r="DH4" s="14" t="s">
        <v>355</v>
      </c>
      <c r="DJ4" s="14"/>
      <c r="DK4">
        <v>2</v>
      </c>
      <c r="DL4" s="14" t="s">
        <v>355</v>
      </c>
      <c r="DN4" s="14"/>
      <c r="DO4">
        <v>2</v>
      </c>
      <c r="DP4" s="14" t="s">
        <v>355</v>
      </c>
      <c r="DR4" s="14"/>
      <c r="DT4" s="14"/>
      <c r="DV4" s="14"/>
      <c r="DX4" s="14"/>
      <c r="DZ4" s="14"/>
      <c r="EB4" s="14"/>
      <c r="ED4" s="14"/>
      <c r="EF4" s="14"/>
      <c r="EH4" s="14"/>
      <c r="EJ4" s="14"/>
      <c r="EL4" s="14"/>
      <c r="EM4">
        <v>2</v>
      </c>
      <c r="EN4" t="s">
        <v>355</v>
      </c>
      <c r="EP4" s="14"/>
      <c r="ER4" s="14"/>
      <c r="ES4">
        <v>2</v>
      </c>
      <c r="ET4" s="14" t="s">
        <v>355</v>
      </c>
      <c r="EU4">
        <v>2</v>
      </c>
      <c r="EV4" s="14" t="s">
        <v>355</v>
      </c>
      <c r="EW4">
        <v>2</v>
      </c>
      <c r="EX4" s="14" t="s">
        <v>355</v>
      </c>
      <c r="EY4">
        <v>2</v>
      </c>
      <c r="EZ4" s="14" t="s">
        <v>355</v>
      </c>
      <c r="FA4">
        <v>2</v>
      </c>
      <c r="FB4" s="14" t="s">
        <v>355</v>
      </c>
      <c r="FC4">
        <v>2</v>
      </c>
      <c r="FD4" s="14" t="s">
        <v>355</v>
      </c>
      <c r="FE4">
        <v>2</v>
      </c>
      <c r="FF4" s="14" t="s">
        <v>355</v>
      </c>
      <c r="FH4" s="14"/>
      <c r="FJ4" s="14"/>
      <c r="FM4">
        <v>2</v>
      </c>
      <c r="FN4" t="s">
        <v>355</v>
      </c>
      <c r="FO4">
        <v>2</v>
      </c>
      <c r="FP4" t="s">
        <v>355</v>
      </c>
      <c r="FQ4">
        <v>2</v>
      </c>
      <c r="FR4" s="14" t="s">
        <v>355</v>
      </c>
      <c r="FS4">
        <v>2</v>
      </c>
      <c r="FT4" t="s">
        <v>355</v>
      </c>
      <c r="FU4">
        <v>2</v>
      </c>
      <c r="FV4" t="s">
        <v>355</v>
      </c>
      <c r="FW4">
        <v>2</v>
      </c>
      <c r="FX4" t="s">
        <v>355</v>
      </c>
      <c r="FY4">
        <v>2</v>
      </c>
      <c r="FZ4" t="s">
        <v>355</v>
      </c>
      <c r="GB4" s="14"/>
      <c r="GD4" s="14"/>
      <c r="GF4" s="14"/>
      <c r="GG4">
        <v>2</v>
      </c>
      <c r="GH4" s="14" t="s">
        <v>355</v>
      </c>
      <c r="GI4">
        <v>2</v>
      </c>
      <c r="GJ4" s="14" t="s">
        <v>355</v>
      </c>
      <c r="GK4">
        <v>2</v>
      </c>
      <c r="GL4" s="14" t="s">
        <v>355</v>
      </c>
      <c r="GM4">
        <v>2</v>
      </c>
      <c r="GN4" s="14" t="s">
        <v>355</v>
      </c>
      <c r="GO4">
        <v>2</v>
      </c>
      <c r="GP4" s="14" t="s">
        <v>355</v>
      </c>
      <c r="GQ4">
        <v>2</v>
      </c>
      <c r="GR4" s="14" t="s">
        <v>355</v>
      </c>
      <c r="GS4">
        <v>2</v>
      </c>
      <c r="GT4" s="14" t="s">
        <v>355</v>
      </c>
      <c r="GV4" s="14"/>
      <c r="GX4" s="14"/>
      <c r="GZ4" s="14"/>
      <c r="HA4">
        <v>2</v>
      </c>
      <c r="HB4" t="s">
        <v>355</v>
      </c>
      <c r="HC4">
        <v>2</v>
      </c>
      <c r="HD4" s="14" t="s">
        <v>355</v>
      </c>
      <c r="HE4">
        <v>2</v>
      </c>
      <c r="HF4" s="14" t="s">
        <v>355</v>
      </c>
      <c r="HG4">
        <v>2</v>
      </c>
      <c r="HH4" t="s">
        <v>355</v>
      </c>
      <c r="HI4">
        <v>2</v>
      </c>
      <c r="HJ4" s="14" t="s">
        <v>355</v>
      </c>
      <c r="HK4">
        <v>2</v>
      </c>
      <c r="HL4" t="s">
        <v>355</v>
      </c>
      <c r="HM4">
        <v>2</v>
      </c>
      <c r="HN4" t="s">
        <v>355</v>
      </c>
      <c r="HU4">
        <v>2</v>
      </c>
      <c r="HV4" t="s">
        <v>355</v>
      </c>
      <c r="HW4">
        <v>2</v>
      </c>
      <c r="HX4" t="s">
        <v>355</v>
      </c>
      <c r="HY4">
        <v>2</v>
      </c>
      <c r="HZ4" t="s">
        <v>355</v>
      </c>
      <c r="IA4">
        <v>2</v>
      </c>
      <c r="IB4" t="s">
        <v>355</v>
      </c>
      <c r="IC4">
        <v>2</v>
      </c>
      <c r="ID4" t="s">
        <v>355</v>
      </c>
      <c r="IE4">
        <v>2</v>
      </c>
      <c r="IF4" t="s">
        <v>355</v>
      </c>
      <c r="IG4">
        <v>2</v>
      </c>
      <c r="IH4" t="s">
        <v>355</v>
      </c>
      <c r="JM4">
        <v>2</v>
      </c>
      <c r="JN4" t="s">
        <v>355</v>
      </c>
      <c r="JS4">
        <v>2</v>
      </c>
      <c r="JT4" t="s">
        <v>355</v>
      </c>
      <c r="KT4" s="14"/>
      <c r="KV4" s="14"/>
      <c r="KX4" s="14"/>
      <c r="KZ4" s="14"/>
      <c r="LB4" s="14"/>
      <c r="LD4" s="14"/>
      <c r="LF4" s="14"/>
      <c r="LH4" s="14"/>
      <c r="LS4">
        <v>2</v>
      </c>
      <c r="LT4" t="s">
        <v>355</v>
      </c>
      <c r="LX4" s="14"/>
      <c r="LY4">
        <v>2</v>
      </c>
      <c r="LZ4" s="14" t="s">
        <v>355</v>
      </c>
      <c r="MA4">
        <v>2</v>
      </c>
      <c r="MB4" s="14" t="s">
        <v>355</v>
      </c>
      <c r="MC4">
        <v>2</v>
      </c>
      <c r="MD4" s="14" t="s">
        <v>355</v>
      </c>
      <c r="ME4">
        <v>2</v>
      </c>
      <c r="MF4" s="14" t="s">
        <v>355</v>
      </c>
      <c r="MH4" s="14"/>
      <c r="MI4">
        <v>2</v>
      </c>
      <c r="MJ4" s="14" t="s">
        <v>355</v>
      </c>
      <c r="ML4" s="14"/>
      <c r="MM4">
        <v>2</v>
      </c>
      <c r="MN4" s="14" t="s">
        <v>355</v>
      </c>
      <c r="MP4" s="14"/>
      <c r="MQ4">
        <v>2</v>
      </c>
      <c r="MR4" s="14" t="s">
        <v>355</v>
      </c>
      <c r="MT4" s="14"/>
      <c r="MU4">
        <v>2</v>
      </c>
      <c r="MV4" s="14" t="s">
        <v>355</v>
      </c>
      <c r="MX4" s="14"/>
      <c r="MY4">
        <v>2</v>
      </c>
      <c r="MZ4" s="14" t="s">
        <v>355</v>
      </c>
      <c r="NC4">
        <v>2</v>
      </c>
      <c r="ND4" s="14" t="s">
        <v>355</v>
      </c>
      <c r="NF4" s="14"/>
      <c r="NG4">
        <v>2</v>
      </c>
      <c r="NH4" s="14" t="s">
        <v>355</v>
      </c>
      <c r="NK4">
        <v>2</v>
      </c>
      <c r="NL4" s="14" t="s">
        <v>355</v>
      </c>
      <c r="NO4">
        <v>2</v>
      </c>
      <c r="NP4" t="s">
        <v>355</v>
      </c>
      <c r="NR4" s="14"/>
      <c r="NS4">
        <v>2</v>
      </c>
      <c r="NT4" t="s">
        <v>355</v>
      </c>
      <c r="NV4" s="14"/>
      <c r="NW4">
        <v>2</v>
      </c>
      <c r="NX4" t="s">
        <v>355</v>
      </c>
      <c r="NZ4" s="14"/>
      <c r="OA4">
        <v>2</v>
      </c>
      <c r="OB4" t="s">
        <v>355</v>
      </c>
      <c r="OE4">
        <v>2</v>
      </c>
      <c r="OF4" s="14" t="s">
        <v>355</v>
      </c>
      <c r="OI4">
        <v>2</v>
      </c>
      <c r="OJ4" s="14" t="s">
        <v>355</v>
      </c>
      <c r="OM4">
        <v>2</v>
      </c>
      <c r="ON4" s="14" t="s">
        <v>355</v>
      </c>
      <c r="OQ4">
        <v>2</v>
      </c>
      <c r="OR4" s="14" t="s">
        <v>355</v>
      </c>
      <c r="OU4">
        <v>2</v>
      </c>
      <c r="OV4" s="14" t="s">
        <v>355</v>
      </c>
      <c r="OY4">
        <v>2</v>
      </c>
      <c r="OZ4" s="14" t="s">
        <v>355</v>
      </c>
      <c r="PC4">
        <v>2</v>
      </c>
      <c r="PD4" s="14" t="s">
        <v>355</v>
      </c>
      <c r="PG4">
        <v>2</v>
      </c>
      <c r="PH4" t="s">
        <v>355</v>
      </c>
      <c r="PO4">
        <v>2</v>
      </c>
      <c r="PP4" t="s">
        <v>355</v>
      </c>
      <c r="PS4">
        <v>2</v>
      </c>
      <c r="PT4" t="s">
        <v>355</v>
      </c>
      <c r="PW4">
        <v>2</v>
      </c>
      <c r="PX4" t="s">
        <v>355</v>
      </c>
      <c r="QA4">
        <v>2</v>
      </c>
      <c r="QB4" s="14" t="s">
        <v>355</v>
      </c>
      <c r="QE4">
        <v>2</v>
      </c>
      <c r="QF4" t="s">
        <v>355</v>
      </c>
      <c r="QH4" s="14"/>
      <c r="QI4">
        <v>2</v>
      </c>
      <c r="QJ4" s="14" t="s">
        <v>355</v>
      </c>
      <c r="QL4" s="14"/>
      <c r="QM4">
        <v>2</v>
      </c>
      <c r="QN4" s="14" t="s">
        <v>355</v>
      </c>
      <c r="QP4" s="14"/>
      <c r="QQ4">
        <v>2</v>
      </c>
      <c r="QR4" s="14" t="s">
        <v>355</v>
      </c>
      <c r="QT4" s="14"/>
      <c r="QU4">
        <v>2</v>
      </c>
      <c r="QV4" t="s">
        <v>355</v>
      </c>
      <c r="QY4">
        <v>2</v>
      </c>
      <c r="QZ4" t="s">
        <v>355</v>
      </c>
      <c r="RB4" s="14"/>
      <c r="RC4">
        <v>2</v>
      </c>
      <c r="RD4" s="14" t="s">
        <v>355</v>
      </c>
      <c r="RF4" s="14"/>
      <c r="RG4">
        <v>2</v>
      </c>
      <c r="RH4" s="14" t="s">
        <v>355</v>
      </c>
      <c r="RJ4" s="14"/>
      <c r="RK4">
        <v>2</v>
      </c>
      <c r="RL4" s="14" t="s">
        <v>355</v>
      </c>
      <c r="RN4" s="14"/>
      <c r="RO4">
        <v>2</v>
      </c>
      <c r="RP4" t="s">
        <v>355</v>
      </c>
      <c r="RS4">
        <v>2</v>
      </c>
      <c r="RT4" t="s">
        <v>355</v>
      </c>
      <c r="RV4" s="14"/>
      <c r="RW4">
        <v>2</v>
      </c>
      <c r="RX4" s="14" t="s">
        <v>355</v>
      </c>
      <c r="RZ4" s="14"/>
      <c r="SA4">
        <v>2</v>
      </c>
      <c r="SB4" s="14" t="s">
        <v>355</v>
      </c>
      <c r="SD4" s="14"/>
      <c r="SE4">
        <v>2</v>
      </c>
      <c r="SF4" s="14" t="s">
        <v>355</v>
      </c>
      <c r="SH4" s="14"/>
      <c r="SI4">
        <v>2</v>
      </c>
      <c r="SJ4" t="s">
        <v>355</v>
      </c>
      <c r="SM4">
        <v>2</v>
      </c>
      <c r="SN4" t="s">
        <v>355</v>
      </c>
      <c r="SP4" s="14"/>
      <c r="SQ4">
        <v>2</v>
      </c>
      <c r="SR4" s="14" t="s">
        <v>355</v>
      </c>
      <c r="ST4" s="14"/>
      <c r="SV4" s="14"/>
      <c r="SX4" s="14"/>
      <c r="SY4">
        <v>2</v>
      </c>
      <c r="SZ4" s="14" t="s">
        <v>355</v>
      </c>
      <c r="TB4" s="14"/>
      <c r="TC4">
        <v>2</v>
      </c>
      <c r="TD4" t="s">
        <v>355</v>
      </c>
      <c r="TG4">
        <v>2</v>
      </c>
      <c r="TH4" t="s">
        <v>355</v>
      </c>
      <c r="TJ4" s="14"/>
      <c r="TK4">
        <v>2</v>
      </c>
      <c r="TL4" s="14" t="s">
        <v>355</v>
      </c>
      <c r="TN4" s="14"/>
      <c r="TO4">
        <v>2</v>
      </c>
      <c r="TP4" s="14" t="s">
        <v>355</v>
      </c>
      <c r="TR4" s="14"/>
      <c r="TS4">
        <v>2</v>
      </c>
      <c r="TT4" s="14" t="s">
        <v>355</v>
      </c>
      <c r="TV4" s="14"/>
      <c r="TW4">
        <v>2</v>
      </c>
      <c r="TX4" t="s">
        <v>355</v>
      </c>
      <c r="UA4">
        <v>2</v>
      </c>
      <c r="UB4" t="s">
        <v>355</v>
      </c>
      <c r="UE4">
        <v>2</v>
      </c>
      <c r="UF4" t="s">
        <v>355</v>
      </c>
      <c r="UI4">
        <v>2</v>
      </c>
      <c r="UJ4" t="s">
        <v>355</v>
      </c>
      <c r="UM4">
        <v>2</v>
      </c>
      <c r="UN4" t="s">
        <v>355</v>
      </c>
      <c r="UQ4">
        <v>2</v>
      </c>
      <c r="UR4" t="s">
        <v>355</v>
      </c>
      <c r="UU4">
        <v>2</v>
      </c>
      <c r="UV4" t="s">
        <v>355</v>
      </c>
      <c r="UY4">
        <v>2</v>
      </c>
      <c r="UZ4" t="s">
        <v>355</v>
      </c>
      <c r="VB4" s="14"/>
      <c r="VC4">
        <v>2</v>
      </c>
      <c r="VD4" t="s">
        <v>355</v>
      </c>
      <c r="VG4">
        <v>2</v>
      </c>
      <c r="VH4" s="14" t="s">
        <v>355</v>
      </c>
      <c r="VK4">
        <v>2</v>
      </c>
      <c r="VL4" t="s">
        <v>355</v>
      </c>
      <c r="VO4">
        <v>2</v>
      </c>
      <c r="VP4" t="s">
        <v>355</v>
      </c>
      <c r="VS4">
        <v>2</v>
      </c>
      <c r="VT4" t="s">
        <v>355</v>
      </c>
      <c r="VW4">
        <v>2</v>
      </c>
      <c r="VX4" t="s">
        <v>355</v>
      </c>
      <c r="WA4">
        <v>2</v>
      </c>
      <c r="WB4" t="s">
        <v>355</v>
      </c>
      <c r="WI4">
        <v>2</v>
      </c>
      <c r="WJ4" t="s">
        <v>810</v>
      </c>
      <c r="WK4">
        <v>2</v>
      </c>
      <c r="WL4" t="s">
        <v>355</v>
      </c>
      <c r="WM4">
        <v>2</v>
      </c>
      <c r="WN4" t="s">
        <v>355</v>
      </c>
      <c r="WO4">
        <v>2</v>
      </c>
      <c r="WP4" t="s">
        <v>355</v>
      </c>
      <c r="WQ4">
        <v>2</v>
      </c>
      <c r="WR4" t="s">
        <v>355</v>
      </c>
      <c r="WS4">
        <v>2</v>
      </c>
      <c r="WT4" t="s">
        <v>355</v>
      </c>
      <c r="WU4">
        <v>2</v>
      </c>
      <c r="WV4" t="s">
        <v>355</v>
      </c>
      <c r="WW4">
        <v>2</v>
      </c>
      <c r="WX4" t="s">
        <v>355</v>
      </c>
      <c r="WY4">
        <v>2</v>
      </c>
      <c r="WZ4" t="s">
        <v>355</v>
      </c>
      <c r="XA4">
        <v>2</v>
      </c>
      <c r="XB4" t="s">
        <v>355</v>
      </c>
      <c r="XC4">
        <v>2</v>
      </c>
      <c r="XD4" t="s">
        <v>355</v>
      </c>
      <c r="XE4">
        <v>2</v>
      </c>
      <c r="XF4" t="s">
        <v>355</v>
      </c>
      <c r="XG4">
        <v>2</v>
      </c>
      <c r="XH4" s="14" t="s">
        <v>355</v>
      </c>
      <c r="XI4">
        <v>2</v>
      </c>
      <c r="XJ4" t="s">
        <v>355</v>
      </c>
      <c r="XK4">
        <v>2</v>
      </c>
      <c r="XL4" t="s">
        <v>355</v>
      </c>
      <c r="XM4">
        <v>2</v>
      </c>
      <c r="XN4" s="14" t="s">
        <v>355</v>
      </c>
      <c r="XO4">
        <v>2</v>
      </c>
      <c r="XP4" s="14" t="s">
        <v>355</v>
      </c>
      <c r="XQ4">
        <v>2</v>
      </c>
      <c r="XR4" s="14" t="s">
        <v>355</v>
      </c>
      <c r="XS4">
        <v>2</v>
      </c>
      <c r="XT4" s="14" t="s">
        <v>355</v>
      </c>
      <c r="XU4">
        <v>2</v>
      </c>
      <c r="XV4" t="s">
        <v>355</v>
      </c>
      <c r="XW4">
        <v>2</v>
      </c>
      <c r="XX4" s="14" t="s">
        <v>355</v>
      </c>
      <c r="XY4">
        <v>2</v>
      </c>
      <c r="XZ4" t="s">
        <v>355</v>
      </c>
      <c r="YA4">
        <v>2</v>
      </c>
      <c r="YB4" s="14" t="s">
        <v>355</v>
      </c>
      <c r="YC4">
        <v>2</v>
      </c>
      <c r="YD4" t="s">
        <v>355</v>
      </c>
      <c r="YE4">
        <v>2</v>
      </c>
      <c r="YF4" s="14" t="s">
        <v>355</v>
      </c>
      <c r="YG4">
        <v>2</v>
      </c>
      <c r="YH4" t="s">
        <v>355</v>
      </c>
      <c r="YI4">
        <v>2</v>
      </c>
      <c r="YJ4" s="14" t="s">
        <v>355</v>
      </c>
      <c r="YK4">
        <v>2</v>
      </c>
      <c r="YL4" t="s">
        <v>355</v>
      </c>
      <c r="YM4">
        <v>2</v>
      </c>
      <c r="YN4" s="14" t="s">
        <v>355</v>
      </c>
      <c r="YO4">
        <v>2</v>
      </c>
      <c r="YP4" t="s">
        <v>355</v>
      </c>
      <c r="YQ4">
        <v>2</v>
      </c>
      <c r="YR4" s="14" t="s">
        <v>355</v>
      </c>
      <c r="YS4">
        <v>2</v>
      </c>
      <c r="YT4" t="s">
        <v>355</v>
      </c>
      <c r="YU4">
        <v>2</v>
      </c>
      <c r="YV4" s="14" t="s">
        <v>355</v>
      </c>
      <c r="YW4">
        <v>2</v>
      </c>
      <c r="YX4" t="s">
        <v>355</v>
      </c>
      <c r="YY4">
        <v>2</v>
      </c>
      <c r="YZ4" s="14" t="s">
        <v>355</v>
      </c>
      <c r="ZD4" s="14"/>
      <c r="ZH4" s="14"/>
      <c r="ZI4">
        <v>2</v>
      </c>
      <c r="ZJ4" t="s">
        <v>806</v>
      </c>
      <c r="ZK4">
        <v>2</v>
      </c>
      <c r="ZL4" s="14" t="s">
        <v>811</v>
      </c>
      <c r="ZM4">
        <v>2</v>
      </c>
      <c r="ZN4" t="s">
        <v>355</v>
      </c>
      <c r="ZO4">
        <v>2</v>
      </c>
      <c r="ZP4" s="14" t="s">
        <v>355</v>
      </c>
      <c r="ZQ4">
        <v>2</v>
      </c>
      <c r="ZR4" t="s">
        <v>355</v>
      </c>
      <c r="ZS4">
        <v>2</v>
      </c>
      <c r="ZT4" s="14" t="s">
        <v>355</v>
      </c>
      <c r="ZU4">
        <v>2</v>
      </c>
      <c r="ZV4" t="s">
        <v>806</v>
      </c>
      <c r="ZW4">
        <v>2</v>
      </c>
      <c r="ZX4" s="14" t="s">
        <v>811</v>
      </c>
      <c r="ZY4">
        <v>2</v>
      </c>
      <c r="ZZ4" t="s">
        <v>355</v>
      </c>
      <c r="AAA4">
        <v>2</v>
      </c>
      <c r="AAB4" s="14" t="s">
        <v>355</v>
      </c>
      <c r="AAC4">
        <v>2</v>
      </c>
      <c r="AAD4" t="s">
        <v>355</v>
      </c>
      <c r="AAE4">
        <v>2</v>
      </c>
      <c r="AAF4" s="14" t="s">
        <v>355</v>
      </c>
      <c r="AAG4">
        <v>2</v>
      </c>
      <c r="AAH4" t="s">
        <v>355</v>
      </c>
      <c r="AAI4">
        <v>2</v>
      </c>
      <c r="AAJ4" s="14" t="s">
        <v>355</v>
      </c>
      <c r="AAK4">
        <v>2</v>
      </c>
      <c r="AAL4" t="s">
        <v>355</v>
      </c>
      <c r="AAP4" s="14"/>
      <c r="AAT4" s="14"/>
      <c r="ABB4" s="14"/>
      <c r="ABF4" s="14"/>
      <c r="ABJ4" s="14"/>
      <c r="ABN4" s="14"/>
      <c r="ABR4" s="14"/>
      <c r="ABV4" s="14"/>
      <c r="ABZ4" s="14"/>
      <c r="ACD4" s="14"/>
      <c r="ACH4" s="14"/>
      <c r="ACL4" s="14"/>
      <c r="ACP4" s="14"/>
      <c r="ACT4" s="14"/>
      <c r="ACX4" s="14"/>
      <c r="ADB4" s="14"/>
      <c r="ADF4" s="14"/>
      <c r="ADJ4" s="14"/>
      <c r="ADN4" s="14"/>
      <c r="ADR4" s="14"/>
      <c r="ADV4" s="14"/>
      <c r="ADZ4" s="14"/>
      <c r="AED4" s="14"/>
      <c r="AEL4" s="14"/>
      <c r="AEP4" s="14"/>
      <c r="AET4" s="14"/>
      <c r="AEX4" s="14"/>
      <c r="AFB4" s="14"/>
      <c r="AFF4" s="14"/>
      <c r="AFJ4" s="14"/>
      <c r="AFN4" s="14"/>
      <c r="AFR4" s="14"/>
      <c r="AFV4" s="14"/>
      <c r="AFZ4" s="14"/>
      <c r="AGD4" s="14"/>
      <c r="AGH4" s="14"/>
      <c r="AGL4" s="14"/>
      <c r="AGP4" s="14"/>
      <c r="AGT4" s="14"/>
      <c r="AGX4" s="14"/>
      <c r="AHB4" s="14"/>
      <c r="AHF4" s="14"/>
      <c r="AHJ4" s="14"/>
      <c r="AHN4" s="14"/>
      <c r="AHV4" s="14"/>
      <c r="AHX4" s="14"/>
      <c r="AHZ4" s="14"/>
      <c r="AIB4" s="14"/>
      <c r="AID4" s="14"/>
      <c r="AIF4" s="14"/>
      <c r="AIH4" s="14"/>
      <c r="AIJ4" s="14"/>
      <c r="AIL4" s="14"/>
      <c r="AIN4" s="14"/>
      <c r="AIP4" s="14"/>
      <c r="AIR4" s="14"/>
      <c r="AIT4" s="14"/>
      <c r="AIV4" s="14"/>
      <c r="AIX4" s="14"/>
      <c r="AIZ4" s="14"/>
      <c r="AJB4" s="14"/>
      <c r="AJD4" s="14"/>
      <c r="AJF4" s="14"/>
      <c r="AJH4" s="14"/>
      <c r="AJJ4" s="14"/>
      <c r="AJL4" s="14"/>
      <c r="AJN4" s="14"/>
      <c r="AJP4" s="14"/>
      <c r="AJR4" s="14"/>
      <c r="AJT4" s="14"/>
      <c r="AJV4" s="14"/>
      <c r="AJX4" s="14"/>
      <c r="AJZ4" s="14"/>
      <c r="AKB4" s="14"/>
      <c r="AKD4" s="14"/>
      <c r="AKF4" s="14"/>
      <c r="AKH4" s="14"/>
      <c r="AKJ4" s="14"/>
      <c r="AKL4" s="14"/>
      <c r="AKV4" s="14"/>
      <c r="AKX4" s="14"/>
      <c r="AKZ4" s="14"/>
      <c r="ALB4" s="14"/>
      <c r="ALD4" s="14"/>
      <c r="ALF4" s="14"/>
      <c r="ALH4" s="14"/>
      <c r="ALJ4" s="14"/>
      <c r="ALL4" s="14"/>
      <c r="ALN4" s="14"/>
      <c r="ALP4" s="14"/>
      <c r="ALR4" s="14"/>
      <c r="ALT4" s="14"/>
      <c r="ALV4" s="14"/>
      <c r="ALX4" s="14"/>
      <c r="AMD4" s="14"/>
      <c r="AMF4" s="14"/>
      <c r="AMH4" s="14"/>
      <c r="AMJ4" s="14"/>
      <c r="AML4" s="14"/>
      <c r="AMN4" s="14"/>
      <c r="AMP4" s="14"/>
      <c r="AMR4" s="14"/>
      <c r="AMZ4" s="14"/>
      <c r="ANB4" s="14"/>
      <c r="AND4" s="14"/>
      <c r="ANF4" s="14"/>
      <c r="ANH4" s="14"/>
      <c r="ANJ4" s="14"/>
      <c r="ANL4" s="14"/>
      <c r="ANN4" s="14"/>
      <c r="AOL4" s="14"/>
      <c r="AON4" s="14"/>
      <c r="AOP4" s="14"/>
      <c r="AOR4" s="14"/>
      <c r="AOT4" s="14"/>
      <c r="AOV4" s="14"/>
      <c r="AOX4" s="14"/>
      <c r="AOZ4" s="14"/>
    </row>
    <row r="5" spans="1:1092">
      <c r="I5">
        <v>3</v>
      </c>
      <c r="J5" t="s">
        <v>812</v>
      </c>
      <c r="L5" s="14"/>
      <c r="U5">
        <v>3</v>
      </c>
      <c r="V5" t="s">
        <v>813</v>
      </c>
      <c r="W5">
        <v>3</v>
      </c>
      <c r="X5" s="14" t="s">
        <v>814</v>
      </c>
      <c r="Z5" s="14"/>
      <c r="AA5">
        <v>3</v>
      </c>
      <c r="AB5" t="s">
        <v>814</v>
      </c>
      <c r="AD5" s="14"/>
      <c r="AE5">
        <v>3</v>
      </c>
      <c r="AF5" t="s">
        <v>814</v>
      </c>
      <c r="AH5" s="14"/>
      <c r="AY5">
        <v>3</v>
      </c>
      <c r="AZ5" t="s">
        <v>390</v>
      </c>
      <c r="BG5">
        <v>3</v>
      </c>
      <c r="BH5" t="s">
        <v>815</v>
      </c>
      <c r="BI5">
        <v>3</v>
      </c>
      <c r="BJ5" s="14" t="s">
        <v>815</v>
      </c>
      <c r="BL5" s="14"/>
      <c r="BN5" s="14"/>
      <c r="BP5" s="14"/>
      <c r="BT5" s="14"/>
      <c r="BX5" s="14"/>
      <c r="BZ5" s="14"/>
      <c r="DK5">
        <v>3</v>
      </c>
      <c r="DL5" t="s">
        <v>357</v>
      </c>
      <c r="DO5">
        <v>3</v>
      </c>
      <c r="DP5" t="s">
        <v>357</v>
      </c>
      <c r="EJ5" s="14"/>
      <c r="EL5" s="14"/>
      <c r="EZ5" s="14"/>
      <c r="FF5" s="14"/>
      <c r="FH5" s="14"/>
      <c r="GB5" s="14"/>
      <c r="GD5" s="14"/>
      <c r="GF5" s="14"/>
      <c r="GH5" s="14"/>
      <c r="GJ5" s="14"/>
      <c r="GL5" s="14"/>
      <c r="GN5" s="14"/>
      <c r="GP5" s="14"/>
      <c r="GR5" s="14"/>
      <c r="GT5" s="14"/>
      <c r="GV5" s="14"/>
      <c r="GX5" s="14"/>
      <c r="GZ5" s="14"/>
      <c r="HD5" s="14"/>
      <c r="HF5" s="14"/>
      <c r="HJ5" s="14"/>
      <c r="KT5" s="14"/>
      <c r="KV5" s="14"/>
      <c r="KX5" s="14"/>
      <c r="KZ5" s="14"/>
      <c r="LB5" s="14"/>
      <c r="LD5" s="14"/>
      <c r="LF5" s="14"/>
      <c r="LH5" s="14"/>
      <c r="MN5" s="14"/>
      <c r="MV5" s="14"/>
      <c r="MX5" s="14"/>
      <c r="OZ5" s="14"/>
      <c r="PD5" s="14"/>
      <c r="WI5">
        <v>3</v>
      </c>
      <c r="WJ5" t="s">
        <v>816</v>
      </c>
      <c r="ZI5">
        <v>3</v>
      </c>
      <c r="ZJ5" t="s">
        <v>814</v>
      </c>
      <c r="ZU5">
        <v>3</v>
      </c>
      <c r="ZV5" t="s">
        <v>814</v>
      </c>
      <c r="AHV5" s="14"/>
      <c r="AKV5" s="14"/>
      <c r="ALH5" s="14"/>
      <c r="AMD5" s="14"/>
      <c r="AMF5" s="14"/>
      <c r="AMH5" s="14"/>
      <c r="AMJ5" s="14"/>
      <c r="AML5" s="14"/>
      <c r="AMN5" s="14"/>
      <c r="AMP5" s="14"/>
      <c r="AMR5" s="14"/>
      <c r="AMZ5" s="14"/>
      <c r="ANB5" s="14"/>
      <c r="AND5" s="14"/>
      <c r="ANF5" s="14"/>
      <c r="ANH5" s="14"/>
      <c r="ANJ5" s="14"/>
      <c r="ANL5" s="14"/>
      <c r="ANN5" s="14"/>
      <c r="AOL5" s="14"/>
      <c r="AON5" s="14"/>
      <c r="AOP5" s="14"/>
      <c r="AOR5" s="14"/>
      <c r="AOT5" s="14"/>
      <c r="AOV5" s="14"/>
      <c r="AOX5" s="14"/>
      <c r="AOZ5" s="14"/>
    </row>
    <row r="6" spans="1:1092">
      <c r="U6">
        <v>4</v>
      </c>
      <c r="V6" t="s">
        <v>817</v>
      </c>
      <c r="W6">
        <v>4</v>
      </c>
      <c r="X6" s="14" t="s">
        <v>818</v>
      </c>
      <c r="Z6" s="14"/>
      <c r="AA6">
        <v>4</v>
      </c>
      <c r="AB6" t="s">
        <v>818</v>
      </c>
      <c r="AD6" s="14"/>
      <c r="AE6">
        <v>4</v>
      </c>
      <c r="AF6" t="s">
        <v>818</v>
      </c>
      <c r="AH6" s="14"/>
      <c r="AY6">
        <v>4</v>
      </c>
      <c r="AZ6" t="s">
        <v>355</v>
      </c>
      <c r="BG6">
        <v>4</v>
      </c>
      <c r="BH6" t="s">
        <v>819</v>
      </c>
      <c r="BI6">
        <v>4</v>
      </c>
      <c r="BJ6" s="14" t="s">
        <v>819</v>
      </c>
      <c r="BL6" s="14"/>
      <c r="BT6" s="14"/>
      <c r="BX6" s="14"/>
      <c r="EJ6" s="14"/>
      <c r="EL6" s="14"/>
      <c r="GB6" s="14"/>
      <c r="GD6" s="14"/>
      <c r="GF6" s="14"/>
      <c r="GH6" s="14"/>
      <c r="GJ6" s="14"/>
      <c r="GL6" s="14"/>
      <c r="GN6" s="14"/>
      <c r="GP6" s="14"/>
      <c r="GR6" s="14"/>
      <c r="GT6" s="14"/>
      <c r="GV6" s="14"/>
      <c r="GX6" s="14"/>
      <c r="GZ6" s="14"/>
      <c r="HD6" s="14"/>
      <c r="HF6" s="14"/>
      <c r="HJ6" s="14"/>
      <c r="LB6" s="14"/>
      <c r="LD6" s="14"/>
      <c r="LF6" s="14"/>
      <c r="LH6" s="14"/>
      <c r="MN6" s="14"/>
      <c r="MV6" s="14"/>
      <c r="MX6" s="14"/>
      <c r="WI6">
        <v>4</v>
      </c>
      <c r="WJ6" t="s">
        <v>820</v>
      </c>
      <c r="ZI6">
        <v>4</v>
      </c>
      <c r="ZJ6" t="s">
        <v>818</v>
      </c>
      <c r="ZU6">
        <v>4</v>
      </c>
      <c r="ZV6" t="s">
        <v>818</v>
      </c>
      <c r="AHV6" s="14"/>
      <c r="AKV6" s="14"/>
      <c r="ALH6" s="14"/>
    </row>
    <row r="7" spans="1:1092">
      <c r="W7">
        <v>5</v>
      </c>
      <c r="X7" t="s">
        <v>821</v>
      </c>
      <c r="Z7" s="14"/>
      <c r="AA7">
        <v>5</v>
      </c>
      <c r="AB7" t="s">
        <v>821</v>
      </c>
      <c r="AD7" s="14"/>
      <c r="AE7">
        <v>5</v>
      </c>
      <c r="AF7" t="s">
        <v>821</v>
      </c>
      <c r="AH7" s="14"/>
      <c r="BG7">
        <v>5</v>
      </c>
      <c r="BH7" t="s">
        <v>822</v>
      </c>
      <c r="BI7">
        <v>5</v>
      </c>
      <c r="BJ7" t="s">
        <v>822</v>
      </c>
      <c r="BT7" s="14"/>
      <c r="EL7" s="14"/>
      <c r="GB7" s="14"/>
      <c r="GD7" s="14"/>
      <c r="GF7" s="14"/>
      <c r="GH7" s="14"/>
      <c r="GJ7" s="14"/>
      <c r="GL7" s="14"/>
      <c r="GN7" s="14"/>
      <c r="GP7" s="14"/>
      <c r="GR7" s="14"/>
      <c r="GT7" s="14"/>
      <c r="GV7" s="14"/>
      <c r="GX7" s="14"/>
      <c r="GZ7" s="14"/>
      <c r="HD7" s="14"/>
      <c r="HF7" s="14"/>
      <c r="HJ7" s="14"/>
      <c r="LB7" s="14"/>
      <c r="LD7" s="14"/>
      <c r="LF7" s="14"/>
      <c r="LH7" s="14"/>
      <c r="MV7" s="14"/>
      <c r="MX7" s="14"/>
      <c r="WI7">
        <v>5</v>
      </c>
      <c r="WJ7" t="s">
        <v>823</v>
      </c>
      <c r="ZI7">
        <v>5</v>
      </c>
      <c r="ZJ7" t="s">
        <v>821</v>
      </c>
      <c r="ZU7">
        <v>5</v>
      </c>
      <c r="ZV7" t="s">
        <v>821</v>
      </c>
      <c r="AHV7" s="14"/>
      <c r="AKV7" s="14"/>
      <c r="ALH7" s="14"/>
    </row>
    <row r="8" spans="1:1092">
      <c r="BG8">
        <v>6</v>
      </c>
      <c r="BH8" t="s">
        <v>824</v>
      </c>
      <c r="BI8">
        <v>6</v>
      </c>
      <c r="BJ8" t="s">
        <v>824</v>
      </c>
      <c r="BT8" s="14"/>
      <c r="GB8" s="14"/>
      <c r="GD8" s="14"/>
      <c r="GF8" s="14"/>
      <c r="GH8" s="14"/>
      <c r="GJ8" s="14"/>
      <c r="GL8" s="14"/>
      <c r="GN8" s="14"/>
      <c r="GP8" s="14"/>
      <c r="GR8" s="14"/>
      <c r="GT8" s="14"/>
      <c r="GV8" s="14"/>
      <c r="GX8" s="14"/>
      <c r="GZ8" s="14"/>
      <c r="LB8" s="14"/>
      <c r="LD8" s="14"/>
      <c r="LF8" s="14"/>
      <c r="LH8" s="14"/>
      <c r="MV8" s="14"/>
      <c r="MX8" s="14"/>
      <c r="WI8">
        <v>6</v>
      </c>
      <c r="WJ8" t="s">
        <v>825</v>
      </c>
      <c r="AHV8" s="14"/>
    </row>
    <row r="9" spans="1:1092">
      <c r="BG9">
        <v>7</v>
      </c>
      <c r="BH9" t="s">
        <v>826</v>
      </c>
      <c r="BI9">
        <v>7</v>
      </c>
      <c r="BJ9" t="s">
        <v>826</v>
      </c>
      <c r="GB9" s="14"/>
      <c r="GD9" s="14"/>
      <c r="GF9" s="14"/>
      <c r="GH9" s="14"/>
      <c r="GJ9" s="14"/>
      <c r="GL9" s="14"/>
      <c r="GN9" s="14"/>
      <c r="GP9" s="14"/>
      <c r="GR9" s="14"/>
      <c r="GT9" s="14"/>
      <c r="GV9" s="14"/>
      <c r="GX9" s="14"/>
      <c r="GZ9" s="14"/>
      <c r="LB9" s="14"/>
      <c r="LD9" s="14"/>
      <c r="LF9" s="14"/>
      <c r="LH9" s="14"/>
      <c r="MV9" s="14"/>
      <c r="MX9" s="14"/>
      <c r="WI9">
        <v>7</v>
      </c>
      <c r="WJ9" t="s">
        <v>827</v>
      </c>
      <c r="AHV9" s="14"/>
    </row>
    <row r="10" spans="1:1092">
      <c r="BG10">
        <v>8</v>
      </c>
      <c r="BH10" t="s">
        <v>828</v>
      </c>
      <c r="BI10">
        <v>8</v>
      </c>
      <c r="BJ10" t="s">
        <v>828</v>
      </c>
      <c r="GB10" s="14"/>
      <c r="GD10" s="14"/>
      <c r="GF10" s="14"/>
      <c r="GH10" s="14"/>
      <c r="GJ10" s="14"/>
      <c r="GL10" s="14"/>
      <c r="GN10" s="14"/>
      <c r="GP10" s="14"/>
      <c r="GR10" s="14"/>
      <c r="GT10" s="14"/>
      <c r="GV10" s="14"/>
      <c r="GX10" s="14"/>
      <c r="GZ10" s="14"/>
      <c r="LD10" s="14"/>
      <c r="LF10" s="14"/>
      <c r="LH10" s="14"/>
      <c r="MV10" s="14"/>
      <c r="MX10" s="14"/>
      <c r="WI10">
        <v>8</v>
      </c>
      <c r="WJ10" t="s">
        <v>829</v>
      </c>
      <c r="AHV10" s="14"/>
    </row>
    <row r="11" spans="1:1092">
      <c r="BG11">
        <v>9</v>
      </c>
      <c r="BH11" t="s">
        <v>830</v>
      </c>
      <c r="BI11">
        <v>9</v>
      </c>
      <c r="BJ11" t="s">
        <v>830</v>
      </c>
      <c r="GB11" s="14"/>
      <c r="GD11" s="14"/>
      <c r="GF11" s="14"/>
      <c r="GH11" s="14"/>
      <c r="GJ11" s="14"/>
      <c r="GL11" s="14"/>
      <c r="GN11" s="14"/>
      <c r="GP11" s="14"/>
      <c r="GR11" s="14"/>
      <c r="GT11" s="14"/>
      <c r="GV11" s="14"/>
      <c r="GX11" s="14"/>
      <c r="GZ11" s="14"/>
      <c r="MV11" s="14"/>
      <c r="MX11" s="14"/>
    </row>
    <row r="12" spans="1:1092">
      <c r="BG12">
        <v>10</v>
      </c>
      <c r="BH12" t="s">
        <v>831</v>
      </c>
      <c r="BI12">
        <v>10</v>
      </c>
      <c r="BJ12" t="s">
        <v>831</v>
      </c>
      <c r="GB12" s="14"/>
      <c r="GD12" s="14"/>
      <c r="GF12" s="14"/>
      <c r="GH12" s="14"/>
      <c r="GJ12" s="14"/>
      <c r="GL12" s="14"/>
      <c r="GN12" s="14"/>
      <c r="GP12" s="14"/>
      <c r="GR12" s="14"/>
      <c r="GT12" s="14"/>
      <c r="GV12" s="14"/>
      <c r="GX12" s="14"/>
      <c r="GZ12" s="14"/>
      <c r="MV12" s="14"/>
      <c r="MX12" s="14"/>
    </row>
    <row r="13" spans="1:1092">
      <c r="BG13">
        <v>11</v>
      </c>
      <c r="BH13" t="s">
        <v>832</v>
      </c>
      <c r="BI13">
        <v>11</v>
      </c>
      <c r="BJ13" t="s">
        <v>832</v>
      </c>
      <c r="GB13" s="14"/>
      <c r="GD13" s="14"/>
      <c r="GF13" s="14"/>
      <c r="GH13" s="14"/>
      <c r="GJ13" s="14"/>
      <c r="GL13" s="14"/>
      <c r="GN13" s="14"/>
      <c r="GP13" s="14"/>
      <c r="GR13" s="14"/>
      <c r="GT13" s="14"/>
      <c r="GV13" s="14"/>
      <c r="GX13" s="14"/>
      <c r="GZ13" s="14"/>
      <c r="MV13" s="14"/>
      <c r="MX13" s="14"/>
    </row>
    <row r="14" spans="1:1092">
      <c r="BG14">
        <v>12</v>
      </c>
      <c r="BH14" t="s">
        <v>833</v>
      </c>
      <c r="BI14">
        <v>12</v>
      </c>
      <c r="BJ14" t="s">
        <v>833</v>
      </c>
      <c r="GB14" s="14"/>
      <c r="GD14" s="14"/>
      <c r="GF14" s="14"/>
      <c r="GH14" s="14"/>
      <c r="GJ14" s="14"/>
      <c r="GL14" s="14"/>
      <c r="GN14" s="14"/>
      <c r="GP14" s="14"/>
      <c r="GR14" s="14"/>
      <c r="GT14" s="14"/>
      <c r="GV14" s="14"/>
      <c r="GX14" s="14"/>
      <c r="GZ14" s="14"/>
      <c r="MV14" s="14"/>
      <c r="MX14" s="14"/>
    </row>
    <row r="15" spans="1:1092">
      <c r="BG15">
        <v>13</v>
      </c>
      <c r="BH15" t="s">
        <v>834</v>
      </c>
      <c r="BI15">
        <v>13</v>
      </c>
      <c r="BJ15" t="s">
        <v>834</v>
      </c>
      <c r="GB15" s="14"/>
      <c r="GD15" s="14"/>
      <c r="GF15" s="14"/>
      <c r="GH15" s="14"/>
      <c r="GJ15" s="14"/>
      <c r="GL15" s="14"/>
      <c r="GN15" s="14"/>
      <c r="GP15" s="14"/>
      <c r="GR15" s="14"/>
      <c r="GT15" s="14"/>
      <c r="GV15" s="14"/>
      <c r="GX15" s="14"/>
      <c r="GZ15" s="14"/>
      <c r="MV15" s="14"/>
      <c r="MX15" s="14"/>
    </row>
    <row r="16" spans="1:1092">
      <c r="BG16">
        <v>14</v>
      </c>
      <c r="BH16" t="s">
        <v>835</v>
      </c>
      <c r="BI16">
        <v>14</v>
      </c>
      <c r="BJ16" t="s">
        <v>835</v>
      </c>
      <c r="GB16" s="14"/>
      <c r="GD16" s="14"/>
      <c r="GF16" s="14"/>
      <c r="GH16" s="14"/>
      <c r="GJ16" s="14"/>
      <c r="GL16" s="14"/>
      <c r="GN16" s="14"/>
      <c r="GP16" s="14"/>
      <c r="GR16" s="14"/>
      <c r="GT16" s="14"/>
      <c r="GV16" s="14"/>
      <c r="GX16" s="14"/>
      <c r="GZ16" s="14"/>
      <c r="MV16" s="14"/>
      <c r="MX16" s="14"/>
    </row>
    <row r="17" spans="59:362">
      <c r="BG17">
        <v>15</v>
      </c>
      <c r="BH17" t="s">
        <v>836</v>
      </c>
      <c r="BI17">
        <v>15</v>
      </c>
      <c r="BJ17" t="s">
        <v>836</v>
      </c>
      <c r="GB17" s="14"/>
      <c r="GD17" s="14"/>
      <c r="GF17" s="14"/>
      <c r="GH17" s="14"/>
      <c r="GJ17" s="14"/>
      <c r="GL17" s="14"/>
      <c r="GN17" s="14"/>
      <c r="GP17" s="14"/>
      <c r="GR17" s="14"/>
      <c r="GT17" s="14"/>
      <c r="GV17" s="14"/>
      <c r="GX17" s="14"/>
      <c r="GZ17" s="14"/>
      <c r="MV17" s="14"/>
      <c r="MX17" s="14"/>
    </row>
    <row r="18" spans="59:362">
      <c r="BG18">
        <v>16</v>
      </c>
      <c r="BH18" t="s">
        <v>837</v>
      </c>
      <c r="BI18">
        <v>16</v>
      </c>
      <c r="BJ18" t="s">
        <v>837</v>
      </c>
      <c r="GB18" s="14"/>
      <c r="GD18" s="14"/>
      <c r="GF18" s="14"/>
      <c r="GH18" s="14"/>
      <c r="GJ18" s="14"/>
      <c r="GL18" s="14"/>
      <c r="GN18" s="14"/>
      <c r="GP18" s="14"/>
      <c r="GR18" s="14"/>
      <c r="GT18" s="14"/>
      <c r="GV18" s="14"/>
      <c r="GX18" s="14"/>
      <c r="GZ18" s="14"/>
      <c r="MV18" s="14"/>
      <c r="MX18" s="14"/>
    </row>
    <row r="19" spans="59:362">
      <c r="BG19">
        <v>17</v>
      </c>
      <c r="BH19" t="s">
        <v>838</v>
      </c>
      <c r="BI19">
        <v>17</v>
      </c>
      <c r="BJ19" t="s">
        <v>838</v>
      </c>
      <c r="GB19" s="14"/>
      <c r="GD19" s="14"/>
      <c r="GF19" s="14"/>
      <c r="GH19" s="14"/>
      <c r="GJ19" s="14"/>
      <c r="GL19" s="14"/>
      <c r="GN19" s="14"/>
      <c r="GP19" s="14"/>
      <c r="GR19" s="14"/>
      <c r="GT19" s="14"/>
      <c r="GV19" s="14"/>
      <c r="GX19" s="14"/>
      <c r="GZ19" s="14"/>
      <c r="MV19" s="14"/>
      <c r="MX19" s="14"/>
    </row>
    <row r="20" spans="59:362">
      <c r="BG20">
        <v>18</v>
      </c>
      <c r="BH20" t="s">
        <v>418</v>
      </c>
      <c r="BI20">
        <v>18</v>
      </c>
      <c r="BJ20" t="s">
        <v>418</v>
      </c>
      <c r="GB20" s="14"/>
      <c r="GD20" s="14"/>
      <c r="GF20" s="14"/>
      <c r="GH20" s="14"/>
      <c r="GJ20" s="14"/>
      <c r="GL20" s="14"/>
      <c r="GN20" s="14"/>
      <c r="GP20" s="14"/>
      <c r="GR20" s="14"/>
      <c r="GT20" s="14"/>
      <c r="GV20" s="14"/>
      <c r="GX20" s="14"/>
      <c r="GZ20" s="14"/>
      <c r="MV20" s="14"/>
      <c r="MX20" s="14"/>
    </row>
    <row r="21" spans="59:362">
      <c r="BG21">
        <v>19</v>
      </c>
      <c r="BH21" t="s">
        <v>839</v>
      </c>
      <c r="BI21">
        <v>19</v>
      </c>
      <c r="BJ21" t="s">
        <v>839</v>
      </c>
      <c r="GB21" s="14"/>
      <c r="GD21" s="14"/>
      <c r="GF21" s="14"/>
      <c r="GH21" s="14"/>
      <c r="GJ21" s="14"/>
      <c r="GL21" s="14"/>
      <c r="GN21" s="14"/>
      <c r="GP21" s="14"/>
      <c r="GR21" s="14"/>
      <c r="GT21" s="14"/>
      <c r="GV21" s="14"/>
      <c r="GX21" s="14"/>
      <c r="GZ21" s="14"/>
      <c r="MV21" s="14"/>
      <c r="MX21" s="14"/>
    </row>
    <row r="22" spans="59:362">
      <c r="BG22">
        <v>20</v>
      </c>
      <c r="BH22" t="s">
        <v>840</v>
      </c>
      <c r="BI22">
        <v>20</v>
      </c>
      <c r="BJ22" t="s">
        <v>840</v>
      </c>
      <c r="GB22" s="14"/>
      <c r="GD22" s="14"/>
      <c r="GF22" s="14"/>
      <c r="GH22" s="14"/>
      <c r="GJ22" s="14"/>
      <c r="GL22" s="14"/>
      <c r="GN22" s="14"/>
      <c r="GP22" s="14"/>
      <c r="GR22" s="14"/>
      <c r="GT22" s="14"/>
      <c r="GV22" s="14"/>
      <c r="GX22" s="14"/>
      <c r="GZ22" s="14"/>
      <c r="MV22" s="14"/>
      <c r="MX22" s="14"/>
    </row>
    <row r="23" spans="59:362">
      <c r="GB23" s="14"/>
      <c r="GD23" s="14"/>
      <c r="GF23" s="14"/>
      <c r="GH23" s="14"/>
      <c r="GJ23" s="14"/>
      <c r="GL23" s="14"/>
      <c r="GN23" s="14"/>
      <c r="GP23" s="14"/>
      <c r="GR23" s="14"/>
      <c r="GT23" s="14"/>
      <c r="GV23" s="14"/>
      <c r="GX23" s="14"/>
      <c r="GZ23" s="14"/>
    </row>
    <row r="24" spans="59:362">
      <c r="GB24" s="14"/>
      <c r="GD24" s="14"/>
      <c r="GF24" s="14"/>
      <c r="GH24" s="14"/>
      <c r="GJ24" s="14"/>
      <c r="GL24" s="14"/>
      <c r="GN24" s="14"/>
      <c r="GP24" s="14"/>
      <c r="GR24" s="14"/>
      <c r="GT24" s="14"/>
      <c r="GV24" s="14"/>
      <c r="GX24" s="14"/>
      <c r="GZ24" s="14"/>
    </row>
    <row r="25" spans="59:362">
      <c r="GB25" s="14"/>
      <c r="GD25" s="14"/>
      <c r="GF25" s="14"/>
      <c r="GH25" s="14"/>
      <c r="GJ25" s="14"/>
      <c r="GL25" s="14"/>
      <c r="GN25" s="14"/>
      <c r="GP25" s="14"/>
      <c r="GR25" s="14"/>
      <c r="GT25" s="14"/>
      <c r="GV25" s="14"/>
      <c r="GX25" s="14"/>
      <c r="GZ25" s="14"/>
    </row>
    <row r="26" spans="59:362">
      <c r="GB26" s="14"/>
      <c r="GD26" s="14"/>
      <c r="GF26" s="14"/>
      <c r="GH26" s="14"/>
      <c r="GJ26" s="14"/>
      <c r="GL26" s="14"/>
      <c r="GN26" s="14"/>
      <c r="GP26" s="14"/>
      <c r="GR26" s="14"/>
      <c r="GT26" s="14"/>
      <c r="GV26" s="14"/>
      <c r="GX26" s="14"/>
      <c r="GZ26" s="14"/>
    </row>
    <row r="27" spans="59:362">
      <c r="GB27" s="14"/>
      <c r="GD27" s="14"/>
      <c r="GF27" s="14"/>
      <c r="GH27" s="14"/>
      <c r="GJ27" s="14"/>
      <c r="GL27" s="14"/>
      <c r="GN27" s="14"/>
      <c r="GP27" s="14"/>
      <c r="GR27" s="14"/>
      <c r="GT27" s="14"/>
      <c r="GV27" s="14"/>
      <c r="GX27" s="14"/>
      <c r="GZ27" s="14"/>
    </row>
    <row r="28" spans="59:362">
      <c r="GB28" s="14"/>
      <c r="GD28" s="14"/>
      <c r="GF28" s="14"/>
      <c r="GH28" s="14"/>
      <c r="GJ28" s="14"/>
      <c r="GL28" s="14"/>
      <c r="GN28" s="14"/>
      <c r="GP28" s="14"/>
      <c r="GR28" s="14"/>
      <c r="GT28" s="14"/>
      <c r="GV28" s="14"/>
      <c r="GX28" s="14"/>
      <c r="GZ28" s="14"/>
    </row>
    <row r="29" spans="59:362">
      <c r="GB29" s="14"/>
      <c r="GD29" s="14"/>
      <c r="GF29" s="14"/>
      <c r="GH29" s="14"/>
      <c r="GJ29" s="14"/>
      <c r="GL29" s="14"/>
      <c r="GN29" s="14"/>
      <c r="GP29" s="14"/>
      <c r="GR29" s="14"/>
      <c r="GT29" s="14"/>
      <c r="GV29" s="14"/>
      <c r="GX29" s="14"/>
      <c r="GZ29" s="14"/>
    </row>
    <row r="30" spans="59:362">
      <c r="GB30" s="14"/>
      <c r="GD30" s="14"/>
      <c r="GF30" s="14"/>
      <c r="GH30" s="14"/>
      <c r="GJ30" s="14"/>
      <c r="GL30" s="14"/>
      <c r="GN30" s="14"/>
      <c r="GP30" s="14"/>
      <c r="GR30" s="14"/>
      <c r="GT30" s="14"/>
      <c r="GV30" s="14"/>
      <c r="GX30" s="14"/>
      <c r="GZ30" s="14"/>
    </row>
    <row r="31" spans="59:362">
      <c r="GB31" s="14"/>
      <c r="GD31" s="14"/>
      <c r="GF31" s="14"/>
      <c r="GH31" s="14"/>
      <c r="GJ31" s="14"/>
      <c r="GL31" s="14"/>
      <c r="GN31" s="14"/>
      <c r="GP31" s="14"/>
      <c r="GR31" s="14"/>
      <c r="GT31" s="14"/>
      <c r="GV31" s="14"/>
      <c r="GX31" s="14"/>
      <c r="GZ31" s="14"/>
    </row>
    <row r="32" spans="59:362">
      <c r="GB32" s="14"/>
      <c r="GD32" s="14"/>
      <c r="GF32" s="14"/>
      <c r="GH32" s="14"/>
      <c r="GJ32" s="14"/>
      <c r="GL32" s="14"/>
      <c r="GN32" s="14"/>
      <c r="GP32" s="14"/>
      <c r="GR32" s="14"/>
      <c r="GT32" s="14"/>
      <c r="GV32" s="14"/>
      <c r="GX32" s="14"/>
      <c r="GZ32" s="14"/>
    </row>
    <row r="33" spans="184:208">
      <c r="GB33" s="14"/>
      <c r="GD33" s="14"/>
      <c r="GF33" s="14"/>
      <c r="GH33" s="14"/>
      <c r="GJ33" s="14"/>
      <c r="GL33" s="14"/>
      <c r="GN33" s="14"/>
      <c r="GP33" s="14"/>
      <c r="GR33" s="14"/>
      <c r="GT33" s="14"/>
      <c r="GV33" s="14"/>
      <c r="GX33" s="14"/>
      <c r="GZ33" s="14"/>
    </row>
    <row r="34" spans="184:208">
      <c r="GB34" s="14"/>
      <c r="GD34" s="14"/>
      <c r="GF34" s="14"/>
      <c r="GH34" s="14"/>
      <c r="GJ34" s="14"/>
      <c r="GL34" s="14"/>
      <c r="GN34" s="14"/>
      <c r="GP34" s="14"/>
      <c r="GR34" s="14"/>
      <c r="GT34" s="14"/>
      <c r="GV34" s="14"/>
      <c r="GX34" s="14"/>
      <c r="GZ34" s="14"/>
    </row>
    <row r="35" spans="184:208">
      <c r="GB35" s="14"/>
      <c r="GD35" s="14"/>
      <c r="GF35" s="14"/>
      <c r="GH35" s="14"/>
      <c r="GJ35" s="14"/>
      <c r="GL35" s="14"/>
      <c r="GN35" s="14"/>
      <c r="GP35" s="14"/>
      <c r="GR35" s="14"/>
      <c r="GT35" s="14"/>
      <c r="GV35" s="14"/>
      <c r="GX35" s="14"/>
      <c r="GZ35" s="14"/>
    </row>
    <row r="36" spans="184:208">
      <c r="GB36" s="14"/>
      <c r="GD36" s="14"/>
      <c r="GF36" s="14"/>
      <c r="GH36" s="14"/>
      <c r="GJ36" s="14"/>
      <c r="GL36" s="14"/>
      <c r="GN36" s="14"/>
      <c r="GP36" s="14"/>
      <c r="GR36" s="14"/>
      <c r="GT36" s="14"/>
      <c r="GV36" s="14"/>
      <c r="GX36" s="14"/>
      <c r="GZ36" s="14"/>
    </row>
  </sheetData>
  <protectedRanges>
    <protectedRange sqref="AAM42:AFT60 AGG42:XFD83 AAM3:XFD41 S37:VJ41 VW37:AAL41 S3:AAL36 S42:AAL63 AAM61:AGF83 Q64:AAL83 A3:P83" name="etykiety"/>
  </protectedRanges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AN547"/>
  <sheetViews>
    <sheetView tabSelected="1" workbookViewId="0">
      <pane xSplit="5" ySplit="1" topLeftCell="F2" activePane="bottomRight" state="frozenSplit"/>
      <selection activeCell="N5" sqref="N5"/>
      <selection pane="topRight"/>
      <selection pane="bottomLeft"/>
      <selection pane="bottomRight" activeCell="E2" sqref="E2"/>
    </sheetView>
  </sheetViews>
  <sheetFormatPr defaultRowHeight="12.75"/>
  <cols>
    <col min="1" max="1" width="6.42578125" customWidth="1"/>
    <col min="2" max="2" width="4.7109375" customWidth="1"/>
    <col min="3" max="3" width="6.5703125" customWidth="1"/>
    <col min="4" max="4" width="8.7109375" customWidth="1"/>
    <col min="5" max="5" width="89.42578125" customWidth="1"/>
    <col min="6" max="6" width="10.5703125" bestFit="1" customWidth="1"/>
    <col min="7" max="7" width="4" style="14" customWidth="1"/>
    <col min="8" max="8" width="5.5703125" style="14" customWidth="1"/>
    <col min="9" max="9" width="7.42578125" style="14" customWidth="1"/>
    <col min="10" max="11" width="14.7109375" customWidth="1"/>
    <col min="12" max="13" width="14.7109375" style="14" customWidth="1"/>
    <col min="14" max="14" width="14.7109375" customWidth="1"/>
    <col min="15" max="15" width="17.7109375" bestFit="1" customWidth="1"/>
    <col min="16" max="16" width="6" bestFit="1" customWidth="1"/>
    <col min="17" max="17" width="12" bestFit="1" customWidth="1"/>
    <col min="18" max="18" width="12" style="14" customWidth="1"/>
    <col min="19" max="19" width="21.140625" style="12" bestFit="1" customWidth="1"/>
    <col min="20" max="23" width="7.7109375" style="17" hidden="1" customWidth="1"/>
    <col min="24" max="24" width="7.7109375" style="24" hidden="1" customWidth="1"/>
    <col min="25" max="25" width="7.7109375" style="17" hidden="1" customWidth="1"/>
    <col min="26" max="29" width="10.5703125" style="17" hidden="1" customWidth="1"/>
    <col min="30" max="30" width="9.28515625" hidden="1" customWidth="1"/>
    <col min="31" max="31" width="9.28515625" style="10" hidden="1" customWidth="1"/>
    <col min="32" max="32" width="13.5703125" customWidth="1"/>
    <col min="33" max="35" width="6.5703125" style="14" customWidth="1"/>
    <col min="36" max="38" width="4" customWidth="1"/>
    <col min="39" max="40" width="4" style="14" customWidth="1"/>
  </cols>
  <sheetData>
    <row r="1" spans="1:40">
      <c r="A1" s="14" t="s">
        <v>352</v>
      </c>
      <c r="B1" t="s">
        <v>0</v>
      </c>
      <c r="C1" s="16" t="s">
        <v>305</v>
      </c>
      <c r="F1" s="15" t="s">
        <v>290</v>
      </c>
      <c r="G1" s="14" t="s">
        <v>36</v>
      </c>
      <c r="H1" s="14" t="s">
        <v>35</v>
      </c>
      <c r="I1" s="15" t="s">
        <v>37</v>
      </c>
      <c r="J1" t="s">
        <v>1</v>
      </c>
      <c r="K1" s="15" t="s">
        <v>292</v>
      </c>
      <c r="L1" s="14" t="s">
        <v>236</v>
      </c>
      <c r="M1" s="14" t="s">
        <v>237</v>
      </c>
      <c r="N1" s="10" t="s">
        <v>28</v>
      </c>
      <c r="O1" s="15" t="s">
        <v>306</v>
      </c>
      <c r="P1" s="10" t="s">
        <v>29</v>
      </c>
      <c r="Q1" s="10" t="s">
        <v>30</v>
      </c>
      <c r="R1" s="11" t="s">
        <v>1187</v>
      </c>
      <c r="S1" s="11" t="s">
        <v>307</v>
      </c>
      <c r="T1" s="13" t="s">
        <v>277</v>
      </c>
      <c r="U1" s="13" t="s">
        <v>283</v>
      </c>
      <c r="V1" s="13" t="s">
        <v>284</v>
      </c>
      <c r="W1" s="13" t="s">
        <v>287</v>
      </c>
      <c r="X1" s="23" t="s">
        <v>275</v>
      </c>
      <c r="Y1" s="13" t="s">
        <v>276</v>
      </c>
      <c r="Z1" s="13" t="s">
        <v>278</v>
      </c>
      <c r="AA1" s="13" t="s">
        <v>296</v>
      </c>
      <c r="AB1" s="13" t="s">
        <v>296</v>
      </c>
      <c r="AC1" s="13" t="s">
        <v>297</v>
      </c>
      <c r="AD1" t="s">
        <v>5</v>
      </c>
      <c r="AE1" s="15" t="s">
        <v>39</v>
      </c>
      <c r="AF1" s="15" t="s">
        <v>308</v>
      </c>
      <c r="AG1" s="15" t="s">
        <v>275</v>
      </c>
      <c r="AH1" s="15" t="s">
        <v>276</v>
      </c>
      <c r="AI1" s="15" t="s">
        <v>295</v>
      </c>
      <c r="AJ1" s="3" t="s">
        <v>6</v>
      </c>
      <c r="AK1" s="3" t="s">
        <v>6</v>
      </c>
      <c r="AL1" s="3" t="s">
        <v>6</v>
      </c>
      <c r="AM1" s="16" t="s">
        <v>6</v>
      </c>
      <c r="AN1" s="16" t="s">
        <v>6</v>
      </c>
    </row>
    <row r="2" spans="1:40" s="14" customFormat="1">
      <c r="B2" s="14">
        <f>ROW(A2)-2</f>
        <v>0</v>
      </c>
      <c r="C2" s="14" t="str">
        <f ca="1">IF(OR(E2="",ROW(E2)=2),"",IF(R2&gt;0,"S",IF(J2,IF(F2=2,"D","N"),"I")))</f>
        <v/>
      </c>
      <c r="D2" s="14" t="str">
        <f t="shared" ref="D2" ca="1" si="0">IFERROR(CHOOSE(H2+1,G2,"Nazwa musi zaczynać się od litery:" &amp; G2, "Nazwa nie może kończyć się kropką","Nazwa nie może kończyć się podkreśleniem","Nazwa nie może być dłuższa od 64 znaków","?","Ta nazwa jest zarezerwowana i nie może być użyta"),G2)</f>
        <v>lp</v>
      </c>
      <c r="E2" s="14" t="str">
        <f t="shared" ref="E2:E65" ca="1" si="1">IF(AD2,IF(INDIRECT(ADDRESS(1,ROW(A1),,,_sheetname_dataframe))="","",INDIRECT(ADDRESS(1,ROW(A1),,,_sheetname_dataframe))),"")</f>
        <v>Lp</v>
      </c>
      <c r="F2" s="14">
        <f t="shared" ref="F2:F34" ca="1" si="2">IF(AD2,COUNT(INDIRECT(K2)),0)</f>
        <v>0</v>
      </c>
      <c r="G2" s="14" t="str">
        <f t="shared" ref="G2" ca="1" si="3">IF(AD2,INDIRECT(ADDRESS(2,ROW(A1),,,_sheetname_dataframe)),"")</f>
        <v>lp</v>
      </c>
      <c r="H2" s="14">
        <f ca="1">IF(G2&lt;&gt;"",IFERROR( IsVariableNameLegal(G2),0),0)+IF(COUNTIF(INDIRECT(wew!$C$13),G2)&gt;1,10,0)</f>
        <v>10</v>
      </c>
      <c r="I2" s="14">
        <f ca="1">IF(E2&lt;&gt;"",IF(LEN(E2)&gt;150,1,0)+IF(COUNTIF(INDIRECT(wew!$C$15),E2)&gt;1,10,0),0)</f>
        <v>0</v>
      </c>
      <c r="J2" s="14" t="b">
        <f ca="1">F2&gt;0</f>
        <v>0</v>
      </c>
      <c r="K2" s="14" t="str">
        <f ca="1">ADDRESS(3,(B2+1)*2-1,4,,"[" &amp; wew!$G$7 &amp; "]" &amp; _sheetname_labels) &amp; ":" &amp; ADDRESS(2+ster!$B$20,(B2+1)*2-1,4)</f>
        <v>'[dane surowe2c.xlsm]labels'!A3:A36</v>
      </c>
      <c r="L2" s="14" t="str">
        <f ca="1">IF(F2&gt;0,ADDRESS(3,(B2+1)*2-1,4,,"[" &amp; wew!$G$7 &amp; "]" &amp; _sheetname_labels) &amp; ":" &amp; ADDRESS(2+F2,(B2+1)*2-1,4),"")</f>
        <v/>
      </c>
      <c r="M2" s="14" t="str">
        <f ca="1">IF(F2&gt;0,ADDRESS(3,(B2+1)*2,4,,"["&amp;wew!$G$7&amp;"]"&amp;_sheetname_labels)&amp;":"&amp;ADDRESS(2+F2,(B2+1)*2,4),"")</f>
        <v/>
      </c>
      <c r="N2" s="14" t="str">
        <f ca="1">ADDRESS(3,B2+1,4,,"[" &amp; wew!$G$7 &amp; "]" &amp;_sheetname_dataframe) &amp; ":" &amp; ADDRESS(2+ster!$C$14,B2+1,4)</f>
        <v>'[dane surowe2c.xlsm]data_frame'!A3:A35</v>
      </c>
      <c r="O2" s="14">
        <f ca="1">IF(AD2,COUNT(INDIRECT(N2)),"")</f>
        <v>32</v>
      </c>
      <c r="P2" s="14">
        <f ca="1">IF(AND($AD2,$S2=1),IF(wew!$B$3,MIN(INDIRECT($N2)),"&lt;włącz podświetlanie wartości&gt;"),"—")</f>
        <v>1</v>
      </c>
      <c r="Q2" s="14">
        <f ca="1">IF(AND($AD2,$S2=1),IF(wew!$B$3,MAX(INDIRECT($N2)),"&lt;włącz podświetlanie wartości&gt;"),"—")</f>
        <v>32</v>
      </c>
      <c r="R2" s="14">
        <f ca="1">IF(AD2,ster!$C$14- (COUNTIF( INDIRECT(N2),"" )+ COUNT(INDIRECT(N2)) +COUNTIF( INDIRECT(N2),"NA" )),"")</f>
        <v>0</v>
      </c>
      <c r="S2" s="12">
        <f ca="1">IF(AD2,IF(COUNTA(INDIRECT(N2))=0,0, 1-(ster!$C$14- COUNT(INDIRECT(N2)) -COUNTIF( INDIRECT(N2),"" )) /COUNTA(INDIRECT(N2))),"")</f>
        <v>1</v>
      </c>
      <c r="T2" s="17" t="str">
        <f t="array" aca="1" ref="T2" ca="1">IF(L2&lt;&gt;"",SUM(IF(INDIRECT(L2)&lt;&gt;INT(INDIRECT(L2)),1,0)),"")</f>
        <v/>
      </c>
      <c r="U2" s="17">
        <f t="array" aca="1" ref="U2" ca="1">IF(S2=1,SUM(IF(ISNUMBER(INDIRECT(N2)),IF(INDIRECT(N2)&lt;&gt;INT(INDIRECT(N2)),1,0),0)),"")</f>
        <v>0</v>
      </c>
      <c r="V2" s="17">
        <f ca="1">IF(U2&lt;&gt;"",IF(U2=0,1,IF(U2/O2&lt;0.05,2,3)),0)</f>
        <v>1</v>
      </c>
      <c r="W2" s="17">
        <f ca="1">IF(COUNTA(INDIRECT(N2))=0,0, IF(AND(X2&lt;&gt;"",P2&lt;X2),1,IF(AND(Y2&lt;&gt;"",Q2&gt;Y2),1,IF(AND(Z2,U2&gt;0),2,0))))</f>
        <v>0</v>
      </c>
      <c r="X2" s="24" t="str">
        <f t="array" aca="1" ref="X2" ca="1">IF(AD2,IF(AG2&lt;&gt;"",AG2,IF(J2,MIN(INDIRECT( K2)),"")),"")</f>
        <v/>
      </c>
      <c r="Y2" s="17" t="str">
        <f t="array" aca="1" ref="Y2" ca="1">IF(AD2,IF(AH2&lt;&gt;"",AH2,IF(J2,MAX(INDIRECT( K2)),"")),"")</f>
        <v/>
      </c>
      <c r="Z2" s="17" t="b">
        <f t="shared" ref="Z2" ca="1" si="4">IF(AD2,IF(AI2&lt;&gt;"",AI2,T2=0),FALSE)</f>
        <v>0</v>
      </c>
      <c r="AA2" s="17"/>
      <c r="AB2" s="17"/>
      <c r="AC2" s="17" t="b">
        <f ca="1">IF(AD2,C2="S","")</f>
        <v>0</v>
      </c>
      <c r="AD2" s="14" t="b">
        <f t="shared" ref="AD2" ca="1" si="5">INDIRECT(ADDRESS(2,ROW(A1),,,_sheetname_dataframe))&lt;&gt;""</f>
        <v>1</v>
      </c>
      <c r="AE2" s="15" t="b">
        <f ca="1">J2</f>
        <v>0</v>
      </c>
      <c r="AF2" s="16"/>
      <c r="AG2" s="16"/>
      <c r="AH2" s="16"/>
      <c r="AI2" s="16"/>
      <c r="AJ2" s="16"/>
      <c r="AK2" s="16"/>
      <c r="AL2" s="16"/>
      <c r="AM2" s="16"/>
      <c r="AN2" s="16"/>
    </row>
    <row r="3" spans="1:40">
      <c r="B3" s="14">
        <f t="shared" ref="B3:B66" si="6">ROW(A3)-2</f>
        <v>1</v>
      </c>
      <c r="C3" s="14" t="str">
        <f t="shared" ref="C3:C66" ca="1" si="7">IF(OR(E3="",ROW(E3)=2),"",IF(R3&gt;0,"S",IF(J3,IF(F3=2,"D","N"),"I")))</f>
        <v/>
      </c>
      <c r="D3" s="14" t="str">
        <f t="shared" ref="D3:D66" ca="1" si="8">IFERROR(CHOOSE(H3+1,G3,"Nazwa musi zaczynać się od litery:" &amp; G3, "Nazwa nie może kończyć się kropką","Nazwa nie może kończyć się podkreśleniem","Nazwa nie może być dłuższa od 64 znaków","?","Ta nazwa jest zarezerwowana i nie może być użyta"),G3)</f>
        <v>lp</v>
      </c>
      <c r="E3" s="14" t="str">
        <f t="shared" ca="1" si="1"/>
        <v/>
      </c>
      <c r="F3" s="14">
        <f t="shared" ca="1" si="2"/>
        <v>0</v>
      </c>
      <c r="G3" s="14" t="str">
        <f t="shared" ref="G3:G66" ca="1" si="9">IF(AD3,INDIRECT(ADDRESS(2,ROW(A2),,,_sheetname_dataframe)),"")</f>
        <v>lp</v>
      </c>
      <c r="H3" s="14">
        <f ca="1">IF(G3&lt;&gt;"",IFERROR( IsVariableNameLegal(G3),0),0)+IF(COUNTIF(INDIRECT(wew!$C$13),G3)&gt;1,10,0)</f>
        <v>10</v>
      </c>
      <c r="I3" s="14">
        <f ca="1">IF(E3&lt;&gt;"",IF(LEN(E3)&gt;150,1,0)+IF(COUNTIF(INDIRECT(wew!$C$15),E3)&gt;1,10,0),0)</f>
        <v>0</v>
      </c>
      <c r="J3" s="14" t="b">
        <f t="shared" ref="J3:J66" ca="1" si="10">F3&gt;0</f>
        <v>0</v>
      </c>
      <c r="K3" s="14" t="str">
        <f ca="1">ADDRESS(3,(B3+1)*2-1,4,,"[" &amp; wew!$G$7 &amp; "]" &amp; _sheetname_labels) &amp; ":" &amp; ADDRESS(2+ster!$B$20,(B3+1)*2-1,4)</f>
        <v>'[dane surowe2c.xlsm]labels'!C3:C36</v>
      </c>
      <c r="L3" s="14" t="str">
        <f ca="1">IF(F3&gt;0,ADDRESS(3,(B3+1)*2-1,4,,"[" &amp; wew!$G$7 &amp; "]" &amp; _sheetname_labels) &amp; ":" &amp; ADDRESS(2+F3,(B3+1)*2-1,4),"")</f>
        <v/>
      </c>
      <c r="M3" s="14" t="str">
        <f ca="1">IF(F3&gt;0,ADDRESS(3,(B3+1)*2,4,,"["&amp;wew!$G$7&amp;"]"&amp;_sheetname_labels)&amp;":"&amp;ADDRESS(2+F3,(B3+1)*2,4),"")</f>
        <v/>
      </c>
      <c r="N3" s="14" t="str">
        <f ca="1">ADDRESS(3,B3+1,4,,"[" &amp; wew!$G$7 &amp; "]" &amp;_sheetname_dataframe) &amp; ":" &amp; ADDRESS(2+ster!$C$14,B3+1,4)</f>
        <v>'[dane surowe2c.xlsm]data_frame'!B3:B35</v>
      </c>
      <c r="O3" s="14">
        <f t="shared" ref="O3:O66" ca="1" si="11">IF(AD3,COUNT(INDIRECT(N3)),"")</f>
        <v>32</v>
      </c>
      <c r="P3" s="14">
        <f ca="1">IF(AND($AD3,$S3=1),IF(wew!$B$3,MIN(INDIRECT($N3)),"&lt;włącz podświetlanie wartości&gt;"),"—")</f>
        <v>1</v>
      </c>
      <c r="Q3" s="14">
        <f ca="1">IF(AND($AD3,$S3=1),IF(wew!$B$3,MAX(INDIRECT($N3)),"&lt;włącz podświetlanie wartości&gt;"),"—")</f>
        <v>32</v>
      </c>
      <c r="R3" s="14">
        <f ca="1">IF(AD3,ster!$C$14- (COUNTIF( INDIRECT(N3),"" )+ COUNT(INDIRECT(N3)) +COUNTIF( INDIRECT(N3),"NA" )),"")</f>
        <v>0</v>
      </c>
      <c r="S3" s="12">
        <f ca="1">IF(AD3,IF(COUNTA(INDIRECT(N3))=0,0, 1-(ster!$C$14- COUNT(INDIRECT(N3)) -COUNTIF( INDIRECT(N3),"" )) /COUNTA(INDIRECT(N3))),"")</f>
        <v>1</v>
      </c>
      <c r="T3" s="17" t="str">
        <f t="array" aca="1" ref="T3" ca="1">IF(L3&lt;&gt;"",SUM(IF(INDIRECT(L3)&lt;&gt;INT(INDIRECT(L3)),1,0)),"")</f>
        <v/>
      </c>
      <c r="U3" s="17">
        <f t="array" aca="1" ref="U3" ca="1">IF(S3=1,SUM(IF(ISNUMBER(INDIRECT(N3)),IF(INDIRECT(N3)&lt;&gt;INT(INDIRECT(N3)),1,0),0)),"")</f>
        <v>0</v>
      </c>
      <c r="V3" s="17">
        <f t="shared" ref="V3:V66" ca="1" si="12">IF(U3&lt;&gt;"",IF(U3=0,1,IF(U3/O3&lt;0.05,2,3)),0)</f>
        <v>1</v>
      </c>
      <c r="W3" s="17">
        <f t="shared" ref="W3:W66" ca="1" si="13">IF(COUNTA(INDIRECT(N3))=0,0, IF(AND(X3&lt;&gt;"",P3&lt;X3),1,IF(AND(Y3&lt;&gt;"",Q3&gt;Y3),1,IF(AND(Z3,U3&gt;0),2,0))))</f>
        <v>0</v>
      </c>
      <c r="X3" s="24" t="str">
        <f t="array" aca="1" ref="X3" ca="1">IF(AD3,IF(AG3&lt;&gt;"",AG3,IF(J3,MIN(INDIRECT( K3)),"")),"")</f>
        <v/>
      </c>
      <c r="Y3" s="17" t="str">
        <f t="array" aca="1" ref="Y3" ca="1">IF(AD3,IF(AH3&lt;&gt;"",AH3,IF(J3,MAX(INDIRECT( K3)),"")),"")</f>
        <v/>
      </c>
      <c r="Z3" s="17" t="b">
        <f t="shared" ref="Z3:Z66" ca="1" si="14">IF(AD3,IF(AI3&lt;&gt;"",AI3,T3=0),FALSE)</f>
        <v>0</v>
      </c>
      <c r="AC3" s="17" t="b">
        <f t="shared" ref="AC3:AC66" ca="1" si="15">IF(AD3,C3="S","")</f>
        <v>0</v>
      </c>
      <c r="AD3" s="14" t="b">
        <f t="shared" ref="AD3:AD66" ca="1" si="16">INDIRECT(ADDRESS(2,ROW(A2),,,_sheetname_dataframe))&lt;&gt;""</f>
        <v>1</v>
      </c>
      <c r="AE3" s="15" t="b">
        <f t="shared" ref="AE3:AE66" ca="1" si="17">J3</f>
        <v>0</v>
      </c>
      <c r="AF3" s="16"/>
      <c r="AG3" s="16"/>
      <c r="AH3" s="16"/>
      <c r="AI3" s="16"/>
      <c r="AJ3" s="16"/>
      <c r="AK3" s="16"/>
      <c r="AL3" s="16"/>
      <c r="AM3" s="16"/>
    </row>
    <row r="4" spans="1:40">
      <c r="B4" s="14">
        <f t="shared" si="6"/>
        <v>2</v>
      </c>
      <c r="C4" s="14" t="str">
        <f t="shared" ca="1" si="7"/>
        <v/>
      </c>
      <c r="D4" s="14" t="str">
        <f t="shared" ca="1" si="8"/>
        <v>filename</v>
      </c>
      <c r="E4" s="14" t="str">
        <f t="shared" ca="1" si="1"/>
        <v/>
      </c>
      <c r="F4" s="14">
        <f t="shared" ca="1" si="2"/>
        <v>0</v>
      </c>
      <c r="G4" s="14" t="str">
        <f t="shared" ca="1" si="9"/>
        <v>filename</v>
      </c>
      <c r="H4" s="14">
        <f ca="1">IF(G4&lt;&gt;"",IFERROR( IsVariableNameLegal(G4),0),0)+IF(COUNTIF(INDIRECT(wew!$C$13),G4)&gt;1,10,0)</f>
        <v>0</v>
      </c>
      <c r="I4" s="14">
        <f ca="1">IF(E4&lt;&gt;"",IF(LEN(E4)&gt;150,1,0)+IF(COUNTIF(INDIRECT(wew!$C$15),E4)&gt;1,10,0),0)</f>
        <v>0</v>
      </c>
      <c r="J4" s="14" t="b">
        <f t="shared" ca="1" si="10"/>
        <v>0</v>
      </c>
      <c r="K4" s="14" t="str">
        <f ca="1">ADDRESS(3,(B4+1)*2-1,4,,"[" &amp; wew!$G$7 &amp; "]" &amp; _sheetname_labels) &amp; ":" &amp; ADDRESS(2+ster!$B$20,(B4+1)*2-1,4)</f>
        <v>'[dane surowe2c.xlsm]labels'!E3:E36</v>
      </c>
      <c r="L4" s="14" t="str">
        <f ca="1">IF(F4&gt;0,ADDRESS(3,(B4+1)*2-1,4,,"[" &amp; wew!$G$7 &amp; "]" &amp; _sheetname_labels) &amp; ":" &amp; ADDRESS(2+F4,(B4+1)*2-1,4),"")</f>
        <v/>
      </c>
      <c r="M4" s="14" t="str">
        <f ca="1">IF(F4&gt;0,ADDRESS(3,(B4+1)*2,4,,"["&amp;wew!$G$7&amp;"]"&amp;_sheetname_labels)&amp;":"&amp;ADDRESS(2+F4,(B4+1)*2,4),"")</f>
        <v/>
      </c>
      <c r="N4" s="14" t="str">
        <f ca="1">ADDRESS(3,B4+1,4,,"[" &amp; wew!$G$7 &amp; "]" &amp;_sheetname_dataframe) &amp; ":" &amp; ADDRESS(2+ster!$C$14,B4+1,4)</f>
        <v>'[dane surowe2c.xlsm]data_frame'!C3:C35</v>
      </c>
      <c r="O4" s="14">
        <f t="shared" ca="1" si="11"/>
        <v>0</v>
      </c>
      <c r="P4" s="14" t="str">
        <f ca="1">IF(AND($AD4,$S4=1),IF(wew!$B$3,MIN(INDIRECT($N4)),"&lt;włącz podświetlanie wartości&gt;"),"—")</f>
        <v>—</v>
      </c>
      <c r="Q4" s="14" t="str">
        <f ca="1">IF(AND($AD4,$S4=1),IF(wew!$B$3,MAX(INDIRECT($N4)),"&lt;włącz podświetlanie wartości&gt;"),"—")</f>
        <v>—</v>
      </c>
      <c r="R4" s="14">
        <f ca="1">IF(AD4,ster!$C$14- (COUNTIF( INDIRECT(N4),"" )+ COUNT(INDIRECT(N4)) +COUNTIF( INDIRECT(N4),"NA" )),"")</f>
        <v>32</v>
      </c>
      <c r="S4" s="12">
        <f ca="1">IF(AD4,IF(COUNTA(INDIRECT(N4))=0,0, 1-(ster!$C$14- COUNT(INDIRECT(N4)) -COUNTIF( INDIRECT(N4),"" )) /COUNTA(INDIRECT(N4))),"")</f>
        <v>0</v>
      </c>
      <c r="T4" s="17" t="str">
        <f t="array" aca="1" ref="T4" ca="1">IF(L4&lt;&gt;"",SUM(IF(INDIRECT(L4)&lt;&gt;INT(INDIRECT(L4)),1,0)),"")</f>
        <v/>
      </c>
      <c r="U4" s="17" t="str">
        <f t="array" aca="1" ref="U4" ca="1">IF(S4=1,SUM(IF(ISNUMBER(INDIRECT(N4)),IF(INDIRECT(N4)&lt;&gt;INT(INDIRECT(N4)),1,0),0)),"")</f>
        <v/>
      </c>
      <c r="V4" s="17">
        <f t="shared" ca="1" si="12"/>
        <v>0</v>
      </c>
      <c r="W4" s="17">
        <f t="shared" ca="1" si="13"/>
        <v>0</v>
      </c>
      <c r="X4" s="24" t="str">
        <f t="array" aca="1" ref="X4" ca="1">IF(AD4,IF(AG4&lt;&gt;"",AG4,IF(J4,MIN(INDIRECT( K4)),"")),"")</f>
        <v/>
      </c>
      <c r="Y4" s="17" t="str">
        <f t="array" aca="1" ref="Y4" ca="1">IF(AD4,IF(AH4&lt;&gt;"",AH4,IF(J4,MAX(INDIRECT( K4)),"")),"")</f>
        <v/>
      </c>
      <c r="Z4" s="17" t="b">
        <f t="shared" ca="1" si="14"/>
        <v>0</v>
      </c>
      <c r="AC4" s="17" t="b">
        <f t="shared" ca="1" si="15"/>
        <v>0</v>
      </c>
      <c r="AD4" s="14" t="b">
        <f t="shared" ca="1" si="16"/>
        <v>1</v>
      </c>
      <c r="AE4" s="15" t="b">
        <f t="shared" ca="1" si="17"/>
        <v>0</v>
      </c>
      <c r="AF4" s="16"/>
      <c r="AG4" s="16"/>
      <c r="AH4" s="16"/>
      <c r="AI4" s="16"/>
      <c r="AJ4" s="16"/>
      <c r="AK4" s="16"/>
      <c r="AL4" s="16"/>
      <c r="AM4" s="16"/>
    </row>
    <row r="5" spans="1:40">
      <c r="B5" s="14">
        <f t="shared" si="6"/>
        <v>3</v>
      </c>
      <c r="C5" s="14" t="str">
        <f t="shared" ca="1" si="7"/>
        <v>S</v>
      </c>
      <c r="D5" s="14" t="str">
        <f t="shared" ca="1" si="8"/>
        <v>q_0</v>
      </c>
      <c r="E5" s="14" t="str">
        <f t="shared" ca="1" si="1"/>
        <v>id</v>
      </c>
      <c r="F5" s="14">
        <f t="shared" ca="1" si="2"/>
        <v>0</v>
      </c>
      <c r="G5" s="14" t="str">
        <f t="shared" ca="1" si="9"/>
        <v>q_0</v>
      </c>
      <c r="H5" s="14">
        <f ca="1">IF(G5&lt;&gt;"",IFERROR( IsVariableNameLegal(G5),0),0)+IF(COUNTIF(INDIRECT(wew!$C$13),G5)&gt;1,10,0)</f>
        <v>0</v>
      </c>
      <c r="I5" s="14">
        <f ca="1">IF(E5&lt;&gt;"",IF(LEN(E5)&gt;150,1,0)+IF(COUNTIF(INDIRECT(wew!$C$15),E5)&gt;1,10,0),0)</f>
        <v>0</v>
      </c>
      <c r="J5" s="14" t="b">
        <f t="shared" ca="1" si="10"/>
        <v>0</v>
      </c>
      <c r="K5" s="14" t="str">
        <f ca="1">ADDRESS(3,(B5+1)*2-1,4,,"[" &amp; wew!$G$7 &amp; "]" &amp; _sheetname_labels) &amp; ":" &amp; ADDRESS(2+ster!$B$20,(B5+1)*2-1,4)</f>
        <v>'[dane surowe2c.xlsm]labels'!G3:G36</v>
      </c>
      <c r="L5" s="14" t="str">
        <f ca="1">IF(F5&gt;0,ADDRESS(3,(B5+1)*2-1,4,,"[" &amp; wew!$G$7 &amp; "]" &amp; _sheetname_labels) &amp; ":" &amp; ADDRESS(2+F5,(B5+1)*2-1,4),"")</f>
        <v/>
      </c>
      <c r="M5" s="14" t="str">
        <f ca="1">IF(F5&gt;0,ADDRESS(3,(B5+1)*2,4,,"["&amp;wew!$G$7&amp;"]"&amp;_sheetname_labels)&amp;":"&amp;ADDRESS(2+F5,(B5+1)*2,4),"")</f>
        <v/>
      </c>
      <c r="N5" s="14" t="str">
        <f ca="1">ADDRESS(3,B5+1,4,,"[" &amp; wew!$G$7 &amp; "]" &amp;_sheetname_dataframe) &amp; ":" &amp; ADDRESS(2+ster!$C$14,B5+1,4)</f>
        <v>'[dane surowe2c.xlsm]data_frame'!D3:D35</v>
      </c>
      <c r="O5" s="14">
        <f t="shared" ca="1" si="11"/>
        <v>0</v>
      </c>
      <c r="P5" s="14" t="str">
        <f ca="1">IF(AND($AD5,$S5=1),IF(wew!$B$3,MIN(INDIRECT($N5)),"&lt;włącz podświetlanie wartości&gt;"),"—")</f>
        <v>—</v>
      </c>
      <c r="Q5" s="14" t="str">
        <f ca="1">IF(AND($AD5,$S5=1),IF(wew!$B$3,MAX(INDIRECT($N5)),"&lt;włącz podświetlanie wartości&gt;"),"—")</f>
        <v>—</v>
      </c>
      <c r="R5" s="14">
        <f ca="1">IF(AD5,ster!$C$14- (COUNTIF( INDIRECT(N5),"" )+ COUNT(INDIRECT(N5)) +COUNTIF( INDIRECT(N5),"NA" )),"")</f>
        <v>32</v>
      </c>
      <c r="S5" s="12">
        <f ca="1">IF(AD5,IF(COUNTA(INDIRECT(N5))=0,0, 1-(ster!$C$14- COUNT(INDIRECT(N5)) -COUNTIF( INDIRECT(N5),"" )) /COUNTA(INDIRECT(N5))),"")</f>
        <v>0</v>
      </c>
      <c r="T5" s="17" t="str">
        <f t="array" aca="1" ref="T5" ca="1">IF(L5&lt;&gt;"",SUM(IF(INDIRECT(L5)&lt;&gt;INT(INDIRECT(L5)),1,0)),"")</f>
        <v/>
      </c>
      <c r="U5" s="17" t="str">
        <f t="array" aca="1" ref="U5" ca="1">IF(S5=1,SUM(IF(ISNUMBER(INDIRECT(N5)),IF(INDIRECT(N5)&lt;&gt;INT(INDIRECT(N5)),1,0),0)),"")</f>
        <v/>
      </c>
      <c r="V5" s="17">
        <f t="shared" ca="1" si="12"/>
        <v>0</v>
      </c>
      <c r="W5" s="17">
        <f t="shared" ca="1" si="13"/>
        <v>0</v>
      </c>
      <c r="X5" s="24" t="str">
        <f t="array" aca="1" ref="X5" ca="1">IF(AD5,IF(AG5&lt;&gt;"",AG5,IF(J5,MIN(INDIRECT( K5)),"")),"")</f>
        <v/>
      </c>
      <c r="Y5" s="17" t="str">
        <f t="array" aca="1" ref="Y5" ca="1">IF(AD5,IF(AH5&lt;&gt;"",AH5,IF(J5,MAX(INDIRECT( K5)),"")),"")</f>
        <v/>
      </c>
      <c r="Z5" s="17" t="b">
        <f t="shared" ca="1" si="14"/>
        <v>0</v>
      </c>
      <c r="AC5" s="17" t="b">
        <f t="shared" ca="1" si="15"/>
        <v>1</v>
      </c>
      <c r="AD5" s="14" t="b">
        <f t="shared" ca="1" si="16"/>
        <v>1</v>
      </c>
      <c r="AE5" s="15" t="b">
        <f t="shared" ca="1" si="17"/>
        <v>0</v>
      </c>
      <c r="AF5" s="16"/>
      <c r="AG5" s="16"/>
      <c r="AH5" s="16"/>
      <c r="AI5" s="16"/>
      <c r="AJ5" s="16"/>
      <c r="AK5" s="16"/>
      <c r="AL5" s="16"/>
      <c r="AM5" s="16"/>
    </row>
    <row r="6" spans="1:40">
      <c r="B6" s="14">
        <f t="shared" si="6"/>
        <v>4</v>
      </c>
      <c r="C6" s="14" t="str">
        <f t="shared" ca="1" si="7"/>
        <v>N</v>
      </c>
      <c r="D6" s="14" t="str">
        <f t="shared" ca="1" si="8"/>
        <v>q_3a</v>
      </c>
      <c r="E6" s="14" t="str">
        <f t="shared" ca="1" si="1"/>
        <v>Relation to patient</v>
      </c>
      <c r="F6" s="14">
        <f t="shared" ca="1" si="2"/>
        <v>3</v>
      </c>
      <c r="G6" s="14" t="str">
        <f t="shared" ca="1" si="9"/>
        <v>q_3a</v>
      </c>
      <c r="H6" s="14">
        <f ca="1">IF(G6&lt;&gt;"",IFERROR( IsVariableNameLegal(G6),0),0)+IF(COUNTIF(INDIRECT(wew!$C$13),G6)&gt;1,10,0)</f>
        <v>0</v>
      </c>
      <c r="I6" s="14">
        <f ca="1">IF(E6&lt;&gt;"",IF(LEN(E6)&gt;150,1,0)+IF(COUNTIF(INDIRECT(wew!$C$15),E6)&gt;1,10,0),0)</f>
        <v>0</v>
      </c>
      <c r="J6" s="14" t="b">
        <f t="shared" ca="1" si="10"/>
        <v>1</v>
      </c>
      <c r="K6" s="14" t="str">
        <f ca="1">ADDRESS(3,(B6+1)*2-1,4,,"[" &amp; wew!$G$7 &amp; "]" &amp; _sheetname_labels) &amp; ":" &amp; ADDRESS(2+ster!$B$20,(B6+1)*2-1,4)</f>
        <v>'[dane surowe2c.xlsm]labels'!I3:I36</v>
      </c>
      <c r="L6" s="14" t="str">
        <f ca="1">IF(F6&gt;0,ADDRESS(3,(B6+1)*2-1,4,,"[" &amp; wew!$G$7 &amp; "]" &amp; _sheetname_labels) &amp; ":" &amp; ADDRESS(2+F6,(B6+1)*2-1,4),"")</f>
        <v>'[dane surowe2c.xlsm]labels'!I3:I5</v>
      </c>
      <c r="M6" s="14" t="str">
        <f ca="1">IF(F6&gt;0,ADDRESS(3,(B6+1)*2,4,,"["&amp;wew!$G$7&amp;"]"&amp;_sheetname_labels)&amp;":"&amp;ADDRESS(2+F6,(B6+1)*2,4),"")</f>
        <v>'[dane surowe2c.xlsm]labels'!J3:J5</v>
      </c>
      <c r="N6" s="14" t="str">
        <f ca="1">ADDRESS(3,B6+1,4,,"[" &amp; wew!$G$7 &amp; "]" &amp;_sheetname_dataframe) &amp; ":" &amp; ADDRESS(2+ster!$C$14,B6+1,4)</f>
        <v>'[dane surowe2c.xlsm]data_frame'!E3:E35</v>
      </c>
      <c r="O6" s="14">
        <f t="shared" ca="1" si="11"/>
        <v>32</v>
      </c>
      <c r="P6" s="14">
        <f ca="1">IF(AND($AD6,$S6=1),IF(wew!$B$3,MIN(INDIRECT($N6)),"&lt;włącz podświetlanie wartości&gt;"),"—")</f>
        <v>3</v>
      </c>
      <c r="Q6" s="14">
        <f ca="1">IF(AND($AD6,$S6=1),IF(wew!$B$3,MAX(INDIRECT($N6)),"&lt;włącz podświetlanie wartości&gt;"),"—")</f>
        <v>3</v>
      </c>
      <c r="R6" s="14">
        <f ca="1">IF(AD6,ster!$C$14- (COUNTIF( INDIRECT(N6),"" )+ COUNT(INDIRECT(N6)) +COUNTIF( INDIRECT(N6),"NA" )),"")</f>
        <v>0</v>
      </c>
      <c r="S6" s="12">
        <f ca="1">IF(AD6,IF(COUNTA(INDIRECT(N6))=0,0, 1-(ster!$C$14- COUNT(INDIRECT(N6)) -COUNTIF( INDIRECT(N6),"" )) /COUNTA(INDIRECT(N6))),"")</f>
        <v>1</v>
      </c>
      <c r="T6" s="17">
        <f t="array" aca="1" ref="T6" ca="1">IF(L6&lt;&gt;"",SUM(IF(INDIRECT(L6)&lt;&gt;INT(INDIRECT(L6)),1,0)),"")</f>
        <v>0</v>
      </c>
      <c r="U6" s="17">
        <f t="array" aca="1" ref="U6" ca="1">IF(S6=1,SUM(IF(ISNUMBER(INDIRECT(N6)),IF(INDIRECT(N6)&lt;&gt;INT(INDIRECT(N6)),1,0),0)),"")</f>
        <v>0</v>
      </c>
      <c r="V6" s="17">
        <f t="shared" ca="1" si="12"/>
        <v>1</v>
      </c>
      <c r="W6" s="17">
        <f t="shared" ca="1" si="13"/>
        <v>0</v>
      </c>
      <c r="X6" s="24">
        <f t="array" aca="1" ref="X6" ca="1">IF(AD6,IF(AG6&lt;&gt;"",AG6,IF(J6,MIN(INDIRECT( K6)),"")),"")</f>
        <v>1</v>
      </c>
      <c r="Y6" s="17">
        <f t="array" aca="1" ref="Y6" ca="1">IF(AD6,IF(AH6&lt;&gt;"",AH6,IF(J6,MAX(INDIRECT( K6)),"")),"")</f>
        <v>3</v>
      </c>
      <c r="Z6" s="17" t="b">
        <f t="shared" ca="1" si="14"/>
        <v>1</v>
      </c>
      <c r="AC6" s="17" t="b">
        <f t="shared" ca="1" si="15"/>
        <v>0</v>
      </c>
      <c r="AD6" s="14" t="b">
        <f t="shared" ca="1" si="16"/>
        <v>1</v>
      </c>
      <c r="AE6" s="15" t="b">
        <f t="shared" ca="1" si="17"/>
        <v>1</v>
      </c>
      <c r="AF6" s="16"/>
      <c r="AG6" s="16"/>
      <c r="AH6" s="16"/>
      <c r="AI6" s="16"/>
      <c r="AJ6" s="16"/>
      <c r="AK6" s="16"/>
      <c r="AL6" s="16"/>
      <c r="AM6" s="16"/>
    </row>
    <row r="7" spans="1:40">
      <c r="B7" s="14">
        <f t="shared" si="6"/>
        <v>5</v>
      </c>
      <c r="C7" s="14" t="str">
        <f t="shared" ca="1" si="7"/>
        <v>I</v>
      </c>
      <c r="D7" s="14" t="str">
        <f t="shared" ca="1" si="8"/>
        <v>q_3b</v>
      </c>
      <c r="E7" s="14" t="str">
        <f t="shared" ca="1" si="1"/>
        <v>Patient code</v>
      </c>
      <c r="F7" s="14">
        <f t="shared" ca="1" si="2"/>
        <v>0</v>
      </c>
      <c r="G7" s="14" t="str">
        <f t="shared" ca="1" si="9"/>
        <v>q_3b</v>
      </c>
      <c r="H7" s="14">
        <f ca="1">IF(G7&lt;&gt;"",IFERROR( IsVariableNameLegal(G7),0),0)+IF(COUNTIF(INDIRECT(wew!$C$13),G7)&gt;1,10,0)</f>
        <v>0</v>
      </c>
      <c r="I7" s="14">
        <f ca="1">IF(E7&lt;&gt;"",IF(LEN(E7)&gt;150,1,0)+IF(COUNTIF(INDIRECT(wew!$C$15),E7)&gt;1,10,0),0)</f>
        <v>0</v>
      </c>
      <c r="J7" s="14" t="b">
        <f t="shared" ca="1" si="10"/>
        <v>0</v>
      </c>
      <c r="K7" s="14" t="str">
        <f ca="1">ADDRESS(3,(B7+1)*2-1,4,,"[" &amp; wew!$G$7 &amp; "]" &amp; _sheetname_labels) &amp; ":" &amp; ADDRESS(2+ster!$B$20,(B7+1)*2-1,4)</f>
        <v>'[dane surowe2c.xlsm]labels'!K3:K36</v>
      </c>
      <c r="L7" s="14" t="str">
        <f ca="1">IF(F7&gt;0,ADDRESS(3,(B7+1)*2-1,4,,"[" &amp; wew!$G$7 &amp; "]" &amp; _sheetname_labels) &amp; ":" &amp; ADDRESS(2+F7,(B7+1)*2-1,4),"")</f>
        <v/>
      </c>
      <c r="M7" s="14" t="str">
        <f ca="1">IF(F7&gt;0,ADDRESS(3,(B7+1)*2,4,,"["&amp;wew!$G$7&amp;"]"&amp;_sheetname_labels)&amp;":"&amp;ADDRESS(2+F7,(B7+1)*2,4),"")</f>
        <v/>
      </c>
      <c r="N7" s="14" t="str">
        <f ca="1">ADDRESS(3,B7+1,4,,"[" &amp; wew!$G$7 &amp; "]" &amp;_sheetname_dataframe) &amp; ":" &amp; ADDRESS(2+ster!$C$14,B7+1,4)</f>
        <v>'[dane surowe2c.xlsm]data_frame'!F3:F35</v>
      </c>
      <c r="O7" s="14">
        <f t="shared" ca="1" si="11"/>
        <v>0</v>
      </c>
      <c r="P7" s="14" t="str">
        <f ca="1">IF(AND($AD7,$S7=1),IF(wew!$B$3,MIN(INDIRECT($N7)),"&lt;włącz podświetlanie wartości&gt;"),"—")</f>
        <v>—</v>
      </c>
      <c r="Q7" s="14" t="str">
        <f ca="1">IF(AND($AD7,$S7=1),IF(wew!$B$3,MAX(INDIRECT($N7)),"&lt;włącz podświetlanie wartości&gt;"),"—")</f>
        <v>—</v>
      </c>
      <c r="R7" s="14">
        <f ca="1">IF(AD7,ster!$C$14- (COUNTIF( INDIRECT(N7),"" )+ COUNT(INDIRECT(N7)) +COUNTIF( INDIRECT(N7),"NA" )),"")</f>
        <v>0</v>
      </c>
      <c r="S7" s="12">
        <f ca="1">IF(AD7,IF(COUNTA(INDIRECT(N7))=0,0, 1-(ster!$C$14- COUNT(INDIRECT(N7)) -COUNTIF( INDIRECT(N7),"" )) /COUNTA(INDIRECT(N7))),"")</f>
        <v>0</v>
      </c>
      <c r="T7" s="17" t="str">
        <f t="array" aca="1" ref="T7" ca="1">IF(L7&lt;&gt;"",SUM(IF(INDIRECT(L7)&lt;&gt;INT(INDIRECT(L7)),1,0)),"")</f>
        <v/>
      </c>
      <c r="U7" s="17" t="str">
        <f t="array" aca="1" ref="U7" ca="1">IF(S7=1,SUM(IF(ISNUMBER(INDIRECT(N7)),IF(INDIRECT(N7)&lt;&gt;INT(INDIRECT(N7)),1,0),0)),"")</f>
        <v/>
      </c>
      <c r="V7" s="17">
        <f t="shared" ca="1" si="12"/>
        <v>0</v>
      </c>
      <c r="W7" s="17">
        <f t="shared" ca="1" si="13"/>
        <v>0</v>
      </c>
      <c r="X7" s="24" t="str">
        <f t="array" aca="1" ref="X7" ca="1">IF(AD7,IF(AG7&lt;&gt;"",AG7,IF(J7,MIN(INDIRECT( K7)),"")),"")</f>
        <v/>
      </c>
      <c r="Y7" s="17" t="str">
        <f t="array" aca="1" ref="Y7" ca="1">IF(AD7,IF(AH7&lt;&gt;"",AH7,IF(J7,MAX(INDIRECT( K7)),"")),"")</f>
        <v/>
      </c>
      <c r="Z7" s="17" t="b">
        <f t="shared" ca="1" si="14"/>
        <v>0</v>
      </c>
      <c r="AC7" s="17" t="b">
        <f t="shared" ca="1" si="15"/>
        <v>0</v>
      </c>
      <c r="AD7" s="14" t="b">
        <f t="shared" ca="1" si="16"/>
        <v>1</v>
      </c>
      <c r="AE7" s="15" t="b">
        <f t="shared" ca="1" si="17"/>
        <v>0</v>
      </c>
      <c r="AF7" s="16"/>
      <c r="AG7" s="16"/>
      <c r="AH7" s="16"/>
      <c r="AI7" s="16"/>
      <c r="AJ7" s="16"/>
      <c r="AK7" s="16"/>
      <c r="AL7" s="16"/>
      <c r="AM7" s="16"/>
    </row>
    <row r="8" spans="1:40">
      <c r="B8" s="14">
        <f t="shared" si="6"/>
        <v>6</v>
      </c>
      <c r="C8" s="14" t="str">
        <f t="shared" ca="1" si="7"/>
        <v/>
      </c>
      <c r="D8" s="14" t="str">
        <f t="shared" ca="1" si="8"/>
        <v/>
      </c>
      <c r="E8" s="14" t="str">
        <f t="shared" ca="1" si="1"/>
        <v/>
      </c>
      <c r="F8" s="14">
        <f t="shared" ca="1" si="2"/>
        <v>0</v>
      </c>
      <c r="G8" s="14" t="str">
        <f t="shared" ca="1" si="9"/>
        <v/>
      </c>
      <c r="H8" s="14">
        <f ca="1">IF(G8&lt;&gt;"",IFERROR( IsVariableNameLegal(G8),0),0)+IF(COUNTIF(INDIRECT(wew!$C$13),G8)&gt;1,10,0)</f>
        <v>0</v>
      </c>
      <c r="I8" s="14">
        <f ca="1">IF(E8&lt;&gt;"",IF(LEN(E8)&gt;150,1,0)+IF(COUNTIF(INDIRECT(wew!$C$15),E8)&gt;1,10,0),0)</f>
        <v>0</v>
      </c>
      <c r="J8" s="14" t="b">
        <f t="shared" ca="1" si="10"/>
        <v>0</v>
      </c>
      <c r="K8" s="14" t="str">
        <f ca="1">ADDRESS(3,(B8+1)*2-1,4,,"[" &amp; wew!$G$7 &amp; "]" &amp; _sheetname_labels) &amp; ":" &amp; ADDRESS(2+ster!$B$20,(B8+1)*2-1,4)</f>
        <v>'[dane surowe2c.xlsm]labels'!M3:M36</v>
      </c>
      <c r="L8" s="14" t="str">
        <f ca="1">IF(F8&gt;0,ADDRESS(3,(B8+1)*2-1,4,,"[" &amp; wew!$G$7 &amp; "]" &amp; _sheetname_labels) &amp; ":" &amp; ADDRESS(2+F8,(B8+1)*2-1,4),"")</f>
        <v/>
      </c>
      <c r="M8" s="14" t="str">
        <f ca="1">IF(F8&gt;0,ADDRESS(3,(B8+1)*2,4,,"["&amp;wew!$G$7&amp;"]"&amp;_sheetname_labels)&amp;":"&amp;ADDRESS(2+F8,(B8+1)*2,4),"")</f>
        <v/>
      </c>
      <c r="N8" s="14" t="str">
        <f ca="1">ADDRESS(3,B8+1,4,,"[" &amp; wew!$G$7 &amp; "]" &amp;_sheetname_dataframe) &amp; ":" &amp; ADDRESS(2+ster!$C$14,B8+1,4)</f>
        <v>'[dane surowe2c.xlsm]data_frame'!G3:G35</v>
      </c>
      <c r="O8" s="14" t="str">
        <f t="shared" ca="1" si="11"/>
        <v/>
      </c>
      <c r="P8" s="14" t="str">
        <f ca="1">IF(AND($AD8,$S8=1),IF(wew!$B$3,MIN(INDIRECT($N8)),"&lt;włącz podświetlanie wartości&gt;"),"—")</f>
        <v>—</v>
      </c>
      <c r="Q8" s="14" t="str">
        <f ca="1">IF(AND($AD8,$S8=1),IF(wew!$B$3,MAX(INDIRECT($N8)),"&lt;włącz podświetlanie wartości&gt;"),"—")</f>
        <v>—</v>
      </c>
      <c r="R8" s="14" t="str">
        <f ca="1">IF(AD8,ster!$C$14- (COUNTIF( INDIRECT(N8),"" )+ COUNT(INDIRECT(N8)) +COUNTIF( INDIRECT(N8),"NA" )),"")</f>
        <v/>
      </c>
      <c r="S8" s="12" t="str">
        <f ca="1">IF(AD8,IF(COUNTA(INDIRECT(N8))=0,0, 1-(ster!$C$14- COUNT(INDIRECT(N8)) -COUNTIF( INDIRECT(N8),"" )) /COUNTA(INDIRECT(N8))),"")</f>
        <v/>
      </c>
      <c r="T8" s="17" t="str">
        <f t="array" aca="1" ref="T8" ca="1">IF(L8&lt;&gt;"",SUM(IF(INDIRECT(L8)&lt;&gt;INT(INDIRECT(L8)),1,0)),"")</f>
        <v/>
      </c>
      <c r="U8" s="17" t="str">
        <f t="array" aca="1" ref="U8" ca="1">IF(S8=1,SUM(IF(ISNUMBER(INDIRECT(N8)),IF(INDIRECT(N8)&lt;&gt;INT(INDIRECT(N8)),1,0),0)),"")</f>
        <v/>
      </c>
      <c r="V8" s="17">
        <f t="shared" ca="1" si="12"/>
        <v>0</v>
      </c>
      <c r="W8" s="17">
        <f t="shared" ca="1" si="13"/>
        <v>0</v>
      </c>
      <c r="X8" s="24" t="str">
        <f t="array" aca="1" ref="X8" ca="1">IF(AD8,IF(AG8&lt;&gt;"",AG8,IF(J8,MIN(INDIRECT( K8)),"")),"")</f>
        <v/>
      </c>
      <c r="Y8" s="17" t="str">
        <f t="array" aca="1" ref="Y8" ca="1">IF(AD8,IF(AH8&lt;&gt;"",AH8,IF(J8,MAX(INDIRECT( K8)),"")),"")</f>
        <v/>
      </c>
      <c r="Z8" s="17" t="b">
        <f t="shared" ca="1" si="14"/>
        <v>0</v>
      </c>
      <c r="AC8" s="17" t="str">
        <f t="shared" ca="1" si="15"/>
        <v/>
      </c>
      <c r="AD8" s="14" t="b">
        <f t="shared" ca="1" si="16"/>
        <v>0</v>
      </c>
      <c r="AE8" s="15" t="b">
        <f t="shared" ca="1" si="17"/>
        <v>0</v>
      </c>
      <c r="AF8" s="16"/>
      <c r="AG8" s="16"/>
      <c r="AH8" s="16"/>
      <c r="AI8" s="16"/>
      <c r="AJ8" s="16"/>
      <c r="AK8" s="16"/>
      <c r="AL8" s="16"/>
      <c r="AM8" s="16"/>
    </row>
    <row r="9" spans="1:40">
      <c r="B9" s="14">
        <f t="shared" si="6"/>
        <v>7</v>
      </c>
      <c r="C9" s="14" t="str">
        <f t="shared" ca="1" si="7"/>
        <v>I</v>
      </c>
      <c r="D9" s="14" t="str">
        <f t="shared" ca="1" si="8"/>
        <v>q_4</v>
      </c>
      <c r="E9" s="14" t="str">
        <f t="shared" ca="1" si="1"/>
        <v>Date of consultation</v>
      </c>
      <c r="F9" s="14">
        <f t="shared" ca="1" si="2"/>
        <v>0</v>
      </c>
      <c r="G9" s="14" t="str">
        <f t="shared" ca="1" si="9"/>
        <v>q_4</v>
      </c>
      <c r="H9" s="14">
        <f ca="1">IF(G9&lt;&gt;"",IFERROR( IsVariableNameLegal(G9),0),0)+IF(COUNTIF(INDIRECT(wew!$C$13),G9)&gt;1,10,0)</f>
        <v>0</v>
      </c>
      <c r="I9" s="14">
        <f ca="1">IF(E9&lt;&gt;"",IF(LEN(E9)&gt;150,1,0)+IF(COUNTIF(INDIRECT(wew!$C$15),E9)&gt;1,10,0),0)</f>
        <v>0</v>
      </c>
      <c r="J9" s="14" t="b">
        <f t="shared" ca="1" si="10"/>
        <v>0</v>
      </c>
      <c r="K9" s="14" t="str">
        <f ca="1">ADDRESS(3,(B9+1)*2-1,4,,"[" &amp; wew!$G$7 &amp; "]" &amp; _sheetname_labels) &amp; ":" &amp; ADDRESS(2+ster!$B$20,(B9+1)*2-1,4)</f>
        <v>'[dane surowe2c.xlsm]labels'!O3:O36</v>
      </c>
      <c r="L9" s="14" t="str">
        <f ca="1">IF(F9&gt;0,ADDRESS(3,(B9+1)*2-1,4,,"[" &amp; wew!$G$7 &amp; "]" &amp; _sheetname_labels) &amp; ":" &amp; ADDRESS(2+F9,(B9+1)*2-1,4),"")</f>
        <v/>
      </c>
      <c r="M9" s="14" t="str">
        <f ca="1">IF(F9&gt;0,ADDRESS(3,(B9+1)*2,4,,"["&amp;wew!$G$7&amp;"]"&amp;_sheetname_labels)&amp;":"&amp;ADDRESS(2+F9,(B9+1)*2,4),"")</f>
        <v/>
      </c>
      <c r="N9" s="14" t="str">
        <f ca="1">ADDRESS(3,B9+1,4,,"[" &amp; wew!$G$7 &amp; "]" &amp;_sheetname_dataframe) &amp; ":" &amp; ADDRESS(2+ster!$C$14,B9+1,4)</f>
        <v>'[dane surowe2c.xlsm]data_frame'!H3:H35</v>
      </c>
      <c r="O9" s="14">
        <f t="shared" ca="1" si="11"/>
        <v>32</v>
      </c>
      <c r="P9" s="14">
        <f ca="1">IF(AND($AD9,$S9=1),IF(wew!$B$3,MIN(INDIRECT($N9)),"&lt;włącz podświetlanie wartości&gt;"),"—")</f>
        <v>42311</v>
      </c>
      <c r="Q9" s="14">
        <f ca="1">IF(AND($AD9,$S9=1),IF(wew!$B$3,MAX(INDIRECT($N9)),"&lt;włącz podświetlanie wartości&gt;"),"—")</f>
        <v>42607</v>
      </c>
      <c r="R9" s="14">
        <f ca="1">IF(AD9,ster!$C$14- (COUNTIF( INDIRECT(N9),"" )+ COUNT(INDIRECT(N9)) +COUNTIF( INDIRECT(N9),"NA" )),"")</f>
        <v>0</v>
      </c>
      <c r="S9" s="12">
        <f ca="1">IF(AD9,IF(COUNTA(INDIRECT(N9))=0,0, 1-(ster!$C$14- COUNT(INDIRECT(N9)) -COUNTIF( INDIRECT(N9),"" )) /COUNTA(INDIRECT(N9))),"")</f>
        <v>1</v>
      </c>
      <c r="T9" s="17" t="str">
        <f t="array" aca="1" ref="T9" ca="1">IF(L9&lt;&gt;"",SUM(IF(INDIRECT(L9)&lt;&gt;INT(INDIRECT(L9)),1,0)),"")</f>
        <v/>
      </c>
      <c r="U9" s="17">
        <f t="array" aca="1" ref="U9" ca="1">IF(S9=1,SUM(IF(ISNUMBER(INDIRECT(N9)),IF(INDIRECT(N9)&lt;&gt;INT(INDIRECT(N9)),1,0),0)),"")</f>
        <v>0</v>
      </c>
      <c r="V9" s="17">
        <f t="shared" ca="1" si="12"/>
        <v>1</v>
      </c>
      <c r="W9" s="17">
        <f t="shared" ca="1" si="13"/>
        <v>0</v>
      </c>
      <c r="X9" s="24" t="str">
        <f t="array" aca="1" ref="X9" ca="1">IF(AD9,IF(AG9&lt;&gt;"",AG9,IF(J9,MIN(INDIRECT( K9)),"")),"")</f>
        <v/>
      </c>
      <c r="Y9" s="17" t="str">
        <f t="array" aca="1" ref="Y9" ca="1">IF(AD9,IF(AH9&lt;&gt;"",AH9,IF(J9,MAX(INDIRECT( K9)),"")),"")</f>
        <v/>
      </c>
      <c r="Z9" s="17" t="b">
        <f t="shared" ca="1" si="14"/>
        <v>0</v>
      </c>
      <c r="AC9" s="17" t="b">
        <f t="shared" ca="1" si="15"/>
        <v>0</v>
      </c>
      <c r="AD9" s="14" t="b">
        <f t="shared" ca="1" si="16"/>
        <v>1</v>
      </c>
      <c r="AE9" s="15" t="b">
        <f t="shared" ca="1" si="17"/>
        <v>0</v>
      </c>
      <c r="AF9" s="16" t="s">
        <v>1189</v>
      </c>
      <c r="AG9" s="16"/>
      <c r="AH9" s="16"/>
      <c r="AI9" s="16"/>
      <c r="AJ9" s="16"/>
      <c r="AK9" s="16"/>
      <c r="AL9" s="16"/>
      <c r="AM9" s="16"/>
    </row>
    <row r="10" spans="1:40">
      <c r="B10" s="14">
        <f t="shared" si="6"/>
        <v>8</v>
      </c>
      <c r="C10" s="14" t="str">
        <f t="shared" ca="1" si="7"/>
        <v>I</v>
      </c>
      <c r="D10" s="14" t="str">
        <f t="shared" ca="1" si="8"/>
        <v>q_5</v>
      </c>
      <c r="E10" s="14" t="str">
        <f t="shared" ca="1" si="1"/>
        <v>Date of birth</v>
      </c>
      <c r="F10" s="14">
        <f t="shared" ca="1" si="2"/>
        <v>0</v>
      </c>
      <c r="G10" s="14" t="str">
        <f t="shared" ca="1" si="9"/>
        <v>q_5</v>
      </c>
      <c r="H10" s="14">
        <f ca="1">IF(G10&lt;&gt;"",IFERROR( IsVariableNameLegal(G10),0),0)+IF(COUNTIF(INDIRECT(wew!$C$13),G10)&gt;1,10,0)</f>
        <v>0</v>
      </c>
      <c r="I10" s="14">
        <f ca="1">IF(E10&lt;&gt;"",IF(LEN(E10)&gt;150,1,0)+IF(COUNTIF(INDIRECT(wew!$C$15),E10)&gt;1,10,0),0)</f>
        <v>0</v>
      </c>
      <c r="J10" s="14" t="b">
        <f t="shared" ca="1" si="10"/>
        <v>0</v>
      </c>
      <c r="K10" s="14" t="str">
        <f ca="1">ADDRESS(3,(B10+1)*2-1,4,,"[" &amp; wew!$G$7 &amp; "]" &amp; _sheetname_labels) &amp; ":" &amp; ADDRESS(2+ster!$B$20,(B10+1)*2-1,4)</f>
        <v>'[dane surowe2c.xlsm]labels'!Q3:Q36</v>
      </c>
      <c r="L10" s="14" t="str">
        <f ca="1">IF(F10&gt;0,ADDRESS(3,(B10+1)*2-1,4,,"[" &amp; wew!$G$7 &amp; "]" &amp; _sheetname_labels) &amp; ":" &amp; ADDRESS(2+F10,(B10+1)*2-1,4),"")</f>
        <v/>
      </c>
      <c r="M10" s="14" t="str">
        <f ca="1">IF(F10&gt;0,ADDRESS(3,(B10+1)*2,4,,"["&amp;wew!$G$7&amp;"]"&amp;_sheetname_labels)&amp;":"&amp;ADDRESS(2+F10,(B10+1)*2,4),"")</f>
        <v/>
      </c>
      <c r="N10" s="14" t="str">
        <f ca="1">ADDRESS(3,B10+1,4,,"[" &amp; wew!$G$7 &amp; "]" &amp;_sheetname_dataframe) &amp; ":" &amp; ADDRESS(2+ster!$C$14,B10+1,4)</f>
        <v>'[dane surowe2c.xlsm]data_frame'!I3:I35</v>
      </c>
      <c r="O10" s="14">
        <f t="shared" ca="1" si="11"/>
        <v>32</v>
      </c>
      <c r="P10" s="14">
        <f ca="1">IF(AND($AD10,$S10=1),IF(wew!$B$3,MIN(INDIRECT($N10)),"&lt;włącz podświetlanie wartości&gt;"),"—")</f>
        <v>12855</v>
      </c>
      <c r="Q10" s="14">
        <f ca="1">IF(AND($AD10,$S10=1),IF(wew!$B$3,MAX(INDIRECT($N10)),"&lt;włącz podświetlanie wartości&gt;"),"—")</f>
        <v>45735</v>
      </c>
      <c r="R10" s="14">
        <f ca="1">IF(AD10,ster!$C$14- (COUNTIF( INDIRECT(N10),"" )+ COUNT(INDIRECT(N10)) +COUNTIF( INDIRECT(N10),"NA" )),"")</f>
        <v>0</v>
      </c>
      <c r="S10" s="12">
        <f ca="1">IF(AD10,IF(COUNTA(INDIRECT(N10))=0,0, 1-(ster!$C$14- COUNT(INDIRECT(N10)) -COUNTIF( INDIRECT(N10),"" )) /COUNTA(INDIRECT(N10))),"")</f>
        <v>1</v>
      </c>
      <c r="T10" s="17" t="str">
        <f t="array" aca="1" ref="T10" ca="1">IF(L10&lt;&gt;"",SUM(IF(INDIRECT(L10)&lt;&gt;INT(INDIRECT(L10)),1,0)),"")</f>
        <v/>
      </c>
      <c r="U10" s="17">
        <f t="array" aca="1" ref="U10" ca="1">IF(S10=1,SUM(IF(ISNUMBER(INDIRECT(N10)),IF(INDIRECT(N10)&lt;&gt;INT(INDIRECT(N10)),1,0),0)),"")</f>
        <v>0</v>
      </c>
      <c r="V10" s="17">
        <f t="shared" ca="1" si="12"/>
        <v>1</v>
      </c>
      <c r="W10" s="17">
        <f t="shared" ca="1" si="13"/>
        <v>0</v>
      </c>
      <c r="X10" s="24" t="str">
        <f t="array" aca="1" ref="X10" ca="1">IF(AD10,IF(AG10&lt;&gt;"",AG10,IF(J10,MIN(INDIRECT( K10)),"")),"")</f>
        <v/>
      </c>
      <c r="Y10" s="17" t="str">
        <f t="array" aca="1" ref="Y10" ca="1">IF(AD10,IF(AH10&lt;&gt;"",AH10,IF(J10,MAX(INDIRECT( K10)),"")),"")</f>
        <v/>
      </c>
      <c r="Z10" s="17" t="b">
        <f t="shared" ca="1" si="14"/>
        <v>0</v>
      </c>
      <c r="AC10" s="17" t="b">
        <f t="shared" ca="1" si="15"/>
        <v>0</v>
      </c>
      <c r="AD10" s="14" t="b">
        <f t="shared" ca="1" si="16"/>
        <v>1</v>
      </c>
      <c r="AE10" s="15" t="b">
        <f t="shared" ca="1" si="17"/>
        <v>0</v>
      </c>
      <c r="AF10" s="16"/>
      <c r="AG10" s="16"/>
      <c r="AH10" s="16"/>
      <c r="AI10" s="16"/>
      <c r="AJ10" s="16"/>
      <c r="AK10" s="16"/>
      <c r="AL10" s="16"/>
      <c r="AM10" s="16"/>
    </row>
    <row r="11" spans="1:40">
      <c r="B11" s="14">
        <f t="shared" si="6"/>
        <v>9</v>
      </c>
      <c r="C11" s="14" t="str">
        <f t="shared" ca="1" si="7"/>
        <v>D</v>
      </c>
      <c r="D11" s="14" t="str">
        <f t="shared" ca="1" si="8"/>
        <v>q_6</v>
      </c>
      <c r="E11" s="14" t="str">
        <f t="shared" ca="1" si="1"/>
        <v>Gender</v>
      </c>
      <c r="F11" s="14">
        <f t="shared" ca="1" si="2"/>
        <v>2</v>
      </c>
      <c r="G11" s="14" t="str">
        <f t="shared" ca="1" si="9"/>
        <v>q_6</v>
      </c>
      <c r="H11" s="14">
        <f ca="1">IF(G11&lt;&gt;"",IFERROR( IsVariableNameLegal(G11),0),0)+IF(COUNTIF(INDIRECT(wew!$C$13),G11)&gt;1,10,0)</f>
        <v>0</v>
      </c>
      <c r="I11" s="14">
        <f ca="1">IF(E11&lt;&gt;"",IF(LEN(E11)&gt;150,1,0)+IF(COUNTIF(INDIRECT(wew!$C$15),E11)&gt;1,10,0),0)</f>
        <v>0</v>
      </c>
      <c r="J11" s="14" t="b">
        <f t="shared" ca="1" si="10"/>
        <v>1</v>
      </c>
      <c r="K11" s="14" t="str">
        <f ca="1">ADDRESS(3,(B11+1)*2-1,4,,"[" &amp; wew!$G$7 &amp; "]" &amp; _sheetname_labels) &amp; ":" &amp; ADDRESS(2+ster!$B$20,(B11+1)*2-1,4)</f>
        <v>'[dane surowe2c.xlsm]labels'!S3:S36</v>
      </c>
      <c r="L11" s="14" t="str">
        <f ca="1">IF(F11&gt;0,ADDRESS(3,(B11+1)*2-1,4,,"[" &amp; wew!$G$7 &amp; "]" &amp; _sheetname_labels) &amp; ":" &amp; ADDRESS(2+F11,(B11+1)*2-1,4),"")</f>
        <v>'[dane surowe2c.xlsm]labels'!S3:S4</v>
      </c>
      <c r="M11" s="14" t="str">
        <f ca="1">IF(F11&gt;0,ADDRESS(3,(B11+1)*2,4,,"["&amp;wew!$G$7&amp;"]"&amp;_sheetname_labels)&amp;":"&amp;ADDRESS(2+F11,(B11+1)*2,4),"")</f>
        <v>'[dane surowe2c.xlsm]labels'!T3:T4</v>
      </c>
      <c r="N11" s="14" t="str">
        <f ca="1">ADDRESS(3,B11+1,4,,"[" &amp; wew!$G$7 &amp; "]" &amp;_sheetname_dataframe) &amp; ":" &amp; ADDRESS(2+ster!$C$14,B11+1,4)</f>
        <v>'[dane surowe2c.xlsm]data_frame'!J3:J35</v>
      </c>
      <c r="O11" s="14">
        <f t="shared" ca="1" si="11"/>
        <v>32</v>
      </c>
      <c r="P11" s="14">
        <f ca="1">IF(AND($AD11,$S11=1),IF(wew!$B$3,MIN(INDIRECT($N11)),"&lt;włącz podświetlanie wartości&gt;"),"—")</f>
        <v>1</v>
      </c>
      <c r="Q11" s="14">
        <f ca="1">IF(AND($AD11,$S11=1),IF(wew!$B$3,MAX(INDIRECT($N11)),"&lt;włącz podświetlanie wartości&gt;"),"—")</f>
        <v>2</v>
      </c>
      <c r="R11" s="14">
        <f ca="1">IF(AD11,ster!$C$14- (COUNTIF( INDIRECT(N11),"" )+ COUNT(INDIRECT(N11)) +COUNTIF( INDIRECT(N11),"NA" )),"")</f>
        <v>0</v>
      </c>
      <c r="S11" s="12">
        <f ca="1">IF(AD11,IF(COUNTA(INDIRECT(N11))=0,0, 1-(ster!$C$14- COUNT(INDIRECT(N11)) -COUNTIF( INDIRECT(N11),"" )) /COUNTA(INDIRECT(N11))),"")</f>
        <v>1</v>
      </c>
      <c r="T11" s="17">
        <f t="array" aca="1" ref="T11" ca="1">IF(L11&lt;&gt;"",SUM(IF(INDIRECT(L11)&lt;&gt;INT(INDIRECT(L11)),1,0)),"")</f>
        <v>0</v>
      </c>
      <c r="U11" s="17">
        <f t="array" aca="1" ref="U11" ca="1">IF(S11=1,SUM(IF(ISNUMBER(INDIRECT(N11)),IF(INDIRECT(N11)&lt;&gt;INT(INDIRECT(N11)),1,0),0)),"")</f>
        <v>0</v>
      </c>
      <c r="V11" s="17">
        <f t="shared" ca="1" si="12"/>
        <v>1</v>
      </c>
      <c r="W11" s="17">
        <f t="shared" ca="1" si="13"/>
        <v>0</v>
      </c>
      <c r="X11" s="24">
        <f t="array" aca="1" ref="X11" ca="1">IF(AD11,IF(AG11&lt;&gt;"",AG11,IF(J11,MIN(INDIRECT( K11)),"")),"")</f>
        <v>1</v>
      </c>
      <c r="Y11" s="17">
        <f t="array" aca="1" ref="Y11" ca="1">IF(AD11,IF(AH11&lt;&gt;"",AH11,IF(J11,MAX(INDIRECT( K11)),"")),"")</f>
        <v>2</v>
      </c>
      <c r="Z11" s="17" t="b">
        <f t="shared" ca="1" si="14"/>
        <v>1</v>
      </c>
      <c r="AC11" s="17" t="b">
        <f t="shared" ca="1" si="15"/>
        <v>0</v>
      </c>
      <c r="AD11" s="14" t="b">
        <f t="shared" ca="1" si="16"/>
        <v>1</v>
      </c>
      <c r="AE11" s="15" t="b">
        <f t="shared" ca="1" si="17"/>
        <v>1</v>
      </c>
      <c r="AF11" s="16"/>
      <c r="AG11" s="16"/>
      <c r="AH11" s="16"/>
      <c r="AI11" s="16"/>
      <c r="AJ11" s="16"/>
      <c r="AK11" s="16"/>
      <c r="AL11" s="16"/>
      <c r="AM11" s="16"/>
    </row>
    <row r="12" spans="1:40">
      <c r="B12" s="14">
        <f t="shared" si="6"/>
        <v>10</v>
      </c>
      <c r="C12" s="14" t="str">
        <f t="shared" ca="1" si="7"/>
        <v>N</v>
      </c>
      <c r="D12" s="14" t="str">
        <f t="shared" ca="1" si="8"/>
        <v>q_7</v>
      </c>
      <c r="E12" s="14" t="str">
        <f t="shared" ca="1" si="1"/>
        <v>Ethinicity</v>
      </c>
      <c r="F12" s="14">
        <f t="shared" ca="1" si="2"/>
        <v>4</v>
      </c>
      <c r="G12" s="14" t="str">
        <f t="shared" ca="1" si="9"/>
        <v>q_7</v>
      </c>
      <c r="H12" s="14">
        <f ca="1">IF(G12&lt;&gt;"",IFERROR( IsVariableNameLegal(G12),0),0)+IF(COUNTIF(INDIRECT(wew!$C$13),G12)&gt;1,10,0)</f>
        <v>0</v>
      </c>
      <c r="I12" s="14">
        <f ca="1">IF(E12&lt;&gt;"",IF(LEN(E12)&gt;150,1,0)+IF(COUNTIF(INDIRECT(wew!$C$15),E12)&gt;1,10,0),0)</f>
        <v>0</v>
      </c>
      <c r="J12" s="14" t="b">
        <f t="shared" ca="1" si="10"/>
        <v>1</v>
      </c>
      <c r="K12" s="14" t="str">
        <f ca="1">ADDRESS(3,(B12+1)*2-1,4,,"[" &amp; wew!$G$7 &amp; "]" &amp; _sheetname_labels) &amp; ":" &amp; ADDRESS(2+ster!$B$20,(B12+1)*2-1,4)</f>
        <v>'[dane surowe2c.xlsm]labels'!U3:U36</v>
      </c>
      <c r="L12" s="14" t="str">
        <f ca="1">IF(F12&gt;0,ADDRESS(3,(B12+1)*2-1,4,,"[" &amp; wew!$G$7 &amp; "]" &amp; _sheetname_labels) &amp; ":" &amp; ADDRESS(2+F12,(B12+1)*2-1,4),"")</f>
        <v>'[dane surowe2c.xlsm]labels'!U3:U6</v>
      </c>
      <c r="M12" s="14" t="str">
        <f ca="1">IF(F12&gt;0,ADDRESS(3,(B12+1)*2,4,,"["&amp;wew!$G$7&amp;"]"&amp;_sheetname_labels)&amp;":"&amp;ADDRESS(2+F12,(B12+1)*2,4),"")</f>
        <v>'[dane surowe2c.xlsm]labels'!V3:V6</v>
      </c>
      <c r="N12" s="14" t="str">
        <f ca="1">ADDRESS(3,B12+1,4,,"[" &amp; wew!$G$7 &amp; "]" &amp;_sheetname_dataframe) &amp; ":" &amp; ADDRESS(2+ster!$C$14,B12+1,4)</f>
        <v>'[dane surowe2c.xlsm]data_frame'!K3:K35</v>
      </c>
      <c r="O12" s="14">
        <f t="shared" ca="1" si="11"/>
        <v>32</v>
      </c>
      <c r="P12" s="14">
        <f ca="1">IF(AND($AD12,$S12=1),IF(wew!$B$3,MIN(INDIRECT($N12)),"&lt;włącz podświetlanie wartości&gt;"),"—")</f>
        <v>1</v>
      </c>
      <c r="Q12" s="14">
        <f ca="1">IF(AND($AD12,$S12=1),IF(wew!$B$3,MAX(INDIRECT($N12)),"&lt;włącz podświetlanie wartości&gt;"),"—")</f>
        <v>1</v>
      </c>
      <c r="R12" s="14">
        <f ca="1">IF(AD12,ster!$C$14- (COUNTIF( INDIRECT(N12),"" )+ COUNT(INDIRECT(N12)) +COUNTIF( INDIRECT(N12),"NA" )),"")</f>
        <v>0</v>
      </c>
      <c r="S12" s="12">
        <f ca="1">IF(AD12,IF(COUNTA(INDIRECT(N12))=0,0, 1-(ster!$C$14- COUNT(INDIRECT(N12)) -COUNTIF( INDIRECT(N12),"" )) /COUNTA(INDIRECT(N12))),"")</f>
        <v>1</v>
      </c>
      <c r="T12" s="17">
        <f t="array" aca="1" ref="T12" ca="1">IF(L12&lt;&gt;"",SUM(IF(INDIRECT(L12)&lt;&gt;INT(INDIRECT(L12)),1,0)),"")</f>
        <v>0</v>
      </c>
      <c r="U12" s="17">
        <f t="array" aca="1" ref="U12" ca="1">IF(S12=1,SUM(IF(ISNUMBER(INDIRECT(N12)),IF(INDIRECT(N12)&lt;&gt;INT(INDIRECT(N12)),1,0),0)),"")</f>
        <v>0</v>
      </c>
      <c r="V12" s="17">
        <f t="shared" ca="1" si="12"/>
        <v>1</v>
      </c>
      <c r="W12" s="17">
        <f t="shared" ca="1" si="13"/>
        <v>0</v>
      </c>
      <c r="X12" s="24">
        <f t="array" aca="1" ref="X12" ca="1">IF(AD12,IF(AG12&lt;&gt;"",AG12,IF(J12,MIN(INDIRECT( K12)),"")),"")</f>
        <v>1</v>
      </c>
      <c r="Y12" s="17">
        <f t="array" aca="1" ref="Y12" ca="1">IF(AD12,IF(AH12&lt;&gt;"",AH12,IF(J12,MAX(INDIRECT( K12)),"")),"")</f>
        <v>4</v>
      </c>
      <c r="Z12" s="17" t="b">
        <f t="shared" ca="1" si="14"/>
        <v>1</v>
      </c>
      <c r="AC12" s="17" t="b">
        <f t="shared" ca="1" si="15"/>
        <v>0</v>
      </c>
      <c r="AD12" s="14" t="b">
        <f t="shared" ca="1" si="16"/>
        <v>1</v>
      </c>
      <c r="AE12" s="15" t="b">
        <f t="shared" ca="1" si="17"/>
        <v>1</v>
      </c>
      <c r="AF12" s="16"/>
      <c r="AG12" s="16"/>
      <c r="AH12" s="16"/>
      <c r="AI12" s="16"/>
      <c r="AJ12" s="16"/>
      <c r="AK12" s="16"/>
      <c r="AL12" s="16"/>
      <c r="AM12" s="16"/>
    </row>
    <row r="13" spans="1:40">
      <c r="B13" s="14">
        <f t="shared" si="6"/>
        <v>11</v>
      </c>
      <c r="C13" s="14" t="s">
        <v>1188</v>
      </c>
      <c r="D13" s="14" t="str">
        <f t="shared" ca="1" si="8"/>
        <v>q_8a</v>
      </c>
      <c r="E13" s="14" t="str">
        <f t="shared" ca="1" si="1"/>
        <v>Place of birth</v>
      </c>
      <c r="F13" s="14">
        <f t="shared" ca="1" si="2"/>
        <v>5</v>
      </c>
      <c r="G13" s="14" t="str">
        <f t="shared" ca="1" si="9"/>
        <v>q_8a</v>
      </c>
      <c r="H13" s="14">
        <f ca="1">IF(G13&lt;&gt;"",IFERROR( IsVariableNameLegal(G13),0),0)+IF(COUNTIF(INDIRECT(wew!$C$13),G13)&gt;1,10,0)</f>
        <v>0</v>
      </c>
      <c r="I13" s="14">
        <f ca="1">IF(E13&lt;&gt;"",IF(LEN(E13)&gt;150,1,0)+IF(COUNTIF(INDIRECT(wew!$C$15),E13)&gt;1,10,0),0)</f>
        <v>0</v>
      </c>
      <c r="J13" s="14" t="b">
        <f t="shared" ca="1" si="10"/>
        <v>1</v>
      </c>
      <c r="K13" s="14" t="str">
        <f ca="1">ADDRESS(3,(B13+1)*2-1,4,,"[" &amp; wew!$G$7 &amp; "]" &amp; _sheetname_labels) &amp; ":" &amp; ADDRESS(2+ster!$B$20,(B13+1)*2-1,4)</f>
        <v>'[dane surowe2c.xlsm]labels'!W3:W36</v>
      </c>
      <c r="L13" s="14" t="str">
        <f ca="1">IF(F13&gt;0,ADDRESS(3,(B13+1)*2-1,4,,"[" &amp; wew!$G$7 &amp; "]" &amp; _sheetname_labels) &amp; ":" &amp; ADDRESS(2+F13,(B13+1)*2-1,4),"")</f>
        <v>'[dane surowe2c.xlsm]labels'!W3:W7</v>
      </c>
      <c r="M13" s="14" t="str">
        <f ca="1">IF(F13&gt;0,ADDRESS(3,(B13+1)*2,4,,"["&amp;wew!$G$7&amp;"]"&amp;_sheetname_labels)&amp;":"&amp;ADDRESS(2+F13,(B13+1)*2,4),"")</f>
        <v>'[dane surowe2c.xlsm]labels'!X3:X7</v>
      </c>
      <c r="N13" s="14" t="str">
        <f ca="1">ADDRESS(3,B13+1,4,,"[" &amp; wew!$G$7 &amp; "]" &amp;_sheetname_dataframe) &amp; ":" &amp; ADDRESS(2+ster!$C$14,B13+1,4)</f>
        <v>'[dane surowe2c.xlsm]data_frame'!L3:L35</v>
      </c>
      <c r="O13" s="14">
        <f t="shared" ca="1" si="11"/>
        <v>32</v>
      </c>
      <c r="P13" s="14">
        <f ca="1">IF(AND($AD13,$S13=1),IF(wew!$B$3,MIN(INDIRECT($N13)),"&lt;włącz podświetlanie wartości&gt;"),"—")</f>
        <v>1</v>
      </c>
      <c r="Q13" s="14">
        <f ca="1">IF(AND($AD13,$S13=1),IF(wew!$B$3,MAX(INDIRECT($N13)),"&lt;włącz podświetlanie wartości&gt;"),"—")</f>
        <v>5</v>
      </c>
      <c r="R13" s="14">
        <f ca="1">IF(AD13,ster!$C$14- (COUNTIF( INDIRECT(N13),"" )+ COUNT(INDIRECT(N13)) +COUNTIF( INDIRECT(N13),"NA" )),"")</f>
        <v>0</v>
      </c>
      <c r="S13" s="12">
        <f ca="1">IF(AD13,IF(COUNTA(INDIRECT(N13))=0,0, 1-(ster!$C$14- COUNT(INDIRECT(N13)) -COUNTIF( INDIRECT(N13),"" )) /COUNTA(INDIRECT(N13))),"")</f>
        <v>1</v>
      </c>
      <c r="T13" s="17">
        <f t="array" aca="1" ref="T13" ca="1">IF(L13&lt;&gt;"",SUM(IF(INDIRECT(L13)&lt;&gt;INT(INDIRECT(L13)),1,0)),"")</f>
        <v>0</v>
      </c>
      <c r="U13" s="17">
        <f t="array" aca="1" ref="U13" ca="1">IF(S13=1,SUM(IF(ISNUMBER(INDIRECT(N13)),IF(INDIRECT(N13)&lt;&gt;INT(INDIRECT(N13)),1,0),0)),"")</f>
        <v>0</v>
      </c>
      <c r="V13" s="17">
        <f t="shared" ca="1" si="12"/>
        <v>1</v>
      </c>
      <c r="W13" s="17">
        <f t="shared" ca="1" si="13"/>
        <v>0</v>
      </c>
      <c r="X13" s="24">
        <f t="array" aca="1" ref="X13" ca="1">IF(AD13,IF(AG13&lt;&gt;"",AG13,IF(J13,MIN(INDIRECT( K13)),"")),"")</f>
        <v>1</v>
      </c>
      <c r="Y13" s="17">
        <f t="array" aca="1" ref="Y13" ca="1">IF(AD13,IF(AH13&lt;&gt;"",AH13,IF(J13,MAX(INDIRECT( K13)),"")),"")</f>
        <v>5</v>
      </c>
      <c r="Z13" s="17" t="b">
        <f t="shared" ca="1" si="14"/>
        <v>1</v>
      </c>
      <c r="AC13" s="17" t="b">
        <f t="shared" ca="1" si="15"/>
        <v>0</v>
      </c>
      <c r="AD13" s="14" t="b">
        <f t="shared" ca="1" si="16"/>
        <v>1</v>
      </c>
      <c r="AE13" s="15" t="b">
        <f t="shared" ca="1" si="17"/>
        <v>1</v>
      </c>
      <c r="AF13" s="16"/>
      <c r="AG13" s="16"/>
      <c r="AH13" s="16"/>
      <c r="AI13" s="16"/>
      <c r="AJ13" s="16"/>
      <c r="AK13" s="16"/>
      <c r="AL13" s="16"/>
      <c r="AM13" s="16"/>
    </row>
    <row r="14" spans="1:40">
      <c r="B14" s="14">
        <f t="shared" si="6"/>
        <v>12</v>
      </c>
      <c r="C14" s="14" t="str">
        <f t="shared" ca="1" si="7"/>
        <v>D</v>
      </c>
      <c r="D14" s="14" t="str">
        <f t="shared" ca="1" si="8"/>
        <v>q_8b</v>
      </c>
      <c r="E14" s="14" t="str">
        <f t="shared" ca="1" si="1"/>
        <v>Place of birth characteristics</v>
      </c>
      <c r="F14" s="14">
        <f t="shared" ca="1" si="2"/>
        <v>2</v>
      </c>
      <c r="G14" s="14" t="str">
        <f t="shared" ca="1" si="9"/>
        <v>q_8b</v>
      </c>
      <c r="H14" s="14">
        <f ca="1">IF(G14&lt;&gt;"",IFERROR( IsVariableNameLegal(G14),0),0)+IF(COUNTIF(INDIRECT(wew!$C$13),G14)&gt;1,10,0)</f>
        <v>0</v>
      </c>
      <c r="I14" s="14">
        <f ca="1">IF(E14&lt;&gt;"",IF(LEN(E14)&gt;150,1,0)+IF(COUNTIF(INDIRECT(wew!$C$15),E14)&gt;1,10,0),0)</f>
        <v>0</v>
      </c>
      <c r="J14" s="14" t="b">
        <f t="shared" ca="1" si="10"/>
        <v>1</v>
      </c>
      <c r="K14" s="14" t="str">
        <f ca="1">ADDRESS(3,(B14+1)*2-1,4,,"[" &amp; wew!$G$7 &amp; "]" &amp; _sheetname_labels) &amp; ":" &amp; ADDRESS(2+ster!$B$20,(B14+1)*2-1,4)</f>
        <v>'[dane surowe2c.xlsm]labels'!Y3:Y36</v>
      </c>
      <c r="L14" s="14" t="str">
        <f ca="1">IF(F14&gt;0,ADDRESS(3,(B14+1)*2-1,4,,"[" &amp; wew!$G$7 &amp; "]" &amp; _sheetname_labels) &amp; ":" &amp; ADDRESS(2+F14,(B14+1)*2-1,4),"")</f>
        <v>'[dane surowe2c.xlsm]labels'!Y3:Y4</v>
      </c>
      <c r="M14" s="14" t="str">
        <f ca="1">IF(F14&gt;0,ADDRESS(3,(B14+1)*2,4,,"["&amp;wew!$G$7&amp;"]"&amp;_sheetname_labels)&amp;":"&amp;ADDRESS(2+F14,(B14+1)*2,4),"")</f>
        <v>'[dane surowe2c.xlsm]labels'!Z3:Z4</v>
      </c>
      <c r="N14" s="14" t="str">
        <f ca="1">ADDRESS(3,B14+1,4,,"[" &amp; wew!$G$7 &amp; "]" &amp;_sheetname_dataframe) &amp; ":" &amp; ADDRESS(2+ster!$C$14,B14+1,4)</f>
        <v>'[dane surowe2c.xlsm]data_frame'!M3:M35</v>
      </c>
      <c r="O14" s="14">
        <f t="shared" ca="1" si="11"/>
        <v>31</v>
      </c>
      <c r="P14" s="14">
        <f ca="1">IF(AND($AD14,$S14=1),IF(wew!$B$3,MIN(INDIRECT($N14)),"&lt;włącz podświetlanie wartości&gt;"),"—")</f>
        <v>1</v>
      </c>
      <c r="Q14" s="14">
        <f ca="1">IF(AND($AD14,$S14=1),IF(wew!$B$3,MAX(INDIRECT($N14)),"&lt;włącz podświetlanie wartości&gt;"),"—")</f>
        <v>2</v>
      </c>
      <c r="R14" s="14">
        <f ca="1">IF(AD14,ster!$C$14- (COUNTIF( INDIRECT(N14),"" )+ COUNT(INDIRECT(N14)) +COUNTIF( INDIRECT(N14),"NA" )),"")</f>
        <v>0</v>
      </c>
      <c r="S14" s="12">
        <f ca="1">IF(AD14,IF(COUNTA(INDIRECT(N14))=0,0, 1-(ster!$C$14- COUNT(INDIRECT(N14)) -COUNTIF( INDIRECT(N14),"" )) /COUNTA(INDIRECT(N14))),"")</f>
        <v>1</v>
      </c>
      <c r="T14" s="17">
        <f t="array" aca="1" ref="T14" ca="1">IF(L14&lt;&gt;"",SUM(IF(INDIRECT(L14)&lt;&gt;INT(INDIRECT(L14)),1,0)),"")</f>
        <v>0</v>
      </c>
      <c r="U14" s="17">
        <f t="array" aca="1" ref="U14" ca="1">IF(S14=1,SUM(IF(ISNUMBER(INDIRECT(N14)),IF(INDIRECT(N14)&lt;&gt;INT(INDIRECT(N14)),1,0),0)),"")</f>
        <v>0</v>
      </c>
      <c r="V14" s="17">
        <f t="shared" ca="1" si="12"/>
        <v>1</v>
      </c>
      <c r="W14" s="17">
        <f t="shared" ca="1" si="13"/>
        <v>0</v>
      </c>
      <c r="X14" s="24">
        <f t="array" aca="1" ref="X14" ca="1">IF(AD14,IF(AG14&lt;&gt;"",AG14,IF(J14,MIN(INDIRECT( K14)),"")),"")</f>
        <v>1</v>
      </c>
      <c r="Y14" s="17">
        <f t="array" aca="1" ref="Y14" ca="1">IF(AD14,IF(AH14&lt;&gt;"",AH14,IF(J14,MAX(INDIRECT( K14)),"")),"")</f>
        <v>2</v>
      </c>
      <c r="Z14" s="17" t="b">
        <f t="shared" ca="1" si="14"/>
        <v>1</v>
      </c>
      <c r="AC14" s="17" t="b">
        <f t="shared" ca="1" si="15"/>
        <v>0</v>
      </c>
      <c r="AD14" s="14" t="b">
        <f t="shared" ca="1" si="16"/>
        <v>1</v>
      </c>
      <c r="AE14" s="15" t="b">
        <f t="shared" ca="1" si="17"/>
        <v>1</v>
      </c>
      <c r="AF14" s="16"/>
      <c r="AG14" s="16"/>
      <c r="AH14" s="16"/>
      <c r="AI14" s="16"/>
      <c r="AJ14" s="16"/>
      <c r="AK14" s="16"/>
      <c r="AL14" s="16"/>
      <c r="AM14" s="16"/>
    </row>
    <row r="15" spans="1:40">
      <c r="B15" s="14">
        <f t="shared" si="6"/>
        <v>13</v>
      </c>
      <c r="C15" s="14" t="s">
        <v>1188</v>
      </c>
      <c r="D15" s="14" t="str">
        <f t="shared" ca="1" si="8"/>
        <v>q_9a</v>
      </c>
      <c r="E15" s="14" t="str">
        <f t="shared" ca="1" si="1"/>
        <v>Mother's Place of birth</v>
      </c>
      <c r="F15" s="14">
        <f t="shared" ca="1" si="2"/>
        <v>5</v>
      </c>
      <c r="G15" s="14" t="str">
        <f t="shared" ca="1" si="9"/>
        <v>q_9a</v>
      </c>
      <c r="H15" s="14">
        <f ca="1">IF(G15&lt;&gt;"",IFERROR( IsVariableNameLegal(G15),0),0)+IF(COUNTIF(INDIRECT(wew!$C$13),G15)&gt;1,10,0)</f>
        <v>0</v>
      </c>
      <c r="I15" s="14">
        <f ca="1">IF(E15&lt;&gt;"",IF(LEN(E15)&gt;150,1,0)+IF(COUNTIF(INDIRECT(wew!$C$15),E15)&gt;1,10,0),0)</f>
        <v>0</v>
      </c>
      <c r="J15" s="14" t="b">
        <f t="shared" ca="1" si="10"/>
        <v>1</v>
      </c>
      <c r="K15" s="14" t="str">
        <f ca="1">ADDRESS(3,(B15+1)*2-1,4,,"[" &amp; wew!$G$7 &amp; "]" &amp; _sheetname_labels) &amp; ":" &amp; ADDRESS(2+ster!$B$20,(B15+1)*2-1,4)</f>
        <v>'[dane surowe2c.xlsm]labels'!AA3:AA36</v>
      </c>
      <c r="L15" s="14" t="str">
        <f ca="1">IF(F15&gt;0,ADDRESS(3,(B15+1)*2-1,4,,"[" &amp; wew!$G$7 &amp; "]" &amp; _sheetname_labels) &amp; ":" &amp; ADDRESS(2+F15,(B15+1)*2-1,4),"")</f>
        <v>'[dane surowe2c.xlsm]labels'!AA3:AA7</v>
      </c>
      <c r="M15" s="14" t="str">
        <f ca="1">IF(F15&gt;0,ADDRESS(3,(B15+1)*2,4,,"["&amp;wew!$G$7&amp;"]"&amp;_sheetname_labels)&amp;":"&amp;ADDRESS(2+F15,(B15+1)*2,4),"")</f>
        <v>'[dane surowe2c.xlsm]labels'!AB3:AB7</v>
      </c>
      <c r="N15" s="14" t="str">
        <f ca="1">ADDRESS(3,B15+1,4,,"[" &amp; wew!$G$7 &amp; "]" &amp;_sheetname_dataframe) &amp; ":" &amp; ADDRESS(2+ster!$C$14,B15+1,4)</f>
        <v>'[dane surowe2c.xlsm]data_frame'!N3:N35</v>
      </c>
      <c r="O15" s="14">
        <f t="shared" ca="1" si="11"/>
        <v>32</v>
      </c>
      <c r="P15" s="14">
        <f ca="1">IF(AND($AD15,$S15=1),IF(wew!$B$3,MIN(INDIRECT($N15)),"&lt;włącz podświetlanie wartości&gt;"),"—")</f>
        <v>1</v>
      </c>
      <c r="Q15" s="14">
        <f ca="1">IF(AND($AD15,$S15=1),IF(wew!$B$3,MAX(INDIRECT($N15)),"&lt;włącz podświetlanie wartości&gt;"),"—")</f>
        <v>5</v>
      </c>
      <c r="R15" s="14">
        <f ca="1">IF(AD15,ster!$C$14- (COUNTIF( INDIRECT(N15),"" )+ COUNT(INDIRECT(N15)) +COUNTIF( INDIRECT(N15),"NA" )),"")</f>
        <v>0</v>
      </c>
      <c r="S15" s="12">
        <f ca="1">IF(AD15,IF(COUNTA(INDIRECT(N15))=0,0, 1-(ster!$C$14- COUNT(INDIRECT(N15)) -COUNTIF( INDIRECT(N15),"" )) /COUNTA(INDIRECT(N15))),"")</f>
        <v>1</v>
      </c>
      <c r="T15" s="17">
        <f t="array" aca="1" ref="T15" ca="1">IF(L15&lt;&gt;"",SUM(IF(INDIRECT(L15)&lt;&gt;INT(INDIRECT(L15)),1,0)),"")</f>
        <v>0</v>
      </c>
      <c r="U15" s="17">
        <f t="array" aca="1" ref="U15" ca="1">IF(S15=1,SUM(IF(ISNUMBER(INDIRECT(N15)),IF(INDIRECT(N15)&lt;&gt;INT(INDIRECT(N15)),1,0),0)),"")</f>
        <v>0</v>
      </c>
      <c r="V15" s="17">
        <f t="shared" ca="1" si="12"/>
        <v>1</v>
      </c>
      <c r="W15" s="17">
        <f t="shared" ca="1" si="13"/>
        <v>0</v>
      </c>
      <c r="X15" s="24">
        <f t="array" aca="1" ref="X15" ca="1">IF(AD15,IF(AG15&lt;&gt;"",AG15,IF(J15,MIN(INDIRECT( K15)),"")),"")</f>
        <v>1</v>
      </c>
      <c r="Y15" s="17">
        <f t="array" aca="1" ref="Y15" ca="1">IF(AD15,IF(AH15&lt;&gt;"",AH15,IF(J15,MAX(INDIRECT( K15)),"")),"")</f>
        <v>5</v>
      </c>
      <c r="Z15" s="17" t="b">
        <f t="shared" ca="1" si="14"/>
        <v>1</v>
      </c>
      <c r="AC15" s="17" t="b">
        <f t="shared" ca="1" si="15"/>
        <v>0</v>
      </c>
      <c r="AD15" s="14" t="b">
        <f t="shared" ca="1" si="16"/>
        <v>1</v>
      </c>
      <c r="AE15" s="15" t="b">
        <f t="shared" ca="1" si="17"/>
        <v>1</v>
      </c>
      <c r="AF15" s="16"/>
      <c r="AG15" s="16"/>
      <c r="AH15" s="16"/>
      <c r="AI15" s="16"/>
      <c r="AJ15" s="16"/>
      <c r="AK15" s="16"/>
      <c r="AL15" s="16"/>
      <c r="AM15" s="16"/>
    </row>
    <row r="16" spans="1:40">
      <c r="B16" s="14">
        <f t="shared" si="6"/>
        <v>14</v>
      </c>
      <c r="C16" s="14" t="str">
        <f t="shared" ca="1" si="7"/>
        <v>D</v>
      </c>
      <c r="D16" s="14" t="str">
        <f t="shared" ca="1" si="8"/>
        <v>q_9b</v>
      </c>
      <c r="E16" s="14" t="str">
        <f t="shared" ca="1" si="1"/>
        <v>Mother's Place of birth characteristics</v>
      </c>
      <c r="F16" s="14">
        <f t="shared" ca="1" si="2"/>
        <v>2</v>
      </c>
      <c r="G16" s="14" t="str">
        <f t="shared" ca="1" si="9"/>
        <v>q_9b</v>
      </c>
      <c r="H16" s="14">
        <f ca="1">IF(G16&lt;&gt;"",IFERROR( IsVariableNameLegal(G16),0),0)+IF(COUNTIF(INDIRECT(wew!$C$13),G16)&gt;1,10,0)</f>
        <v>0</v>
      </c>
      <c r="I16" s="14">
        <f ca="1">IF(E16&lt;&gt;"",IF(LEN(E16)&gt;150,1,0)+IF(COUNTIF(INDIRECT(wew!$C$15),E16)&gt;1,10,0),0)</f>
        <v>0</v>
      </c>
      <c r="J16" s="14" t="b">
        <f t="shared" ca="1" si="10"/>
        <v>1</v>
      </c>
      <c r="K16" s="14" t="str">
        <f ca="1">ADDRESS(3,(B16+1)*2-1,4,,"[" &amp; wew!$G$7 &amp; "]" &amp; _sheetname_labels) &amp; ":" &amp; ADDRESS(2+ster!$B$20,(B16+1)*2-1,4)</f>
        <v>'[dane surowe2c.xlsm]labels'!AC3:AC36</v>
      </c>
      <c r="L16" s="14" t="str">
        <f ca="1">IF(F16&gt;0,ADDRESS(3,(B16+1)*2-1,4,,"[" &amp; wew!$G$7 &amp; "]" &amp; _sheetname_labels) &amp; ":" &amp; ADDRESS(2+F16,(B16+1)*2-1,4),"")</f>
        <v>'[dane surowe2c.xlsm]labels'!AC3:AC4</v>
      </c>
      <c r="M16" s="14" t="str">
        <f ca="1">IF(F16&gt;0,ADDRESS(3,(B16+1)*2,4,,"["&amp;wew!$G$7&amp;"]"&amp;_sheetname_labels)&amp;":"&amp;ADDRESS(2+F16,(B16+1)*2,4),"")</f>
        <v>'[dane surowe2c.xlsm]labels'!AD3:AD4</v>
      </c>
      <c r="N16" s="14" t="str">
        <f ca="1">ADDRESS(3,B16+1,4,,"[" &amp; wew!$G$7 &amp; "]" &amp;_sheetname_dataframe) &amp; ":" &amp; ADDRESS(2+ster!$C$14,B16+1,4)</f>
        <v>'[dane surowe2c.xlsm]data_frame'!O3:O35</v>
      </c>
      <c r="O16" s="14">
        <f t="shared" ca="1" si="11"/>
        <v>31</v>
      </c>
      <c r="P16" s="14">
        <f ca="1">IF(AND($AD16,$S16=1),IF(wew!$B$3,MIN(INDIRECT($N16)),"&lt;włącz podświetlanie wartości&gt;"),"—")</f>
        <v>1</v>
      </c>
      <c r="Q16" s="14">
        <f ca="1">IF(AND($AD16,$S16=1),IF(wew!$B$3,MAX(INDIRECT($N16)),"&lt;włącz podświetlanie wartości&gt;"),"—")</f>
        <v>2</v>
      </c>
      <c r="R16" s="14">
        <f ca="1">IF(AD16,ster!$C$14- (COUNTIF( INDIRECT(N16),"" )+ COUNT(INDIRECT(N16)) +COUNTIF( INDIRECT(N16),"NA" )),"")</f>
        <v>0</v>
      </c>
      <c r="S16" s="12">
        <f ca="1">IF(AD16,IF(COUNTA(INDIRECT(N16))=0,0, 1-(ster!$C$14- COUNT(INDIRECT(N16)) -COUNTIF( INDIRECT(N16),"" )) /COUNTA(INDIRECT(N16))),"")</f>
        <v>1</v>
      </c>
      <c r="T16" s="17">
        <f t="array" aca="1" ref="T16" ca="1">IF(L16&lt;&gt;"",SUM(IF(INDIRECT(L16)&lt;&gt;INT(INDIRECT(L16)),1,0)),"")</f>
        <v>0</v>
      </c>
      <c r="U16" s="17">
        <f t="array" aca="1" ref="U16" ca="1">IF(S16=1,SUM(IF(ISNUMBER(INDIRECT(N16)),IF(INDIRECT(N16)&lt;&gt;INT(INDIRECT(N16)),1,0),0)),"")</f>
        <v>0</v>
      </c>
      <c r="V16" s="17">
        <f t="shared" ca="1" si="12"/>
        <v>1</v>
      </c>
      <c r="W16" s="17">
        <f t="shared" ca="1" si="13"/>
        <v>0</v>
      </c>
      <c r="X16" s="24">
        <f t="array" aca="1" ref="X16" ca="1">IF(AD16,IF(AG16&lt;&gt;"",AG16,IF(J16,MIN(INDIRECT( K16)),"")),"")</f>
        <v>1</v>
      </c>
      <c r="Y16" s="17">
        <f t="array" aca="1" ref="Y16" ca="1">IF(AD16,IF(AH16&lt;&gt;"",AH16,IF(J16,MAX(INDIRECT( K16)),"")),"")</f>
        <v>2</v>
      </c>
      <c r="Z16" s="17" t="b">
        <f t="shared" ca="1" si="14"/>
        <v>1</v>
      </c>
      <c r="AC16" s="17" t="b">
        <f t="shared" ca="1" si="15"/>
        <v>0</v>
      </c>
      <c r="AD16" s="14" t="b">
        <f t="shared" ca="1" si="16"/>
        <v>1</v>
      </c>
      <c r="AE16" s="15" t="b">
        <f t="shared" ca="1" si="17"/>
        <v>1</v>
      </c>
      <c r="AF16" s="16"/>
      <c r="AG16" s="16"/>
      <c r="AH16" s="16"/>
      <c r="AI16" s="16"/>
      <c r="AJ16" s="16"/>
      <c r="AK16" s="16"/>
      <c r="AL16" s="16"/>
      <c r="AM16" s="16"/>
    </row>
    <row r="17" spans="2:39">
      <c r="B17" s="14">
        <f t="shared" si="6"/>
        <v>15</v>
      </c>
      <c r="C17" s="14" t="s">
        <v>1188</v>
      </c>
      <c r="D17" s="14" t="str">
        <f t="shared" ca="1" si="8"/>
        <v>q_10a</v>
      </c>
      <c r="E17" s="14" t="str">
        <f t="shared" ca="1" si="1"/>
        <v>Father's Place of birth</v>
      </c>
      <c r="F17" s="14">
        <f t="shared" ca="1" si="2"/>
        <v>5</v>
      </c>
      <c r="G17" s="14" t="str">
        <f t="shared" ca="1" si="9"/>
        <v>q_10a</v>
      </c>
      <c r="H17" s="14">
        <f ca="1">IF(G17&lt;&gt;"",IFERROR( IsVariableNameLegal(G17),0),0)+IF(COUNTIF(INDIRECT(wew!$C$13),G17)&gt;1,10,0)</f>
        <v>0</v>
      </c>
      <c r="I17" s="14">
        <f ca="1">IF(E17&lt;&gt;"",IF(LEN(E17)&gt;150,1,0)+IF(COUNTIF(INDIRECT(wew!$C$15),E17)&gt;1,10,0),0)</f>
        <v>0</v>
      </c>
      <c r="J17" s="14" t="b">
        <f t="shared" ca="1" si="10"/>
        <v>1</v>
      </c>
      <c r="K17" s="14" t="str">
        <f ca="1">ADDRESS(3,(B17+1)*2-1,4,,"[" &amp; wew!$G$7 &amp; "]" &amp; _sheetname_labels) &amp; ":" &amp; ADDRESS(2+ster!$B$20,(B17+1)*2-1,4)</f>
        <v>'[dane surowe2c.xlsm]labels'!AE3:AE36</v>
      </c>
      <c r="L17" s="14" t="str">
        <f ca="1">IF(F17&gt;0,ADDRESS(3,(B17+1)*2-1,4,,"[" &amp; wew!$G$7 &amp; "]" &amp; _sheetname_labels) &amp; ":" &amp; ADDRESS(2+F17,(B17+1)*2-1,4),"")</f>
        <v>'[dane surowe2c.xlsm]labels'!AE3:AE7</v>
      </c>
      <c r="M17" s="14" t="str">
        <f ca="1">IF(F17&gt;0,ADDRESS(3,(B17+1)*2,4,,"["&amp;wew!$G$7&amp;"]"&amp;_sheetname_labels)&amp;":"&amp;ADDRESS(2+F17,(B17+1)*2,4),"")</f>
        <v>'[dane surowe2c.xlsm]labels'!AF3:AF7</v>
      </c>
      <c r="N17" s="14" t="str">
        <f ca="1">ADDRESS(3,B17+1,4,,"[" &amp; wew!$G$7 &amp; "]" &amp;_sheetname_dataframe) &amp; ":" &amp; ADDRESS(2+ster!$C$14,B17+1,4)</f>
        <v>'[dane surowe2c.xlsm]data_frame'!P3:P35</v>
      </c>
      <c r="O17" s="14">
        <f t="shared" ca="1" si="11"/>
        <v>32</v>
      </c>
      <c r="P17" s="14">
        <f ca="1">IF(AND($AD17,$S17=1),IF(wew!$B$3,MIN(INDIRECT($N17)),"&lt;włącz podświetlanie wartości&gt;"),"—")</f>
        <v>1</v>
      </c>
      <c r="Q17" s="14">
        <f ca="1">IF(AND($AD17,$S17=1),IF(wew!$B$3,MAX(INDIRECT($N17)),"&lt;włącz podświetlanie wartości&gt;"),"—")</f>
        <v>5</v>
      </c>
      <c r="R17" s="14">
        <f ca="1">IF(AD17,ster!$C$14- (COUNTIF( INDIRECT(N17),"" )+ COUNT(INDIRECT(N17)) +COUNTIF( INDIRECT(N17),"NA" )),"")</f>
        <v>0</v>
      </c>
      <c r="S17" s="12">
        <f ca="1">IF(AD17,IF(COUNTA(INDIRECT(N17))=0,0, 1-(ster!$C$14- COUNT(INDIRECT(N17)) -COUNTIF( INDIRECT(N17),"" )) /COUNTA(INDIRECT(N17))),"")</f>
        <v>1</v>
      </c>
      <c r="T17" s="17">
        <f t="array" aca="1" ref="T17" ca="1">IF(L17&lt;&gt;"",SUM(IF(INDIRECT(L17)&lt;&gt;INT(INDIRECT(L17)),1,0)),"")</f>
        <v>0</v>
      </c>
      <c r="U17" s="17">
        <f t="array" aca="1" ref="U17" ca="1">IF(S17=1,SUM(IF(ISNUMBER(INDIRECT(N17)),IF(INDIRECT(N17)&lt;&gt;INT(INDIRECT(N17)),1,0),0)),"")</f>
        <v>0</v>
      </c>
      <c r="V17" s="17">
        <f t="shared" ca="1" si="12"/>
        <v>1</v>
      </c>
      <c r="W17" s="17">
        <f t="shared" ca="1" si="13"/>
        <v>0</v>
      </c>
      <c r="X17" s="24">
        <f t="array" aca="1" ref="X17" ca="1">IF(AD17,IF(AG17&lt;&gt;"",AG17,IF(J17,MIN(INDIRECT( K17)),"")),"")</f>
        <v>1</v>
      </c>
      <c r="Y17" s="17">
        <f t="array" aca="1" ref="Y17" ca="1">IF(AD17,IF(AH17&lt;&gt;"",AH17,IF(J17,MAX(INDIRECT( K17)),"")),"")</f>
        <v>5</v>
      </c>
      <c r="Z17" s="17" t="b">
        <f t="shared" ca="1" si="14"/>
        <v>1</v>
      </c>
      <c r="AC17" s="17" t="b">
        <f t="shared" ca="1" si="15"/>
        <v>0</v>
      </c>
      <c r="AD17" s="14" t="b">
        <f t="shared" ca="1" si="16"/>
        <v>1</v>
      </c>
      <c r="AE17" s="15" t="b">
        <f t="shared" ca="1" si="17"/>
        <v>1</v>
      </c>
      <c r="AF17" s="16"/>
      <c r="AG17" s="16"/>
      <c r="AH17" s="16"/>
      <c r="AI17" s="16"/>
      <c r="AJ17" s="16"/>
      <c r="AK17" s="16"/>
      <c r="AL17" s="16"/>
      <c r="AM17" s="16"/>
    </row>
    <row r="18" spans="2:39">
      <c r="B18" s="14">
        <f t="shared" si="6"/>
        <v>16</v>
      </c>
      <c r="C18" s="14" t="str">
        <f t="shared" ca="1" si="7"/>
        <v>D</v>
      </c>
      <c r="D18" s="14" t="str">
        <f t="shared" ca="1" si="8"/>
        <v>q_10b</v>
      </c>
      <c r="E18" s="14" t="str">
        <f t="shared" ca="1" si="1"/>
        <v>Father's Place of birth characteristics</v>
      </c>
      <c r="F18" s="14">
        <f t="shared" ca="1" si="2"/>
        <v>2</v>
      </c>
      <c r="G18" s="14" t="str">
        <f t="shared" ca="1" si="9"/>
        <v>q_10b</v>
      </c>
      <c r="H18" s="14">
        <f ca="1">IF(G18&lt;&gt;"",IFERROR( IsVariableNameLegal(G18),0),0)+IF(COUNTIF(INDIRECT(wew!$C$13),G18)&gt;1,10,0)</f>
        <v>0</v>
      </c>
      <c r="I18" s="14">
        <f ca="1">IF(E18&lt;&gt;"",IF(LEN(E18)&gt;150,1,0)+IF(COUNTIF(INDIRECT(wew!$C$15),E18)&gt;1,10,0),0)</f>
        <v>0</v>
      </c>
      <c r="J18" s="14" t="b">
        <f t="shared" ca="1" si="10"/>
        <v>1</v>
      </c>
      <c r="K18" s="14" t="str">
        <f ca="1">ADDRESS(3,(B18+1)*2-1,4,,"[" &amp; wew!$G$7 &amp; "]" &amp; _sheetname_labels) &amp; ":" &amp; ADDRESS(2+ster!$B$20,(B18+1)*2-1,4)</f>
        <v>'[dane surowe2c.xlsm]labels'!AG3:AG36</v>
      </c>
      <c r="L18" s="14" t="str">
        <f ca="1">IF(F18&gt;0,ADDRESS(3,(B18+1)*2-1,4,,"[" &amp; wew!$G$7 &amp; "]" &amp; _sheetname_labels) &amp; ":" &amp; ADDRESS(2+F18,(B18+1)*2-1,4),"")</f>
        <v>'[dane surowe2c.xlsm]labels'!AG3:AG4</v>
      </c>
      <c r="M18" s="14" t="str">
        <f ca="1">IF(F18&gt;0,ADDRESS(3,(B18+1)*2,4,,"["&amp;wew!$G$7&amp;"]"&amp;_sheetname_labels)&amp;":"&amp;ADDRESS(2+F18,(B18+1)*2,4),"")</f>
        <v>'[dane surowe2c.xlsm]labels'!AH3:AH4</v>
      </c>
      <c r="N18" s="14" t="str">
        <f ca="1">ADDRESS(3,B18+1,4,,"[" &amp; wew!$G$7 &amp; "]" &amp;_sheetname_dataframe) &amp; ":" &amp; ADDRESS(2+ster!$C$14,B18+1,4)</f>
        <v>'[dane surowe2c.xlsm]data_frame'!Q3:Q35</v>
      </c>
      <c r="O18" s="14">
        <f t="shared" ca="1" si="11"/>
        <v>31</v>
      </c>
      <c r="P18" s="14">
        <f ca="1">IF(AND($AD18,$S18=1),IF(wew!$B$3,MIN(INDIRECT($N18)),"&lt;włącz podświetlanie wartości&gt;"),"—")</f>
        <v>1</v>
      </c>
      <c r="Q18" s="14">
        <f ca="1">IF(AND($AD18,$S18=1),IF(wew!$B$3,MAX(INDIRECT($N18)),"&lt;włącz podświetlanie wartości&gt;"),"—")</f>
        <v>2</v>
      </c>
      <c r="R18" s="14">
        <f ca="1">IF(AD18,ster!$C$14- (COUNTIF( INDIRECT(N18),"" )+ COUNT(INDIRECT(N18)) +COUNTIF( INDIRECT(N18),"NA" )),"")</f>
        <v>0</v>
      </c>
      <c r="S18" s="12">
        <f ca="1">IF(AD18,IF(COUNTA(INDIRECT(N18))=0,0, 1-(ster!$C$14- COUNT(INDIRECT(N18)) -COUNTIF( INDIRECT(N18),"" )) /COUNTA(INDIRECT(N18))),"")</f>
        <v>1</v>
      </c>
      <c r="T18" s="17">
        <f t="array" aca="1" ref="T18" ca="1">IF(L18&lt;&gt;"",SUM(IF(INDIRECT(L18)&lt;&gt;INT(INDIRECT(L18)),1,0)),"")</f>
        <v>0</v>
      </c>
      <c r="U18" s="17">
        <f t="array" aca="1" ref="U18" ca="1">IF(S18=1,SUM(IF(ISNUMBER(INDIRECT(N18)),IF(INDIRECT(N18)&lt;&gt;INT(INDIRECT(N18)),1,0),0)),"")</f>
        <v>0</v>
      </c>
      <c r="V18" s="17">
        <f t="shared" ca="1" si="12"/>
        <v>1</v>
      </c>
      <c r="W18" s="17">
        <f t="shared" ca="1" si="13"/>
        <v>0</v>
      </c>
      <c r="X18" s="24">
        <f t="array" aca="1" ref="X18" ca="1">IF(AD18,IF(AG18&lt;&gt;"",AG18,IF(J18,MIN(INDIRECT( K18)),"")),"")</f>
        <v>1</v>
      </c>
      <c r="Y18" s="17">
        <f t="array" aca="1" ref="Y18" ca="1">IF(AD18,IF(AH18&lt;&gt;"",AH18,IF(J18,MAX(INDIRECT( K18)),"")),"")</f>
        <v>2</v>
      </c>
      <c r="Z18" s="17" t="b">
        <f t="shared" ca="1" si="14"/>
        <v>1</v>
      </c>
      <c r="AC18" s="17" t="b">
        <f t="shared" ca="1" si="15"/>
        <v>0</v>
      </c>
      <c r="AD18" s="14" t="b">
        <f t="shared" ca="1" si="16"/>
        <v>1</v>
      </c>
      <c r="AE18" s="15" t="b">
        <f t="shared" ca="1" si="17"/>
        <v>1</v>
      </c>
      <c r="AF18" s="16"/>
      <c r="AG18" s="16"/>
      <c r="AH18" s="16"/>
      <c r="AI18" s="16"/>
      <c r="AJ18" s="16"/>
      <c r="AK18" s="16"/>
      <c r="AL18" s="16"/>
      <c r="AM18" s="16"/>
    </row>
    <row r="19" spans="2:39">
      <c r="B19" s="14">
        <f t="shared" si="6"/>
        <v>17</v>
      </c>
      <c r="C19" s="14" t="str">
        <f t="shared" ca="1" si="7"/>
        <v>D</v>
      </c>
      <c r="D19" s="14" t="str">
        <f t="shared" ca="1" si="8"/>
        <v>q_11</v>
      </c>
      <c r="E19" s="14" t="str">
        <f t="shared" ca="1" si="1"/>
        <v>Blood hypertension</v>
      </c>
      <c r="F19" s="14">
        <f t="shared" ca="1" si="2"/>
        <v>2</v>
      </c>
      <c r="G19" s="14" t="str">
        <f t="shared" ca="1" si="9"/>
        <v>q_11</v>
      </c>
      <c r="H19" s="14">
        <f ca="1">IF(G19&lt;&gt;"",IFERROR( IsVariableNameLegal(G19),0),0)+IF(COUNTIF(INDIRECT(wew!$C$13),G19)&gt;1,10,0)</f>
        <v>0</v>
      </c>
      <c r="I19" s="14">
        <f ca="1">IF(E19&lt;&gt;"",IF(LEN(E19)&gt;150,1,0)+IF(COUNTIF(INDIRECT(wew!$C$15),E19)&gt;1,10,0),0)</f>
        <v>0</v>
      </c>
      <c r="J19" s="14" t="b">
        <f t="shared" ca="1" si="10"/>
        <v>1</v>
      </c>
      <c r="K19" s="14" t="str">
        <f ca="1">ADDRESS(3,(B19+1)*2-1,4,,"[" &amp; wew!$G$7 &amp; "]" &amp; _sheetname_labels) &amp; ":" &amp; ADDRESS(2+ster!$B$20,(B19+1)*2-1,4)</f>
        <v>'[dane surowe2c.xlsm]labels'!AI3:AI36</v>
      </c>
      <c r="L19" s="14" t="str">
        <f ca="1">IF(F19&gt;0,ADDRESS(3,(B19+1)*2-1,4,,"[" &amp; wew!$G$7 &amp; "]" &amp; _sheetname_labels) &amp; ":" &amp; ADDRESS(2+F19,(B19+1)*2-1,4),"")</f>
        <v>'[dane surowe2c.xlsm]labels'!AI3:AI4</v>
      </c>
      <c r="M19" s="14" t="str">
        <f ca="1">IF(F19&gt;0,ADDRESS(3,(B19+1)*2,4,,"["&amp;wew!$G$7&amp;"]"&amp;_sheetname_labels)&amp;":"&amp;ADDRESS(2+F19,(B19+1)*2,4),"")</f>
        <v>'[dane surowe2c.xlsm]labels'!AJ3:AJ4</v>
      </c>
      <c r="N19" s="14" t="str">
        <f ca="1">ADDRESS(3,B19+1,4,,"[" &amp; wew!$G$7 &amp; "]" &amp;_sheetname_dataframe) &amp; ":" &amp; ADDRESS(2+ster!$C$14,B19+1,4)</f>
        <v>'[dane surowe2c.xlsm]data_frame'!R3:R35</v>
      </c>
      <c r="O19" s="14">
        <f t="shared" ca="1" si="11"/>
        <v>32</v>
      </c>
      <c r="P19" s="14">
        <f ca="1">IF(AND($AD19,$S19=1),IF(wew!$B$3,MIN(INDIRECT($N19)),"&lt;włącz podświetlanie wartości&gt;"),"—")</f>
        <v>1</v>
      </c>
      <c r="Q19" s="14">
        <f ca="1">IF(AND($AD19,$S19=1),IF(wew!$B$3,MAX(INDIRECT($N19)),"&lt;włącz podświetlanie wartości&gt;"),"—")</f>
        <v>2</v>
      </c>
      <c r="R19" s="14">
        <f ca="1">IF(AD19,ster!$C$14- (COUNTIF( INDIRECT(N19),"" )+ COUNT(INDIRECT(N19)) +COUNTIF( INDIRECT(N19),"NA" )),"")</f>
        <v>0</v>
      </c>
      <c r="S19" s="12">
        <f ca="1">IF(AD19,IF(COUNTA(INDIRECT(N19))=0,0, 1-(ster!$C$14- COUNT(INDIRECT(N19)) -COUNTIF( INDIRECT(N19),"" )) /COUNTA(INDIRECT(N19))),"")</f>
        <v>1</v>
      </c>
      <c r="T19" s="17">
        <f t="array" aca="1" ref="T19" ca="1">IF(L19&lt;&gt;"",SUM(IF(INDIRECT(L19)&lt;&gt;INT(INDIRECT(L19)),1,0)),"")</f>
        <v>0</v>
      </c>
      <c r="U19" s="17">
        <f t="array" aca="1" ref="U19" ca="1">IF(S19=1,SUM(IF(ISNUMBER(INDIRECT(N19)),IF(INDIRECT(N19)&lt;&gt;INT(INDIRECT(N19)),1,0),0)),"")</f>
        <v>0</v>
      </c>
      <c r="V19" s="17">
        <f t="shared" ca="1" si="12"/>
        <v>1</v>
      </c>
      <c r="W19" s="17">
        <f t="shared" ca="1" si="13"/>
        <v>0</v>
      </c>
      <c r="X19" s="24">
        <f t="array" aca="1" ref="X19" ca="1">IF(AD19,IF(AG19&lt;&gt;"",AG19,IF(J19,MIN(INDIRECT( K19)),"")),"")</f>
        <v>1</v>
      </c>
      <c r="Y19" s="17">
        <f t="array" aca="1" ref="Y19" ca="1">IF(AD19,IF(AH19&lt;&gt;"",AH19,IF(J19,MAX(INDIRECT( K19)),"")),"")</f>
        <v>2</v>
      </c>
      <c r="Z19" s="17" t="b">
        <f t="shared" ca="1" si="14"/>
        <v>1</v>
      </c>
      <c r="AC19" s="17" t="b">
        <f t="shared" ca="1" si="15"/>
        <v>0</v>
      </c>
      <c r="AD19" s="14" t="b">
        <f t="shared" ca="1" si="16"/>
        <v>1</v>
      </c>
      <c r="AE19" s="15" t="b">
        <f t="shared" ca="1" si="17"/>
        <v>1</v>
      </c>
      <c r="AF19" s="16"/>
      <c r="AG19" s="16"/>
      <c r="AH19" s="16"/>
      <c r="AI19" s="16"/>
      <c r="AJ19" s="16"/>
      <c r="AK19" s="16"/>
      <c r="AL19" s="16"/>
      <c r="AM19" s="16"/>
    </row>
    <row r="20" spans="2:39">
      <c r="B20" s="14">
        <f t="shared" si="6"/>
        <v>18</v>
      </c>
      <c r="C20" s="14" t="str">
        <f t="shared" ca="1" si="7"/>
        <v>D</v>
      </c>
      <c r="D20" s="14" t="str">
        <f t="shared" ca="1" si="8"/>
        <v>q_12</v>
      </c>
      <c r="E20" s="14" t="str">
        <f t="shared" ca="1" si="1"/>
        <v>Diabetes – type I / II</v>
      </c>
      <c r="F20" s="14">
        <f t="shared" ca="1" si="2"/>
        <v>2</v>
      </c>
      <c r="G20" s="14" t="str">
        <f t="shared" ca="1" si="9"/>
        <v>q_12</v>
      </c>
      <c r="H20" s="14">
        <f ca="1">IF(G20&lt;&gt;"",IFERROR( IsVariableNameLegal(G20),0),0)+IF(COUNTIF(INDIRECT(wew!$C$13),G20)&gt;1,10,0)</f>
        <v>0</v>
      </c>
      <c r="I20" s="14">
        <f ca="1">IF(E20&lt;&gt;"",IF(LEN(E20)&gt;150,1,0)+IF(COUNTIF(INDIRECT(wew!$C$15),E20)&gt;1,10,0),0)</f>
        <v>0</v>
      </c>
      <c r="J20" s="14" t="b">
        <f t="shared" ca="1" si="10"/>
        <v>1</v>
      </c>
      <c r="K20" s="14" t="str">
        <f ca="1">ADDRESS(3,(B20+1)*2-1,4,,"[" &amp; wew!$G$7 &amp; "]" &amp; _sheetname_labels) &amp; ":" &amp; ADDRESS(2+ster!$B$20,(B20+1)*2-1,4)</f>
        <v>'[dane surowe2c.xlsm]labels'!AK3:AK36</v>
      </c>
      <c r="L20" s="14" t="str">
        <f ca="1">IF(F20&gt;0,ADDRESS(3,(B20+1)*2-1,4,,"[" &amp; wew!$G$7 &amp; "]" &amp; _sheetname_labels) &amp; ":" &amp; ADDRESS(2+F20,(B20+1)*2-1,4),"")</f>
        <v>'[dane surowe2c.xlsm]labels'!AK3:AK4</v>
      </c>
      <c r="M20" s="14" t="str">
        <f ca="1">IF(F20&gt;0,ADDRESS(3,(B20+1)*2,4,,"["&amp;wew!$G$7&amp;"]"&amp;_sheetname_labels)&amp;":"&amp;ADDRESS(2+F20,(B20+1)*2,4),"")</f>
        <v>'[dane surowe2c.xlsm]labels'!AL3:AL4</v>
      </c>
      <c r="N20" s="14" t="str">
        <f ca="1">ADDRESS(3,B20+1,4,,"[" &amp; wew!$G$7 &amp; "]" &amp;_sheetname_dataframe) &amp; ":" &amp; ADDRESS(2+ster!$C$14,B20+1,4)</f>
        <v>'[dane surowe2c.xlsm]data_frame'!S3:S35</v>
      </c>
      <c r="O20" s="14">
        <f t="shared" ca="1" si="11"/>
        <v>32</v>
      </c>
      <c r="P20" s="14">
        <f ca="1">IF(AND($AD20,$S20=1),IF(wew!$B$3,MIN(INDIRECT($N20)),"&lt;włącz podświetlanie wartości&gt;"),"—")</f>
        <v>1</v>
      </c>
      <c r="Q20" s="14">
        <f ca="1">IF(AND($AD20,$S20=1),IF(wew!$B$3,MAX(INDIRECT($N20)),"&lt;włącz podświetlanie wartości&gt;"),"—")</f>
        <v>2</v>
      </c>
      <c r="R20" s="14">
        <f ca="1">IF(AD20,ster!$C$14- (COUNTIF( INDIRECT(N20),"" )+ COUNT(INDIRECT(N20)) +COUNTIF( INDIRECT(N20),"NA" )),"")</f>
        <v>0</v>
      </c>
      <c r="S20" s="12">
        <f ca="1">IF(AD20,IF(COUNTA(INDIRECT(N20))=0,0, 1-(ster!$C$14- COUNT(INDIRECT(N20)) -COUNTIF( INDIRECT(N20),"" )) /COUNTA(INDIRECT(N20))),"")</f>
        <v>1</v>
      </c>
      <c r="T20" s="17">
        <f t="array" aca="1" ref="T20" ca="1">IF(L20&lt;&gt;"",SUM(IF(INDIRECT(L20)&lt;&gt;INT(INDIRECT(L20)),1,0)),"")</f>
        <v>0</v>
      </c>
      <c r="U20" s="17">
        <f t="array" aca="1" ref="U20" ca="1">IF(S20=1,SUM(IF(ISNUMBER(INDIRECT(N20)),IF(INDIRECT(N20)&lt;&gt;INT(INDIRECT(N20)),1,0),0)),"")</f>
        <v>0</v>
      </c>
      <c r="V20" s="17">
        <f t="shared" ca="1" si="12"/>
        <v>1</v>
      </c>
      <c r="W20" s="17">
        <f t="shared" ca="1" si="13"/>
        <v>0</v>
      </c>
      <c r="X20" s="24">
        <f t="array" aca="1" ref="X20" ca="1">IF(AD20,IF(AG20&lt;&gt;"",AG20,IF(J20,MIN(INDIRECT( K20)),"")),"")</f>
        <v>1</v>
      </c>
      <c r="Y20" s="17">
        <f t="array" aca="1" ref="Y20" ca="1">IF(AD20,IF(AH20&lt;&gt;"",AH20,IF(J20,MAX(INDIRECT( K20)),"")),"")</f>
        <v>2</v>
      </c>
      <c r="Z20" s="17" t="b">
        <f t="shared" ca="1" si="14"/>
        <v>1</v>
      </c>
      <c r="AC20" s="17" t="b">
        <f t="shared" ca="1" si="15"/>
        <v>0</v>
      </c>
      <c r="AD20" s="14" t="b">
        <f t="shared" ca="1" si="16"/>
        <v>1</v>
      </c>
      <c r="AE20" s="15" t="b">
        <f t="shared" ca="1" si="17"/>
        <v>1</v>
      </c>
      <c r="AF20" s="16"/>
      <c r="AG20" s="16"/>
      <c r="AH20" s="16"/>
      <c r="AI20" s="16"/>
      <c r="AJ20" s="16"/>
      <c r="AK20" s="16"/>
      <c r="AL20" s="16"/>
      <c r="AM20" s="16"/>
    </row>
    <row r="21" spans="2:39">
      <c r="B21" s="14">
        <f t="shared" si="6"/>
        <v>19</v>
      </c>
      <c r="C21" s="14" t="str">
        <f t="shared" ca="1" si="7"/>
        <v>D</v>
      </c>
      <c r="D21" s="14" t="str">
        <f t="shared" ca="1" si="8"/>
        <v>q_13</v>
      </c>
      <c r="E21" s="14" t="str">
        <f t="shared" ca="1" si="1"/>
        <v>Hypercholesterolemia</v>
      </c>
      <c r="F21" s="14">
        <f t="shared" ca="1" si="2"/>
        <v>2</v>
      </c>
      <c r="G21" s="14" t="str">
        <f t="shared" ca="1" si="9"/>
        <v>q_13</v>
      </c>
      <c r="H21" s="14">
        <f ca="1">IF(G21&lt;&gt;"",IFERROR( IsVariableNameLegal(G21),0),0)+IF(COUNTIF(INDIRECT(wew!$C$13),G21)&gt;1,10,0)</f>
        <v>0</v>
      </c>
      <c r="I21" s="14">
        <f ca="1">IF(E21&lt;&gt;"",IF(LEN(E21)&gt;150,1,0)+IF(COUNTIF(INDIRECT(wew!$C$15),E21)&gt;1,10,0),0)</f>
        <v>0</v>
      </c>
      <c r="J21" s="14" t="b">
        <f t="shared" ca="1" si="10"/>
        <v>1</v>
      </c>
      <c r="K21" s="14" t="str">
        <f ca="1">ADDRESS(3,(B21+1)*2-1,4,,"[" &amp; wew!$G$7 &amp; "]" &amp; _sheetname_labels) &amp; ":" &amp; ADDRESS(2+ster!$B$20,(B21+1)*2-1,4)</f>
        <v>'[dane surowe2c.xlsm]labels'!AM3:AM36</v>
      </c>
      <c r="L21" s="14" t="str">
        <f ca="1">IF(F21&gt;0,ADDRESS(3,(B21+1)*2-1,4,,"[" &amp; wew!$G$7 &amp; "]" &amp; _sheetname_labels) &amp; ":" &amp; ADDRESS(2+F21,(B21+1)*2-1,4),"")</f>
        <v>'[dane surowe2c.xlsm]labels'!AM3:AM4</v>
      </c>
      <c r="M21" s="14" t="str">
        <f ca="1">IF(F21&gt;0,ADDRESS(3,(B21+1)*2,4,,"["&amp;wew!$G$7&amp;"]"&amp;_sheetname_labels)&amp;":"&amp;ADDRESS(2+F21,(B21+1)*2,4),"")</f>
        <v>'[dane surowe2c.xlsm]labels'!AN3:AN4</v>
      </c>
      <c r="N21" s="14" t="str">
        <f ca="1">ADDRESS(3,B21+1,4,,"[" &amp; wew!$G$7 &amp; "]" &amp;_sheetname_dataframe) &amp; ":" &amp; ADDRESS(2+ster!$C$14,B21+1,4)</f>
        <v>'[dane surowe2c.xlsm]data_frame'!T3:T35</v>
      </c>
      <c r="O21" s="14">
        <f t="shared" ca="1" si="11"/>
        <v>32</v>
      </c>
      <c r="P21" s="14">
        <f ca="1">IF(AND($AD21,$S21=1),IF(wew!$B$3,MIN(INDIRECT($N21)),"&lt;włącz podświetlanie wartości&gt;"),"—")</f>
        <v>1</v>
      </c>
      <c r="Q21" s="14">
        <f ca="1">IF(AND($AD21,$S21=1),IF(wew!$B$3,MAX(INDIRECT($N21)),"&lt;włącz podświetlanie wartości&gt;"),"—")</f>
        <v>2</v>
      </c>
      <c r="R21" s="14">
        <f ca="1">IF(AD21,ster!$C$14- (COUNTIF( INDIRECT(N21),"" )+ COUNT(INDIRECT(N21)) +COUNTIF( INDIRECT(N21),"NA" )),"")</f>
        <v>0</v>
      </c>
      <c r="S21" s="12">
        <f ca="1">IF(AD21,IF(COUNTA(INDIRECT(N21))=0,0, 1-(ster!$C$14- COUNT(INDIRECT(N21)) -COUNTIF( INDIRECT(N21),"" )) /COUNTA(INDIRECT(N21))),"")</f>
        <v>1</v>
      </c>
      <c r="T21" s="17">
        <f t="array" aca="1" ref="T21" ca="1">IF(L21&lt;&gt;"",SUM(IF(INDIRECT(L21)&lt;&gt;INT(INDIRECT(L21)),1,0)),"")</f>
        <v>0</v>
      </c>
      <c r="U21" s="17">
        <f t="array" aca="1" ref="U21" ca="1">IF(S21=1,SUM(IF(ISNUMBER(INDIRECT(N21)),IF(INDIRECT(N21)&lt;&gt;INT(INDIRECT(N21)),1,0),0)),"")</f>
        <v>0</v>
      </c>
      <c r="V21" s="17">
        <f t="shared" ca="1" si="12"/>
        <v>1</v>
      </c>
      <c r="W21" s="17">
        <f t="shared" ca="1" si="13"/>
        <v>0</v>
      </c>
      <c r="X21" s="24">
        <f t="array" aca="1" ref="X21" ca="1">IF(AD21,IF(AG21&lt;&gt;"",AG21,IF(J21,MIN(INDIRECT( K21)),"")),"")</f>
        <v>1</v>
      </c>
      <c r="Y21" s="17">
        <f t="array" aca="1" ref="Y21" ca="1">IF(AD21,IF(AH21&lt;&gt;"",AH21,IF(J21,MAX(INDIRECT( K21)),"")),"")</f>
        <v>2</v>
      </c>
      <c r="Z21" s="17" t="b">
        <f t="shared" ca="1" si="14"/>
        <v>1</v>
      </c>
      <c r="AC21" s="17" t="b">
        <f t="shared" ca="1" si="15"/>
        <v>0</v>
      </c>
      <c r="AD21" s="14" t="b">
        <f t="shared" ca="1" si="16"/>
        <v>1</v>
      </c>
      <c r="AE21" s="15" t="b">
        <f t="shared" ca="1" si="17"/>
        <v>1</v>
      </c>
      <c r="AF21" s="16"/>
      <c r="AG21" s="16"/>
      <c r="AH21" s="16"/>
      <c r="AI21" s="16"/>
      <c r="AJ21" s="16"/>
      <c r="AK21" s="16"/>
      <c r="AL21" s="16"/>
      <c r="AM21" s="16"/>
    </row>
    <row r="22" spans="2:39">
      <c r="B22" s="14">
        <f t="shared" si="6"/>
        <v>20</v>
      </c>
      <c r="C22" s="14" t="str">
        <f t="shared" ca="1" si="7"/>
        <v>D</v>
      </c>
      <c r="D22" s="14" t="str">
        <f t="shared" ca="1" si="8"/>
        <v>q_14</v>
      </c>
      <c r="E22" s="14" t="str">
        <f t="shared" ca="1" si="1"/>
        <v>Hypertriglyceridemia</v>
      </c>
      <c r="F22" s="14">
        <f t="shared" ca="1" si="2"/>
        <v>2</v>
      </c>
      <c r="G22" s="14" t="str">
        <f t="shared" ca="1" si="9"/>
        <v>q_14</v>
      </c>
      <c r="H22" s="14">
        <f ca="1">IF(G22&lt;&gt;"",IFERROR( IsVariableNameLegal(G22),0),0)+IF(COUNTIF(INDIRECT(wew!$C$13),G22)&gt;1,10,0)</f>
        <v>0</v>
      </c>
      <c r="I22" s="14">
        <f ca="1">IF(E22&lt;&gt;"",IF(LEN(E22)&gt;150,1,0)+IF(COUNTIF(INDIRECT(wew!$C$15),E22)&gt;1,10,0),0)</f>
        <v>0</v>
      </c>
      <c r="J22" s="14" t="b">
        <f t="shared" ca="1" si="10"/>
        <v>1</v>
      </c>
      <c r="K22" s="14" t="str">
        <f ca="1">ADDRESS(3,(B22+1)*2-1,4,,"[" &amp; wew!$G$7 &amp; "]" &amp; _sheetname_labels) &amp; ":" &amp; ADDRESS(2+ster!$B$20,(B22+1)*2-1,4)</f>
        <v>'[dane surowe2c.xlsm]labels'!AO3:AO36</v>
      </c>
      <c r="L22" s="14" t="str">
        <f ca="1">IF(F22&gt;0,ADDRESS(3,(B22+1)*2-1,4,,"[" &amp; wew!$G$7 &amp; "]" &amp; _sheetname_labels) &amp; ":" &amp; ADDRESS(2+F22,(B22+1)*2-1,4),"")</f>
        <v>'[dane surowe2c.xlsm]labels'!AO3:AO4</v>
      </c>
      <c r="M22" s="14" t="str">
        <f ca="1">IF(F22&gt;0,ADDRESS(3,(B22+1)*2,4,,"["&amp;wew!$G$7&amp;"]"&amp;_sheetname_labels)&amp;":"&amp;ADDRESS(2+F22,(B22+1)*2,4),"")</f>
        <v>'[dane surowe2c.xlsm]labels'!AP3:AP4</v>
      </c>
      <c r="N22" s="14" t="str">
        <f ca="1">ADDRESS(3,B22+1,4,,"[" &amp; wew!$G$7 &amp; "]" &amp;_sheetname_dataframe) &amp; ":" &amp; ADDRESS(2+ster!$C$14,B22+1,4)</f>
        <v>'[dane surowe2c.xlsm]data_frame'!U3:U35</v>
      </c>
      <c r="O22" s="14">
        <f t="shared" ca="1" si="11"/>
        <v>32</v>
      </c>
      <c r="P22" s="14">
        <f ca="1">IF(AND($AD22,$S22=1),IF(wew!$B$3,MIN(INDIRECT($N22)),"&lt;włącz podświetlanie wartości&gt;"),"—")</f>
        <v>1</v>
      </c>
      <c r="Q22" s="14">
        <f ca="1">IF(AND($AD22,$S22=1),IF(wew!$B$3,MAX(INDIRECT($N22)),"&lt;włącz podświetlanie wartości&gt;"),"—")</f>
        <v>2</v>
      </c>
      <c r="R22" s="14">
        <f ca="1">IF(AD22,ster!$C$14- (COUNTIF( INDIRECT(N22),"" )+ COUNT(INDIRECT(N22)) +COUNTIF( INDIRECT(N22),"NA" )),"")</f>
        <v>0</v>
      </c>
      <c r="S22" s="12">
        <f ca="1">IF(AD22,IF(COUNTA(INDIRECT(N22))=0,0, 1-(ster!$C$14- COUNT(INDIRECT(N22)) -COUNTIF( INDIRECT(N22),"" )) /COUNTA(INDIRECT(N22))),"")</f>
        <v>1</v>
      </c>
      <c r="T22" s="17">
        <f t="array" aca="1" ref="T22" ca="1">IF(L22&lt;&gt;"",SUM(IF(INDIRECT(L22)&lt;&gt;INT(INDIRECT(L22)),1,0)),"")</f>
        <v>0</v>
      </c>
      <c r="U22" s="17">
        <f t="array" aca="1" ref="U22" ca="1">IF(S22=1,SUM(IF(ISNUMBER(INDIRECT(N22)),IF(INDIRECT(N22)&lt;&gt;INT(INDIRECT(N22)),1,0),0)),"")</f>
        <v>0</v>
      </c>
      <c r="V22" s="17">
        <f t="shared" ca="1" si="12"/>
        <v>1</v>
      </c>
      <c r="W22" s="17">
        <f t="shared" ca="1" si="13"/>
        <v>0</v>
      </c>
      <c r="X22" s="24">
        <f t="array" aca="1" ref="X22" ca="1">IF(AD22,IF(AG22&lt;&gt;"",AG22,IF(J22,MIN(INDIRECT( K22)),"")),"")</f>
        <v>1</v>
      </c>
      <c r="Y22" s="17">
        <f t="array" aca="1" ref="Y22" ca="1">IF(AD22,IF(AH22&lt;&gt;"",AH22,IF(J22,MAX(INDIRECT( K22)),"")),"")</f>
        <v>2</v>
      </c>
      <c r="Z22" s="17" t="b">
        <f t="shared" ca="1" si="14"/>
        <v>1</v>
      </c>
      <c r="AC22" s="17" t="b">
        <f t="shared" ca="1" si="15"/>
        <v>0</v>
      </c>
      <c r="AD22" s="14" t="b">
        <f t="shared" ca="1" si="16"/>
        <v>1</v>
      </c>
      <c r="AE22" s="15" t="b">
        <f t="shared" ca="1" si="17"/>
        <v>1</v>
      </c>
      <c r="AF22" s="16"/>
      <c r="AG22" s="16"/>
      <c r="AH22" s="16"/>
      <c r="AI22" s="16"/>
      <c r="AJ22" s="16"/>
      <c r="AK22" s="16"/>
      <c r="AL22" s="16"/>
      <c r="AM22" s="16"/>
    </row>
    <row r="23" spans="2:39">
      <c r="B23" s="14">
        <f t="shared" si="6"/>
        <v>21</v>
      </c>
      <c r="C23" s="14" t="str">
        <f t="shared" ca="1" si="7"/>
        <v>D</v>
      </c>
      <c r="D23" s="14" t="str">
        <f t="shared" ca="1" si="8"/>
        <v>q_15</v>
      </c>
      <c r="E23" s="14" t="str">
        <f t="shared" ca="1" si="1"/>
        <v>Hyperthyroidism</v>
      </c>
      <c r="F23" s="14">
        <f t="shared" ca="1" si="2"/>
        <v>2</v>
      </c>
      <c r="G23" s="14" t="str">
        <f t="shared" ca="1" si="9"/>
        <v>q_15</v>
      </c>
      <c r="H23" s="14">
        <f ca="1">IF(G23&lt;&gt;"",IFERROR( IsVariableNameLegal(G23),0),0)+IF(COUNTIF(INDIRECT(wew!$C$13),G23)&gt;1,10,0)</f>
        <v>0</v>
      </c>
      <c r="I23" s="14">
        <f ca="1">IF(E23&lt;&gt;"",IF(LEN(E23)&gt;150,1,0)+IF(COUNTIF(INDIRECT(wew!$C$15),E23)&gt;1,10,0),0)</f>
        <v>0</v>
      </c>
      <c r="J23" s="14" t="b">
        <f t="shared" ca="1" si="10"/>
        <v>1</v>
      </c>
      <c r="K23" s="14" t="str">
        <f ca="1">ADDRESS(3,(B23+1)*2-1,4,,"[" &amp; wew!$G$7 &amp; "]" &amp; _sheetname_labels) &amp; ":" &amp; ADDRESS(2+ster!$B$20,(B23+1)*2-1,4)</f>
        <v>'[dane surowe2c.xlsm]labels'!AQ3:AQ36</v>
      </c>
      <c r="L23" s="14" t="str">
        <f ca="1">IF(F23&gt;0,ADDRESS(3,(B23+1)*2-1,4,,"[" &amp; wew!$G$7 &amp; "]" &amp; _sheetname_labels) &amp; ":" &amp; ADDRESS(2+F23,(B23+1)*2-1,4),"")</f>
        <v>'[dane surowe2c.xlsm]labels'!AQ3:AQ4</v>
      </c>
      <c r="M23" s="14" t="str">
        <f ca="1">IF(F23&gt;0,ADDRESS(3,(B23+1)*2,4,,"["&amp;wew!$G$7&amp;"]"&amp;_sheetname_labels)&amp;":"&amp;ADDRESS(2+F23,(B23+1)*2,4),"")</f>
        <v>'[dane surowe2c.xlsm]labels'!AR3:AR4</v>
      </c>
      <c r="N23" s="14" t="str">
        <f ca="1">ADDRESS(3,B23+1,4,,"[" &amp; wew!$G$7 &amp; "]" &amp;_sheetname_dataframe) &amp; ":" &amp; ADDRESS(2+ster!$C$14,B23+1,4)</f>
        <v>'[dane surowe2c.xlsm]data_frame'!V3:V35</v>
      </c>
      <c r="O23" s="14">
        <f t="shared" ca="1" si="11"/>
        <v>32</v>
      </c>
      <c r="P23" s="14">
        <f ca="1">IF(AND($AD23,$S23=1),IF(wew!$B$3,MIN(INDIRECT($N23)),"&lt;włącz podświetlanie wartości&gt;"),"—")</f>
        <v>2</v>
      </c>
      <c r="Q23" s="14">
        <f ca="1">IF(AND($AD23,$S23=1),IF(wew!$B$3,MAX(INDIRECT($N23)),"&lt;włącz podświetlanie wartości&gt;"),"—")</f>
        <v>2</v>
      </c>
      <c r="R23" s="14">
        <f ca="1">IF(AD23,ster!$C$14- (COUNTIF( INDIRECT(N23),"" )+ COUNT(INDIRECT(N23)) +COUNTIF( INDIRECT(N23),"NA" )),"")</f>
        <v>0</v>
      </c>
      <c r="S23" s="12">
        <f ca="1">IF(AD23,IF(COUNTA(INDIRECT(N23))=0,0, 1-(ster!$C$14- COUNT(INDIRECT(N23)) -COUNTIF( INDIRECT(N23),"" )) /COUNTA(INDIRECT(N23))),"")</f>
        <v>1</v>
      </c>
      <c r="T23" s="17">
        <f t="array" aca="1" ref="T23" ca="1">IF(L23&lt;&gt;"",SUM(IF(INDIRECT(L23)&lt;&gt;INT(INDIRECT(L23)),1,0)),"")</f>
        <v>0</v>
      </c>
      <c r="U23" s="17">
        <f t="array" aca="1" ref="U23" ca="1">IF(S23=1,SUM(IF(ISNUMBER(INDIRECT(N23)),IF(INDIRECT(N23)&lt;&gt;INT(INDIRECT(N23)),1,0),0)),"")</f>
        <v>0</v>
      </c>
      <c r="V23" s="17">
        <f t="shared" ca="1" si="12"/>
        <v>1</v>
      </c>
      <c r="W23" s="17">
        <f t="shared" ca="1" si="13"/>
        <v>0</v>
      </c>
      <c r="X23" s="24">
        <f t="array" aca="1" ref="X23" ca="1">IF(AD23,IF(AG23&lt;&gt;"",AG23,IF(J23,MIN(INDIRECT( K23)),"")),"")</f>
        <v>1</v>
      </c>
      <c r="Y23" s="17">
        <f t="array" aca="1" ref="Y23" ca="1">IF(AD23,IF(AH23&lt;&gt;"",AH23,IF(J23,MAX(INDIRECT( K23)),"")),"")</f>
        <v>2</v>
      </c>
      <c r="Z23" s="17" t="b">
        <f t="shared" ca="1" si="14"/>
        <v>1</v>
      </c>
      <c r="AC23" s="17" t="b">
        <f t="shared" ca="1" si="15"/>
        <v>0</v>
      </c>
      <c r="AD23" s="14" t="b">
        <f t="shared" ca="1" si="16"/>
        <v>1</v>
      </c>
      <c r="AE23" s="15" t="b">
        <f t="shared" ca="1" si="17"/>
        <v>1</v>
      </c>
      <c r="AF23" s="16"/>
      <c r="AG23" s="16"/>
      <c r="AH23" s="16"/>
      <c r="AI23" s="16"/>
      <c r="AJ23" s="16"/>
      <c r="AK23" s="16"/>
      <c r="AL23" s="16"/>
      <c r="AM23" s="16"/>
    </row>
    <row r="24" spans="2:39">
      <c r="B24" s="14">
        <f t="shared" si="6"/>
        <v>22</v>
      </c>
      <c r="C24" s="14" t="str">
        <f t="shared" ca="1" si="7"/>
        <v>D</v>
      </c>
      <c r="D24" s="14" t="str">
        <f t="shared" ca="1" si="8"/>
        <v>q_16</v>
      </c>
      <c r="E24" s="14" t="str">
        <f t="shared" ca="1" si="1"/>
        <v>Hypothyroidism</v>
      </c>
      <c r="F24" s="14">
        <f t="shared" ca="1" si="2"/>
        <v>2</v>
      </c>
      <c r="G24" s="14" t="str">
        <f t="shared" ca="1" si="9"/>
        <v>q_16</v>
      </c>
      <c r="H24" s="14">
        <f ca="1">IF(G24&lt;&gt;"",IFERROR( IsVariableNameLegal(G24),0),0)+IF(COUNTIF(INDIRECT(wew!$C$13),G24)&gt;1,10,0)</f>
        <v>0</v>
      </c>
      <c r="I24" s="14">
        <f ca="1">IF(E24&lt;&gt;"",IF(LEN(E24)&gt;150,1,0)+IF(COUNTIF(INDIRECT(wew!$C$15),E24)&gt;1,10,0),0)</f>
        <v>0</v>
      </c>
      <c r="J24" s="14" t="b">
        <f t="shared" ca="1" si="10"/>
        <v>1</v>
      </c>
      <c r="K24" s="14" t="str">
        <f ca="1">ADDRESS(3,(B24+1)*2-1,4,,"[" &amp; wew!$G$7 &amp; "]" &amp; _sheetname_labels) &amp; ":" &amp; ADDRESS(2+ster!$B$20,(B24+1)*2-1,4)</f>
        <v>'[dane surowe2c.xlsm]labels'!AS3:AS36</v>
      </c>
      <c r="L24" s="14" t="str">
        <f ca="1">IF(F24&gt;0,ADDRESS(3,(B24+1)*2-1,4,,"[" &amp; wew!$G$7 &amp; "]" &amp; _sheetname_labels) &amp; ":" &amp; ADDRESS(2+F24,(B24+1)*2-1,4),"")</f>
        <v>'[dane surowe2c.xlsm]labels'!AS3:AS4</v>
      </c>
      <c r="M24" s="14" t="str">
        <f ca="1">IF(F24&gt;0,ADDRESS(3,(B24+1)*2,4,,"["&amp;wew!$G$7&amp;"]"&amp;_sheetname_labels)&amp;":"&amp;ADDRESS(2+F24,(B24+1)*2,4),"")</f>
        <v>'[dane surowe2c.xlsm]labels'!AT3:AT4</v>
      </c>
      <c r="N24" s="14" t="str">
        <f ca="1">ADDRESS(3,B24+1,4,,"[" &amp; wew!$G$7 &amp; "]" &amp;_sheetname_dataframe) &amp; ":" &amp; ADDRESS(2+ster!$C$14,B24+1,4)</f>
        <v>'[dane surowe2c.xlsm]data_frame'!W3:W35</v>
      </c>
      <c r="O24" s="14">
        <f t="shared" ca="1" si="11"/>
        <v>32</v>
      </c>
      <c r="P24" s="14">
        <f ca="1">IF(AND($AD24,$S24=1),IF(wew!$B$3,MIN(INDIRECT($N24)),"&lt;włącz podświetlanie wartości&gt;"),"—")</f>
        <v>1</v>
      </c>
      <c r="Q24" s="14">
        <f ca="1">IF(AND($AD24,$S24=1),IF(wew!$B$3,MAX(INDIRECT($N24)),"&lt;włącz podświetlanie wartości&gt;"),"—")</f>
        <v>2</v>
      </c>
      <c r="R24" s="14">
        <f ca="1">IF(AD24,ster!$C$14- (COUNTIF( INDIRECT(N24),"" )+ COUNT(INDIRECT(N24)) +COUNTIF( INDIRECT(N24),"NA" )),"")</f>
        <v>0</v>
      </c>
      <c r="S24" s="12">
        <f ca="1">IF(AD24,IF(COUNTA(INDIRECT(N24))=0,0, 1-(ster!$C$14- COUNT(INDIRECT(N24)) -COUNTIF( INDIRECT(N24),"" )) /COUNTA(INDIRECT(N24))),"")</f>
        <v>1</v>
      </c>
      <c r="T24" s="17">
        <f t="array" aca="1" ref="T24" ca="1">IF(L24&lt;&gt;"",SUM(IF(INDIRECT(L24)&lt;&gt;INT(INDIRECT(L24)),1,0)),"")</f>
        <v>0</v>
      </c>
      <c r="U24" s="17">
        <f t="array" aca="1" ref="U24" ca="1">IF(S24=1,SUM(IF(ISNUMBER(INDIRECT(N24)),IF(INDIRECT(N24)&lt;&gt;INT(INDIRECT(N24)),1,0),0)),"")</f>
        <v>0</v>
      </c>
      <c r="V24" s="17">
        <f t="shared" ca="1" si="12"/>
        <v>1</v>
      </c>
      <c r="W24" s="17">
        <f t="shared" ca="1" si="13"/>
        <v>0</v>
      </c>
      <c r="X24" s="24">
        <f t="array" aca="1" ref="X24" ca="1">IF(AD24,IF(AG24&lt;&gt;"",AG24,IF(J24,MIN(INDIRECT( K24)),"")),"")</f>
        <v>1</v>
      </c>
      <c r="Y24" s="17">
        <f t="array" aca="1" ref="Y24" ca="1">IF(AD24,IF(AH24&lt;&gt;"",AH24,IF(J24,MAX(INDIRECT( K24)),"")),"")</f>
        <v>2</v>
      </c>
      <c r="Z24" s="17" t="b">
        <f t="shared" ca="1" si="14"/>
        <v>1</v>
      </c>
      <c r="AC24" s="17" t="b">
        <f t="shared" ca="1" si="15"/>
        <v>0</v>
      </c>
      <c r="AD24" s="14" t="b">
        <f t="shared" ca="1" si="16"/>
        <v>1</v>
      </c>
      <c r="AE24" s="15" t="b">
        <f t="shared" ca="1" si="17"/>
        <v>1</v>
      </c>
      <c r="AF24" s="16"/>
      <c r="AG24" s="16"/>
      <c r="AH24" s="16"/>
      <c r="AI24" s="16"/>
      <c r="AJ24" s="16"/>
      <c r="AK24" s="16"/>
      <c r="AL24" s="16"/>
      <c r="AM24" s="16"/>
    </row>
    <row r="25" spans="2:39">
      <c r="B25" s="14">
        <f t="shared" si="6"/>
        <v>23</v>
      </c>
      <c r="C25" s="14" t="str">
        <f t="shared" ca="1" si="7"/>
        <v>D</v>
      </c>
      <c r="D25" s="14" t="str">
        <f t="shared" ca="1" si="8"/>
        <v>q_17</v>
      </c>
      <c r="E25" s="14" t="str">
        <f t="shared" ca="1" si="1"/>
        <v>Autoimmune rheumatologic disorder</v>
      </c>
      <c r="F25" s="14">
        <f t="shared" ca="1" si="2"/>
        <v>2</v>
      </c>
      <c r="G25" s="14" t="str">
        <f t="shared" ca="1" si="9"/>
        <v>q_17</v>
      </c>
      <c r="H25" s="14">
        <f ca="1">IF(G25&lt;&gt;"",IFERROR( IsVariableNameLegal(G25),0),0)+IF(COUNTIF(INDIRECT(wew!$C$13),G25)&gt;1,10,0)</f>
        <v>0</v>
      </c>
      <c r="I25" s="14">
        <f ca="1">IF(E25&lt;&gt;"",IF(LEN(E25)&gt;150,1,0)+IF(COUNTIF(INDIRECT(wew!$C$15),E25)&gt;1,10,0),0)</f>
        <v>0</v>
      </c>
      <c r="J25" s="14" t="b">
        <f t="shared" ca="1" si="10"/>
        <v>1</v>
      </c>
      <c r="K25" s="14" t="str">
        <f ca="1">ADDRESS(3,(B25+1)*2-1,4,,"[" &amp; wew!$G$7 &amp; "]" &amp; _sheetname_labels) &amp; ":" &amp; ADDRESS(2+ster!$B$20,(B25+1)*2-1,4)</f>
        <v>'[dane surowe2c.xlsm]labels'!AU3:AU36</v>
      </c>
      <c r="L25" s="14" t="str">
        <f ca="1">IF(F25&gt;0,ADDRESS(3,(B25+1)*2-1,4,,"[" &amp; wew!$G$7 &amp; "]" &amp; _sheetname_labels) &amp; ":" &amp; ADDRESS(2+F25,(B25+1)*2-1,4),"")</f>
        <v>'[dane surowe2c.xlsm]labels'!AU3:AU4</v>
      </c>
      <c r="M25" s="14" t="str">
        <f ca="1">IF(F25&gt;0,ADDRESS(3,(B25+1)*2,4,,"["&amp;wew!$G$7&amp;"]"&amp;_sheetname_labels)&amp;":"&amp;ADDRESS(2+F25,(B25+1)*2,4),"")</f>
        <v>'[dane surowe2c.xlsm]labels'!AV3:AV4</v>
      </c>
      <c r="N25" s="14" t="str">
        <f ca="1">ADDRESS(3,B25+1,4,,"[" &amp; wew!$G$7 &amp; "]" &amp;_sheetname_dataframe) &amp; ":" &amp; ADDRESS(2+ster!$C$14,B25+1,4)</f>
        <v>'[dane surowe2c.xlsm]data_frame'!X3:X35</v>
      </c>
      <c r="O25" s="14">
        <f t="shared" ca="1" si="11"/>
        <v>32</v>
      </c>
      <c r="P25" s="14">
        <f ca="1">IF(AND($AD25,$S25=1),IF(wew!$B$3,MIN(INDIRECT($N25)),"&lt;włącz podświetlanie wartości&gt;"),"—")</f>
        <v>1</v>
      </c>
      <c r="Q25" s="14">
        <f ca="1">IF(AND($AD25,$S25=1),IF(wew!$B$3,MAX(INDIRECT($N25)),"&lt;włącz podświetlanie wartości&gt;"),"—")</f>
        <v>2</v>
      </c>
      <c r="R25" s="14">
        <f ca="1">IF(AD25,ster!$C$14- (COUNTIF( INDIRECT(N25),"" )+ COUNT(INDIRECT(N25)) +COUNTIF( INDIRECT(N25),"NA" )),"")</f>
        <v>0</v>
      </c>
      <c r="S25" s="12">
        <f ca="1">IF(AD25,IF(COUNTA(INDIRECT(N25))=0,0, 1-(ster!$C$14- COUNT(INDIRECT(N25)) -COUNTIF( INDIRECT(N25),"" )) /COUNTA(INDIRECT(N25))),"")</f>
        <v>1</v>
      </c>
      <c r="T25" s="17">
        <f t="array" aca="1" ref="T25" ca="1">IF(L25&lt;&gt;"",SUM(IF(INDIRECT(L25)&lt;&gt;INT(INDIRECT(L25)),1,0)),"")</f>
        <v>0</v>
      </c>
      <c r="U25" s="17">
        <f t="array" aca="1" ref="U25" ca="1">IF(S25=1,SUM(IF(ISNUMBER(INDIRECT(N25)),IF(INDIRECT(N25)&lt;&gt;INT(INDIRECT(N25)),1,0),0)),"")</f>
        <v>0</v>
      </c>
      <c r="V25" s="17">
        <f t="shared" ca="1" si="12"/>
        <v>1</v>
      </c>
      <c r="W25" s="17">
        <f t="shared" ca="1" si="13"/>
        <v>0</v>
      </c>
      <c r="X25" s="24">
        <f t="array" aca="1" ref="X25" ca="1">IF(AD25,IF(AG25&lt;&gt;"",AG25,IF(J25,MIN(INDIRECT( K25)),"")),"")</f>
        <v>1</v>
      </c>
      <c r="Y25" s="17">
        <f t="array" aca="1" ref="Y25" ca="1">IF(AD25,IF(AH25&lt;&gt;"",AH25,IF(J25,MAX(INDIRECT( K25)),"")),"")</f>
        <v>2</v>
      </c>
      <c r="Z25" s="17" t="b">
        <f t="shared" ca="1" si="14"/>
        <v>1</v>
      </c>
      <c r="AC25" s="17" t="b">
        <f t="shared" ca="1" si="15"/>
        <v>0</v>
      </c>
      <c r="AD25" s="14" t="b">
        <f t="shared" ca="1" si="16"/>
        <v>1</v>
      </c>
      <c r="AE25" s="15" t="b">
        <f t="shared" ca="1" si="17"/>
        <v>1</v>
      </c>
      <c r="AF25" s="16"/>
      <c r="AG25" s="16"/>
      <c r="AH25" s="16"/>
      <c r="AI25" s="16"/>
      <c r="AJ25" s="16"/>
      <c r="AK25" s="16"/>
      <c r="AL25" s="16"/>
      <c r="AM25" s="16"/>
    </row>
    <row r="26" spans="2:39">
      <c r="B26" s="14">
        <f t="shared" si="6"/>
        <v>24</v>
      </c>
      <c r="C26" s="14" t="str">
        <f t="shared" ca="1" si="7"/>
        <v>D</v>
      </c>
      <c r="D26" s="14" t="str">
        <f t="shared" ca="1" si="8"/>
        <v>q_18</v>
      </c>
      <c r="E26" s="14" t="str">
        <f t="shared" ca="1" si="1"/>
        <v>Autoimmune intestinal disorder</v>
      </c>
      <c r="F26" s="14">
        <f t="shared" ca="1" si="2"/>
        <v>2</v>
      </c>
      <c r="G26" s="14" t="str">
        <f t="shared" ca="1" si="9"/>
        <v>q_18</v>
      </c>
      <c r="H26" s="14">
        <f ca="1">IF(G26&lt;&gt;"",IFERROR( IsVariableNameLegal(G26),0),0)+IF(COUNTIF(INDIRECT(wew!$C$13),G26)&gt;1,10,0)</f>
        <v>0</v>
      </c>
      <c r="I26" s="14">
        <f ca="1">IF(E26&lt;&gt;"",IF(LEN(E26)&gt;150,1,0)+IF(COUNTIF(INDIRECT(wew!$C$15),E26)&gt;1,10,0),0)</f>
        <v>0</v>
      </c>
      <c r="J26" s="14" t="b">
        <f t="shared" ca="1" si="10"/>
        <v>1</v>
      </c>
      <c r="K26" s="14" t="str">
        <f ca="1">ADDRESS(3,(B26+1)*2-1,4,,"[" &amp; wew!$G$7 &amp; "]" &amp; _sheetname_labels) &amp; ":" &amp; ADDRESS(2+ster!$B$20,(B26+1)*2-1,4)</f>
        <v>'[dane surowe2c.xlsm]labels'!AW3:AW36</v>
      </c>
      <c r="L26" s="14" t="str">
        <f ca="1">IF(F26&gt;0,ADDRESS(3,(B26+1)*2-1,4,,"[" &amp; wew!$G$7 &amp; "]" &amp; _sheetname_labels) &amp; ":" &amp; ADDRESS(2+F26,(B26+1)*2-1,4),"")</f>
        <v>'[dane surowe2c.xlsm]labels'!AW3:AW4</v>
      </c>
      <c r="M26" s="14" t="str">
        <f ca="1">IF(F26&gt;0,ADDRESS(3,(B26+1)*2,4,,"["&amp;wew!$G$7&amp;"]"&amp;_sheetname_labels)&amp;":"&amp;ADDRESS(2+F26,(B26+1)*2,4),"")</f>
        <v>'[dane surowe2c.xlsm]labels'!AX3:AX4</v>
      </c>
      <c r="N26" s="14" t="str">
        <f ca="1">ADDRESS(3,B26+1,4,,"[" &amp; wew!$G$7 &amp; "]" &amp;_sheetname_dataframe) &amp; ":" &amp; ADDRESS(2+ster!$C$14,B26+1,4)</f>
        <v>'[dane surowe2c.xlsm]data_frame'!Y3:Y35</v>
      </c>
      <c r="O26" s="14">
        <f t="shared" ca="1" si="11"/>
        <v>32</v>
      </c>
      <c r="P26" s="14">
        <f ca="1">IF(AND($AD26,$S26=1),IF(wew!$B$3,MIN(INDIRECT($N26)),"&lt;włącz podświetlanie wartości&gt;"),"—")</f>
        <v>2</v>
      </c>
      <c r="Q26" s="14">
        <f ca="1">IF(AND($AD26,$S26=1),IF(wew!$B$3,MAX(INDIRECT($N26)),"&lt;włącz podświetlanie wartości&gt;"),"—")</f>
        <v>2</v>
      </c>
      <c r="R26" s="14">
        <f ca="1">IF(AD26,ster!$C$14- (COUNTIF( INDIRECT(N26),"" )+ COUNT(INDIRECT(N26)) +COUNTIF( INDIRECT(N26),"NA" )),"")</f>
        <v>0</v>
      </c>
      <c r="S26" s="12">
        <f ca="1">IF(AD26,IF(COUNTA(INDIRECT(N26))=0,0, 1-(ster!$C$14- COUNT(INDIRECT(N26)) -COUNTIF( INDIRECT(N26),"" )) /COUNTA(INDIRECT(N26))),"")</f>
        <v>1</v>
      </c>
      <c r="T26" s="17">
        <f t="array" aca="1" ref="T26" ca="1">IF(L26&lt;&gt;"",SUM(IF(INDIRECT(L26)&lt;&gt;INT(INDIRECT(L26)),1,0)),"")</f>
        <v>0</v>
      </c>
      <c r="U26" s="17">
        <f t="array" aca="1" ref="U26" ca="1">IF(S26=1,SUM(IF(ISNUMBER(INDIRECT(N26)),IF(INDIRECT(N26)&lt;&gt;INT(INDIRECT(N26)),1,0),0)),"")</f>
        <v>0</v>
      </c>
      <c r="V26" s="17">
        <f t="shared" ca="1" si="12"/>
        <v>1</v>
      </c>
      <c r="W26" s="17">
        <f t="shared" ca="1" si="13"/>
        <v>0</v>
      </c>
      <c r="X26" s="24">
        <f t="array" aca="1" ref="X26" ca="1">IF(AD26,IF(AG26&lt;&gt;"",AG26,IF(J26,MIN(INDIRECT( K26)),"")),"")</f>
        <v>1</v>
      </c>
      <c r="Y26" s="17">
        <f t="array" aca="1" ref="Y26" ca="1">IF(AD26,IF(AH26&lt;&gt;"",AH26,IF(J26,MAX(INDIRECT( K26)),"")),"")</f>
        <v>2</v>
      </c>
      <c r="Z26" s="17" t="b">
        <f t="shared" ca="1" si="14"/>
        <v>1</v>
      </c>
      <c r="AC26" s="17" t="b">
        <f t="shared" ca="1" si="15"/>
        <v>0</v>
      </c>
      <c r="AD26" s="14" t="b">
        <f t="shared" ca="1" si="16"/>
        <v>1</v>
      </c>
      <c r="AE26" s="15" t="b">
        <f t="shared" ca="1" si="17"/>
        <v>1</v>
      </c>
      <c r="AF26" s="16"/>
      <c r="AG26" s="16"/>
      <c r="AH26" s="16"/>
      <c r="AI26" s="16"/>
      <c r="AJ26" s="16"/>
      <c r="AK26" s="16"/>
      <c r="AL26" s="16"/>
      <c r="AM26" s="16"/>
    </row>
    <row r="27" spans="2:39">
      <c r="B27" s="14">
        <f t="shared" si="6"/>
        <v>25</v>
      </c>
      <c r="C27" s="14" t="str">
        <f t="shared" ca="1" si="7"/>
        <v>N</v>
      </c>
      <c r="D27" s="14" t="str">
        <f t="shared" ca="1" si="8"/>
        <v>q_19</v>
      </c>
      <c r="E27" s="14" t="str">
        <f t="shared" ca="1" si="1"/>
        <v>Stroke</v>
      </c>
      <c r="F27" s="14">
        <f t="shared" ca="1" si="2"/>
        <v>4</v>
      </c>
      <c r="G27" s="14" t="str">
        <f t="shared" ca="1" si="9"/>
        <v>q_19</v>
      </c>
      <c r="H27" s="14">
        <f ca="1">IF(G27&lt;&gt;"",IFERROR( IsVariableNameLegal(G27),0),0)+IF(COUNTIF(INDIRECT(wew!$C$13),G27)&gt;1,10,0)</f>
        <v>0</v>
      </c>
      <c r="I27" s="14">
        <f ca="1">IF(E27&lt;&gt;"",IF(LEN(E27)&gt;150,1,0)+IF(COUNTIF(INDIRECT(wew!$C$15),E27)&gt;1,10,0),0)</f>
        <v>0</v>
      </c>
      <c r="J27" s="14" t="b">
        <f t="shared" ca="1" si="10"/>
        <v>1</v>
      </c>
      <c r="K27" s="14" t="str">
        <f ca="1">ADDRESS(3,(B27+1)*2-1,4,,"[" &amp; wew!$G$7 &amp; "]" &amp; _sheetname_labels) &amp; ":" &amp; ADDRESS(2+ster!$B$20,(B27+1)*2-1,4)</f>
        <v>'[dane surowe2c.xlsm]labels'!AY3:AY36</v>
      </c>
      <c r="L27" s="14" t="str">
        <f ca="1">IF(F27&gt;0,ADDRESS(3,(B27+1)*2-1,4,,"[" &amp; wew!$G$7 &amp; "]" &amp; _sheetname_labels) &amp; ":" &amp; ADDRESS(2+F27,(B27+1)*2-1,4),"")</f>
        <v>'[dane surowe2c.xlsm]labels'!AY3:AY6</v>
      </c>
      <c r="M27" s="14" t="str">
        <f ca="1">IF(F27&gt;0,ADDRESS(3,(B27+1)*2,4,,"["&amp;wew!$G$7&amp;"]"&amp;_sheetname_labels)&amp;":"&amp;ADDRESS(2+F27,(B27+1)*2,4),"")</f>
        <v>'[dane surowe2c.xlsm]labels'!AZ3:AZ6</v>
      </c>
      <c r="N27" s="14" t="str">
        <f ca="1">ADDRESS(3,B27+1,4,,"[" &amp; wew!$G$7 &amp; "]" &amp;_sheetname_dataframe) &amp; ":" &amp; ADDRESS(2+ster!$C$14,B27+1,4)</f>
        <v>'[dane surowe2c.xlsm]data_frame'!Z3:Z35</v>
      </c>
      <c r="O27" s="14">
        <f t="shared" ca="1" si="11"/>
        <v>32</v>
      </c>
      <c r="P27" s="14">
        <f ca="1">IF(AND($AD27,$S27=1),IF(wew!$B$3,MIN(INDIRECT($N27)),"&lt;włącz podświetlanie wartości&gt;"),"—")</f>
        <v>1</v>
      </c>
      <c r="Q27" s="14">
        <f ca="1">IF(AND($AD27,$S27=1),IF(wew!$B$3,MAX(INDIRECT($N27)),"&lt;włącz podświetlanie wartości&gt;"),"—")</f>
        <v>4</v>
      </c>
      <c r="R27" s="14">
        <f ca="1">IF(AD27,ster!$C$14- (COUNTIF( INDIRECT(N27),"" )+ COUNT(INDIRECT(N27)) +COUNTIF( INDIRECT(N27),"NA" )),"")</f>
        <v>0</v>
      </c>
      <c r="S27" s="12">
        <f ca="1">IF(AD27,IF(COUNTA(INDIRECT(N27))=0,0, 1-(ster!$C$14- COUNT(INDIRECT(N27)) -COUNTIF( INDIRECT(N27),"" )) /COUNTA(INDIRECT(N27))),"")</f>
        <v>1</v>
      </c>
      <c r="T27" s="17">
        <f t="array" aca="1" ref="T27" ca="1">IF(L27&lt;&gt;"",SUM(IF(INDIRECT(L27)&lt;&gt;INT(INDIRECT(L27)),1,0)),"")</f>
        <v>0</v>
      </c>
      <c r="U27" s="17">
        <f t="array" aca="1" ref="U27" ca="1">IF(S27=1,SUM(IF(ISNUMBER(INDIRECT(N27)),IF(INDIRECT(N27)&lt;&gt;INT(INDIRECT(N27)),1,0),0)),"")</f>
        <v>0</v>
      </c>
      <c r="V27" s="17">
        <f t="shared" ca="1" si="12"/>
        <v>1</v>
      </c>
      <c r="W27" s="17">
        <f t="shared" ca="1" si="13"/>
        <v>0</v>
      </c>
      <c r="X27" s="24">
        <f t="array" aca="1" ref="X27" ca="1">IF(AD27,IF(AG27&lt;&gt;"",AG27,IF(J27,MIN(INDIRECT( K27)),"")),"")</f>
        <v>1</v>
      </c>
      <c r="Y27" s="17">
        <f t="array" aca="1" ref="Y27" ca="1">IF(AD27,IF(AH27&lt;&gt;"",AH27,IF(J27,MAX(INDIRECT( K27)),"")),"")</f>
        <v>4</v>
      </c>
      <c r="Z27" s="17" t="b">
        <f t="shared" ca="1" si="14"/>
        <v>1</v>
      </c>
      <c r="AC27" s="17" t="b">
        <f t="shared" ca="1" si="15"/>
        <v>0</v>
      </c>
      <c r="AD27" s="14" t="b">
        <f t="shared" ca="1" si="16"/>
        <v>1</v>
      </c>
      <c r="AE27" s="15" t="b">
        <f t="shared" ca="1" si="17"/>
        <v>1</v>
      </c>
      <c r="AF27" s="16"/>
      <c r="AG27" s="16"/>
      <c r="AH27" s="16"/>
      <c r="AI27" s="16"/>
      <c r="AJ27" s="16"/>
      <c r="AK27" s="16"/>
      <c r="AL27" s="16"/>
      <c r="AM27" s="16"/>
    </row>
    <row r="28" spans="2:39">
      <c r="B28" s="14">
        <f t="shared" si="6"/>
        <v>26</v>
      </c>
      <c r="C28" s="14" t="str">
        <f t="shared" ca="1" si="7"/>
        <v>D</v>
      </c>
      <c r="D28" s="14" t="str">
        <f t="shared" ca="1" si="8"/>
        <v>q_20</v>
      </c>
      <c r="E28" s="14" t="str">
        <f t="shared" ca="1" si="1"/>
        <v>Heart – ischemia</v>
      </c>
      <c r="F28" s="14">
        <f t="shared" ca="1" si="2"/>
        <v>2</v>
      </c>
      <c r="G28" s="14" t="str">
        <f t="shared" ca="1" si="9"/>
        <v>q_20</v>
      </c>
      <c r="H28" s="14">
        <f ca="1">IF(G28&lt;&gt;"",IFERROR( IsVariableNameLegal(G28),0),0)+IF(COUNTIF(INDIRECT(wew!$C$13),G28)&gt;1,10,0)</f>
        <v>0</v>
      </c>
      <c r="I28" s="14">
        <f ca="1">IF(E28&lt;&gt;"",IF(LEN(E28)&gt;150,1,0)+IF(COUNTIF(INDIRECT(wew!$C$15),E28)&gt;1,10,0),0)</f>
        <v>0</v>
      </c>
      <c r="J28" s="14" t="b">
        <f t="shared" ca="1" si="10"/>
        <v>1</v>
      </c>
      <c r="K28" s="14" t="str">
        <f ca="1">ADDRESS(3,(B28+1)*2-1,4,,"[" &amp; wew!$G$7 &amp; "]" &amp; _sheetname_labels) &amp; ":" &amp; ADDRESS(2+ster!$B$20,(B28+1)*2-1,4)</f>
        <v>'[dane surowe2c.xlsm]labels'!BA3:BA36</v>
      </c>
      <c r="L28" s="14" t="str">
        <f ca="1">IF(F28&gt;0,ADDRESS(3,(B28+1)*2-1,4,,"[" &amp; wew!$G$7 &amp; "]" &amp; _sheetname_labels) &amp; ":" &amp; ADDRESS(2+F28,(B28+1)*2-1,4),"")</f>
        <v>'[dane surowe2c.xlsm]labels'!BA3:BA4</v>
      </c>
      <c r="M28" s="14" t="str">
        <f ca="1">IF(F28&gt;0,ADDRESS(3,(B28+1)*2,4,,"["&amp;wew!$G$7&amp;"]"&amp;_sheetname_labels)&amp;":"&amp;ADDRESS(2+F28,(B28+1)*2,4),"")</f>
        <v>'[dane surowe2c.xlsm]labels'!BB3:BB4</v>
      </c>
      <c r="N28" s="14" t="str">
        <f ca="1">ADDRESS(3,B28+1,4,,"[" &amp; wew!$G$7 &amp; "]" &amp;_sheetname_dataframe) &amp; ":" &amp; ADDRESS(2+ster!$C$14,B28+1,4)</f>
        <v>'[dane surowe2c.xlsm]data_frame'!AA3:AA35</v>
      </c>
      <c r="O28" s="14">
        <f t="shared" ca="1" si="11"/>
        <v>32</v>
      </c>
      <c r="P28" s="14">
        <f ca="1">IF(AND($AD28,$S28=1),IF(wew!$B$3,MIN(INDIRECT($N28)),"&lt;włącz podświetlanie wartości&gt;"),"—")</f>
        <v>1</v>
      </c>
      <c r="Q28" s="14">
        <f ca="1">IF(AND($AD28,$S28=1),IF(wew!$B$3,MAX(INDIRECT($N28)),"&lt;włącz podświetlanie wartości&gt;"),"—")</f>
        <v>2</v>
      </c>
      <c r="R28" s="14">
        <f ca="1">IF(AD28,ster!$C$14- (COUNTIF( INDIRECT(N28),"" )+ COUNT(INDIRECT(N28)) +COUNTIF( INDIRECT(N28),"NA" )),"")</f>
        <v>0</v>
      </c>
      <c r="S28" s="12">
        <f ca="1">IF(AD28,IF(COUNTA(INDIRECT(N28))=0,0, 1-(ster!$C$14- COUNT(INDIRECT(N28)) -COUNTIF( INDIRECT(N28),"" )) /COUNTA(INDIRECT(N28))),"")</f>
        <v>1</v>
      </c>
      <c r="T28" s="17">
        <f t="array" aca="1" ref="T28" ca="1">IF(L28&lt;&gt;"",SUM(IF(INDIRECT(L28)&lt;&gt;INT(INDIRECT(L28)),1,0)),"")</f>
        <v>0</v>
      </c>
      <c r="U28" s="17">
        <f t="array" aca="1" ref="U28" ca="1">IF(S28=1,SUM(IF(ISNUMBER(INDIRECT(N28)),IF(INDIRECT(N28)&lt;&gt;INT(INDIRECT(N28)),1,0),0)),"")</f>
        <v>0</v>
      </c>
      <c r="V28" s="17">
        <f t="shared" ca="1" si="12"/>
        <v>1</v>
      </c>
      <c r="W28" s="17">
        <f t="shared" ca="1" si="13"/>
        <v>0</v>
      </c>
      <c r="X28" s="24">
        <f t="array" aca="1" ref="X28" ca="1">IF(AD28,IF(AG28&lt;&gt;"",AG28,IF(J28,MIN(INDIRECT( K28)),"")),"")</f>
        <v>1</v>
      </c>
      <c r="Y28" s="17">
        <f t="array" aca="1" ref="Y28" ca="1">IF(AD28,IF(AH28&lt;&gt;"",AH28,IF(J28,MAX(INDIRECT( K28)),"")),"")</f>
        <v>2</v>
      </c>
      <c r="Z28" s="17" t="b">
        <f t="shared" ca="1" si="14"/>
        <v>1</v>
      </c>
      <c r="AC28" s="17" t="b">
        <f t="shared" ca="1" si="15"/>
        <v>0</v>
      </c>
      <c r="AD28" s="14" t="b">
        <f t="shared" ca="1" si="16"/>
        <v>1</v>
      </c>
      <c r="AE28" s="15" t="b">
        <f t="shared" ca="1" si="17"/>
        <v>1</v>
      </c>
      <c r="AF28" s="16"/>
      <c r="AG28" s="16"/>
      <c r="AH28" s="16"/>
      <c r="AI28" s="16"/>
      <c r="AJ28" s="16"/>
      <c r="AK28" s="16"/>
      <c r="AL28" s="16"/>
      <c r="AM28" s="16"/>
    </row>
    <row r="29" spans="2:39">
      <c r="B29" s="14">
        <f t="shared" si="6"/>
        <v>27</v>
      </c>
      <c r="C29" s="14" t="str">
        <f t="shared" ca="1" si="7"/>
        <v>D</v>
      </c>
      <c r="D29" s="14" t="str">
        <f t="shared" ca="1" si="8"/>
        <v>q_21</v>
      </c>
      <c r="E29" s="14" t="str">
        <f t="shared" ca="1" si="1"/>
        <v>Heart – arrhytmia</v>
      </c>
      <c r="F29" s="14">
        <f t="shared" ca="1" si="2"/>
        <v>2</v>
      </c>
      <c r="G29" s="14" t="str">
        <f t="shared" ca="1" si="9"/>
        <v>q_21</v>
      </c>
      <c r="H29" s="14">
        <f ca="1">IF(G29&lt;&gt;"",IFERROR( IsVariableNameLegal(G29),0),0)+IF(COUNTIF(INDIRECT(wew!$C$13),G29)&gt;1,10,0)</f>
        <v>0</v>
      </c>
      <c r="I29" s="14">
        <f ca="1">IF(E29&lt;&gt;"",IF(LEN(E29)&gt;150,1,0)+IF(COUNTIF(INDIRECT(wew!$C$15),E29)&gt;1,10,0),0)</f>
        <v>0</v>
      </c>
      <c r="J29" s="14" t="b">
        <f t="shared" ca="1" si="10"/>
        <v>1</v>
      </c>
      <c r="K29" s="14" t="str">
        <f ca="1">ADDRESS(3,(B29+1)*2-1,4,,"[" &amp; wew!$G$7 &amp; "]" &amp; _sheetname_labels) &amp; ":" &amp; ADDRESS(2+ster!$B$20,(B29+1)*2-1,4)</f>
        <v>'[dane surowe2c.xlsm]labels'!BC3:BC36</v>
      </c>
      <c r="L29" s="14" t="str">
        <f ca="1">IF(F29&gt;0,ADDRESS(3,(B29+1)*2-1,4,,"[" &amp; wew!$G$7 &amp; "]" &amp; _sheetname_labels) &amp; ":" &amp; ADDRESS(2+F29,(B29+1)*2-1,4),"")</f>
        <v>'[dane surowe2c.xlsm]labels'!BC3:BC4</v>
      </c>
      <c r="M29" s="14" t="str">
        <f ca="1">IF(F29&gt;0,ADDRESS(3,(B29+1)*2,4,,"["&amp;wew!$G$7&amp;"]"&amp;_sheetname_labels)&amp;":"&amp;ADDRESS(2+F29,(B29+1)*2,4),"")</f>
        <v>'[dane surowe2c.xlsm]labels'!BD3:BD4</v>
      </c>
      <c r="N29" s="14" t="str">
        <f ca="1">ADDRESS(3,B29+1,4,,"[" &amp; wew!$G$7 &amp; "]" &amp;_sheetname_dataframe) &amp; ":" &amp; ADDRESS(2+ster!$C$14,B29+1,4)</f>
        <v>'[dane surowe2c.xlsm]data_frame'!AB3:AB35</v>
      </c>
      <c r="O29" s="14">
        <f t="shared" ca="1" si="11"/>
        <v>32</v>
      </c>
      <c r="P29" s="14">
        <f ca="1">IF(AND($AD29,$S29=1),IF(wew!$B$3,MIN(INDIRECT($N29)),"&lt;włącz podświetlanie wartości&gt;"),"—")</f>
        <v>1</v>
      </c>
      <c r="Q29" s="14">
        <f ca="1">IF(AND($AD29,$S29=1),IF(wew!$B$3,MAX(INDIRECT($N29)),"&lt;włącz podświetlanie wartości&gt;"),"—")</f>
        <v>2</v>
      </c>
      <c r="R29" s="14">
        <f ca="1">IF(AD29,ster!$C$14- (COUNTIF( INDIRECT(N29),"" )+ COUNT(INDIRECT(N29)) +COUNTIF( INDIRECT(N29),"NA" )),"")</f>
        <v>0</v>
      </c>
      <c r="S29" s="12">
        <f ca="1">IF(AD29,IF(COUNTA(INDIRECT(N29))=0,0, 1-(ster!$C$14- COUNT(INDIRECT(N29)) -COUNTIF( INDIRECT(N29),"" )) /COUNTA(INDIRECT(N29))),"")</f>
        <v>1</v>
      </c>
      <c r="T29" s="17">
        <f t="array" aca="1" ref="T29" ca="1">IF(L29&lt;&gt;"",SUM(IF(INDIRECT(L29)&lt;&gt;INT(INDIRECT(L29)),1,0)),"")</f>
        <v>0</v>
      </c>
      <c r="U29" s="17">
        <f t="array" aca="1" ref="U29" ca="1">IF(S29=1,SUM(IF(ISNUMBER(INDIRECT(N29)),IF(INDIRECT(N29)&lt;&gt;INT(INDIRECT(N29)),1,0),0)),"")</f>
        <v>0</v>
      </c>
      <c r="V29" s="17">
        <f t="shared" ca="1" si="12"/>
        <v>1</v>
      </c>
      <c r="W29" s="17">
        <f t="shared" ca="1" si="13"/>
        <v>0</v>
      </c>
      <c r="X29" s="24">
        <f t="array" aca="1" ref="X29" ca="1">IF(AD29,IF(AG29&lt;&gt;"",AG29,IF(J29,MIN(INDIRECT( K29)),"")),"")</f>
        <v>1</v>
      </c>
      <c r="Y29" s="17">
        <f t="array" aca="1" ref="Y29" ca="1">IF(AD29,IF(AH29&lt;&gt;"",AH29,IF(J29,MAX(INDIRECT( K29)),"")),"")</f>
        <v>2</v>
      </c>
      <c r="Z29" s="17" t="b">
        <f t="shared" ca="1" si="14"/>
        <v>1</v>
      </c>
      <c r="AC29" s="17" t="b">
        <f t="shared" ca="1" si="15"/>
        <v>0</v>
      </c>
      <c r="AD29" s="14" t="b">
        <f t="shared" ca="1" si="16"/>
        <v>1</v>
      </c>
      <c r="AE29" s="15" t="b">
        <f t="shared" ca="1" si="17"/>
        <v>1</v>
      </c>
      <c r="AF29" s="16"/>
      <c r="AG29" s="16"/>
      <c r="AH29" s="16"/>
      <c r="AI29" s="16"/>
      <c r="AJ29" s="16"/>
      <c r="AK29" s="16"/>
      <c r="AL29" s="16"/>
      <c r="AM29" s="16"/>
    </row>
    <row r="30" spans="2:39">
      <c r="B30" s="14">
        <f t="shared" si="6"/>
        <v>28</v>
      </c>
      <c r="C30" s="14" t="str">
        <f t="shared" ca="1" si="7"/>
        <v>D</v>
      </c>
      <c r="D30" s="14" t="str">
        <f t="shared" ca="1" si="8"/>
        <v>q_22</v>
      </c>
      <c r="E30" s="14" t="str">
        <f t="shared" ca="1" si="1"/>
        <v>Heart – insufficiency</v>
      </c>
      <c r="F30" s="14">
        <f t="shared" ca="1" si="2"/>
        <v>2</v>
      </c>
      <c r="G30" s="14" t="str">
        <f t="shared" ca="1" si="9"/>
        <v>q_22</v>
      </c>
      <c r="H30" s="14">
        <f ca="1">IF(G30&lt;&gt;"",IFERROR( IsVariableNameLegal(G30),0),0)+IF(COUNTIF(INDIRECT(wew!$C$13),G30)&gt;1,10,0)</f>
        <v>0</v>
      </c>
      <c r="I30" s="14">
        <f ca="1">IF(E30&lt;&gt;"",IF(LEN(E30)&gt;150,1,0)+IF(COUNTIF(INDIRECT(wew!$C$15),E30)&gt;1,10,0),0)</f>
        <v>0</v>
      </c>
      <c r="J30" s="14" t="b">
        <f t="shared" ca="1" si="10"/>
        <v>1</v>
      </c>
      <c r="K30" s="14" t="str">
        <f ca="1">ADDRESS(3,(B30+1)*2-1,4,,"[" &amp; wew!$G$7 &amp; "]" &amp; _sheetname_labels) &amp; ":" &amp; ADDRESS(2+ster!$B$20,(B30+1)*2-1,4)</f>
        <v>'[dane surowe2c.xlsm]labels'!BE3:BE36</v>
      </c>
      <c r="L30" s="14" t="str">
        <f ca="1">IF(F30&gt;0,ADDRESS(3,(B30+1)*2-1,4,,"[" &amp; wew!$G$7 &amp; "]" &amp; _sheetname_labels) &amp; ":" &amp; ADDRESS(2+F30,(B30+1)*2-1,4),"")</f>
        <v>'[dane surowe2c.xlsm]labels'!BE3:BE4</v>
      </c>
      <c r="M30" s="14" t="str">
        <f ca="1">IF(F30&gt;0,ADDRESS(3,(B30+1)*2,4,,"["&amp;wew!$G$7&amp;"]"&amp;_sheetname_labels)&amp;":"&amp;ADDRESS(2+F30,(B30+1)*2,4),"")</f>
        <v>'[dane surowe2c.xlsm]labels'!BF3:BF4</v>
      </c>
      <c r="N30" s="14" t="str">
        <f ca="1">ADDRESS(3,B30+1,4,,"[" &amp; wew!$G$7 &amp; "]" &amp;_sheetname_dataframe) &amp; ":" &amp; ADDRESS(2+ster!$C$14,B30+1,4)</f>
        <v>'[dane surowe2c.xlsm]data_frame'!AC3:AC35</v>
      </c>
      <c r="O30" s="14">
        <f t="shared" ca="1" si="11"/>
        <v>32</v>
      </c>
      <c r="P30" s="14">
        <f ca="1">IF(AND($AD30,$S30=1),IF(wew!$B$3,MIN(INDIRECT($N30)),"&lt;włącz podświetlanie wartości&gt;"),"—")</f>
        <v>2</v>
      </c>
      <c r="Q30" s="14">
        <f ca="1">IF(AND($AD30,$S30=1),IF(wew!$B$3,MAX(INDIRECT($N30)),"&lt;włącz podświetlanie wartości&gt;"),"—")</f>
        <v>2</v>
      </c>
      <c r="R30" s="14">
        <f ca="1">IF(AD30,ster!$C$14- (COUNTIF( INDIRECT(N30),"" )+ COUNT(INDIRECT(N30)) +COUNTIF( INDIRECT(N30),"NA" )),"")</f>
        <v>0</v>
      </c>
      <c r="S30" s="12">
        <f ca="1">IF(AD30,IF(COUNTA(INDIRECT(N30))=0,0, 1-(ster!$C$14- COUNT(INDIRECT(N30)) -COUNTIF( INDIRECT(N30),"" )) /COUNTA(INDIRECT(N30))),"")</f>
        <v>1</v>
      </c>
      <c r="T30" s="17">
        <f t="array" aca="1" ref="T30" ca="1">IF(L30&lt;&gt;"",SUM(IF(INDIRECT(L30)&lt;&gt;INT(INDIRECT(L30)),1,0)),"")</f>
        <v>0</v>
      </c>
      <c r="U30" s="17">
        <f t="array" aca="1" ref="U30" ca="1">IF(S30=1,SUM(IF(ISNUMBER(INDIRECT(N30)),IF(INDIRECT(N30)&lt;&gt;INT(INDIRECT(N30)),1,0),0)),"")</f>
        <v>0</v>
      </c>
      <c r="V30" s="17">
        <f t="shared" ca="1" si="12"/>
        <v>1</v>
      </c>
      <c r="W30" s="17">
        <f t="shared" ca="1" si="13"/>
        <v>0</v>
      </c>
      <c r="X30" s="24">
        <f t="array" aca="1" ref="X30" ca="1">IF(AD30,IF(AG30&lt;&gt;"",AG30,IF(J30,MIN(INDIRECT( K30)),"")),"")</f>
        <v>1</v>
      </c>
      <c r="Y30" s="17">
        <f t="array" aca="1" ref="Y30" ca="1">IF(AD30,IF(AH30&lt;&gt;"",AH30,IF(J30,MAX(INDIRECT( K30)),"")),"")</f>
        <v>2</v>
      </c>
      <c r="Z30" s="17" t="b">
        <f t="shared" ca="1" si="14"/>
        <v>1</v>
      </c>
      <c r="AC30" s="17" t="b">
        <f t="shared" ca="1" si="15"/>
        <v>0</v>
      </c>
      <c r="AD30" s="14" t="b">
        <f t="shared" ca="1" si="16"/>
        <v>1</v>
      </c>
      <c r="AE30" s="15" t="b">
        <f t="shared" ca="1" si="17"/>
        <v>1</v>
      </c>
      <c r="AF30" s="16"/>
      <c r="AG30" s="16"/>
      <c r="AH30" s="16"/>
      <c r="AI30" s="16"/>
      <c r="AJ30" s="16"/>
      <c r="AK30" s="16"/>
      <c r="AL30" s="16"/>
      <c r="AM30" s="16"/>
    </row>
    <row r="31" spans="2:39">
      <c r="B31" s="14">
        <f t="shared" si="6"/>
        <v>29</v>
      </c>
      <c r="C31" s="14" t="str">
        <f t="shared" ca="1" si="7"/>
        <v>N</v>
      </c>
      <c r="D31" s="14" t="str">
        <f t="shared" ca="1" si="8"/>
        <v>q_23a</v>
      </c>
      <c r="E31" s="14" t="str">
        <f t="shared" ca="1" si="1"/>
        <v>Primary cancer</v>
      </c>
      <c r="F31" s="14">
        <f t="shared" ca="1" si="2"/>
        <v>20</v>
      </c>
      <c r="G31" s="14" t="str">
        <f t="shared" ca="1" si="9"/>
        <v>q_23a</v>
      </c>
      <c r="H31" s="14">
        <f ca="1">IF(G31&lt;&gt;"",IFERROR( IsVariableNameLegal(G31),0),0)+IF(COUNTIF(INDIRECT(wew!$C$13),G31)&gt;1,10,0)</f>
        <v>0</v>
      </c>
      <c r="I31" s="14">
        <f ca="1">IF(E31&lt;&gt;"",IF(LEN(E31)&gt;150,1,0)+IF(COUNTIF(INDIRECT(wew!$C$15),E31)&gt;1,10,0),0)</f>
        <v>0</v>
      </c>
      <c r="J31" s="14" t="b">
        <f t="shared" ca="1" si="10"/>
        <v>1</v>
      </c>
      <c r="K31" s="14" t="str">
        <f ca="1">ADDRESS(3,(B31+1)*2-1,4,,"[" &amp; wew!$G$7 &amp; "]" &amp; _sheetname_labels) &amp; ":" &amp; ADDRESS(2+ster!$B$20,(B31+1)*2-1,4)</f>
        <v>'[dane surowe2c.xlsm]labels'!BG3:BG36</v>
      </c>
      <c r="L31" s="14" t="str">
        <f ca="1">IF(F31&gt;0,ADDRESS(3,(B31+1)*2-1,4,,"[" &amp; wew!$G$7 &amp; "]" &amp; _sheetname_labels) &amp; ":" &amp; ADDRESS(2+F31,(B31+1)*2-1,4),"")</f>
        <v>'[dane surowe2c.xlsm]labels'!BG3:BG22</v>
      </c>
      <c r="M31" s="14" t="str">
        <f ca="1">IF(F31&gt;0,ADDRESS(3,(B31+1)*2,4,,"["&amp;wew!$G$7&amp;"]"&amp;_sheetname_labels)&amp;":"&amp;ADDRESS(2+F31,(B31+1)*2,4),"")</f>
        <v>'[dane surowe2c.xlsm]labels'!BH3:BH22</v>
      </c>
      <c r="N31" s="14" t="str">
        <f ca="1">ADDRESS(3,B31+1,4,,"[" &amp; wew!$G$7 &amp; "]" &amp;_sheetname_dataframe) &amp; ":" &amp; ADDRESS(2+ster!$C$14,B31+1,4)</f>
        <v>'[dane surowe2c.xlsm]data_frame'!AD3:AD35</v>
      </c>
      <c r="O31" s="14">
        <f t="shared" ca="1" si="11"/>
        <v>32</v>
      </c>
      <c r="P31" s="14">
        <f ca="1">IF(AND($AD31,$S31=1),IF(wew!$B$3,MIN(INDIRECT($N31)),"&lt;włącz podświetlanie wartości&gt;"),"—")</f>
        <v>1</v>
      </c>
      <c r="Q31" s="14">
        <f ca="1">IF(AND($AD31,$S31=1),IF(wew!$B$3,MAX(INDIRECT($N31)),"&lt;włącz podświetlanie wartości&gt;"),"—")</f>
        <v>17</v>
      </c>
      <c r="R31" s="14">
        <f ca="1">IF(AD31,ster!$C$14- (COUNTIF( INDIRECT(N31),"" )+ COUNT(INDIRECT(N31)) +COUNTIF( INDIRECT(N31),"NA" )),"")</f>
        <v>0</v>
      </c>
      <c r="S31" s="12">
        <f ca="1">IF(AD31,IF(COUNTA(INDIRECT(N31))=0,0, 1-(ster!$C$14- COUNT(INDIRECT(N31)) -COUNTIF( INDIRECT(N31),"" )) /COUNTA(INDIRECT(N31))),"")</f>
        <v>1</v>
      </c>
      <c r="T31" s="17">
        <f t="array" aca="1" ref="T31" ca="1">IF(L31&lt;&gt;"",SUM(IF(INDIRECT(L31)&lt;&gt;INT(INDIRECT(L31)),1,0)),"")</f>
        <v>0</v>
      </c>
      <c r="U31" s="17">
        <f t="array" aca="1" ref="U31" ca="1">IF(S31=1,SUM(IF(ISNUMBER(INDIRECT(N31)),IF(INDIRECT(N31)&lt;&gt;INT(INDIRECT(N31)),1,0),0)),"")</f>
        <v>0</v>
      </c>
      <c r="V31" s="17">
        <f t="shared" ca="1" si="12"/>
        <v>1</v>
      </c>
      <c r="W31" s="17">
        <f t="shared" ca="1" si="13"/>
        <v>0</v>
      </c>
      <c r="X31" s="24">
        <f t="array" aca="1" ref="X31" ca="1">IF(AD31,IF(AG31&lt;&gt;"",AG31,IF(J31,MIN(INDIRECT( K31)),"")),"")</f>
        <v>1</v>
      </c>
      <c r="Y31" s="17">
        <f t="array" aca="1" ref="Y31" ca="1">IF(AD31,IF(AH31&lt;&gt;"",AH31,IF(J31,MAX(INDIRECT( K31)),"")),"")</f>
        <v>20</v>
      </c>
      <c r="Z31" s="17" t="b">
        <f t="shared" ca="1" si="14"/>
        <v>1</v>
      </c>
      <c r="AC31" s="17" t="b">
        <f t="shared" ca="1" si="15"/>
        <v>0</v>
      </c>
      <c r="AD31" s="14" t="b">
        <f t="shared" ca="1" si="16"/>
        <v>1</v>
      </c>
      <c r="AE31" s="15" t="b">
        <f t="shared" ca="1" si="17"/>
        <v>1</v>
      </c>
      <c r="AF31" s="16"/>
      <c r="AG31" s="16"/>
      <c r="AH31" s="16"/>
      <c r="AI31" s="16"/>
      <c r="AJ31" s="16"/>
      <c r="AK31" s="16"/>
      <c r="AL31" s="16"/>
      <c r="AM31" s="16"/>
    </row>
    <row r="32" spans="2:39">
      <c r="B32" s="14">
        <f t="shared" si="6"/>
        <v>30</v>
      </c>
      <c r="C32" s="14" t="str">
        <f t="shared" ca="1" si="7"/>
        <v>N</v>
      </c>
      <c r="D32" s="14" t="str">
        <f t="shared" ca="1" si="8"/>
        <v>q_23b</v>
      </c>
      <c r="E32" s="14" t="str">
        <f t="shared" ca="1" si="1"/>
        <v>Metastasis</v>
      </c>
      <c r="F32" s="14">
        <f t="shared" ca="1" si="2"/>
        <v>20</v>
      </c>
      <c r="G32" s="14" t="str">
        <f t="shared" ca="1" si="9"/>
        <v>q_23b</v>
      </c>
      <c r="H32" s="14">
        <f ca="1">IF(G32&lt;&gt;"",IFERROR( IsVariableNameLegal(G32),0),0)+IF(COUNTIF(INDIRECT(wew!$C$13),G32)&gt;1,10,0)</f>
        <v>0</v>
      </c>
      <c r="I32" s="14">
        <f ca="1">IF(E32&lt;&gt;"",IF(LEN(E32)&gt;150,1,0)+IF(COUNTIF(INDIRECT(wew!$C$15),E32)&gt;1,10,0),0)</f>
        <v>0</v>
      </c>
      <c r="J32" s="14" t="b">
        <f t="shared" ca="1" si="10"/>
        <v>1</v>
      </c>
      <c r="K32" s="14" t="str">
        <f ca="1">ADDRESS(3,(B32+1)*2-1,4,,"[" &amp; wew!$G$7 &amp; "]" &amp; _sheetname_labels) &amp; ":" &amp; ADDRESS(2+ster!$B$20,(B32+1)*2-1,4)</f>
        <v>'[dane surowe2c.xlsm]labels'!BI3:BI36</v>
      </c>
      <c r="L32" s="14" t="str">
        <f ca="1">IF(F32&gt;0,ADDRESS(3,(B32+1)*2-1,4,,"[" &amp; wew!$G$7 &amp; "]" &amp; _sheetname_labels) &amp; ":" &amp; ADDRESS(2+F32,(B32+1)*2-1,4),"")</f>
        <v>'[dane surowe2c.xlsm]labels'!BI3:BI22</v>
      </c>
      <c r="M32" s="14" t="str">
        <f ca="1">IF(F32&gt;0,ADDRESS(3,(B32+1)*2,4,,"["&amp;wew!$G$7&amp;"]"&amp;_sheetname_labels)&amp;":"&amp;ADDRESS(2+F32,(B32+1)*2,4),"")</f>
        <v>'[dane surowe2c.xlsm]labels'!BJ3:BJ22</v>
      </c>
      <c r="N32" s="14" t="str">
        <f ca="1">ADDRESS(3,B32+1,4,,"[" &amp; wew!$G$7 &amp; "]" &amp;_sheetname_dataframe) &amp; ":" &amp; ADDRESS(2+ster!$C$14,B32+1,4)</f>
        <v>'[dane surowe2c.xlsm]data_frame'!AE3:AE35</v>
      </c>
      <c r="O32" s="14">
        <f t="shared" ca="1" si="11"/>
        <v>32</v>
      </c>
      <c r="P32" s="14">
        <f ca="1">IF(AND($AD32,$S32=1),IF(wew!$B$3,MIN(INDIRECT($N32)),"&lt;włącz podświetlanie wartości&gt;"),"—")</f>
        <v>1</v>
      </c>
      <c r="Q32" s="14">
        <f ca="1">IF(AND($AD32,$S32=1),IF(wew!$B$3,MAX(INDIRECT($N32)),"&lt;włącz podświetlanie wartości&gt;"),"—")</f>
        <v>1</v>
      </c>
      <c r="R32" s="14">
        <f ca="1">IF(AD32,ster!$C$14- (COUNTIF( INDIRECT(N32),"" )+ COUNT(INDIRECT(N32)) +COUNTIF( INDIRECT(N32),"NA" )),"")</f>
        <v>0</v>
      </c>
      <c r="S32" s="12">
        <f ca="1">IF(AD32,IF(COUNTA(INDIRECT(N32))=0,0, 1-(ster!$C$14- COUNT(INDIRECT(N32)) -COUNTIF( INDIRECT(N32),"" )) /COUNTA(INDIRECT(N32))),"")</f>
        <v>1</v>
      </c>
      <c r="T32" s="17">
        <f t="array" aca="1" ref="T32" ca="1">IF(L32&lt;&gt;"",SUM(IF(INDIRECT(L32)&lt;&gt;INT(INDIRECT(L32)),1,0)),"")</f>
        <v>0</v>
      </c>
      <c r="U32" s="17">
        <f t="array" aca="1" ref="U32" ca="1">IF(S32=1,SUM(IF(ISNUMBER(INDIRECT(N32)),IF(INDIRECT(N32)&lt;&gt;INT(INDIRECT(N32)),1,0),0)),"")</f>
        <v>0</v>
      </c>
      <c r="V32" s="17">
        <f t="shared" ca="1" si="12"/>
        <v>1</v>
      </c>
      <c r="W32" s="17">
        <f t="shared" ca="1" si="13"/>
        <v>0</v>
      </c>
      <c r="X32" s="24">
        <f t="array" aca="1" ref="X32" ca="1">IF(AD32,IF(AG32&lt;&gt;"",AG32,IF(J32,MIN(INDIRECT( K32)),"")),"")</f>
        <v>1</v>
      </c>
      <c r="Y32" s="17">
        <f t="array" aca="1" ref="Y32" ca="1">IF(AD32,IF(AH32&lt;&gt;"",AH32,IF(J32,MAX(INDIRECT( K32)),"")),"")</f>
        <v>20</v>
      </c>
      <c r="Z32" s="17" t="b">
        <f t="shared" ca="1" si="14"/>
        <v>1</v>
      </c>
      <c r="AC32" s="17" t="b">
        <f t="shared" ca="1" si="15"/>
        <v>0</v>
      </c>
      <c r="AD32" s="14" t="b">
        <f t="shared" ca="1" si="16"/>
        <v>1</v>
      </c>
      <c r="AE32" s="15" t="b">
        <f t="shared" ca="1" si="17"/>
        <v>1</v>
      </c>
      <c r="AF32" s="16"/>
      <c r="AG32" s="16"/>
      <c r="AH32" s="16"/>
      <c r="AI32" s="16"/>
      <c r="AJ32" s="16"/>
      <c r="AK32" s="16"/>
      <c r="AL32" s="16"/>
      <c r="AM32" s="16"/>
    </row>
    <row r="33" spans="2:39">
      <c r="B33" s="14">
        <f t="shared" si="6"/>
        <v>31</v>
      </c>
      <c r="C33" s="14" t="str">
        <f t="shared" ca="1" si="7"/>
        <v>D</v>
      </c>
      <c r="D33" s="14" t="str">
        <f t="shared" ca="1" si="8"/>
        <v>q_24a</v>
      </c>
      <c r="E33" s="14" t="str">
        <f t="shared" ca="1" si="1"/>
        <v>Cancer treatment – Chemotherapy</v>
      </c>
      <c r="F33" s="14">
        <f t="shared" ca="1" si="2"/>
        <v>2</v>
      </c>
      <c r="G33" s="14" t="str">
        <f t="shared" ca="1" si="9"/>
        <v>q_24a</v>
      </c>
      <c r="H33" s="14">
        <f ca="1">IF(G33&lt;&gt;"",IFERROR( IsVariableNameLegal(G33),0),0)+IF(COUNTIF(INDIRECT(wew!$C$13),G33)&gt;1,10,0)</f>
        <v>0</v>
      </c>
      <c r="I33" s="14">
        <f ca="1">IF(E33&lt;&gt;"",IF(LEN(E33)&gt;150,1,0)+IF(COUNTIF(INDIRECT(wew!$C$15),E33)&gt;1,10,0),0)</f>
        <v>0</v>
      </c>
      <c r="J33" s="14" t="b">
        <f t="shared" ca="1" si="10"/>
        <v>1</v>
      </c>
      <c r="K33" s="14" t="str">
        <f ca="1">ADDRESS(3,(B33+1)*2-1,4,,"[" &amp; wew!$G$7 &amp; "]" &amp; _sheetname_labels) &amp; ":" &amp; ADDRESS(2+ster!$B$20,(B33+1)*2-1,4)</f>
        <v>'[dane surowe2c.xlsm]labels'!BK3:BK36</v>
      </c>
      <c r="L33" s="14" t="str">
        <f ca="1">IF(F33&gt;0,ADDRESS(3,(B33+1)*2-1,4,,"[" &amp; wew!$G$7 &amp; "]" &amp; _sheetname_labels) &amp; ":" &amp; ADDRESS(2+F33,(B33+1)*2-1,4),"")</f>
        <v>'[dane surowe2c.xlsm]labels'!BK3:BK4</v>
      </c>
      <c r="M33" s="14" t="str">
        <f ca="1">IF(F33&gt;0,ADDRESS(3,(B33+1)*2,4,,"["&amp;wew!$G$7&amp;"]"&amp;_sheetname_labels)&amp;":"&amp;ADDRESS(2+F33,(B33+1)*2,4),"")</f>
        <v>'[dane surowe2c.xlsm]labels'!BL3:BL4</v>
      </c>
      <c r="N33" s="14" t="str">
        <f ca="1">ADDRESS(3,B33+1,4,,"[" &amp; wew!$G$7 &amp; "]" &amp;_sheetname_dataframe) &amp; ":" &amp; ADDRESS(2+ster!$C$14,B33+1,4)</f>
        <v>'[dane surowe2c.xlsm]data_frame'!AF3:AF35</v>
      </c>
      <c r="O33" s="14">
        <f t="shared" ca="1" si="11"/>
        <v>32</v>
      </c>
      <c r="P33" s="14">
        <f ca="1">IF(AND($AD33,$S33=1),IF(wew!$B$3,MIN(INDIRECT($N33)),"&lt;włącz podświetlanie wartości&gt;"),"—")</f>
        <v>1</v>
      </c>
      <c r="Q33" s="14">
        <f ca="1">IF(AND($AD33,$S33=1),IF(wew!$B$3,MAX(INDIRECT($N33)),"&lt;włącz podświetlanie wartości&gt;"),"—")</f>
        <v>2</v>
      </c>
      <c r="R33" s="14">
        <f ca="1">IF(AD33,ster!$C$14- (COUNTIF( INDIRECT(N33),"" )+ COUNT(INDIRECT(N33)) +COUNTIF( INDIRECT(N33),"NA" )),"")</f>
        <v>0</v>
      </c>
      <c r="S33" s="12">
        <f ca="1">IF(AD33,IF(COUNTA(INDIRECT(N33))=0,0, 1-(ster!$C$14- COUNT(INDIRECT(N33)) -COUNTIF( INDIRECT(N33),"" )) /COUNTA(INDIRECT(N33))),"")</f>
        <v>1</v>
      </c>
      <c r="T33" s="17">
        <f t="array" aca="1" ref="T33" ca="1">IF(L33&lt;&gt;"",SUM(IF(INDIRECT(L33)&lt;&gt;INT(INDIRECT(L33)),1,0)),"")</f>
        <v>0</v>
      </c>
      <c r="U33" s="17">
        <f t="array" aca="1" ref="U33" ca="1">IF(S33=1,SUM(IF(ISNUMBER(INDIRECT(N33)),IF(INDIRECT(N33)&lt;&gt;INT(INDIRECT(N33)),1,0),0)),"")</f>
        <v>0</v>
      </c>
      <c r="V33" s="17">
        <f t="shared" ca="1" si="12"/>
        <v>1</v>
      </c>
      <c r="W33" s="17">
        <f t="shared" ca="1" si="13"/>
        <v>0</v>
      </c>
      <c r="X33" s="24">
        <f t="array" aca="1" ref="X33" ca="1">IF(AD33,IF(AG33&lt;&gt;"",AG33,IF(J33,MIN(INDIRECT( K33)),"")),"")</f>
        <v>1</v>
      </c>
      <c r="Y33" s="17">
        <f t="array" aca="1" ref="Y33" ca="1">IF(AD33,IF(AH33&lt;&gt;"",AH33,IF(J33,MAX(INDIRECT( K33)),"")),"")</f>
        <v>2</v>
      </c>
      <c r="Z33" s="17" t="b">
        <f t="shared" ca="1" si="14"/>
        <v>1</v>
      </c>
      <c r="AC33" s="17" t="b">
        <f t="shared" ca="1" si="15"/>
        <v>0</v>
      </c>
      <c r="AD33" s="14" t="b">
        <f t="shared" ca="1" si="16"/>
        <v>1</v>
      </c>
      <c r="AE33" s="15" t="b">
        <f t="shared" ca="1" si="17"/>
        <v>1</v>
      </c>
      <c r="AF33" s="16"/>
      <c r="AG33" s="16"/>
      <c r="AH33" s="16"/>
      <c r="AI33" s="16"/>
      <c r="AJ33" s="16"/>
      <c r="AK33" s="16"/>
      <c r="AL33" s="16"/>
      <c r="AM33" s="16"/>
    </row>
    <row r="34" spans="2:39">
      <c r="B34" s="14">
        <f t="shared" si="6"/>
        <v>32</v>
      </c>
      <c r="C34" s="14" t="str">
        <f t="shared" ca="1" si="7"/>
        <v>I</v>
      </c>
      <c r="D34" s="14" t="str">
        <f t="shared" ca="1" si="8"/>
        <v>q_24b</v>
      </c>
      <c r="E34" s="14" t="str">
        <f t="shared" ca="1" si="1"/>
        <v>Drug used in chemotherapy</v>
      </c>
      <c r="F34" s="14">
        <f t="shared" ca="1" si="2"/>
        <v>0</v>
      </c>
      <c r="G34" s="14" t="str">
        <f t="shared" ca="1" si="9"/>
        <v>q_24b</v>
      </c>
      <c r="H34" s="14">
        <f ca="1">IF(G34&lt;&gt;"",IFERROR( IsVariableNameLegal(G34),0),0)+IF(COUNTIF(INDIRECT(wew!$C$13),G34)&gt;1,10,0)</f>
        <v>0</v>
      </c>
      <c r="I34" s="14">
        <f ca="1">IF(E34&lt;&gt;"",IF(LEN(E34)&gt;150,1,0)+IF(COUNTIF(INDIRECT(wew!$C$15),E34)&gt;1,10,0),0)</f>
        <v>0</v>
      </c>
      <c r="J34" s="14" t="b">
        <f t="shared" ca="1" si="10"/>
        <v>0</v>
      </c>
      <c r="K34" s="14" t="str">
        <f ca="1">ADDRESS(3,(B34+1)*2-1,4,,"[" &amp; wew!$G$7 &amp; "]" &amp; _sheetname_labels) &amp; ":" &amp; ADDRESS(2+ster!$B$20,(B34+1)*2-1,4)</f>
        <v>'[dane surowe2c.xlsm]labels'!BM3:BM36</v>
      </c>
      <c r="L34" s="14" t="str">
        <f ca="1">IF(F34&gt;0,ADDRESS(3,(B34+1)*2-1,4,,"[" &amp; wew!$G$7 &amp; "]" &amp; _sheetname_labels) &amp; ":" &amp; ADDRESS(2+F34,(B34+1)*2-1,4),"")</f>
        <v/>
      </c>
      <c r="M34" s="14" t="str">
        <f ca="1">IF(F34&gt;0,ADDRESS(3,(B34+1)*2,4,,"["&amp;wew!$G$7&amp;"]"&amp;_sheetname_labels)&amp;":"&amp;ADDRESS(2+F34,(B34+1)*2,4),"")</f>
        <v/>
      </c>
      <c r="N34" s="14" t="str">
        <f ca="1">ADDRESS(3,B34+1,4,,"[" &amp; wew!$G$7 &amp; "]" &amp;_sheetname_dataframe) &amp; ":" &amp; ADDRESS(2+ster!$C$14,B34+1,4)</f>
        <v>'[dane surowe2c.xlsm]data_frame'!AG3:AG35</v>
      </c>
      <c r="O34" s="14">
        <f t="shared" ca="1" si="11"/>
        <v>0</v>
      </c>
      <c r="P34" s="14" t="str">
        <f ca="1">IF(AND($AD34,$S34=1),IF(wew!$B$3,MIN(INDIRECT($N34)),"&lt;włącz podświetlanie wartości&gt;"),"—")</f>
        <v>—</v>
      </c>
      <c r="Q34" s="14" t="str">
        <f ca="1">IF(AND($AD34,$S34=1),IF(wew!$B$3,MAX(INDIRECT($N34)),"&lt;włącz podświetlanie wartości&gt;"),"—")</f>
        <v>—</v>
      </c>
      <c r="R34" s="14">
        <f ca="1">IF(AD34,ster!$C$14- (COUNTIF( INDIRECT(N34),"" )+ COUNT(INDIRECT(N34)) +COUNTIF( INDIRECT(N34),"NA" )),"")</f>
        <v>0</v>
      </c>
      <c r="S34" s="12">
        <f ca="1">IF(AD34,IF(COUNTA(INDIRECT(N34))=0,0, 1-(ster!$C$14- COUNT(INDIRECT(N34)) -COUNTIF( INDIRECT(N34),"" )) /COUNTA(INDIRECT(N34))),"")</f>
        <v>0</v>
      </c>
      <c r="T34" s="17" t="str">
        <f t="array" aca="1" ref="T34" ca="1">IF(L34&lt;&gt;"",SUM(IF(INDIRECT(L34)&lt;&gt;INT(INDIRECT(L34)),1,0)),"")</f>
        <v/>
      </c>
      <c r="U34" s="17" t="str">
        <f t="array" aca="1" ref="U34" ca="1">IF(S34=1,SUM(IF(ISNUMBER(INDIRECT(N34)),IF(INDIRECT(N34)&lt;&gt;INT(INDIRECT(N34)),1,0),0)),"")</f>
        <v/>
      </c>
      <c r="V34" s="17">
        <f t="shared" ca="1" si="12"/>
        <v>0</v>
      </c>
      <c r="W34" s="17">
        <f t="shared" ca="1" si="13"/>
        <v>0</v>
      </c>
      <c r="X34" s="24" t="str">
        <f t="array" aca="1" ref="X34" ca="1">IF(AD34,IF(AG34&lt;&gt;"",AG34,IF(J34,MIN(INDIRECT( K34)),"")),"")</f>
        <v/>
      </c>
      <c r="Y34" s="17" t="str">
        <f t="array" aca="1" ref="Y34" ca="1">IF(AD34,IF(AH34&lt;&gt;"",AH34,IF(J34,MAX(INDIRECT( K34)),"")),"")</f>
        <v/>
      </c>
      <c r="Z34" s="17" t="b">
        <f t="shared" ca="1" si="14"/>
        <v>0</v>
      </c>
      <c r="AC34" s="17" t="b">
        <f t="shared" ca="1" si="15"/>
        <v>0</v>
      </c>
      <c r="AD34" s="14" t="b">
        <f t="shared" ca="1" si="16"/>
        <v>1</v>
      </c>
      <c r="AE34" s="15" t="b">
        <f t="shared" ca="1" si="17"/>
        <v>0</v>
      </c>
      <c r="AF34" s="16"/>
      <c r="AG34" s="16"/>
      <c r="AH34" s="16"/>
      <c r="AI34" s="16"/>
      <c r="AJ34" s="16"/>
      <c r="AK34" s="16"/>
      <c r="AL34" s="16"/>
      <c r="AM34" s="16"/>
    </row>
    <row r="35" spans="2:39">
      <c r="B35" s="14">
        <f t="shared" si="6"/>
        <v>33</v>
      </c>
      <c r="C35" s="14" t="str">
        <f t="shared" ca="1" si="7"/>
        <v>D</v>
      </c>
      <c r="D35" s="14" t="str">
        <f t="shared" ca="1" si="8"/>
        <v>q_25a</v>
      </c>
      <c r="E35" s="14" t="str">
        <f t="shared" ca="1" si="1"/>
        <v>Cancer treatment – Radiotherapy</v>
      </c>
      <c r="F35" s="14">
        <f t="shared" ref="F35:F98" ca="1" si="18">IF(AD35,COUNT(INDIRECT(K35)),0)</f>
        <v>2</v>
      </c>
      <c r="G35" s="14" t="str">
        <f t="shared" ca="1" si="9"/>
        <v>q_25a</v>
      </c>
      <c r="H35" s="14">
        <f ca="1">IF(G35&lt;&gt;"",IFERROR( IsVariableNameLegal(G35),0),0)+IF(COUNTIF(INDIRECT(wew!$C$13),G35)&gt;1,10,0)</f>
        <v>0</v>
      </c>
      <c r="I35" s="14">
        <f ca="1">IF(E35&lt;&gt;"",IF(LEN(E35)&gt;150,1,0)+IF(COUNTIF(INDIRECT(wew!$C$15),E35)&gt;1,10,0),0)</f>
        <v>0</v>
      </c>
      <c r="J35" s="14" t="b">
        <f t="shared" ca="1" si="10"/>
        <v>1</v>
      </c>
      <c r="K35" s="14" t="str">
        <f ca="1">ADDRESS(3,(B35+1)*2-1,4,,"[" &amp; wew!$G$7 &amp; "]" &amp; _sheetname_labels) &amp; ":" &amp; ADDRESS(2+ster!$B$20,(B35+1)*2-1,4)</f>
        <v>'[dane surowe2c.xlsm]labels'!BO3:BO36</v>
      </c>
      <c r="L35" s="14" t="str">
        <f ca="1">IF(F35&gt;0,ADDRESS(3,(B35+1)*2-1,4,,"[" &amp; wew!$G$7 &amp; "]" &amp; _sheetname_labels) &amp; ":" &amp; ADDRESS(2+F35,(B35+1)*2-1,4),"")</f>
        <v>'[dane surowe2c.xlsm]labels'!BO3:BO4</v>
      </c>
      <c r="M35" s="14" t="str">
        <f ca="1">IF(F35&gt;0,ADDRESS(3,(B35+1)*2,4,,"["&amp;wew!$G$7&amp;"]"&amp;_sheetname_labels)&amp;":"&amp;ADDRESS(2+F35,(B35+1)*2,4),"")</f>
        <v>'[dane surowe2c.xlsm]labels'!BP3:BP4</v>
      </c>
      <c r="N35" s="14" t="str">
        <f ca="1">ADDRESS(3,B35+1,4,,"[" &amp; wew!$G$7 &amp; "]" &amp;_sheetname_dataframe) &amp; ":" &amp; ADDRESS(2+ster!$C$14,B35+1,4)</f>
        <v>'[dane surowe2c.xlsm]data_frame'!AH3:AH35</v>
      </c>
      <c r="O35" s="14">
        <f t="shared" ca="1" si="11"/>
        <v>32</v>
      </c>
      <c r="P35" s="14">
        <f ca="1">IF(AND($AD35,$S35=1),IF(wew!$B$3,MIN(INDIRECT($N35)),"&lt;włącz podświetlanie wartości&gt;"),"—")</f>
        <v>1</v>
      </c>
      <c r="Q35" s="14">
        <f ca="1">IF(AND($AD35,$S35=1),IF(wew!$B$3,MAX(INDIRECT($N35)),"&lt;włącz podświetlanie wartości&gt;"),"—")</f>
        <v>2</v>
      </c>
      <c r="R35" s="14">
        <f ca="1">IF(AD35,ster!$C$14- (COUNTIF( INDIRECT(N35),"" )+ COUNT(INDIRECT(N35)) +COUNTIF( INDIRECT(N35),"NA" )),"")</f>
        <v>0</v>
      </c>
      <c r="S35" s="12">
        <f ca="1">IF(AD35,IF(COUNTA(INDIRECT(N35))=0,0, 1-(ster!$C$14- COUNT(INDIRECT(N35)) -COUNTIF( INDIRECT(N35),"" )) /COUNTA(INDIRECT(N35))),"")</f>
        <v>1</v>
      </c>
      <c r="T35" s="17">
        <f t="array" aca="1" ref="T35" ca="1">IF(L35&lt;&gt;"",SUM(IF(INDIRECT(L35)&lt;&gt;INT(INDIRECT(L35)),1,0)),"")</f>
        <v>0</v>
      </c>
      <c r="U35" s="17">
        <f t="array" aca="1" ref="U35" ca="1">IF(S35=1,SUM(IF(ISNUMBER(INDIRECT(N35)),IF(INDIRECT(N35)&lt;&gt;INT(INDIRECT(N35)),1,0),0)),"")</f>
        <v>0</v>
      </c>
      <c r="V35" s="17">
        <f t="shared" ca="1" si="12"/>
        <v>1</v>
      </c>
      <c r="W35" s="17">
        <f t="shared" ca="1" si="13"/>
        <v>0</v>
      </c>
      <c r="X35" s="24">
        <f t="array" aca="1" ref="X35" ca="1">IF(AD35,IF(AG35&lt;&gt;"",AG35,IF(J35,MIN(INDIRECT( K35)),"")),"")</f>
        <v>1</v>
      </c>
      <c r="Y35" s="17">
        <f t="array" aca="1" ref="Y35" ca="1">IF(AD35,IF(AH35&lt;&gt;"",AH35,IF(J35,MAX(INDIRECT( K35)),"")),"")</f>
        <v>2</v>
      </c>
      <c r="Z35" s="17" t="b">
        <f t="shared" ca="1" si="14"/>
        <v>1</v>
      </c>
      <c r="AC35" s="17" t="b">
        <f t="shared" ca="1" si="15"/>
        <v>0</v>
      </c>
      <c r="AD35" s="14" t="b">
        <f t="shared" ca="1" si="16"/>
        <v>1</v>
      </c>
      <c r="AE35" s="15" t="b">
        <f t="shared" ca="1" si="17"/>
        <v>1</v>
      </c>
      <c r="AF35" s="16"/>
      <c r="AG35" s="16"/>
      <c r="AH35" s="16"/>
      <c r="AI35" s="16"/>
      <c r="AJ35" s="16"/>
      <c r="AK35" s="16"/>
      <c r="AL35" s="16"/>
      <c r="AM35" s="16"/>
    </row>
    <row r="36" spans="2:39">
      <c r="B36" s="14">
        <f t="shared" si="6"/>
        <v>34</v>
      </c>
      <c r="C36" s="14" t="str">
        <f t="shared" ca="1" si="7"/>
        <v>D</v>
      </c>
      <c r="D36" s="14" t="str">
        <f t="shared" ca="1" si="8"/>
        <v>q_25b</v>
      </c>
      <c r="E36" s="14" t="str">
        <f t="shared" ca="1" si="1"/>
        <v>Cancer treatment – Radiotherapy of head or neck</v>
      </c>
      <c r="F36" s="14">
        <f t="shared" ca="1" si="18"/>
        <v>2</v>
      </c>
      <c r="G36" s="14" t="str">
        <f t="shared" ca="1" si="9"/>
        <v>q_25b</v>
      </c>
      <c r="H36" s="14">
        <f ca="1">IF(G36&lt;&gt;"",IFERROR( IsVariableNameLegal(G36),0),0)+IF(COUNTIF(INDIRECT(wew!$C$13),G36)&gt;1,10,0)</f>
        <v>0</v>
      </c>
      <c r="I36" s="14">
        <f ca="1">IF(E36&lt;&gt;"",IF(LEN(E36)&gt;150,1,0)+IF(COUNTIF(INDIRECT(wew!$C$15),E36)&gt;1,10,0),0)</f>
        <v>0</v>
      </c>
      <c r="J36" s="14" t="b">
        <f t="shared" ca="1" si="10"/>
        <v>1</v>
      </c>
      <c r="K36" s="14" t="str">
        <f ca="1">ADDRESS(3,(B36+1)*2-1,4,,"[" &amp; wew!$G$7 &amp; "]" &amp; _sheetname_labels) &amp; ":" &amp; ADDRESS(2+ster!$B$20,(B36+1)*2-1,4)</f>
        <v>'[dane surowe2c.xlsm]labels'!BQ3:BQ36</v>
      </c>
      <c r="L36" s="14" t="str">
        <f ca="1">IF(F36&gt;0,ADDRESS(3,(B36+1)*2-1,4,,"[" &amp; wew!$G$7 &amp; "]" &amp; _sheetname_labels) &amp; ":" &amp; ADDRESS(2+F36,(B36+1)*2-1,4),"")</f>
        <v>'[dane surowe2c.xlsm]labels'!BQ3:BQ4</v>
      </c>
      <c r="M36" s="14" t="str">
        <f ca="1">IF(F36&gt;0,ADDRESS(3,(B36+1)*2,4,,"["&amp;wew!$G$7&amp;"]"&amp;_sheetname_labels)&amp;":"&amp;ADDRESS(2+F36,(B36+1)*2,4),"")</f>
        <v>'[dane surowe2c.xlsm]labels'!BR3:BR4</v>
      </c>
      <c r="N36" s="14" t="str">
        <f ca="1">ADDRESS(3,B36+1,4,,"[" &amp; wew!$G$7 &amp; "]" &amp;_sheetname_dataframe) &amp; ":" &amp; ADDRESS(2+ster!$C$14,B36+1,4)</f>
        <v>'[dane surowe2c.xlsm]data_frame'!AI3:AI35</v>
      </c>
      <c r="O36" s="14">
        <f t="shared" ca="1" si="11"/>
        <v>32</v>
      </c>
      <c r="P36" s="14">
        <f ca="1">IF(AND($AD36,$S36=1),IF(wew!$B$3,MIN(INDIRECT($N36)),"&lt;włącz podświetlanie wartości&gt;"),"—")</f>
        <v>2</v>
      </c>
      <c r="Q36" s="14">
        <f ca="1">IF(AND($AD36,$S36=1),IF(wew!$B$3,MAX(INDIRECT($N36)),"&lt;włącz podświetlanie wartości&gt;"),"—")</f>
        <v>2</v>
      </c>
      <c r="R36" s="14">
        <f ca="1">IF(AD36,ster!$C$14- (COUNTIF( INDIRECT(N36),"" )+ COUNT(INDIRECT(N36)) +COUNTIF( INDIRECT(N36),"NA" )),"")</f>
        <v>0</v>
      </c>
      <c r="S36" s="12">
        <f ca="1">IF(AD36,IF(COUNTA(INDIRECT(N36))=0,0, 1-(ster!$C$14- COUNT(INDIRECT(N36)) -COUNTIF( INDIRECT(N36),"" )) /COUNTA(INDIRECT(N36))),"")</f>
        <v>1</v>
      </c>
      <c r="T36" s="17">
        <f t="array" aca="1" ref="T36" ca="1">IF(L36&lt;&gt;"",SUM(IF(INDIRECT(L36)&lt;&gt;INT(INDIRECT(L36)),1,0)),"")</f>
        <v>0</v>
      </c>
      <c r="U36" s="17">
        <f t="array" aca="1" ref="U36" ca="1">IF(S36=1,SUM(IF(ISNUMBER(INDIRECT(N36)),IF(INDIRECT(N36)&lt;&gt;INT(INDIRECT(N36)),1,0),0)),"")</f>
        <v>0</v>
      </c>
      <c r="V36" s="17">
        <f t="shared" ca="1" si="12"/>
        <v>1</v>
      </c>
      <c r="W36" s="17">
        <f t="shared" ca="1" si="13"/>
        <v>0</v>
      </c>
      <c r="X36" s="24">
        <f t="array" aca="1" ref="X36" ca="1">IF(AD36,IF(AG36&lt;&gt;"",AG36,IF(J36,MIN(INDIRECT( K36)),"")),"")</f>
        <v>1</v>
      </c>
      <c r="Y36" s="17">
        <f t="array" aca="1" ref="Y36" ca="1">IF(AD36,IF(AH36&lt;&gt;"",AH36,IF(J36,MAX(INDIRECT( K36)),"")),"")</f>
        <v>2</v>
      </c>
      <c r="Z36" s="17" t="b">
        <f t="shared" ca="1" si="14"/>
        <v>1</v>
      </c>
      <c r="AC36" s="17" t="b">
        <f t="shared" ca="1" si="15"/>
        <v>0</v>
      </c>
      <c r="AD36" s="14" t="b">
        <f t="shared" ca="1" si="16"/>
        <v>1</v>
      </c>
      <c r="AE36" s="15" t="b">
        <f t="shared" ca="1" si="17"/>
        <v>1</v>
      </c>
      <c r="AF36" s="16"/>
      <c r="AG36" s="16"/>
      <c r="AH36" s="16"/>
      <c r="AI36" s="16"/>
      <c r="AJ36" s="16"/>
      <c r="AK36" s="16"/>
      <c r="AL36" s="16"/>
      <c r="AM36" s="16"/>
    </row>
    <row r="37" spans="2:39">
      <c r="B37" s="14">
        <f t="shared" si="6"/>
        <v>35</v>
      </c>
      <c r="C37" s="14" t="str">
        <f t="shared" ca="1" si="7"/>
        <v>D</v>
      </c>
      <c r="D37" s="14" t="str">
        <f t="shared" ca="1" si="8"/>
        <v>q_26a</v>
      </c>
      <c r="E37" s="14" t="str">
        <f t="shared" ca="1" si="1"/>
        <v>Smoking</v>
      </c>
      <c r="F37" s="14">
        <f t="shared" ca="1" si="18"/>
        <v>2</v>
      </c>
      <c r="G37" s="14" t="str">
        <f t="shared" ca="1" si="9"/>
        <v>q_26a</v>
      </c>
      <c r="H37" s="14">
        <f ca="1">IF(G37&lt;&gt;"",IFERROR( IsVariableNameLegal(G37),0),0)+IF(COUNTIF(INDIRECT(wew!$C$13),G37)&gt;1,10,0)</f>
        <v>0</v>
      </c>
      <c r="I37" s="14">
        <f ca="1">IF(E37&lt;&gt;"",IF(LEN(E37)&gt;150,1,0)+IF(COUNTIF(INDIRECT(wew!$C$15),E37)&gt;1,10,0),0)</f>
        <v>0</v>
      </c>
      <c r="J37" s="14" t="b">
        <f t="shared" ca="1" si="10"/>
        <v>1</v>
      </c>
      <c r="K37" s="14" t="str">
        <f ca="1">ADDRESS(3,(B37+1)*2-1,4,,"[" &amp; wew!$G$7 &amp; "]" &amp; _sheetname_labels) &amp; ":" &amp; ADDRESS(2+ster!$B$20,(B37+1)*2-1,4)</f>
        <v>'[dane surowe2c.xlsm]labels'!BS3:BS36</v>
      </c>
      <c r="L37" s="14" t="str">
        <f ca="1">IF(F37&gt;0,ADDRESS(3,(B37+1)*2-1,4,,"[" &amp; wew!$G$7 &amp; "]" &amp; _sheetname_labels) &amp; ":" &amp; ADDRESS(2+F37,(B37+1)*2-1,4),"")</f>
        <v>'[dane surowe2c.xlsm]labels'!BS3:BS4</v>
      </c>
      <c r="M37" s="14" t="str">
        <f ca="1">IF(F37&gt;0,ADDRESS(3,(B37+1)*2,4,,"["&amp;wew!$G$7&amp;"]"&amp;_sheetname_labels)&amp;":"&amp;ADDRESS(2+F37,(B37+1)*2,4),"")</f>
        <v>'[dane surowe2c.xlsm]labels'!BT3:BT4</v>
      </c>
      <c r="N37" s="14" t="str">
        <f ca="1">ADDRESS(3,B37+1,4,,"[" &amp; wew!$G$7 &amp; "]" &amp;_sheetname_dataframe) &amp; ":" &amp; ADDRESS(2+ster!$C$14,B37+1,4)</f>
        <v>'[dane surowe2c.xlsm]data_frame'!AJ3:AJ35</v>
      </c>
      <c r="O37" s="14">
        <f t="shared" ca="1" si="11"/>
        <v>32</v>
      </c>
      <c r="P37" s="14">
        <f ca="1">IF(AND($AD37,$S37=1),IF(wew!$B$3,MIN(INDIRECT($N37)),"&lt;włącz podświetlanie wartości&gt;"),"—")</f>
        <v>1</v>
      </c>
      <c r="Q37" s="14">
        <f ca="1">IF(AND($AD37,$S37=1),IF(wew!$B$3,MAX(INDIRECT($N37)),"&lt;włącz podświetlanie wartości&gt;"),"—")</f>
        <v>2</v>
      </c>
      <c r="R37" s="14">
        <f ca="1">IF(AD37,ster!$C$14- (COUNTIF( INDIRECT(N37),"" )+ COUNT(INDIRECT(N37)) +COUNTIF( INDIRECT(N37),"NA" )),"")</f>
        <v>0</v>
      </c>
      <c r="S37" s="12">
        <f ca="1">IF(AD37,IF(COUNTA(INDIRECT(N37))=0,0, 1-(ster!$C$14- COUNT(INDIRECT(N37)) -COUNTIF( INDIRECT(N37),"" )) /COUNTA(INDIRECT(N37))),"")</f>
        <v>1</v>
      </c>
      <c r="T37" s="17">
        <f t="array" aca="1" ref="T37" ca="1">IF(L37&lt;&gt;"",SUM(IF(INDIRECT(L37)&lt;&gt;INT(INDIRECT(L37)),1,0)),"")</f>
        <v>0</v>
      </c>
      <c r="U37" s="17">
        <f t="array" aca="1" ref="U37" ca="1">IF(S37=1,SUM(IF(ISNUMBER(INDIRECT(N37)),IF(INDIRECT(N37)&lt;&gt;INT(INDIRECT(N37)),1,0),0)),"")</f>
        <v>0</v>
      </c>
      <c r="V37" s="17">
        <f t="shared" ca="1" si="12"/>
        <v>1</v>
      </c>
      <c r="W37" s="17">
        <f t="shared" ca="1" si="13"/>
        <v>0</v>
      </c>
      <c r="X37" s="24">
        <f t="array" aca="1" ref="X37" ca="1">IF(AD37,IF(AG37&lt;&gt;"",AG37,IF(J37,MIN(INDIRECT( K37)),"")),"")</f>
        <v>1</v>
      </c>
      <c r="Y37" s="17">
        <f t="array" aca="1" ref="Y37" ca="1">IF(AD37,IF(AH37&lt;&gt;"",AH37,IF(J37,MAX(INDIRECT( K37)),"")),"")</f>
        <v>2</v>
      </c>
      <c r="Z37" s="17" t="b">
        <f t="shared" ca="1" si="14"/>
        <v>1</v>
      </c>
      <c r="AC37" s="17" t="b">
        <f t="shared" ca="1" si="15"/>
        <v>0</v>
      </c>
      <c r="AD37" s="14" t="b">
        <f t="shared" ca="1" si="16"/>
        <v>1</v>
      </c>
      <c r="AE37" s="15" t="b">
        <f t="shared" ca="1" si="17"/>
        <v>1</v>
      </c>
      <c r="AF37" s="16"/>
      <c r="AG37" s="16"/>
      <c r="AH37" s="16"/>
      <c r="AI37" s="16"/>
      <c r="AJ37" s="16"/>
      <c r="AK37" s="16"/>
      <c r="AL37" s="16"/>
      <c r="AM37" s="16"/>
    </row>
    <row r="38" spans="2:39">
      <c r="B38" s="14">
        <f t="shared" si="6"/>
        <v>36</v>
      </c>
      <c r="C38" s="14" t="str">
        <f t="shared" ca="1" si="7"/>
        <v>I</v>
      </c>
      <c r="D38" s="14" t="str">
        <f t="shared" ca="1" si="8"/>
        <v>q_26b</v>
      </c>
      <c r="E38" s="14" t="str">
        <f t="shared" ca="1" si="1"/>
        <v>Date of initiation of smoking (year)</v>
      </c>
      <c r="F38" s="14">
        <f t="shared" ca="1" si="18"/>
        <v>0</v>
      </c>
      <c r="G38" s="14" t="str">
        <f t="shared" ca="1" si="9"/>
        <v>q_26b</v>
      </c>
      <c r="H38" s="14">
        <f ca="1">IF(G38&lt;&gt;"",IFERROR( IsVariableNameLegal(G38),0),0)+IF(COUNTIF(INDIRECT(wew!$C$13),G38)&gt;1,10,0)</f>
        <v>0</v>
      </c>
      <c r="I38" s="14">
        <f ca="1">IF(E38&lt;&gt;"",IF(LEN(E38)&gt;150,1,0)+IF(COUNTIF(INDIRECT(wew!$C$15),E38)&gt;1,10,0),0)</f>
        <v>0</v>
      </c>
      <c r="J38" s="14" t="b">
        <f t="shared" ca="1" si="10"/>
        <v>0</v>
      </c>
      <c r="K38" s="14" t="str">
        <f ca="1">ADDRESS(3,(B38+1)*2-1,4,,"[" &amp; wew!$G$7 &amp; "]" &amp; _sheetname_labels) &amp; ":" &amp; ADDRESS(2+ster!$B$20,(B38+1)*2-1,4)</f>
        <v>'[dane surowe2c.xlsm]labels'!BU3:BU36</v>
      </c>
      <c r="L38" s="14" t="str">
        <f ca="1">IF(F38&gt;0,ADDRESS(3,(B38+1)*2-1,4,,"[" &amp; wew!$G$7 &amp; "]" &amp; _sheetname_labels) &amp; ":" &amp; ADDRESS(2+F38,(B38+1)*2-1,4),"")</f>
        <v/>
      </c>
      <c r="M38" s="14" t="str">
        <f ca="1">IF(F38&gt;0,ADDRESS(3,(B38+1)*2,4,,"["&amp;wew!$G$7&amp;"]"&amp;_sheetname_labels)&amp;":"&amp;ADDRESS(2+F38,(B38+1)*2,4),"")</f>
        <v/>
      </c>
      <c r="N38" s="14" t="str">
        <f ca="1">ADDRESS(3,B38+1,4,,"[" &amp; wew!$G$7 &amp; "]" &amp;_sheetname_dataframe) &amp; ":" &amp; ADDRESS(2+ster!$C$14,B38+1,4)</f>
        <v>'[dane surowe2c.xlsm]data_frame'!AK3:AK35</v>
      </c>
      <c r="O38" s="14">
        <f t="shared" ca="1" si="11"/>
        <v>4</v>
      </c>
      <c r="P38" s="14" t="str">
        <f ca="1">IF(AND($AD38,$S38=1),IF(wew!$B$3,MIN(INDIRECT($N38)),"&lt;włącz podświetlanie wartości&gt;"),"—")</f>
        <v>—</v>
      </c>
      <c r="Q38" s="14" t="str">
        <f ca="1">IF(AND($AD38,$S38=1),IF(wew!$B$3,MAX(INDIRECT($N38)),"&lt;włącz podświetlanie wartości&gt;"),"—")</f>
        <v>—</v>
      </c>
      <c r="R38" s="14">
        <f ca="1">IF(AD38,ster!$C$14- (COUNTIF( INDIRECT(N38),"" )+ COUNT(INDIRECT(N38)) +COUNTIF( INDIRECT(N38),"NA" )),"")</f>
        <v>0</v>
      </c>
      <c r="S38" s="12">
        <f ca="1">IF(AD38,IF(COUNTA(INDIRECT(N38))=0,0, 1-(ster!$C$14- COUNT(INDIRECT(N38)) -COUNTIF( INDIRECT(N38),"" )) /COUNTA(INDIRECT(N38))),"")</f>
        <v>0.125</v>
      </c>
      <c r="T38" s="17" t="str">
        <f t="array" aca="1" ref="T38" ca="1">IF(L38&lt;&gt;"",SUM(IF(INDIRECT(L38)&lt;&gt;INT(INDIRECT(L38)),1,0)),"")</f>
        <v/>
      </c>
      <c r="U38" s="17" t="str">
        <f t="array" aca="1" ref="U38" ca="1">IF(S38=1,SUM(IF(ISNUMBER(INDIRECT(N38)),IF(INDIRECT(N38)&lt;&gt;INT(INDIRECT(N38)),1,0),0)),"")</f>
        <v/>
      </c>
      <c r="V38" s="17">
        <f t="shared" ca="1" si="12"/>
        <v>0</v>
      </c>
      <c r="W38" s="17">
        <f t="shared" ca="1" si="13"/>
        <v>0</v>
      </c>
      <c r="X38" s="24" t="str">
        <f t="array" aca="1" ref="X38" ca="1">IF(AD38,IF(AG38&lt;&gt;"",AG38,IF(J38,MIN(INDIRECT( K38)),"")),"")</f>
        <v/>
      </c>
      <c r="Y38" s="17" t="str">
        <f t="array" aca="1" ref="Y38" ca="1">IF(AD38,IF(AH38&lt;&gt;"",AH38,IF(J38,MAX(INDIRECT( K38)),"")),"")</f>
        <v/>
      </c>
      <c r="Z38" s="17" t="b">
        <f t="shared" ca="1" si="14"/>
        <v>0</v>
      </c>
      <c r="AC38" s="17" t="b">
        <f t="shared" ca="1" si="15"/>
        <v>0</v>
      </c>
      <c r="AD38" s="14" t="b">
        <f t="shared" ca="1" si="16"/>
        <v>1</v>
      </c>
      <c r="AE38" s="15" t="b">
        <f t="shared" ca="1" si="17"/>
        <v>0</v>
      </c>
      <c r="AF38" s="16"/>
      <c r="AG38" s="16"/>
      <c r="AH38" s="16"/>
      <c r="AI38" s="16"/>
      <c r="AJ38" s="16"/>
      <c r="AK38" s="16"/>
      <c r="AL38" s="16"/>
      <c r="AM38" s="16"/>
    </row>
    <row r="39" spans="2:39">
      <c r="B39" s="14">
        <f t="shared" si="6"/>
        <v>37</v>
      </c>
      <c r="C39" s="14" t="str">
        <f t="shared" ca="1" si="7"/>
        <v>D</v>
      </c>
      <c r="D39" s="14" t="str">
        <f t="shared" ca="1" si="8"/>
        <v>q_26c</v>
      </c>
      <c r="E39" s="14" t="str">
        <f t="shared" ca="1" si="1"/>
        <v>Stopped smoking</v>
      </c>
      <c r="F39" s="14">
        <f t="shared" ca="1" si="18"/>
        <v>2</v>
      </c>
      <c r="G39" s="14" t="str">
        <f t="shared" ca="1" si="9"/>
        <v>q_26c</v>
      </c>
      <c r="H39" s="14">
        <f ca="1">IF(G39&lt;&gt;"",IFERROR( IsVariableNameLegal(G39),0),0)+IF(COUNTIF(INDIRECT(wew!$C$13),G39)&gt;1,10,0)</f>
        <v>0</v>
      </c>
      <c r="I39" s="14">
        <f ca="1">IF(E39&lt;&gt;"",IF(LEN(E39)&gt;150,1,0)+IF(COUNTIF(INDIRECT(wew!$C$15),E39)&gt;1,10,0),0)</f>
        <v>0</v>
      </c>
      <c r="J39" s="14" t="b">
        <f t="shared" ca="1" si="10"/>
        <v>1</v>
      </c>
      <c r="K39" s="14" t="str">
        <f ca="1">ADDRESS(3,(B39+1)*2-1,4,,"[" &amp; wew!$G$7 &amp; "]" &amp; _sheetname_labels) &amp; ":" &amp; ADDRESS(2+ster!$B$20,(B39+1)*2-1,4)</f>
        <v>'[dane surowe2c.xlsm]labels'!BW3:BW36</v>
      </c>
      <c r="L39" s="14" t="str">
        <f ca="1">IF(F39&gt;0,ADDRESS(3,(B39+1)*2-1,4,,"[" &amp; wew!$G$7 &amp; "]" &amp; _sheetname_labels) &amp; ":" &amp; ADDRESS(2+F39,(B39+1)*2-1,4),"")</f>
        <v>'[dane surowe2c.xlsm]labels'!BW3:BW4</v>
      </c>
      <c r="M39" s="14" t="str">
        <f ca="1">IF(F39&gt;0,ADDRESS(3,(B39+1)*2,4,,"["&amp;wew!$G$7&amp;"]"&amp;_sheetname_labels)&amp;":"&amp;ADDRESS(2+F39,(B39+1)*2,4),"")</f>
        <v>'[dane surowe2c.xlsm]labels'!BX3:BX4</v>
      </c>
      <c r="N39" s="14" t="str">
        <f ca="1">ADDRESS(3,B39+1,4,,"[" &amp; wew!$G$7 &amp; "]" &amp;_sheetname_dataframe) &amp; ":" &amp; ADDRESS(2+ster!$C$14,B39+1,4)</f>
        <v>'[dane surowe2c.xlsm]data_frame'!AL3:AL35</v>
      </c>
      <c r="O39" s="14">
        <f t="shared" ca="1" si="11"/>
        <v>32</v>
      </c>
      <c r="P39" s="14">
        <f ca="1">IF(AND($AD39,$S39=1),IF(wew!$B$3,MIN(INDIRECT($N39)),"&lt;włącz podświetlanie wartości&gt;"),"—")</f>
        <v>1</v>
      </c>
      <c r="Q39" s="14">
        <f ca="1">IF(AND($AD39,$S39=1),IF(wew!$B$3,MAX(INDIRECT($N39)),"&lt;włącz podświetlanie wartości&gt;"),"—")</f>
        <v>2</v>
      </c>
      <c r="R39" s="14">
        <f ca="1">IF(AD39,ster!$C$14- (COUNTIF( INDIRECT(N39),"" )+ COUNT(INDIRECT(N39)) +COUNTIF( INDIRECT(N39),"NA" )),"")</f>
        <v>0</v>
      </c>
      <c r="S39" s="12">
        <f ca="1">IF(AD39,IF(COUNTA(INDIRECT(N39))=0,0, 1-(ster!$C$14- COUNT(INDIRECT(N39)) -COUNTIF( INDIRECT(N39),"" )) /COUNTA(INDIRECT(N39))),"")</f>
        <v>1</v>
      </c>
      <c r="T39" s="17">
        <f t="array" aca="1" ref="T39" ca="1">IF(L39&lt;&gt;"",SUM(IF(INDIRECT(L39)&lt;&gt;INT(INDIRECT(L39)),1,0)),"")</f>
        <v>0</v>
      </c>
      <c r="U39" s="17">
        <f t="array" aca="1" ref="U39" ca="1">IF(S39=1,SUM(IF(ISNUMBER(INDIRECT(N39)),IF(INDIRECT(N39)&lt;&gt;INT(INDIRECT(N39)),1,0),0)),"")</f>
        <v>0</v>
      </c>
      <c r="V39" s="17">
        <f t="shared" ca="1" si="12"/>
        <v>1</v>
      </c>
      <c r="W39" s="17">
        <f t="shared" ca="1" si="13"/>
        <v>0</v>
      </c>
      <c r="X39" s="24">
        <f t="array" aca="1" ref="X39" ca="1">IF(AD39,IF(AG39&lt;&gt;"",AG39,IF(J39,MIN(INDIRECT( K39)),"")),"")</f>
        <v>1</v>
      </c>
      <c r="Y39" s="17">
        <f t="array" aca="1" ref="Y39" ca="1">IF(AD39,IF(AH39&lt;&gt;"",AH39,IF(J39,MAX(INDIRECT( K39)),"")),"")</f>
        <v>2</v>
      </c>
      <c r="Z39" s="17" t="b">
        <f t="shared" ca="1" si="14"/>
        <v>1</v>
      </c>
      <c r="AC39" s="17" t="b">
        <f t="shared" ca="1" si="15"/>
        <v>0</v>
      </c>
      <c r="AD39" s="14" t="b">
        <f t="shared" ca="1" si="16"/>
        <v>1</v>
      </c>
      <c r="AE39" s="15" t="b">
        <f t="shared" ca="1" si="17"/>
        <v>1</v>
      </c>
      <c r="AF39" s="16"/>
      <c r="AG39" s="16"/>
      <c r="AH39" s="16"/>
      <c r="AI39" s="16"/>
      <c r="AJ39" s="16"/>
      <c r="AK39" s="16"/>
      <c r="AL39" s="16"/>
      <c r="AM39" s="16"/>
    </row>
    <row r="40" spans="2:39">
      <c r="B40" s="14">
        <f t="shared" si="6"/>
        <v>38</v>
      </c>
      <c r="C40" s="14" t="str">
        <f t="shared" ca="1" si="7"/>
        <v>I</v>
      </c>
      <c r="D40" s="14" t="str">
        <f t="shared" ca="1" si="8"/>
        <v>q_26d</v>
      </c>
      <c r="E40" s="14" t="str">
        <f t="shared" ca="1" si="1"/>
        <v xml:space="preserve">Date of interruption of smoking (year) </v>
      </c>
      <c r="F40" s="14">
        <f t="shared" ca="1" si="18"/>
        <v>0</v>
      </c>
      <c r="G40" s="14" t="str">
        <f t="shared" ca="1" si="9"/>
        <v>q_26d</v>
      </c>
      <c r="H40" s="14">
        <f ca="1">IF(G40&lt;&gt;"",IFERROR( IsVariableNameLegal(G40),0),0)+IF(COUNTIF(INDIRECT(wew!$C$13),G40)&gt;1,10,0)</f>
        <v>0</v>
      </c>
      <c r="I40" s="14">
        <f ca="1">IF(E40&lt;&gt;"",IF(LEN(E40)&gt;150,1,0)+IF(COUNTIF(INDIRECT(wew!$C$15),E40)&gt;1,10,0),0)</f>
        <v>0</v>
      </c>
      <c r="J40" s="14" t="b">
        <f t="shared" ca="1" si="10"/>
        <v>0</v>
      </c>
      <c r="K40" s="14" t="str">
        <f ca="1">ADDRESS(3,(B40+1)*2-1,4,,"[" &amp; wew!$G$7 &amp; "]" &amp; _sheetname_labels) &amp; ":" &amp; ADDRESS(2+ster!$B$20,(B40+1)*2-1,4)</f>
        <v>'[dane surowe2c.xlsm]labels'!BY3:BY36</v>
      </c>
      <c r="L40" s="14" t="str">
        <f ca="1">IF(F40&gt;0,ADDRESS(3,(B40+1)*2-1,4,,"[" &amp; wew!$G$7 &amp; "]" &amp; _sheetname_labels) &amp; ":" &amp; ADDRESS(2+F40,(B40+1)*2-1,4),"")</f>
        <v/>
      </c>
      <c r="M40" s="14" t="str">
        <f ca="1">IF(F40&gt;0,ADDRESS(3,(B40+1)*2,4,,"["&amp;wew!$G$7&amp;"]"&amp;_sheetname_labels)&amp;":"&amp;ADDRESS(2+F40,(B40+1)*2,4),"")</f>
        <v/>
      </c>
      <c r="N40" s="14" t="str">
        <f ca="1">ADDRESS(3,B40+1,4,,"[" &amp; wew!$G$7 &amp; "]" &amp;_sheetname_dataframe) &amp; ":" &amp; ADDRESS(2+ster!$C$14,B40+1,4)</f>
        <v>'[dane surowe2c.xlsm]data_frame'!AM3:AM35</v>
      </c>
      <c r="O40" s="14">
        <f t="shared" ca="1" si="11"/>
        <v>6</v>
      </c>
      <c r="P40" s="14" t="str">
        <f ca="1">IF(AND($AD40,$S40=1),IF(wew!$B$3,MIN(INDIRECT($N40)),"&lt;włącz podświetlanie wartości&gt;"),"—")</f>
        <v>—</v>
      </c>
      <c r="Q40" s="14" t="str">
        <f ca="1">IF(AND($AD40,$S40=1),IF(wew!$B$3,MAX(INDIRECT($N40)),"&lt;włącz podświetlanie wartości&gt;"),"—")</f>
        <v>—</v>
      </c>
      <c r="R40" s="14">
        <f ca="1">IF(AD40,ster!$C$14- (COUNTIF( INDIRECT(N40),"" )+ COUNT(INDIRECT(N40)) +COUNTIF( INDIRECT(N40),"NA" )),"")</f>
        <v>0</v>
      </c>
      <c r="S40" s="12">
        <f ca="1">IF(AD40,IF(COUNTA(INDIRECT(N40))=0,0, 1-(ster!$C$14- COUNT(INDIRECT(N40)) -COUNTIF( INDIRECT(N40),"" )) /COUNTA(INDIRECT(N40))),"")</f>
        <v>0.1875</v>
      </c>
      <c r="T40" s="17" t="str">
        <f t="array" aca="1" ref="T40" ca="1">IF(L40&lt;&gt;"",SUM(IF(INDIRECT(L40)&lt;&gt;INT(INDIRECT(L40)),1,0)),"")</f>
        <v/>
      </c>
      <c r="U40" s="17" t="str">
        <f t="array" aca="1" ref="U40" ca="1">IF(S40=1,SUM(IF(ISNUMBER(INDIRECT(N40)),IF(INDIRECT(N40)&lt;&gt;INT(INDIRECT(N40)),1,0),0)),"")</f>
        <v/>
      </c>
      <c r="V40" s="17">
        <f t="shared" ca="1" si="12"/>
        <v>0</v>
      </c>
      <c r="W40" s="17">
        <f t="shared" ca="1" si="13"/>
        <v>0</v>
      </c>
      <c r="X40" s="24" t="str">
        <f t="array" aca="1" ref="X40" ca="1">IF(AD40,IF(AG40&lt;&gt;"",AG40,IF(J40,MIN(INDIRECT( K40)),"")),"")</f>
        <v/>
      </c>
      <c r="Y40" s="17" t="str">
        <f t="array" aca="1" ref="Y40" ca="1">IF(AD40,IF(AH40&lt;&gt;"",AH40,IF(J40,MAX(INDIRECT( K40)),"")),"")</f>
        <v/>
      </c>
      <c r="Z40" s="17" t="b">
        <f t="shared" ca="1" si="14"/>
        <v>0</v>
      </c>
      <c r="AC40" s="17" t="b">
        <f t="shared" ca="1" si="15"/>
        <v>0</v>
      </c>
      <c r="AD40" s="14" t="b">
        <f t="shared" ca="1" si="16"/>
        <v>1</v>
      </c>
      <c r="AE40" s="15" t="b">
        <f t="shared" ca="1" si="17"/>
        <v>0</v>
      </c>
      <c r="AF40" s="16"/>
      <c r="AG40" s="16"/>
      <c r="AH40" s="16"/>
      <c r="AI40" s="16"/>
      <c r="AJ40" s="16"/>
      <c r="AK40" s="16"/>
      <c r="AL40" s="16"/>
      <c r="AM40" s="16"/>
    </row>
    <row r="41" spans="2:39">
      <c r="B41" s="14">
        <f t="shared" si="6"/>
        <v>39</v>
      </c>
      <c r="C41" s="14" t="str">
        <f t="shared" ca="1" si="7"/>
        <v>I</v>
      </c>
      <c r="D41" s="14" t="str">
        <f t="shared" ca="1" si="8"/>
        <v>q_26e</v>
      </c>
      <c r="E41" s="14" t="str">
        <f t="shared" ca="1" si="1"/>
        <v>Mean number of packs/day</v>
      </c>
      <c r="F41" s="14">
        <f t="shared" ca="1" si="18"/>
        <v>0</v>
      </c>
      <c r="G41" s="14" t="str">
        <f t="shared" ca="1" si="9"/>
        <v>q_26e</v>
      </c>
      <c r="H41" s="14">
        <f ca="1">IF(G41&lt;&gt;"",IFERROR( IsVariableNameLegal(G41),0),0)+IF(COUNTIF(INDIRECT(wew!$C$13),G41)&gt;1,10,0)</f>
        <v>0</v>
      </c>
      <c r="I41" s="14">
        <f ca="1">IF(E41&lt;&gt;"",IF(LEN(E41)&gt;150,1,0)+IF(COUNTIF(INDIRECT(wew!$C$15),E41)&gt;1,10,0),0)</f>
        <v>0</v>
      </c>
      <c r="J41" s="14" t="b">
        <f t="shared" ca="1" si="10"/>
        <v>0</v>
      </c>
      <c r="K41" s="14" t="str">
        <f ca="1">ADDRESS(3,(B41+1)*2-1,4,,"[" &amp; wew!$G$7 &amp; "]" &amp; _sheetname_labels) &amp; ":" &amp; ADDRESS(2+ster!$B$20,(B41+1)*2-1,4)</f>
        <v>'[dane surowe2c.xlsm]labels'!CA3:CA36</v>
      </c>
      <c r="L41" s="14" t="str">
        <f ca="1">IF(F41&gt;0,ADDRESS(3,(B41+1)*2-1,4,,"[" &amp; wew!$G$7 &amp; "]" &amp; _sheetname_labels) &amp; ":" &amp; ADDRESS(2+F41,(B41+1)*2-1,4),"")</f>
        <v/>
      </c>
      <c r="M41" s="14" t="str">
        <f ca="1">IF(F41&gt;0,ADDRESS(3,(B41+1)*2,4,,"["&amp;wew!$G$7&amp;"]"&amp;_sheetname_labels)&amp;":"&amp;ADDRESS(2+F41,(B41+1)*2,4),"")</f>
        <v/>
      </c>
      <c r="N41" s="14" t="str">
        <f ca="1">ADDRESS(3,B41+1,4,,"[" &amp; wew!$G$7 &amp; "]" &amp;_sheetname_dataframe) &amp; ":" &amp; ADDRESS(2+ster!$C$14,B41+1,4)</f>
        <v>'[dane surowe2c.xlsm]data_frame'!AN3:AN35</v>
      </c>
      <c r="O41" s="14">
        <f t="shared" ca="1" si="11"/>
        <v>6</v>
      </c>
      <c r="P41" s="14" t="str">
        <f ca="1">IF(AND($AD41,$S41=1),IF(wew!$B$3,MIN(INDIRECT($N41)),"&lt;włącz podświetlanie wartości&gt;"),"—")</f>
        <v>—</v>
      </c>
      <c r="Q41" s="14" t="str">
        <f ca="1">IF(AND($AD41,$S41=1),IF(wew!$B$3,MAX(INDIRECT($N41)),"&lt;włącz podświetlanie wartości&gt;"),"—")</f>
        <v>—</v>
      </c>
      <c r="R41" s="14">
        <f ca="1">IF(AD41,ster!$C$14- (COUNTIF( INDIRECT(N41),"" )+ COUNT(INDIRECT(N41)) +COUNTIF( INDIRECT(N41),"NA" )),"")</f>
        <v>0</v>
      </c>
      <c r="S41" s="12">
        <f ca="1">IF(AD41,IF(COUNTA(INDIRECT(N41))=0,0, 1-(ster!$C$14- COUNT(INDIRECT(N41)) -COUNTIF( INDIRECT(N41),"" )) /COUNTA(INDIRECT(N41))),"")</f>
        <v>0.1875</v>
      </c>
      <c r="T41" s="17" t="str">
        <f t="array" aca="1" ref="T41" ca="1">IF(L41&lt;&gt;"",SUM(IF(INDIRECT(L41)&lt;&gt;INT(INDIRECT(L41)),1,0)),"")</f>
        <v/>
      </c>
      <c r="U41" s="17" t="str">
        <f t="array" aca="1" ref="U41" ca="1">IF(S41=1,SUM(IF(ISNUMBER(INDIRECT(N41)),IF(INDIRECT(N41)&lt;&gt;INT(INDIRECT(N41)),1,0),0)),"")</f>
        <v/>
      </c>
      <c r="V41" s="17">
        <f t="shared" ca="1" si="12"/>
        <v>0</v>
      </c>
      <c r="W41" s="17">
        <f t="shared" ca="1" si="13"/>
        <v>0</v>
      </c>
      <c r="X41" s="24" t="str">
        <f t="array" aca="1" ref="X41" ca="1">IF(AD41,IF(AG41&lt;&gt;"",AG41,IF(J41,MIN(INDIRECT( K41)),"")),"")</f>
        <v/>
      </c>
      <c r="Y41" s="17" t="str">
        <f t="array" aca="1" ref="Y41" ca="1">IF(AD41,IF(AH41&lt;&gt;"",AH41,IF(J41,MAX(INDIRECT( K41)),"")),"")</f>
        <v/>
      </c>
      <c r="Z41" s="17" t="b">
        <f t="shared" ca="1" si="14"/>
        <v>0</v>
      </c>
      <c r="AC41" s="17" t="b">
        <f t="shared" ca="1" si="15"/>
        <v>0</v>
      </c>
      <c r="AD41" s="14" t="b">
        <f t="shared" ca="1" si="16"/>
        <v>1</v>
      </c>
      <c r="AE41" s="15" t="b">
        <f t="shared" ca="1" si="17"/>
        <v>0</v>
      </c>
      <c r="AF41" s="16"/>
      <c r="AG41" s="16"/>
      <c r="AH41" s="16"/>
      <c r="AI41" s="16"/>
      <c r="AJ41" s="16"/>
      <c r="AK41" s="16"/>
      <c r="AL41" s="16"/>
      <c r="AM41" s="16"/>
    </row>
    <row r="42" spans="2:39">
      <c r="B42" s="14">
        <f t="shared" si="6"/>
        <v>40</v>
      </c>
      <c r="C42" s="14" t="str">
        <f t="shared" ca="1" si="7"/>
        <v>D</v>
      </c>
      <c r="D42" s="14" t="str">
        <f t="shared" ca="1" si="8"/>
        <v>q_27a</v>
      </c>
      <c r="E42" s="14" t="str">
        <f t="shared" ca="1" si="1"/>
        <v>Psychiatric medication</v>
      </c>
      <c r="F42" s="14">
        <f t="shared" ca="1" si="18"/>
        <v>2</v>
      </c>
      <c r="G42" s="14" t="str">
        <f t="shared" ca="1" si="9"/>
        <v>q_27a</v>
      </c>
      <c r="H42" s="14">
        <f ca="1">IF(G42&lt;&gt;"",IFERROR( IsVariableNameLegal(G42),0),0)+IF(COUNTIF(INDIRECT(wew!$C$13),G42)&gt;1,10,0)</f>
        <v>0</v>
      </c>
      <c r="I42" s="14">
        <f ca="1">IF(E42&lt;&gt;"",IF(LEN(E42)&gt;150,1,0)+IF(COUNTIF(INDIRECT(wew!$C$15),E42)&gt;1,10,0),0)</f>
        <v>0</v>
      </c>
      <c r="J42" s="14" t="b">
        <f t="shared" ca="1" si="10"/>
        <v>1</v>
      </c>
      <c r="K42" s="14" t="str">
        <f ca="1">ADDRESS(3,(B42+1)*2-1,4,,"[" &amp; wew!$G$7 &amp; "]" &amp; _sheetname_labels) &amp; ":" &amp; ADDRESS(2+ster!$B$20,(B42+1)*2-1,4)</f>
        <v>'[dane surowe2c.xlsm]labels'!CC3:CC36</v>
      </c>
      <c r="L42" s="14" t="str">
        <f ca="1">IF(F42&gt;0,ADDRESS(3,(B42+1)*2-1,4,,"[" &amp; wew!$G$7 &amp; "]" &amp; _sheetname_labels) &amp; ":" &amp; ADDRESS(2+F42,(B42+1)*2-1,4),"")</f>
        <v>'[dane surowe2c.xlsm]labels'!CC3:CC4</v>
      </c>
      <c r="M42" s="14" t="str">
        <f ca="1">IF(F42&gt;0,ADDRESS(3,(B42+1)*2,4,,"["&amp;wew!$G$7&amp;"]"&amp;_sheetname_labels)&amp;":"&amp;ADDRESS(2+F42,(B42+1)*2,4),"")</f>
        <v>'[dane surowe2c.xlsm]labels'!CD3:CD4</v>
      </c>
      <c r="N42" s="14" t="str">
        <f ca="1">ADDRESS(3,B42+1,4,,"[" &amp; wew!$G$7 &amp; "]" &amp;_sheetname_dataframe) &amp; ":" &amp; ADDRESS(2+ster!$C$14,B42+1,4)</f>
        <v>'[dane surowe2c.xlsm]data_frame'!AO3:AO35</v>
      </c>
      <c r="O42" s="14">
        <f t="shared" ca="1" si="11"/>
        <v>32</v>
      </c>
      <c r="P42" s="14">
        <f ca="1">IF(AND($AD42,$S42=1),IF(wew!$B$3,MIN(INDIRECT($N42)),"&lt;włącz podświetlanie wartości&gt;"),"—")</f>
        <v>1</v>
      </c>
      <c r="Q42" s="14">
        <f ca="1">IF(AND($AD42,$S42=1),IF(wew!$B$3,MAX(INDIRECT($N42)),"&lt;włącz podświetlanie wartości&gt;"),"—")</f>
        <v>2</v>
      </c>
      <c r="R42" s="14">
        <f ca="1">IF(AD42,ster!$C$14- (COUNTIF( INDIRECT(N42),"" )+ COUNT(INDIRECT(N42)) +COUNTIF( INDIRECT(N42),"NA" )),"")</f>
        <v>0</v>
      </c>
      <c r="S42" s="12">
        <f ca="1">IF(AD42,IF(COUNTA(INDIRECT(N42))=0,0, 1-(ster!$C$14- COUNT(INDIRECT(N42)) -COUNTIF( INDIRECT(N42),"" )) /COUNTA(INDIRECT(N42))),"")</f>
        <v>1</v>
      </c>
      <c r="T42" s="17">
        <f t="array" aca="1" ref="T42" ca="1">IF(L42&lt;&gt;"",SUM(IF(INDIRECT(L42)&lt;&gt;INT(INDIRECT(L42)),1,0)),"")</f>
        <v>0</v>
      </c>
      <c r="U42" s="17">
        <f t="array" aca="1" ref="U42" ca="1">IF(S42=1,SUM(IF(ISNUMBER(INDIRECT(N42)),IF(INDIRECT(N42)&lt;&gt;INT(INDIRECT(N42)),1,0),0)),"")</f>
        <v>0</v>
      </c>
      <c r="V42" s="17">
        <f t="shared" ca="1" si="12"/>
        <v>1</v>
      </c>
      <c r="W42" s="17">
        <f t="shared" ca="1" si="13"/>
        <v>0</v>
      </c>
      <c r="X42" s="24">
        <f t="array" aca="1" ref="X42" ca="1">IF(AD42,IF(AG42&lt;&gt;"",AG42,IF(J42,MIN(INDIRECT( K42)),"")),"")</f>
        <v>1</v>
      </c>
      <c r="Y42" s="17">
        <f t="array" aca="1" ref="Y42" ca="1">IF(AD42,IF(AH42&lt;&gt;"",AH42,IF(J42,MAX(INDIRECT( K42)),"")),"")</f>
        <v>2</v>
      </c>
      <c r="Z42" s="17" t="b">
        <f t="shared" ca="1" si="14"/>
        <v>1</v>
      </c>
      <c r="AC42" s="17" t="b">
        <f t="shared" ca="1" si="15"/>
        <v>0</v>
      </c>
      <c r="AD42" s="14" t="b">
        <f t="shared" ca="1" si="16"/>
        <v>1</v>
      </c>
      <c r="AE42" s="15" t="b">
        <f t="shared" ca="1" si="17"/>
        <v>1</v>
      </c>
      <c r="AF42" s="16"/>
      <c r="AG42" s="16"/>
      <c r="AH42" s="16"/>
      <c r="AI42" s="16"/>
      <c r="AJ42" s="16"/>
      <c r="AK42" s="16"/>
      <c r="AL42" s="16"/>
      <c r="AM42" s="16"/>
    </row>
    <row r="43" spans="2:39">
      <c r="B43" s="14">
        <f t="shared" si="6"/>
        <v>41</v>
      </c>
      <c r="C43" s="14" t="str">
        <f t="shared" ca="1" si="7"/>
        <v>S</v>
      </c>
      <c r="D43" s="14" t="str">
        <f t="shared" ca="1" si="8"/>
        <v>q_27b</v>
      </c>
      <c r="E43" s="14" t="str">
        <f t="shared" ca="1" si="1"/>
        <v>Drug(s) used in psychiatric medication</v>
      </c>
      <c r="F43" s="14">
        <f t="shared" ca="1" si="18"/>
        <v>0</v>
      </c>
      <c r="G43" s="14" t="str">
        <f t="shared" ca="1" si="9"/>
        <v>q_27b</v>
      </c>
      <c r="H43" s="14">
        <f ca="1">IF(G43&lt;&gt;"",IFERROR( IsVariableNameLegal(G43),0),0)+IF(COUNTIF(INDIRECT(wew!$C$13),G43)&gt;1,10,0)</f>
        <v>0</v>
      </c>
      <c r="I43" s="14">
        <f ca="1">IF(E43&lt;&gt;"",IF(LEN(E43)&gt;150,1,0)+IF(COUNTIF(INDIRECT(wew!$C$15),E43)&gt;1,10,0),0)</f>
        <v>0</v>
      </c>
      <c r="J43" s="14" t="b">
        <f t="shared" ca="1" si="10"/>
        <v>0</v>
      </c>
      <c r="K43" s="14" t="str">
        <f ca="1">ADDRESS(3,(B43+1)*2-1,4,,"[" &amp; wew!$G$7 &amp; "]" &amp; _sheetname_labels) &amp; ":" &amp; ADDRESS(2+ster!$B$20,(B43+1)*2-1,4)</f>
        <v>'[dane surowe2c.xlsm]labels'!CE3:CE36</v>
      </c>
      <c r="L43" s="14" t="str">
        <f ca="1">IF(F43&gt;0,ADDRESS(3,(B43+1)*2-1,4,,"[" &amp; wew!$G$7 &amp; "]" &amp; _sheetname_labels) &amp; ":" &amp; ADDRESS(2+F43,(B43+1)*2-1,4),"")</f>
        <v/>
      </c>
      <c r="M43" s="14" t="str">
        <f ca="1">IF(F43&gt;0,ADDRESS(3,(B43+1)*2,4,,"["&amp;wew!$G$7&amp;"]"&amp;_sheetname_labels)&amp;":"&amp;ADDRESS(2+F43,(B43+1)*2,4),"")</f>
        <v/>
      </c>
      <c r="N43" s="14" t="str">
        <f ca="1">ADDRESS(3,B43+1,4,,"[" &amp; wew!$G$7 &amp; "]" &amp;_sheetname_dataframe) &amp; ":" &amp; ADDRESS(2+ster!$C$14,B43+1,4)</f>
        <v>'[dane surowe2c.xlsm]data_frame'!AP3:AP35</v>
      </c>
      <c r="O43" s="14">
        <f t="shared" ca="1" si="11"/>
        <v>0</v>
      </c>
      <c r="P43" s="14" t="str">
        <f ca="1">IF(AND($AD43,$S43=1),IF(wew!$B$3,MIN(INDIRECT($N43)),"&lt;włącz podświetlanie wartości&gt;"),"—")</f>
        <v>—</v>
      </c>
      <c r="Q43" s="14" t="str">
        <f ca="1">IF(AND($AD43,$S43=1),IF(wew!$B$3,MAX(INDIRECT($N43)),"&lt;włącz podświetlanie wartości&gt;"),"—")</f>
        <v>—</v>
      </c>
      <c r="R43" s="14">
        <f ca="1">IF(AD43,ster!$C$14- (COUNTIF( INDIRECT(N43),"" )+ COUNT(INDIRECT(N43)) +COUNTIF( INDIRECT(N43),"NA" )),"")</f>
        <v>8</v>
      </c>
      <c r="S43" s="12">
        <f ca="1">IF(AD43,IF(COUNTA(INDIRECT(N43))=0,0, 1-(ster!$C$14- COUNT(INDIRECT(N43)) -COUNTIF( INDIRECT(N43),"" )) /COUNTA(INDIRECT(N43))),"")</f>
        <v>0</v>
      </c>
      <c r="T43" s="17" t="str">
        <f t="array" aca="1" ref="T43" ca="1">IF(L43&lt;&gt;"",SUM(IF(INDIRECT(L43)&lt;&gt;INT(INDIRECT(L43)),1,0)),"")</f>
        <v/>
      </c>
      <c r="U43" s="17" t="str">
        <f t="array" aca="1" ref="U43" ca="1">IF(S43=1,SUM(IF(ISNUMBER(INDIRECT(N43)),IF(INDIRECT(N43)&lt;&gt;INT(INDIRECT(N43)),1,0),0)),"")</f>
        <v/>
      </c>
      <c r="V43" s="17">
        <f t="shared" ca="1" si="12"/>
        <v>0</v>
      </c>
      <c r="W43" s="17">
        <f t="shared" ca="1" si="13"/>
        <v>0</v>
      </c>
      <c r="X43" s="24" t="str">
        <f t="array" aca="1" ref="X43" ca="1">IF(AD43,IF(AG43&lt;&gt;"",AG43,IF(J43,MIN(INDIRECT( K43)),"")),"")</f>
        <v/>
      </c>
      <c r="Y43" s="17" t="str">
        <f t="array" aca="1" ref="Y43" ca="1">IF(AD43,IF(AH43&lt;&gt;"",AH43,IF(J43,MAX(INDIRECT( K43)),"")),"")</f>
        <v/>
      </c>
      <c r="Z43" s="17" t="b">
        <f t="shared" ca="1" si="14"/>
        <v>0</v>
      </c>
      <c r="AC43" s="17" t="b">
        <f t="shared" ca="1" si="15"/>
        <v>1</v>
      </c>
      <c r="AD43" s="14" t="b">
        <f t="shared" ca="1" si="16"/>
        <v>1</v>
      </c>
      <c r="AE43" s="15" t="b">
        <f t="shared" ca="1" si="17"/>
        <v>0</v>
      </c>
      <c r="AF43" s="16"/>
      <c r="AG43" s="16"/>
      <c r="AH43" s="16"/>
      <c r="AI43" s="16"/>
      <c r="AJ43" s="16"/>
      <c r="AK43" s="16"/>
      <c r="AL43" s="16"/>
      <c r="AM43" s="16"/>
    </row>
    <row r="44" spans="2:39">
      <c r="B44" s="14">
        <f t="shared" si="6"/>
        <v>42</v>
      </c>
      <c r="C44" s="14" t="str">
        <f t="shared" ca="1" si="7"/>
        <v>D</v>
      </c>
      <c r="D44" s="14" t="str">
        <f t="shared" ca="1" si="8"/>
        <v>q_28a</v>
      </c>
      <c r="E44" s="14" t="str">
        <f t="shared" ca="1" si="1"/>
        <v xml:space="preserve">Supplements </v>
      </c>
      <c r="F44" s="14">
        <f t="shared" ca="1" si="18"/>
        <v>2</v>
      </c>
      <c r="G44" s="14" t="str">
        <f t="shared" ca="1" si="9"/>
        <v>q_28a</v>
      </c>
      <c r="H44" s="14">
        <f ca="1">IF(G44&lt;&gt;"",IFERROR( IsVariableNameLegal(G44),0),0)+IF(COUNTIF(INDIRECT(wew!$C$13),G44)&gt;1,10,0)</f>
        <v>0</v>
      </c>
      <c r="I44" s="14">
        <f ca="1">IF(E44&lt;&gt;"",IF(LEN(E44)&gt;150,1,0)+IF(COUNTIF(INDIRECT(wew!$C$15),E44)&gt;1,10,0),0)</f>
        <v>0</v>
      </c>
      <c r="J44" s="14" t="b">
        <f t="shared" ca="1" si="10"/>
        <v>1</v>
      </c>
      <c r="K44" s="14" t="str">
        <f ca="1">ADDRESS(3,(B44+1)*2-1,4,,"[" &amp; wew!$G$7 &amp; "]" &amp; _sheetname_labels) &amp; ":" &amp; ADDRESS(2+ster!$B$20,(B44+1)*2-1,4)</f>
        <v>'[dane surowe2c.xlsm]labels'!CG3:CG36</v>
      </c>
      <c r="L44" s="14" t="str">
        <f ca="1">IF(F44&gt;0,ADDRESS(3,(B44+1)*2-1,4,,"[" &amp; wew!$G$7 &amp; "]" &amp; _sheetname_labels) &amp; ":" &amp; ADDRESS(2+F44,(B44+1)*2-1,4),"")</f>
        <v>'[dane surowe2c.xlsm]labels'!CG3:CG4</v>
      </c>
      <c r="M44" s="14" t="str">
        <f ca="1">IF(F44&gt;0,ADDRESS(3,(B44+1)*2,4,,"["&amp;wew!$G$7&amp;"]"&amp;_sheetname_labels)&amp;":"&amp;ADDRESS(2+F44,(B44+1)*2,4),"")</f>
        <v>'[dane surowe2c.xlsm]labels'!CH3:CH4</v>
      </c>
      <c r="N44" s="14" t="str">
        <f ca="1">ADDRESS(3,B44+1,4,,"[" &amp; wew!$G$7 &amp; "]" &amp;_sheetname_dataframe) &amp; ":" &amp; ADDRESS(2+ster!$C$14,B44+1,4)</f>
        <v>'[dane surowe2c.xlsm]data_frame'!AQ3:AQ35</v>
      </c>
      <c r="O44" s="14">
        <f t="shared" ca="1" si="11"/>
        <v>32</v>
      </c>
      <c r="P44" s="14">
        <f ca="1">IF(AND($AD44,$S44=1),IF(wew!$B$3,MIN(INDIRECT($N44)),"&lt;włącz podświetlanie wartości&gt;"),"—")</f>
        <v>1</v>
      </c>
      <c r="Q44" s="14">
        <f ca="1">IF(AND($AD44,$S44=1),IF(wew!$B$3,MAX(INDIRECT($N44)),"&lt;włącz podświetlanie wartości&gt;"),"—")</f>
        <v>2</v>
      </c>
      <c r="R44" s="14">
        <f ca="1">IF(AD44,ster!$C$14- (COUNTIF( INDIRECT(N44),"" )+ COUNT(INDIRECT(N44)) +COUNTIF( INDIRECT(N44),"NA" )),"")</f>
        <v>0</v>
      </c>
      <c r="S44" s="12">
        <f ca="1">IF(AD44,IF(COUNTA(INDIRECT(N44))=0,0, 1-(ster!$C$14- COUNT(INDIRECT(N44)) -COUNTIF( INDIRECT(N44),"" )) /COUNTA(INDIRECT(N44))),"")</f>
        <v>1</v>
      </c>
      <c r="T44" s="17">
        <f t="array" aca="1" ref="T44" ca="1">IF(L44&lt;&gt;"",SUM(IF(INDIRECT(L44)&lt;&gt;INT(INDIRECT(L44)),1,0)),"")</f>
        <v>0</v>
      </c>
      <c r="U44" s="17">
        <f t="array" aca="1" ref="U44" ca="1">IF(S44=1,SUM(IF(ISNUMBER(INDIRECT(N44)),IF(INDIRECT(N44)&lt;&gt;INT(INDIRECT(N44)),1,0),0)),"")</f>
        <v>0</v>
      </c>
      <c r="V44" s="17">
        <f t="shared" ca="1" si="12"/>
        <v>1</v>
      </c>
      <c r="W44" s="17">
        <f t="shared" ca="1" si="13"/>
        <v>0</v>
      </c>
      <c r="X44" s="24">
        <f t="array" aca="1" ref="X44" ca="1">IF(AD44,IF(AG44&lt;&gt;"",AG44,IF(J44,MIN(INDIRECT( K44)),"")),"")</f>
        <v>1</v>
      </c>
      <c r="Y44" s="17">
        <f t="array" aca="1" ref="Y44" ca="1">IF(AD44,IF(AH44&lt;&gt;"",AH44,IF(J44,MAX(INDIRECT( K44)),"")),"")</f>
        <v>2</v>
      </c>
      <c r="Z44" s="17" t="b">
        <f t="shared" ca="1" si="14"/>
        <v>1</v>
      </c>
      <c r="AC44" s="17" t="b">
        <f t="shared" ca="1" si="15"/>
        <v>0</v>
      </c>
      <c r="AD44" s="14" t="b">
        <f t="shared" ca="1" si="16"/>
        <v>1</v>
      </c>
      <c r="AE44" s="15" t="b">
        <f t="shared" ca="1" si="17"/>
        <v>1</v>
      </c>
      <c r="AF44" s="16"/>
      <c r="AG44" s="16"/>
      <c r="AH44" s="16"/>
      <c r="AI44" s="16"/>
      <c r="AJ44" s="16"/>
      <c r="AK44" s="16"/>
      <c r="AL44" s="16"/>
      <c r="AM44" s="16"/>
    </row>
    <row r="45" spans="2:39">
      <c r="B45" s="14">
        <f t="shared" si="6"/>
        <v>43</v>
      </c>
      <c r="C45" s="14" t="str">
        <f t="shared" ca="1" si="7"/>
        <v>S</v>
      </c>
      <c r="D45" s="14" t="str">
        <f t="shared" ca="1" si="8"/>
        <v>q_28b</v>
      </c>
      <c r="E45" s="14" t="str">
        <f t="shared" ca="1" si="1"/>
        <v xml:space="preserve">Supplement name(s) </v>
      </c>
      <c r="F45" s="14">
        <f t="shared" ca="1" si="18"/>
        <v>0</v>
      </c>
      <c r="G45" s="14" t="str">
        <f t="shared" ca="1" si="9"/>
        <v>q_28b</v>
      </c>
      <c r="H45" s="14">
        <f ca="1">IF(G45&lt;&gt;"",IFERROR( IsVariableNameLegal(G45),0),0)+IF(COUNTIF(INDIRECT(wew!$C$13),G45)&gt;1,10,0)</f>
        <v>0</v>
      </c>
      <c r="I45" s="14">
        <f ca="1">IF(E45&lt;&gt;"",IF(LEN(E45)&gt;150,1,0)+IF(COUNTIF(INDIRECT(wew!$C$15),E45)&gt;1,10,0),0)</f>
        <v>0</v>
      </c>
      <c r="J45" s="14" t="b">
        <f t="shared" ca="1" si="10"/>
        <v>0</v>
      </c>
      <c r="K45" s="14" t="str">
        <f ca="1">ADDRESS(3,(B45+1)*2-1,4,,"[" &amp; wew!$G$7 &amp; "]" &amp; _sheetname_labels) &amp; ":" &amp; ADDRESS(2+ster!$B$20,(B45+1)*2-1,4)</f>
        <v>'[dane surowe2c.xlsm]labels'!CI3:CI36</v>
      </c>
      <c r="L45" s="14" t="str">
        <f ca="1">IF(F45&gt;0,ADDRESS(3,(B45+1)*2-1,4,,"[" &amp; wew!$G$7 &amp; "]" &amp; _sheetname_labels) &amp; ":" &amp; ADDRESS(2+F45,(B45+1)*2-1,4),"")</f>
        <v/>
      </c>
      <c r="M45" s="14" t="str">
        <f ca="1">IF(F45&gt;0,ADDRESS(3,(B45+1)*2,4,,"["&amp;wew!$G$7&amp;"]"&amp;_sheetname_labels)&amp;":"&amp;ADDRESS(2+F45,(B45+1)*2,4),"")</f>
        <v/>
      </c>
      <c r="N45" s="14" t="str">
        <f ca="1">ADDRESS(3,B45+1,4,,"[" &amp; wew!$G$7 &amp; "]" &amp;_sheetname_dataframe) &amp; ":" &amp; ADDRESS(2+ster!$C$14,B45+1,4)</f>
        <v>'[dane surowe2c.xlsm]data_frame'!AR3:AR35</v>
      </c>
      <c r="O45" s="14">
        <f t="shared" ca="1" si="11"/>
        <v>0</v>
      </c>
      <c r="P45" s="14" t="str">
        <f ca="1">IF(AND($AD45,$S45=1),IF(wew!$B$3,MIN(INDIRECT($N45)),"&lt;włącz podświetlanie wartości&gt;"),"—")</f>
        <v>—</v>
      </c>
      <c r="Q45" s="14" t="str">
        <f ca="1">IF(AND($AD45,$S45=1),IF(wew!$B$3,MAX(INDIRECT($N45)),"&lt;włącz podświetlanie wartości&gt;"),"—")</f>
        <v>—</v>
      </c>
      <c r="R45" s="14">
        <f ca="1">IF(AD45,ster!$C$14- (COUNTIF( INDIRECT(N45),"" )+ COUNT(INDIRECT(N45)) +COUNTIF( INDIRECT(N45),"NA" )),"")</f>
        <v>2</v>
      </c>
      <c r="S45" s="12">
        <f ca="1">IF(AD45,IF(COUNTA(INDIRECT(N45))=0,0, 1-(ster!$C$14- COUNT(INDIRECT(N45)) -COUNTIF( INDIRECT(N45),"" )) /COUNTA(INDIRECT(N45))),"")</f>
        <v>0</v>
      </c>
      <c r="T45" s="17" t="str">
        <f t="array" aca="1" ref="T45" ca="1">IF(L45&lt;&gt;"",SUM(IF(INDIRECT(L45)&lt;&gt;INT(INDIRECT(L45)),1,0)),"")</f>
        <v/>
      </c>
      <c r="U45" s="17" t="str">
        <f t="array" aca="1" ref="U45" ca="1">IF(S45=1,SUM(IF(ISNUMBER(INDIRECT(N45)),IF(INDIRECT(N45)&lt;&gt;INT(INDIRECT(N45)),1,0),0)),"")</f>
        <v/>
      </c>
      <c r="V45" s="17">
        <f t="shared" ca="1" si="12"/>
        <v>0</v>
      </c>
      <c r="W45" s="17">
        <f t="shared" ca="1" si="13"/>
        <v>0</v>
      </c>
      <c r="X45" s="24" t="str">
        <f t="array" aca="1" ref="X45" ca="1">IF(AD45,IF(AG45&lt;&gt;"",AG45,IF(J45,MIN(INDIRECT( K45)),"")),"")</f>
        <v/>
      </c>
      <c r="Y45" s="17" t="str">
        <f t="array" aca="1" ref="Y45" ca="1">IF(AD45,IF(AH45&lt;&gt;"",AH45,IF(J45,MAX(INDIRECT( K45)),"")),"")</f>
        <v/>
      </c>
      <c r="Z45" s="17" t="b">
        <f t="shared" ca="1" si="14"/>
        <v>0</v>
      </c>
      <c r="AC45" s="17" t="b">
        <f t="shared" ca="1" si="15"/>
        <v>1</v>
      </c>
      <c r="AD45" s="14" t="b">
        <f t="shared" ca="1" si="16"/>
        <v>1</v>
      </c>
      <c r="AE45" s="15" t="b">
        <f t="shared" ca="1" si="17"/>
        <v>0</v>
      </c>
      <c r="AF45" s="16"/>
      <c r="AG45" s="16"/>
      <c r="AH45" s="16"/>
      <c r="AI45" s="16"/>
      <c r="AJ45" s="16"/>
      <c r="AK45" s="16"/>
      <c r="AL45" s="16"/>
      <c r="AM45" s="16"/>
    </row>
    <row r="46" spans="2:39">
      <c r="B46" s="14">
        <f t="shared" si="6"/>
        <v>44</v>
      </c>
      <c r="C46" s="14" t="str">
        <f t="shared" ca="1" si="7"/>
        <v>D</v>
      </c>
      <c r="D46" s="14" t="str">
        <f t="shared" ca="1" si="8"/>
        <v>q_29a</v>
      </c>
      <c r="E46" s="14" t="str">
        <f t="shared" ca="1" si="1"/>
        <v>Riluzole</v>
      </c>
      <c r="F46" s="14">
        <f t="shared" ca="1" si="18"/>
        <v>2</v>
      </c>
      <c r="G46" s="14" t="str">
        <f t="shared" ca="1" si="9"/>
        <v>q_29a</v>
      </c>
      <c r="H46" s="14">
        <f ca="1">IF(G46&lt;&gt;"",IFERROR( IsVariableNameLegal(G46),0),0)+IF(COUNTIF(INDIRECT(wew!$C$13),G46)&gt;1,10,0)</f>
        <v>0</v>
      </c>
      <c r="I46" s="14">
        <f ca="1">IF(E46&lt;&gt;"",IF(LEN(E46)&gt;150,1,0)+IF(COUNTIF(INDIRECT(wew!$C$15),E46)&gt;1,10,0),0)</f>
        <v>0</v>
      </c>
      <c r="J46" s="14" t="b">
        <f t="shared" ca="1" si="10"/>
        <v>1</v>
      </c>
      <c r="K46" s="14" t="str">
        <f ca="1">ADDRESS(3,(B46+1)*2-1,4,,"[" &amp; wew!$G$7 &amp; "]" &amp; _sheetname_labels) &amp; ":" &amp; ADDRESS(2+ster!$B$20,(B46+1)*2-1,4)</f>
        <v>'[dane surowe2c.xlsm]labels'!CK3:CK36</v>
      </c>
      <c r="L46" s="14" t="str">
        <f ca="1">IF(F46&gt;0,ADDRESS(3,(B46+1)*2-1,4,,"[" &amp; wew!$G$7 &amp; "]" &amp; _sheetname_labels) &amp; ":" &amp; ADDRESS(2+F46,(B46+1)*2-1,4),"")</f>
        <v>'[dane surowe2c.xlsm]labels'!CK3:CK4</v>
      </c>
      <c r="M46" s="14" t="str">
        <f ca="1">IF(F46&gt;0,ADDRESS(3,(B46+1)*2,4,,"["&amp;wew!$G$7&amp;"]"&amp;_sheetname_labels)&amp;":"&amp;ADDRESS(2+F46,(B46+1)*2,4),"")</f>
        <v>'[dane surowe2c.xlsm]labels'!CL3:CL4</v>
      </c>
      <c r="N46" s="14" t="str">
        <f ca="1">ADDRESS(3,B46+1,4,,"[" &amp; wew!$G$7 &amp; "]" &amp;_sheetname_dataframe) &amp; ":" &amp; ADDRESS(2+ster!$C$14,B46+1,4)</f>
        <v>'[dane surowe2c.xlsm]data_frame'!AS3:AS35</v>
      </c>
      <c r="O46" s="14">
        <f t="shared" ca="1" si="11"/>
        <v>32</v>
      </c>
      <c r="P46" s="14">
        <f ca="1">IF(AND($AD46,$S46=1),IF(wew!$B$3,MIN(INDIRECT($N46)),"&lt;włącz podświetlanie wartości&gt;"),"—")</f>
        <v>2</v>
      </c>
      <c r="Q46" s="14">
        <f ca="1">IF(AND($AD46,$S46=1),IF(wew!$B$3,MAX(INDIRECT($N46)),"&lt;włącz podświetlanie wartości&gt;"),"—")</f>
        <v>2</v>
      </c>
      <c r="R46" s="14">
        <f ca="1">IF(AD46,ster!$C$14- (COUNTIF( INDIRECT(N46),"" )+ COUNT(INDIRECT(N46)) +COUNTIF( INDIRECT(N46),"NA" )),"")</f>
        <v>0</v>
      </c>
      <c r="S46" s="12">
        <f ca="1">IF(AD46,IF(COUNTA(INDIRECT(N46))=0,0, 1-(ster!$C$14- COUNT(INDIRECT(N46)) -COUNTIF( INDIRECT(N46),"" )) /COUNTA(INDIRECT(N46))),"")</f>
        <v>1</v>
      </c>
      <c r="T46" s="17">
        <f t="array" aca="1" ref="T46" ca="1">IF(L46&lt;&gt;"",SUM(IF(INDIRECT(L46)&lt;&gt;INT(INDIRECT(L46)),1,0)),"")</f>
        <v>0</v>
      </c>
      <c r="U46" s="17">
        <f t="array" aca="1" ref="U46" ca="1">IF(S46=1,SUM(IF(ISNUMBER(INDIRECT(N46)),IF(INDIRECT(N46)&lt;&gt;INT(INDIRECT(N46)),1,0),0)),"")</f>
        <v>0</v>
      </c>
      <c r="V46" s="17">
        <f t="shared" ca="1" si="12"/>
        <v>1</v>
      </c>
      <c r="W46" s="17">
        <f t="shared" ca="1" si="13"/>
        <v>0</v>
      </c>
      <c r="X46" s="24">
        <f t="array" aca="1" ref="X46" ca="1">IF(AD46,IF(AG46&lt;&gt;"",AG46,IF(J46,MIN(INDIRECT( K46)),"")),"")</f>
        <v>1</v>
      </c>
      <c r="Y46" s="17">
        <f t="array" aca="1" ref="Y46" ca="1">IF(AD46,IF(AH46&lt;&gt;"",AH46,IF(J46,MAX(INDIRECT( K46)),"")),"")</f>
        <v>2</v>
      </c>
      <c r="Z46" s="17" t="b">
        <f t="shared" ca="1" si="14"/>
        <v>1</v>
      </c>
      <c r="AC46" s="17" t="b">
        <f t="shared" ca="1" si="15"/>
        <v>0</v>
      </c>
      <c r="AD46" s="14" t="b">
        <f t="shared" ca="1" si="16"/>
        <v>1</v>
      </c>
      <c r="AE46" s="15" t="b">
        <f t="shared" ca="1" si="17"/>
        <v>1</v>
      </c>
      <c r="AF46" s="16"/>
      <c r="AG46" s="16"/>
      <c r="AH46" s="16"/>
      <c r="AI46" s="16"/>
      <c r="AJ46" s="16"/>
      <c r="AK46" s="16"/>
      <c r="AL46" s="16"/>
      <c r="AM46" s="16"/>
    </row>
    <row r="47" spans="2:39">
      <c r="B47" s="14">
        <f t="shared" si="6"/>
        <v>45</v>
      </c>
      <c r="C47" s="14" t="str">
        <f t="shared" ca="1" si="7"/>
        <v>I</v>
      </c>
      <c r="D47" s="14" t="str">
        <f t="shared" ca="1" si="8"/>
        <v>q_29b</v>
      </c>
      <c r="E47" s="14" t="str">
        <f t="shared" ca="1" si="1"/>
        <v>Date of initiation of Riluzole</v>
      </c>
      <c r="F47" s="14">
        <f t="shared" ca="1" si="18"/>
        <v>0</v>
      </c>
      <c r="G47" s="14" t="str">
        <f t="shared" ca="1" si="9"/>
        <v>q_29b</v>
      </c>
      <c r="H47" s="14">
        <f ca="1">IF(G47&lt;&gt;"",IFERROR( IsVariableNameLegal(G47),0),0)+IF(COUNTIF(INDIRECT(wew!$C$13),G47)&gt;1,10,0)</f>
        <v>0</v>
      </c>
      <c r="I47" s="14">
        <f ca="1">IF(E47&lt;&gt;"",IF(LEN(E47)&gt;150,1,0)+IF(COUNTIF(INDIRECT(wew!$C$15),E47)&gt;1,10,0),0)</f>
        <v>0</v>
      </c>
      <c r="J47" s="14" t="b">
        <f t="shared" ca="1" si="10"/>
        <v>0</v>
      </c>
      <c r="K47" s="14" t="str">
        <f ca="1">ADDRESS(3,(B47+1)*2-1,4,,"[" &amp; wew!$G$7 &amp; "]" &amp; _sheetname_labels) &amp; ":" &amp; ADDRESS(2+ster!$B$20,(B47+1)*2-1,4)</f>
        <v>'[dane surowe2c.xlsm]labels'!CM3:CM36</v>
      </c>
      <c r="L47" s="14" t="str">
        <f ca="1">IF(F47&gt;0,ADDRESS(3,(B47+1)*2-1,4,,"[" &amp; wew!$G$7 &amp; "]" &amp; _sheetname_labels) &amp; ":" &amp; ADDRESS(2+F47,(B47+1)*2-1,4),"")</f>
        <v/>
      </c>
      <c r="M47" s="14" t="str">
        <f ca="1">IF(F47&gt;0,ADDRESS(3,(B47+1)*2,4,,"["&amp;wew!$G$7&amp;"]"&amp;_sheetname_labels)&amp;":"&amp;ADDRESS(2+F47,(B47+1)*2,4),"")</f>
        <v/>
      </c>
      <c r="N47" s="14" t="str">
        <f ca="1">ADDRESS(3,B47+1,4,,"[" &amp; wew!$G$7 &amp; "]" &amp;_sheetname_dataframe) &amp; ":" &amp; ADDRESS(2+ster!$C$14,B47+1,4)</f>
        <v>'[dane surowe2c.xlsm]data_frame'!AT3:AT35</v>
      </c>
      <c r="O47" s="14">
        <f t="shared" ca="1" si="11"/>
        <v>0</v>
      </c>
      <c r="P47" s="14" t="str">
        <f ca="1">IF(AND($AD47,$S47=1),IF(wew!$B$3,MIN(INDIRECT($N47)),"&lt;włącz podświetlanie wartości&gt;"),"—")</f>
        <v>—</v>
      </c>
      <c r="Q47" s="14" t="str">
        <f ca="1">IF(AND($AD47,$S47=1),IF(wew!$B$3,MAX(INDIRECT($N47)),"&lt;włącz podświetlanie wartości&gt;"),"—")</f>
        <v>—</v>
      </c>
      <c r="R47" s="14">
        <f ca="1">IF(AD47,ster!$C$14- (COUNTIF( INDIRECT(N47),"" )+ COUNT(INDIRECT(N47)) +COUNTIF( INDIRECT(N47),"NA" )),"")</f>
        <v>0</v>
      </c>
      <c r="S47" s="12">
        <f ca="1">IF(AD47,IF(COUNTA(INDIRECT(N47))=0,0, 1-(ster!$C$14- COUNT(INDIRECT(N47)) -COUNTIF( INDIRECT(N47),"" )) /COUNTA(INDIRECT(N47))),"")</f>
        <v>0</v>
      </c>
      <c r="T47" s="17" t="str">
        <f t="array" aca="1" ref="T47" ca="1">IF(L47&lt;&gt;"",SUM(IF(INDIRECT(L47)&lt;&gt;INT(INDIRECT(L47)),1,0)),"")</f>
        <v/>
      </c>
      <c r="U47" s="17" t="str">
        <f t="array" aca="1" ref="U47" ca="1">IF(S47=1,SUM(IF(ISNUMBER(INDIRECT(N47)),IF(INDIRECT(N47)&lt;&gt;INT(INDIRECT(N47)),1,0),0)),"")</f>
        <v/>
      </c>
      <c r="V47" s="17">
        <f t="shared" ca="1" si="12"/>
        <v>0</v>
      </c>
      <c r="W47" s="17">
        <f t="shared" ca="1" si="13"/>
        <v>0</v>
      </c>
      <c r="X47" s="24" t="str">
        <f t="array" aca="1" ref="X47" ca="1">IF(AD47,IF(AG47&lt;&gt;"",AG47,IF(J47,MIN(INDIRECT( K47)),"")),"")</f>
        <v/>
      </c>
      <c r="Y47" s="17" t="str">
        <f t="array" aca="1" ref="Y47" ca="1">IF(AD47,IF(AH47&lt;&gt;"",AH47,IF(J47,MAX(INDIRECT( K47)),"")),"")</f>
        <v/>
      </c>
      <c r="Z47" s="17" t="b">
        <f t="shared" ca="1" si="14"/>
        <v>0</v>
      </c>
      <c r="AC47" s="17" t="b">
        <f t="shared" ca="1" si="15"/>
        <v>0</v>
      </c>
      <c r="AD47" s="14" t="b">
        <f t="shared" ca="1" si="16"/>
        <v>1</v>
      </c>
      <c r="AE47" s="15" t="b">
        <f t="shared" ca="1" si="17"/>
        <v>0</v>
      </c>
      <c r="AF47" s="16"/>
      <c r="AG47" s="16"/>
      <c r="AH47" s="16"/>
      <c r="AI47" s="16"/>
      <c r="AJ47" s="16"/>
      <c r="AK47" s="16"/>
      <c r="AL47" s="16"/>
      <c r="AM47" s="16"/>
    </row>
    <row r="48" spans="2:39">
      <c r="B48" s="14">
        <f t="shared" si="6"/>
        <v>46</v>
      </c>
      <c r="C48" s="14" t="str">
        <f t="shared" ca="1" si="7"/>
        <v>I</v>
      </c>
      <c r="D48" s="14" t="str">
        <f t="shared" ca="1" si="8"/>
        <v>q_29c</v>
      </c>
      <c r="E48" s="14" t="str">
        <f t="shared" ca="1" si="1"/>
        <v>Side effects of Riluzole</v>
      </c>
      <c r="F48" s="14">
        <f t="shared" ca="1" si="18"/>
        <v>0</v>
      </c>
      <c r="G48" s="14" t="str">
        <f t="shared" ca="1" si="9"/>
        <v>q_29c</v>
      </c>
      <c r="H48" s="14">
        <f ca="1">IF(G48&lt;&gt;"",IFERROR( IsVariableNameLegal(G48),0),0)+IF(COUNTIF(INDIRECT(wew!$C$13),G48)&gt;1,10,0)</f>
        <v>0</v>
      </c>
      <c r="I48" s="14">
        <f ca="1">IF(E48&lt;&gt;"",IF(LEN(E48)&gt;150,1,0)+IF(COUNTIF(INDIRECT(wew!$C$15),E48)&gt;1,10,0),0)</f>
        <v>0</v>
      </c>
      <c r="J48" s="14" t="b">
        <f t="shared" ca="1" si="10"/>
        <v>0</v>
      </c>
      <c r="K48" s="14" t="str">
        <f ca="1">ADDRESS(3,(B48+1)*2-1,4,,"[" &amp; wew!$G$7 &amp; "]" &amp; _sheetname_labels) &amp; ":" &amp; ADDRESS(2+ster!$B$20,(B48+1)*2-1,4)</f>
        <v>'[dane surowe2c.xlsm]labels'!CO3:CO36</v>
      </c>
      <c r="L48" s="14" t="str">
        <f ca="1">IF(F48&gt;0,ADDRESS(3,(B48+1)*2-1,4,,"[" &amp; wew!$G$7 &amp; "]" &amp; _sheetname_labels) &amp; ":" &amp; ADDRESS(2+F48,(B48+1)*2-1,4),"")</f>
        <v/>
      </c>
      <c r="M48" s="14" t="str">
        <f ca="1">IF(F48&gt;0,ADDRESS(3,(B48+1)*2,4,,"["&amp;wew!$G$7&amp;"]"&amp;_sheetname_labels)&amp;":"&amp;ADDRESS(2+F48,(B48+1)*2,4),"")</f>
        <v/>
      </c>
      <c r="N48" s="14" t="str">
        <f ca="1">ADDRESS(3,B48+1,4,,"[" &amp; wew!$G$7 &amp; "]" &amp;_sheetname_dataframe) &amp; ":" &amp; ADDRESS(2+ster!$C$14,B48+1,4)</f>
        <v>'[dane surowe2c.xlsm]data_frame'!AU3:AU35</v>
      </c>
      <c r="O48" s="14">
        <f t="shared" ca="1" si="11"/>
        <v>0</v>
      </c>
      <c r="P48" s="14" t="str">
        <f ca="1">IF(AND($AD48,$S48=1),IF(wew!$B$3,MIN(INDIRECT($N48)),"&lt;włącz podświetlanie wartości&gt;"),"—")</f>
        <v>—</v>
      </c>
      <c r="Q48" s="14" t="str">
        <f ca="1">IF(AND($AD48,$S48=1),IF(wew!$B$3,MAX(INDIRECT($N48)),"&lt;włącz podświetlanie wartości&gt;"),"—")</f>
        <v>—</v>
      </c>
      <c r="R48" s="14">
        <f ca="1">IF(AD48,ster!$C$14- (COUNTIF( INDIRECT(N48),"" )+ COUNT(INDIRECT(N48)) +COUNTIF( INDIRECT(N48),"NA" )),"")</f>
        <v>0</v>
      </c>
      <c r="S48" s="12">
        <f ca="1">IF(AD48,IF(COUNTA(INDIRECT(N48))=0,0, 1-(ster!$C$14- COUNT(INDIRECT(N48)) -COUNTIF( INDIRECT(N48),"" )) /COUNTA(INDIRECT(N48))),"")</f>
        <v>0</v>
      </c>
      <c r="T48" s="17" t="str">
        <f t="array" aca="1" ref="T48" ca="1">IF(L48&lt;&gt;"",SUM(IF(INDIRECT(L48)&lt;&gt;INT(INDIRECT(L48)),1,0)),"")</f>
        <v/>
      </c>
      <c r="U48" s="17" t="str">
        <f t="array" aca="1" ref="U48" ca="1">IF(S48=1,SUM(IF(ISNUMBER(INDIRECT(N48)),IF(INDIRECT(N48)&lt;&gt;INT(INDIRECT(N48)),1,0),0)),"")</f>
        <v/>
      </c>
      <c r="V48" s="17">
        <f t="shared" ca="1" si="12"/>
        <v>0</v>
      </c>
      <c r="W48" s="17">
        <f t="shared" ca="1" si="13"/>
        <v>0</v>
      </c>
      <c r="X48" s="24" t="str">
        <f t="array" aca="1" ref="X48" ca="1">IF(AD48,IF(AG48&lt;&gt;"",AG48,IF(J48,MIN(INDIRECT( K48)),"")),"")</f>
        <v/>
      </c>
      <c r="Y48" s="17" t="str">
        <f t="array" aca="1" ref="Y48" ca="1">IF(AD48,IF(AH48&lt;&gt;"",AH48,IF(J48,MAX(INDIRECT( K48)),"")),"")</f>
        <v/>
      </c>
      <c r="Z48" s="17" t="b">
        <f t="shared" ca="1" si="14"/>
        <v>0</v>
      </c>
      <c r="AC48" s="17" t="b">
        <f t="shared" ca="1" si="15"/>
        <v>0</v>
      </c>
      <c r="AD48" s="14" t="b">
        <f t="shared" ca="1" si="16"/>
        <v>1</v>
      </c>
      <c r="AE48" s="15" t="b">
        <f t="shared" ca="1" si="17"/>
        <v>0</v>
      </c>
      <c r="AF48" s="16"/>
      <c r="AG48" s="16"/>
      <c r="AH48" s="16"/>
      <c r="AI48" s="16"/>
      <c r="AJ48" s="16"/>
      <c r="AK48" s="16"/>
      <c r="AL48" s="16"/>
      <c r="AM48" s="16"/>
    </row>
    <row r="49" spans="2:39">
      <c r="B49" s="14">
        <f t="shared" si="6"/>
        <v>47</v>
      </c>
      <c r="C49" s="14" t="str">
        <f t="shared" ca="1" si="7"/>
        <v>D</v>
      </c>
      <c r="D49" s="14" t="str">
        <f t="shared" ca="1" si="8"/>
        <v>q_30a</v>
      </c>
      <c r="E49" s="14" t="str">
        <f t="shared" ca="1" si="1"/>
        <v>Antiepileptc drug</v>
      </c>
      <c r="F49" s="14">
        <f t="shared" ca="1" si="18"/>
        <v>2</v>
      </c>
      <c r="G49" s="14" t="str">
        <f t="shared" ca="1" si="9"/>
        <v>q_30a</v>
      </c>
      <c r="H49" s="14">
        <f ca="1">IF(G49&lt;&gt;"",IFERROR( IsVariableNameLegal(G49),0),0)+IF(COUNTIF(INDIRECT(wew!$C$13),G49)&gt;1,10,0)</f>
        <v>0</v>
      </c>
      <c r="I49" s="14">
        <f ca="1">IF(E49&lt;&gt;"",IF(LEN(E49)&gt;150,1,0)+IF(COUNTIF(INDIRECT(wew!$C$15),E49)&gt;1,10,0),0)</f>
        <v>0</v>
      </c>
      <c r="J49" s="14" t="b">
        <f t="shared" ca="1" si="10"/>
        <v>1</v>
      </c>
      <c r="K49" s="14" t="str">
        <f ca="1">ADDRESS(3,(B49+1)*2-1,4,,"[" &amp; wew!$G$7 &amp; "]" &amp; _sheetname_labels) &amp; ":" &amp; ADDRESS(2+ster!$B$20,(B49+1)*2-1,4)</f>
        <v>'[dane surowe2c.xlsm]labels'!CQ3:CQ36</v>
      </c>
      <c r="L49" s="14" t="str">
        <f ca="1">IF(F49&gt;0,ADDRESS(3,(B49+1)*2-1,4,,"[" &amp; wew!$G$7 &amp; "]" &amp; _sheetname_labels) &amp; ":" &amp; ADDRESS(2+F49,(B49+1)*2-1,4),"")</f>
        <v>'[dane surowe2c.xlsm]labels'!CQ3:CQ4</v>
      </c>
      <c r="M49" s="14" t="str">
        <f ca="1">IF(F49&gt;0,ADDRESS(3,(B49+1)*2,4,,"["&amp;wew!$G$7&amp;"]"&amp;_sheetname_labels)&amp;":"&amp;ADDRESS(2+F49,(B49+1)*2,4),"")</f>
        <v>'[dane surowe2c.xlsm]labels'!CR3:CR4</v>
      </c>
      <c r="N49" s="14" t="str">
        <f ca="1">ADDRESS(3,B49+1,4,,"[" &amp; wew!$G$7 &amp; "]" &amp;_sheetname_dataframe) &amp; ":" &amp; ADDRESS(2+ster!$C$14,B49+1,4)</f>
        <v>'[dane surowe2c.xlsm]data_frame'!AV3:AV35</v>
      </c>
      <c r="O49" s="14">
        <f t="shared" ca="1" si="11"/>
        <v>32</v>
      </c>
      <c r="P49" s="14">
        <f ca="1">IF(AND($AD49,$S49=1),IF(wew!$B$3,MIN(INDIRECT($N49)),"&lt;włącz podświetlanie wartości&gt;"),"—")</f>
        <v>1</v>
      </c>
      <c r="Q49" s="14">
        <f ca="1">IF(AND($AD49,$S49=1),IF(wew!$B$3,MAX(INDIRECT($N49)),"&lt;włącz podświetlanie wartości&gt;"),"—")</f>
        <v>2</v>
      </c>
      <c r="R49" s="14">
        <f ca="1">IF(AD49,ster!$C$14- (COUNTIF( INDIRECT(N49),"" )+ COUNT(INDIRECT(N49)) +COUNTIF( INDIRECT(N49),"NA" )),"")</f>
        <v>0</v>
      </c>
      <c r="S49" s="12">
        <f ca="1">IF(AD49,IF(COUNTA(INDIRECT(N49))=0,0, 1-(ster!$C$14- COUNT(INDIRECT(N49)) -COUNTIF( INDIRECT(N49),"" )) /COUNTA(INDIRECT(N49))),"")</f>
        <v>1</v>
      </c>
      <c r="T49" s="17">
        <f t="array" aca="1" ref="T49" ca="1">IF(L49&lt;&gt;"",SUM(IF(INDIRECT(L49)&lt;&gt;INT(INDIRECT(L49)),1,0)),"")</f>
        <v>0</v>
      </c>
      <c r="U49" s="17">
        <f t="array" aca="1" ref="U49" ca="1">IF(S49=1,SUM(IF(ISNUMBER(INDIRECT(N49)),IF(INDIRECT(N49)&lt;&gt;INT(INDIRECT(N49)),1,0),0)),"")</f>
        <v>0</v>
      </c>
      <c r="V49" s="17">
        <f t="shared" ca="1" si="12"/>
        <v>1</v>
      </c>
      <c r="W49" s="17">
        <f t="shared" ca="1" si="13"/>
        <v>0</v>
      </c>
      <c r="X49" s="24">
        <f t="array" aca="1" ref="X49" ca="1">IF(AD49,IF(AG49&lt;&gt;"",AG49,IF(J49,MIN(INDIRECT( K49)),"")),"")</f>
        <v>1</v>
      </c>
      <c r="Y49" s="17">
        <f t="array" aca="1" ref="Y49" ca="1">IF(AD49,IF(AH49&lt;&gt;"",AH49,IF(J49,MAX(INDIRECT( K49)),"")),"")</f>
        <v>2</v>
      </c>
      <c r="Z49" s="17" t="b">
        <f t="shared" ca="1" si="14"/>
        <v>1</v>
      </c>
      <c r="AC49" s="17" t="b">
        <f t="shared" ca="1" si="15"/>
        <v>0</v>
      </c>
      <c r="AD49" s="14" t="b">
        <f t="shared" ca="1" si="16"/>
        <v>1</v>
      </c>
      <c r="AE49" s="15" t="b">
        <f t="shared" ca="1" si="17"/>
        <v>1</v>
      </c>
      <c r="AF49" s="16"/>
      <c r="AG49" s="16"/>
      <c r="AH49" s="16"/>
      <c r="AI49" s="16"/>
      <c r="AJ49" s="16"/>
      <c r="AK49" s="16"/>
      <c r="AL49" s="16"/>
      <c r="AM49" s="16"/>
    </row>
    <row r="50" spans="2:39">
      <c r="B50" s="14">
        <f t="shared" si="6"/>
        <v>48</v>
      </c>
      <c r="C50" s="14" t="str">
        <f t="shared" ca="1" si="7"/>
        <v>S</v>
      </c>
      <c r="D50" s="14" t="str">
        <f t="shared" ca="1" si="8"/>
        <v>q_30b</v>
      </c>
      <c r="E50" s="14" t="str">
        <f t="shared" ca="1" si="1"/>
        <v>Antiepileptc's name</v>
      </c>
      <c r="F50" s="14">
        <f t="shared" ca="1" si="18"/>
        <v>0</v>
      </c>
      <c r="G50" s="14" t="str">
        <f t="shared" ca="1" si="9"/>
        <v>q_30b</v>
      </c>
      <c r="H50" s="14">
        <f ca="1">IF(G50&lt;&gt;"",IFERROR( IsVariableNameLegal(G50),0),0)+IF(COUNTIF(INDIRECT(wew!$C$13),G50)&gt;1,10,0)</f>
        <v>0</v>
      </c>
      <c r="I50" s="14">
        <f ca="1">IF(E50&lt;&gt;"",IF(LEN(E50)&gt;150,1,0)+IF(COUNTIF(INDIRECT(wew!$C$15),E50)&gt;1,10,0),0)</f>
        <v>0</v>
      </c>
      <c r="J50" s="14" t="b">
        <f t="shared" ca="1" si="10"/>
        <v>0</v>
      </c>
      <c r="K50" s="14" t="str">
        <f ca="1">ADDRESS(3,(B50+1)*2-1,4,,"[" &amp; wew!$G$7 &amp; "]" &amp; _sheetname_labels) &amp; ":" &amp; ADDRESS(2+ster!$B$20,(B50+1)*2-1,4)</f>
        <v>'[dane surowe2c.xlsm]labels'!CS3:CS36</v>
      </c>
      <c r="L50" s="14" t="str">
        <f ca="1">IF(F50&gt;0,ADDRESS(3,(B50+1)*2-1,4,,"[" &amp; wew!$G$7 &amp; "]" &amp; _sheetname_labels) &amp; ":" &amp; ADDRESS(2+F50,(B50+1)*2-1,4),"")</f>
        <v/>
      </c>
      <c r="M50" s="14" t="str">
        <f ca="1">IF(F50&gt;0,ADDRESS(3,(B50+1)*2,4,,"["&amp;wew!$G$7&amp;"]"&amp;_sheetname_labels)&amp;":"&amp;ADDRESS(2+F50,(B50+1)*2,4),"")</f>
        <v/>
      </c>
      <c r="N50" s="14" t="str">
        <f ca="1">ADDRESS(3,B50+1,4,,"[" &amp; wew!$G$7 &amp; "]" &amp;_sheetname_dataframe) &amp; ":" &amp; ADDRESS(2+ster!$C$14,B50+1,4)</f>
        <v>'[dane surowe2c.xlsm]data_frame'!AW3:AW35</v>
      </c>
      <c r="O50" s="14">
        <f t="shared" ca="1" si="11"/>
        <v>0</v>
      </c>
      <c r="P50" s="14" t="str">
        <f ca="1">IF(AND($AD50,$S50=1),IF(wew!$B$3,MIN(INDIRECT($N50)),"&lt;włącz podświetlanie wartości&gt;"),"—")</f>
        <v>—</v>
      </c>
      <c r="Q50" s="14" t="str">
        <f ca="1">IF(AND($AD50,$S50=1),IF(wew!$B$3,MAX(INDIRECT($N50)),"&lt;włącz podświetlanie wartości&gt;"),"—")</f>
        <v>—</v>
      </c>
      <c r="R50" s="14">
        <f ca="1">IF(AD50,ster!$C$14- (COUNTIF( INDIRECT(N50),"" )+ COUNT(INDIRECT(N50)) +COUNTIF( INDIRECT(N50),"NA" )),"")</f>
        <v>2</v>
      </c>
      <c r="S50" s="12">
        <f ca="1">IF(AD50,IF(COUNTA(INDIRECT(N50))=0,0, 1-(ster!$C$14- COUNT(INDIRECT(N50)) -COUNTIF( INDIRECT(N50),"" )) /COUNTA(INDIRECT(N50))),"")</f>
        <v>0</v>
      </c>
      <c r="T50" s="17" t="str">
        <f t="array" aca="1" ref="T50" ca="1">IF(L50&lt;&gt;"",SUM(IF(INDIRECT(L50)&lt;&gt;INT(INDIRECT(L50)),1,0)),"")</f>
        <v/>
      </c>
      <c r="U50" s="17" t="str">
        <f t="array" aca="1" ref="U50" ca="1">IF(S50=1,SUM(IF(ISNUMBER(INDIRECT(N50)),IF(INDIRECT(N50)&lt;&gt;INT(INDIRECT(N50)),1,0),0)),"")</f>
        <v/>
      </c>
      <c r="V50" s="17">
        <f t="shared" ca="1" si="12"/>
        <v>0</v>
      </c>
      <c r="W50" s="17">
        <f t="shared" ca="1" si="13"/>
        <v>0</v>
      </c>
      <c r="X50" s="24" t="str">
        <f t="array" aca="1" ref="X50" ca="1">IF(AD50,IF(AG50&lt;&gt;"",AG50,IF(J50,MIN(INDIRECT( K50)),"")),"")</f>
        <v/>
      </c>
      <c r="Y50" s="17" t="str">
        <f t="array" aca="1" ref="Y50" ca="1">IF(AD50,IF(AH50&lt;&gt;"",AH50,IF(J50,MAX(INDIRECT( K50)),"")),"")</f>
        <v/>
      </c>
      <c r="Z50" s="17" t="b">
        <f t="shared" ca="1" si="14"/>
        <v>0</v>
      </c>
      <c r="AC50" s="17" t="b">
        <f t="shared" ca="1" si="15"/>
        <v>1</v>
      </c>
      <c r="AD50" s="14" t="b">
        <f t="shared" ca="1" si="16"/>
        <v>1</v>
      </c>
      <c r="AE50" s="15" t="b">
        <f t="shared" ca="1" si="17"/>
        <v>0</v>
      </c>
      <c r="AF50" s="16"/>
      <c r="AG50" s="16"/>
      <c r="AH50" s="16"/>
      <c r="AI50" s="16"/>
      <c r="AJ50" s="16"/>
      <c r="AK50" s="16"/>
      <c r="AL50" s="16"/>
      <c r="AM50" s="16"/>
    </row>
    <row r="51" spans="2:39">
      <c r="B51" s="14">
        <f t="shared" si="6"/>
        <v>49</v>
      </c>
      <c r="C51" s="14" t="str">
        <f t="shared" ca="1" si="7"/>
        <v>D</v>
      </c>
      <c r="D51" s="14" t="str">
        <f t="shared" ca="1" si="8"/>
        <v>q_31a</v>
      </c>
      <c r="E51" s="14" t="str">
        <f t="shared" ca="1" si="1"/>
        <v>Statins</v>
      </c>
      <c r="F51" s="14">
        <f t="shared" ca="1" si="18"/>
        <v>2</v>
      </c>
      <c r="G51" s="14" t="str">
        <f t="shared" ca="1" si="9"/>
        <v>q_31a</v>
      </c>
      <c r="H51" s="14">
        <f ca="1">IF(G51&lt;&gt;"",IFERROR( IsVariableNameLegal(G51),0),0)+IF(COUNTIF(INDIRECT(wew!$C$13),G51)&gt;1,10,0)</f>
        <v>0</v>
      </c>
      <c r="I51" s="14">
        <f ca="1">IF(E51&lt;&gt;"",IF(LEN(E51)&gt;150,1,0)+IF(COUNTIF(INDIRECT(wew!$C$15),E51)&gt;1,10,0),0)</f>
        <v>0</v>
      </c>
      <c r="J51" s="14" t="b">
        <f t="shared" ca="1" si="10"/>
        <v>1</v>
      </c>
      <c r="K51" s="14" t="str">
        <f ca="1">ADDRESS(3,(B51+1)*2-1,4,,"[" &amp; wew!$G$7 &amp; "]" &amp; _sheetname_labels) &amp; ":" &amp; ADDRESS(2+ster!$B$20,(B51+1)*2-1,4)</f>
        <v>'[dane surowe2c.xlsm]labels'!CU3:CU36</v>
      </c>
      <c r="L51" s="14" t="str">
        <f ca="1">IF(F51&gt;0,ADDRESS(3,(B51+1)*2-1,4,,"[" &amp; wew!$G$7 &amp; "]" &amp; _sheetname_labels) &amp; ":" &amp; ADDRESS(2+F51,(B51+1)*2-1,4),"")</f>
        <v>'[dane surowe2c.xlsm]labels'!CU3:CU4</v>
      </c>
      <c r="M51" s="14" t="str">
        <f ca="1">IF(F51&gt;0,ADDRESS(3,(B51+1)*2,4,,"["&amp;wew!$G$7&amp;"]"&amp;_sheetname_labels)&amp;":"&amp;ADDRESS(2+F51,(B51+1)*2,4),"")</f>
        <v>'[dane surowe2c.xlsm]labels'!CV3:CV4</v>
      </c>
      <c r="N51" s="14" t="str">
        <f ca="1">ADDRESS(3,B51+1,4,,"[" &amp; wew!$G$7 &amp; "]" &amp;_sheetname_dataframe) &amp; ":" &amp; ADDRESS(2+ster!$C$14,B51+1,4)</f>
        <v>'[dane surowe2c.xlsm]data_frame'!AX3:AX35</v>
      </c>
      <c r="O51" s="14">
        <f t="shared" ca="1" si="11"/>
        <v>32</v>
      </c>
      <c r="P51" s="14">
        <f ca="1">IF(AND($AD51,$S51=1),IF(wew!$B$3,MIN(INDIRECT($N51)),"&lt;włącz podświetlanie wartości&gt;"),"—")</f>
        <v>1</v>
      </c>
      <c r="Q51" s="14">
        <f ca="1">IF(AND($AD51,$S51=1),IF(wew!$B$3,MAX(INDIRECT($N51)),"&lt;włącz podświetlanie wartości&gt;"),"—")</f>
        <v>2</v>
      </c>
      <c r="R51" s="14">
        <f ca="1">IF(AD51,ster!$C$14- (COUNTIF( INDIRECT(N51),"" )+ COUNT(INDIRECT(N51)) +COUNTIF( INDIRECT(N51),"NA" )),"")</f>
        <v>0</v>
      </c>
      <c r="S51" s="12">
        <f ca="1">IF(AD51,IF(COUNTA(INDIRECT(N51))=0,0, 1-(ster!$C$14- COUNT(INDIRECT(N51)) -COUNTIF( INDIRECT(N51),"" )) /COUNTA(INDIRECT(N51))),"")</f>
        <v>1</v>
      </c>
      <c r="T51" s="17">
        <f t="array" aca="1" ref="T51" ca="1">IF(L51&lt;&gt;"",SUM(IF(INDIRECT(L51)&lt;&gt;INT(INDIRECT(L51)),1,0)),"")</f>
        <v>0</v>
      </c>
      <c r="U51" s="17">
        <f t="array" aca="1" ref="U51" ca="1">IF(S51=1,SUM(IF(ISNUMBER(INDIRECT(N51)),IF(INDIRECT(N51)&lt;&gt;INT(INDIRECT(N51)),1,0),0)),"")</f>
        <v>0</v>
      </c>
      <c r="V51" s="17">
        <f t="shared" ca="1" si="12"/>
        <v>1</v>
      </c>
      <c r="W51" s="17">
        <f t="shared" ca="1" si="13"/>
        <v>0</v>
      </c>
      <c r="X51" s="24">
        <f t="array" aca="1" ref="X51" ca="1">IF(AD51,IF(AG51&lt;&gt;"",AG51,IF(J51,MIN(INDIRECT( K51)),"")),"")</f>
        <v>1</v>
      </c>
      <c r="Y51" s="17">
        <f t="array" aca="1" ref="Y51" ca="1">IF(AD51,IF(AH51&lt;&gt;"",AH51,IF(J51,MAX(INDIRECT( K51)),"")),"")</f>
        <v>2</v>
      </c>
      <c r="Z51" s="17" t="b">
        <f t="shared" ca="1" si="14"/>
        <v>1</v>
      </c>
      <c r="AC51" s="17" t="b">
        <f t="shared" ca="1" si="15"/>
        <v>0</v>
      </c>
      <c r="AD51" s="14" t="b">
        <f t="shared" ca="1" si="16"/>
        <v>1</v>
      </c>
      <c r="AE51" s="15" t="b">
        <f t="shared" ca="1" si="17"/>
        <v>1</v>
      </c>
      <c r="AF51" s="16"/>
      <c r="AG51" s="16"/>
      <c r="AH51" s="16"/>
      <c r="AI51" s="16"/>
      <c r="AJ51" s="16"/>
      <c r="AK51" s="16"/>
      <c r="AL51" s="16"/>
      <c r="AM51" s="16"/>
    </row>
    <row r="52" spans="2:39">
      <c r="B52" s="14">
        <f t="shared" si="6"/>
        <v>50</v>
      </c>
      <c r="C52" s="14" t="str">
        <f t="shared" ca="1" si="7"/>
        <v>S</v>
      </c>
      <c r="D52" s="14" t="str">
        <f t="shared" ca="1" si="8"/>
        <v>q_31b</v>
      </c>
      <c r="E52" s="14" t="str">
        <f t="shared" ca="1" si="1"/>
        <v>Statin's name</v>
      </c>
      <c r="F52" s="14">
        <f t="shared" ca="1" si="18"/>
        <v>0</v>
      </c>
      <c r="G52" s="14" t="str">
        <f t="shared" ca="1" si="9"/>
        <v>q_31b</v>
      </c>
      <c r="H52" s="14">
        <f ca="1">IF(G52&lt;&gt;"",IFERROR( IsVariableNameLegal(G52),0),0)+IF(COUNTIF(INDIRECT(wew!$C$13),G52)&gt;1,10,0)</f>
        <v>0</v>
      </c>
      <c r="I52" s="14">
        <f ca="1">IF(E52&lt;&gt;"",IF(LEN(E52)&gt;150,1,0)+IF(COUNTIF(INDIRECT(wew!$C$15),E52)&gt;1,10,0),0)</f>
        <v>0</v>
      </c>
      <c r="J52" s="14" t="b">
        <f t="shared" ca="1" si="10"/>
        <v>0</v>
      </c>
      <c r="K52" s="14" t="str">
        <f ca="1">ADDRESS(3,(B52+1)*2-1,4,,"[" &amp; wew!$G$7 &amp; "]" &amp; _sheetname_labels) &amp; ":" &amp; ADDRESS(2+ster!$B$20,(B52+1)*2-1,4)</f>
        <v>'[dane surowe2c.xlsm]labels'!CW3:CW36</v>
      </c>
      <c r="L52" s="14" t="str">
        <f ca="1">IF(F52&gt;0,ADDRESS(3,(B52+1)*2-1,4,,"[" &amp; wew!$G$7 &amp; "]" &amp; _sheetname_labels) &amp; ":" &amp; ADDRESS(2+F52,(B52+1)*2-1,4),"")</f>
        <v/>
      </c>
      <c r="M52" s="14" t="str">
        <f ca="1">IF(F52&gt;0,ADDRESS(3,(B52+1)*2,4,,"["&amp;wew!$G$7&amp;"]"&amp;_sheetname_labels)&amp;":"&amp;ADDRESS(2+F52,(B52+1)*2,4),"")</f>
        <v/>
      </c>
      <c r="N52" s="14" t="str">
        <f ca="1">ADDRESS(3,B52+1,4,,"[" &amp; wew!$G$7 &amp; "]" &amp;_sheetname_dataframe) &amp; ":" &amp; ADDRESS(2+ster!$C$14,B52+1,4)</f>
        <v>'[dane surowe2c.xlsm]data_frame'!AY3:AY35</v>
      </c>
      <c r="O52" s="14">
        <f t="shared" ca="1" si="11"/>
        <v>0</v>
      </c>
      <c r="P52" s="14" t="str">
        <f ca="1">IF(AND($AD52,$S52=1),IF(wew!$B$3,MIN(INDIRECT($N52)),"&lt;włącz podświetlanie wartości&gt;"),"—")</f>
        <v>—</v>
      </c>
      <c r="Q52" s="14" t="str">
        <f ca="1">IF(AND($AD52,$S52=1),IF(wew!$B$3,MAX(INDIRECT($N52)),"&lt;włącz podświetlanie wartości&gt;"),"—")</f>
        <v>—</v>
      </c>
      <c r="R52" s="14">
        <f ca="1">IF(AD52,ster!$C$14- (COUNTIF( INDIRECT(N52),"" )+ COUNT(INDIRECT(N52)) +COUNTIF( INDIRECT(N52),"NA" )),"")</f>
        <v>1</v>
      </c>
      <c r="S52" s="12">
        <f ca="1">IF(AD52,IF(COUNTA(INDIRECT(N52))=0,0, 1-(ster!$C$14- COUNT(INDIRECT(N52)) -COUNTIF( INDIRECT(N52),"" )) /COUNTA(INDIRECT(N52))),"")</f>
        <v>0</v>
      </c>
      <c r="T52" s="17" t="str">
        <f t="array" aca="1" ref="T52" ca="1">IF(L52&lt;&gt;"",SUM(IF(INDIRECT(L52)&lt;&gt;INT(INDIRECT(L52)),1,0)),"")</f>
        <v/>
      </c>
      <c r="U52" s="17" t="str">
        <f t="array" aca="1" ref="U52" ca="1">IF(S52=1,SUM(IF(ISNUMBER(INDIRECT(N52)),IF(INDIRECT(N52)&lt;&gt;INT(INDIRECT(N52)),1,0),0)),"")</f>
        <v/>
      </c>
      <c r="V52" s="17">
        <f t="shared" ca="1" si="12"/>
        <v>0</v>
      </c>
      <c r="W52" s="17">
        <f t="shared" ca="1" si="13"/>
        <v>0</v>
      </c>
      <c r="X52" s="24" t="str">
        <f t="array" aca="1" ref="X52" ca="1">IF(AD52,IF(AG52&lt;&gt;"",AG52,IF(J52,MIN(INDIRECT( K52)),"")),"")</f>
        <v/>
      </c>
      <c r="Y52" s="17" t="str">
        <f t="array" aca="1" ref="Y52" ca="1">IF(AD52,IF(AH52&lt;&gt;"",AH52,IF(J52,MAX(INDIRECT( K52)),"")),"")</f>
        <v/>
      </c>
      <c r="Z52" s="17" t="b">
        <f t="shared" ca="1" si="14"/>
        <v>0</v>
      </c>
      <c r="AC52" s="17" t="b">
        <f t="shared" ca="1" si="15"/>
        <v>1</v>
      </c>
      <c r="AD52" s="14" t="b">
        <f t="shared" ca="1" si="16"/>
        <v>1</v>
      </c>
      <c r="AE52" s="15" t="b">
        <f t="shared" ca="1" si="17"/>
        <v>0</v>
      </c>
      <c r="AF52" s="16"/>
      <c r="AG52" s="16"/>
      <c r="AH52" s="16"/>
      <c r="AI52" s="16"/>
      <c r="AJ52" s="16"/>
      <c r="AK52" s="16"/>
      <c r="AL52" s="16"/>
      <c r="AM52" s="16"/>
    </row>
    <row r="53" spans="2:39">
      <c r="B53" s="14">
        <f t="shared" si="6"/>
        <v>51</v>
      </c>
      <c r="C53" s="14" t="str">
        <f t="shared" ca="1" si="7"/>
        <v>D</v>
      </c>
      <c r="D53" s="14" t="str">
        <f t="shared" ca="1" si="8"/>
        <v>q_32a</v>
      </c>
      <c r="E53" s="14" t="str">
        <f t="shared" ca="1" si="1"/>
        <v>NSAID</v>
      </c>
      <c r="F53" s="14">
        <f t="shared" ca="1" si="18"/>
        <v>2</v>
      </c>
      <c r="G53" s="14" t="str">
        <f t="shared" ca="1" si="9"/>
        <v>q_32a</v>
      </c>
      <c r="H53" s="14">
        <f ca="1">IF(G53&lt;&gt;"",IFERROR( IsVariableNameLegal(G53),0),0)+IF(COUNTIF(INDIRECT(wew!$C$13),G53)&gt;1,10,0)</f>
        <v>0</v>
      </c>
      <c r="I53" s="14">
        <f ca="1">IF(E53&lt;&gt;"",IF(LEN(E53)&gt;150,1,0)+IF(COUNTIF(INDIRECT(wew!$C$15),E53)&gt;1,10,0),0)</f>
        <v>0</v>
      </c>
      <c r="J53" s="14" t="b">
        <f t="shared" ca="1" si="10"/>
        <v>1</v>
      </c>
      <c r="K53" s="14" t="str">
        <f ca="1">ADDRESS(3,(B53+1)*2-1,4,,"[" &amp; wew!$G$7 &amp; "]" &amp; _sheetname_labels) &amp; ":" &amp; ADDRESS(2+ster!$B$20,(B53+1)*2-1,4)</f>
        <v>'[dane surowe2c.xlsm]labels'!CY3:CY36</v>
      </c>
      <c r="L53" s="14" t="str">
        <f ca="1">IF(F53&gt;0,ADDRESS(3,(B53+1)*2-1,4,,"[" &amp; wew!$G$7 &amp; "]" &amp; _sheetname_labels) &amp; ":" &amp; ADDRESS(2+F53,(B53+1)*2-1,4),"")</f>
        <v>'[dane surowe2c.xlsm]labels'!CY3:CY4</v>
      </c>
      <c r="M53" s="14" t="str">
        <f ca="1">IF(F53&gt;0,ADDRESS(3,(B53+1)*2,4,,"["&amp;wew!$G$7&amp;"]"&amp;_sheetname_labels)&amp;":"&amp;ADDRESS(2+F53,(B53+1)*2,4),"")</f>
        <v>'[dane surowe2c.xlsm]labels'!CZ3:CZ4</v>
      </c>
      <c r="N53" s="14" t="str">
        <f ca="1">ADDRESS(3,B53+1,4,,"[" &amp; wew!$G$7 &amp; "]" &amp;_sheetname_dataframe) &amp; ":" &amp; ADDRESS(2+ster!$C$14,B53+1,4)</f>
        <v>'[dane surowe2c.xlsm]data_frame'!AZ3:AZ35</v>
      </c>
      <c r="O53" s="14">
        <f t="shared" ca="1" si="11"/>
        <v>32</v>
      </c>
      <c r="P53" s="14">
        <f ca="1">IF(AND($AD53,$S53=1),IF(wew!$B$3,MIN(INDIRECT($N53)),"&lt;włącz podświetlanie wartości&gt;"),"—")</f>
        <v>1</v>
      </c>
      <c r="Q53" s="14">
        <f ca="1">IF(AND($AD53,$S53=1),IF(wew!$B$3,MAX(INDIRECT($N53)),"&lt;włącz podświetlanie wartości&gt;"),"—")</f>
        <v>2</v>
      </c>
      <c r="R53" s="14">
        <f ca="1">IF(AD53,ster!$C$14- (COUNTIF( INDIRECT(N53),"" )+ COUNT(INDIRECT(N53)) +COUNTIF( INDIRECT(N53),"NA" )),"")</f>
        <v>0</v>
      </c>
      <c r="S53" s="12">
        <f ca="1">IF(AD53,IF(COUNTA(INDIRECT(N53))=0,0, 1-(ster!$C$14- COUNT(INDIRECT(N53)) -COUNTIF( INDIRECT(N53),"" )) /COUNTA(INDIRECT(N53))),"")</f>
        <v>1</v>
      </c>
      <c r="T53" s="17">
        <f t="array" aca="1" ref="T53" ca="1">IF(L53&lt;&gt;"",SUM(IF(INDIRECT(L53)&lt;&gt;INT(INDIRECT(L53)),1,0)),"")</f>
        <v>0</v>
      </c>
      <c r="U53" s="17">
        <f t="array" aca="1" ref="U53" ca="1">IF(S53=1,SUM(IF(ISNUMBER(INDIRECT(N53)),IF(INDIRECT(N53)&lt;&gt;INT(INDIRECT(N53)),1,0),0)),"")</f>
        <v>0</v>
      </c>
      <c r="V53" s="17">
        <f t="shared" ca="1" si="12"/>
        <v>1</v>
      </c>
      <c r="W53" s="17">
        <f t="shared" ca="1" si="13"/>
        <v>0</v>
      </c>
      <c r="X53" s="24">
        <f t="array" aca="1" ref="X53" ca="1">IF(AD53,IF(AG53&lt;&gt;"",AG53,IF(J53,MIN(INDIRECT( K53)),"")),"")</f>
        <v>1</v>
      </c>
      <c r="Y53" s="17">
        <f t="array" aca="1" ref="Y53" ca="1">IF(AD53,IF(AH53&lt;&gt;"",AH53,IF(J53,MAX(INDIRECT( K53)),"")),"")</f>
        <v>2</v>
      </c>
      <c r="Z53" s="17" t="b">
        <f t="shared" ca="1" si="14"/>
        <v>1</v>
      </c>
      <c r="AC53" s="17" t="b">
        <f t="shared" ca="1" si="15"/>
        <v>0</v>
      </c>
      <c r="AD53" s="14" t="b">
        <f t="shared" ca="1" si="16"/>
        <v>1</v>
      </c>
      <c r="AE53" s="15" t="b">
        <f t="shared" ca="1" si="17"/>
        <v>1</v>
      </c>
      <c r="AF53" s="16"/>
      <c r="AG53" s="16"/>
      <c r="AH53" s="16"/>
      <c r="AI53" s="16"/>
      <c r="AJ53" s="16"/>
      <c r="AK53" s="16"/>
      <c r="AL53" s="16"/>
      <c r="AM53" s="16"/>
    </row>
    <row r="54" spans="2:39">
      <c r="B54" s="14">
        <f t="shared" si="6"/>
        <v>52</v>
      </c>
      <c r="C54" s="14" t="str">
        <f t="shared" ca="1" si="7"/>
        <v>I</v>
      </c>
      <c r="D54" s="14" t="str">
        <f t="shared" ca="1" si="8"/>
        <v>q_32b</v>
      </c>
      <c r="E54" s="14" t="str">
        <f t="shared" ca="1" si="1"/>
        <v>NSAID drug name</v>
      </c>
      <c r="F54" s="14">
        <f t="shared" ca="1" si="18"/>
        <v>0</v>
      </c>
      <c r="G54" s="14" t="str">
        <f t="shared" ca="1" si="9"/>
        <v>q_32b</v>
      </c>
      <c r="H54" s="14">
        <f ca="1">IF(G54&lt;&gt;"",IFERROR( IsVariableNameLegal(G54),0),0)+IF(COUNTIF(INDIRECT(wew!$C$13),G54)&gt;1,10,0)</f>
        <v>0</v>
      </c>
      <c r="I54" s="14">
        <f ca="1">IF(E54&lt;&gt;"",IF(LEN(E54)&gt;150,1,0)+IF(COUNTIF(INDIRECT(wew!$C$15),E54)&gt;1,10,0),0)</f>
        <v>0</v>
      </c>
      <c r="J54" s="14" t="b">
        <f t="shared" ca="1" si="10"/>
        <v>0</v>
      </c>
      <c r="K54" s="14" t="str">
        <f ca="1">ADDRESS(3,(B54+1)*2-1,4,,"[" &amp; wew!$G$7 &amp; "]" &amp; _sheetname_labels) &amp; ":" &amp; ADDRESS(2+ster!$B$20,(B54+1)*2-1,4)</f>
        <v>'[dane surowe2c.xlsm]labels'!DA3:DA36</v>
      </c>
      <c r="L54" s="14" t="str">
        <f ca="1">IF(F54&gt;0,ADDRESS(3,(B54+1)*2-1,4,,"[" &amp; wew!$G$7 &amp; "]" &amp; _sheetname_labels) &amp; ":" &amp; ADDRESS(2+F54,(B54+1)*2-1,4),"")</f>
        <v/>
      </c>
      <c r="M54" s="14" t="str">
        <f ca="1">IF(F54&gt;0,ADDRESS(3,(B54+1)*2,4,,"["&amp;wew!$G$7&amp;"]"&amp;_sheetname_labels)&amp;":"&amp;ADDRESS(2+F54,(B54+1)*2,4),"")</f>
        <v/>
      </c>
      <c r="N54" s="14" t="str">
        <f ca="1">ADDRESS(3,B54+1,4,,"[" &amp; wew!$G$7 &amp; "]" &amp;_sheetname_dataframe) &amp; ":" &amp; ADDRESS(2+ster!$C$14,B54+1,4)</f>
        <v>'[dane surowe2c.xlsm]data_frame'!BA3:BA35</v>
      </c>
      <c r="O54" s="14">
        <f t="shared" ca="1" si="11"/>
        <v>0</v>
      </c>
      <c r="P54" s="14" t="str">
        <f ca="1">IF(AND($AD54,$S54=1),IF(wew!$B$3,MIN(INDIRECT($N54)),"&lt;włącz podświetlanie wartości&gt;"),"—")</f>
        <v>—</v>
      </c>
      <c r="Q54" s="14" t="str">
        <f ca="1">IF(AND($AD54,$S54=1),IF(wew!$B$3,MAX(INDIRECT($N54)),"&lt;włącz podświetlanie wartości&gt;"),"—")</f>
        <v>—</v>
      </c>
      <c r="R54" s="14">
        <f ca="1">IF(AD54,ster!$C$14- (COUNTIF( INDIRECT(N54),"" )+ COUNT(INDIRECT(N54)) +COUNTIF( INDIRECT(N54),"NA" )),"")</f>
        <v>0</v>
      </c>
      <c r="S54" s="12">
        <f ca="1">IF(AD54,IF(COUNTA(INDIRECT(N54))=0,0, 1-(ster!$C$14- COUNT(INDIRECT(N54)) -COUNTIF( INDIRECT(N54),"" )) /COUNTA(INDIRECT(N54))),"")</f>
        <v>0</v>
      </c>
      <c r="T54" s="17" t="str">
        <f t="array" aca="1" ref="T54" ca="1">IF(L54&lt;&gt;"",SUM(IF(INDIRECT(L54)&lt;&gt;INT(INDIRECT(L54)),1,0)),"")</f>
        <v/>
      </c>
      <c r="U54" s="17" t="str">
        <f t="array" aca="1" ref="U54" ca="1">IF(S54=1,SUM(IF(ISNUMBER(INDIRECT(N54)),IF(INDIRECT(N54)&lt;&gt;INT(INDIRECT(N54)),1,0),0)),"")</f>
        <v/>
      </c>
      <c r="V54" s="17">
        <f t="shared" ca="1" si="12"/>
        <v>0</v>
      </c>
      <c r="W54" s="17">
        <f t="shared" ca="1" si="13"/>
        <v>0</v>
      </c>
      <c r="X54" s="24" t="str">
        <f t="array" aca="1" ref="X54" ca="1">IF(AD54,IF(AG54&lt;&gt;"",AG54,IF(J54,MIN(INDIRECT( K54)),"")),"")</f>
        <v/>
      </c>
      <c r="Y54" s="17" t="str">
        <f t="array" aca="1" ref="Y54" ca="1">IF(AD54,IF(AH54&lt;&gt;"",AH54,IF(J54,MAX(INDIRECT( K54)),"")),"")</f>
        <v/>
      </c>
      <c r="Z54" s="17" t="b">
        <f t="shared" ca="1" si="14"/>
        <v>0</v>
      </c>
      <c r="AC54" s="17" t="b">
        <f t="shared" ca="1" si="15"/>
        <v>0</v>
      </c>
      <c r="AD54" s="14" t="b">
        <f t="shared" ca="1" si="16"/>
        <v>1</v>
      </c>
      <c r="AE54" s="15" t="b">
        <f t="shared" ca="1" si="17"/>
        <v>0</v>
      </c>
      <c r="AF54" s="16"/>
      <c r="AG54" s="16"/>
      <c r="AH54" s="16"/>
      <c r="AI54" s="16"/>
      <c r="AJ54" s="16"/>
      <c r="AK54" s="16"/>
      <c r="AL54" s="16"/>
      <c r="AM54" s="16"/>
    </row>
    <row r="55" spans="2:39">
      <c r="B55" s="14">
        <f t="shared" si="6"/>
        <v>53</v>
      </c>
      <c r="C55" s="14" t="str">
        <f t="shared" ca="1" si="7"/>
        <v>D</v>
      </c>
      <c r="D55" s="14" t="str">
        <f t="shared" ca="1" si="8"/>
        <v>q_33a</v>
      </c>
      <c r="E55" s="14" t="str">
        <f t="shared" ca="1" si="1"/>
        <v>Steroids</v>
      </c>
      <c r="F55" s="14">
        <f t="shared" ca="1" si="18"/>
        <v>2</v>
      </c>
      <c r="G55" s="14" t="str">
        <f t="shared" ca="1" si="9"/>
        <v>q_33a</v>
      </c>
      <c r="H55" s="14">
        <f ca="1">IF(G55&lt;&gt;"",IFERROR( IsVariableNameLegal(G55),0),0)+IF(COUNTIF(INDIRECT(wew!$C$13),G55)&gt;1,10,0)</f>
        <v>0</v>
      </c>
      <c r="I55" s="14">
        <f ca="1">IF(E55&lt;&gt;"",IF(LEN(E55)&gt;150,1,0)+IF(COUNTIF(INDIRECT(wew!$C$15),E55)&gt;1,10,0),0)</f>
        <v>0</v>
      </c>
      <c r="J55" s="14" t="b">
        <f t="shared" ca="1" si="10"/>
        <v>1</v>
      </c>
      <c r="K55" s="14" t="str">
        <f ca="1">ADDRESS(3,(B55+1)*2-1,4,,"[" &amp; wew!$G$7 &amp; "]" &amp; _sheetname_labels) &amp; ":" &amp; ADDRESS(2+ster!$B$20,(B55+1)*2-1,4)</f>
        <v>'[dane surowe2c.xlsm]labels'!DC3:DC36</v>
      </c>
      <c r="L55" s="14" t="str">
        <f ca="1">IF(F55&gt;0,ADDRESS(3,(B55+1)*2-1,4,,"[" &amp; wew!$G$7 &amp; "]" &amp; _sheetname_labels) &amp; ":" &amp; ADDRESS(2+F55,(B55+1)*2-1,4),"")</f>
        <v>'[dane surowe2c.xlsm]labels'!DC3:DC4</v>
      </c>
      <c r="M55" s="14" t="str">
        <f ca="1">IF(F55&gt;0,ADDRESS(3,(B55+1)*2,4,,"["&amp;wew!$G$7&amp;"]"&amp;_sheetname_labels)&amp;":"&amp;ADDRESS(2+F55,(B55+1)*2,4),"")</f>
        <v>'[dane surowe2c.xlsm]labels'!DD3:DD4</v>
      </c>
      <c r="N55" s="14" t="str">
        <f ca="1">ADDRESS(3,B55+1,4,,"[" &amp; wew!$G$7 &amp; "]" &amp;_sheetname_dataframe) &amp; ":" &amp; ADDRESS(2+ster!$C$14,B55+1,4)</f>
        <v>'[dane surowe2c.xlsm]data_frame'!BB3:BB35</v>
      </c>
      <c r="O55" s="14">
        <f t="shared" ca="1" si="11"/>
        <v>32</v>
      </c>
      <c r="P55" s="14">
        <f ca="1">IF(AND($AD55,$S55=1),IF(wew!$B$3,MIN(INDIRECT($N55)),"&lt;włącz podświetlanie wartości&gt;"),"—")</f>
        <v>1</v>
      </c>
      <c r="Q55" s="14">
        <f ca="1">IF(AND($AD55,$S55=1),IF(wew!$B$3,MAX(INDIRECT($N55)),"&lt;włącz podświetlanie wartości&gt;"),"—")</f>
        <v>2</v>
      </c>
      <c r="R55" s="14">
        <f ca="1">IF(AD55,ster!$C$14- (COUNTIF( INDIRECT(N55),"" )+ COUNT(INDIRECT(N55)) +COUNTIF( INDIRECT(N55),"NA" )),"")</f>
        <v>0</v>
      </c>
      <c r="S55" s="12">
        <f ca="1">IF(AD55,IF(COUNTA(INDIRECT(N55))=0,0, 1-(ster!$C$14- COUNT(INDIRECT(N55)) -COUNTIF( INDIRECT(N55),"" )) /COUNTA(INDIRECT(N55))),"")</f>
        <v>1</v>
      </c>
      <c r="T55" s="17">
        <f t="array" aca="1" ref="T55" ca="1">IF(L55&lt;&gt;"",SUM(IF(INDIRECT(L55)&lt;&gt;INT(INDIRECT(L55)),1,0)),"")</f>
        <v>0</v>
      </c>
      <c r="U55" s="17">
        <f t="array" aca="1" ref="U55" ca="1">IF(S55=1,SUM(IF(ISNUMBER(INDIRECT(N55)),IF(INDIRECT(N55)&lt;&gt;INT(INDIRECT(N55)),1,0),0)),"")</f>
        <v>0</v>
      </c>
      <c r="V55" s="17">
        <f t="shared" ca="1" si="12"/>
        <v>1</v>
      </c>
      <c r="W55" s="17">
        <f t="shared" ca="1" si="13"/>
        <v>0</v>
      </c>
      <c r="X55" s="24">
        <f t="array" aca="1" ref="X55" ca="1">IF(AD55,IF(AG55&lt;&gt;"",AG55,IF(J55,MIN(INDIRECT( K55)),"")),"")</f>
        <v>1</v>
      </c>
      <c r="Y55" s="17">
        <f t="array" aca="1" ref="Y55" ca="1">IF(AD55,IF(AH55&lt;&gt;"",AH55,IF(J55,MAX(INDIRECT( K55)),"")),"")</f>
        <v>2</v>
      </c>
      <c r="Z55" s="17" t="b">
        <f t="shared" ca="1" si="14"/>
        <v>1</v>
      </c>
      <c r="AC55" s="17" t="b">
        <f t="shared" ca="1" si="15"/>
        <v>0</v>
      </c>
      <c r="AD55" s="14" t="b">
        <f t="shared" ca="1" si="16"/>
        <v>1</v>
      </c>
      <c r="AE55" s="15" t="b">
        <f t="shared" ca="1" si="17"/>
        <v>1</v>
      </c>
      <c r="AF55" s="16"/>
      <c r="AG55" s="16"/>
      <c r="AH55" s="16"/>
      <c r="AI55" s="16"/>
      <c r="AJ55" s="16"/>
      <c r="AK55" s="16"/>
      <c r="AL55" s="16"/>
      <c r="AM55" s="16"/>
    </row>
    <row r="56" spans="2:39">
      <c r="B56" s="14">
        <f t="shared" si="6"/>
        <v>54</v>
      </c>
      <c r="C56" s="14" t="str">
        <f t="shared" ca="1" si="7"/>
        <v>S</v>
      </c>
      <c r="D56" s="14" t="str">
        <f t="shared" ca="1" si="8"/>
        <v>q_33b</v>
      </c>
      <c r="E56" s="14" t="str">
        <f t="shared" ca="1" si="1"/>
        <v>Steroid's name</v>
      </c>
      <c r="F56" s="14">
        <f t="shared" ca="1" si="18"/>
        <v>0</v>
      </c>
      <c r="G56" s="14" t="str">
        <f t="shared" ca="1" si="9"/>
        <v>q_33b</v>
      </c>
      <c r="H56" s="14">
        <f ca="1">IF(G56&lt;&gt;"",IFERROR( IsVariableNameLegal(G56),0),0)+IF(COUNTIF(INDIRECT(wew!$C$13),G56)&gt;1,10,0)</f>
        <v>0</v>
      </c>
      <c r="I56" s="14">
        <f ca="1">IF(E56&lt;&gt;"",IF(LEN(E56)&gt;150,1,0)+IF(COUNTIF(INDIRECT(wew!$C$15),E56)&gt;1,10,0),0)</f>
        <v>0</v>
      </c>
      <c r="J56" s="14" t="b">
        <f t="shared" ca="1" si="10"/>
        <v>0</v>
      </c>
      <c r="K56" s="14" t="str">
        <f ca="1">ADDRESS(3,(B56+1)*2-1,4,,"[" &amp; wew!$G$7 &amp; "]" &amp; _sheetname_labels) &amp; ":" &amp; ADDRESS(2+ster!$B$20,(B56+1)*2-1,4)</f>
        <v>'[dane surowe2c.xlsm]labels'!DE3:DE36</v>
      </c>
      <c r="L56" s="14" t="str">
        <f ca="1">IF(F56&gt;0,ADDRESS(3,(B56+1)*2-1,4,,"[" &amp; wew!$G$7 &amp; "]" &amp; _sheetname_labels) &amp; ":" &amp; ADDRESS(2+F56,(B56+1)*2-1,4),"")</f>
        <v/>
      </c>
      <c r="M56" s="14" t="str">
        <f ca="1">IF(F56&gt;0,ADDRESS(3,(B56+1)*2,4,,"["&amp;wew!$G$7&amp;"]"&amp;_sheetname_labels)&amp;":"&amp;ADDRESS(2+F56,(B56+1)*2,4),"")</f>
        <v/>
      </c>
      <c r="N56" s="14" t="str">
        <f ca="1">ADDRESS(3,B56+1,4,,"[" &amp; wew!$G$7 &amp; "]" &amp;_sheetname_dataframe) &amp; ":" &amp; ADDRESS(2+ster!$C$14,B56+1,4)</f>
        <v>'[dane surowe2c.xlsm]data_frame'!BC3:BC35</v>
      </c>
      <c r="O56" s="14">
        <f t="shared" ca="1" si="11"/>
        <v>0</v>
      </c>
      <c r="P56" s="14" t="str">
        <f ca="1">IF(AND($AD56,$S56=1),IF(wew!$B$3,MIN(INDIRECT($N56)),"&lt;włącz podświetlanie wartości&gt;"),"—")</f>
        <v>—</v>
      </c>
      <c r="Q56" s="14" t="str">
        <f ca="1">IF(AND($AD56,$S56=1),IF(wew!$B$3,MAX(INDIRECT($N56)),"&lt;włącz podświetlanie wartości&gt;"),"—")</f>
        <v>—</v>
      </c>
      <c r="R56" s="14">
        <f ca="1">IF(AD56,ster!$C$14- (COUNTIF( INDIRECT(N56),"" )+ COUNT(INDIRECT(N56)) +COUNTIF( INDIRECT(N56),"NA" )),"")</f>
        <v>1</v>
      </c>
      <c r="S56" s="12">
        <f ca="1">IF(AD56,IF(COUNTA(INDIRECT(N56))=0,0, 1-(ster!$C$14- COUNT(INDIRECT(N56)) -COUNTIF( INDIRECT(N56),"" )) /COUNTA(INDIRECT(N56))),"")</f>
        <v>0</v>
      </c>
      <c r="T56" s="17" t="str">
        <f t="array" aca="1" ref="T56" ca="1">IF(L56&lt;&gt;"",SUM(IF(INDIRECT(L56)&lt;&gt;INT(INDIRECT(L56)),1,0)),"")</f>
        <v/>
      </c>
      <c r="U56" s="17" t="str">
        <f t="array" aca="1" ref="U56" ca="1">IF(S56=1,SUM(IF(ISNUMBER(INDIRECT(N56)),IF(INDIRECT(N56)&lt;&gt;INT(INDIRECT(N56)),1,0),0)),"")</f>
        <v/>
      </c>
      <c r="V56" s="17">
        <f t="shared" ca="1" si="12"/>
        <v>0</v>
      </c>
      <c r="W56" s="17">
        <f t="shared" ca="1" si="13"/>
        <v>0</v>
      </c>
      <c r="X56" s="24" t="str">
        <f t="array" aca="1" ref="X56" ca="1">IF(AD56,IF(AG56&lt;&gt;"",AG56,IF(J56,MIN(INDIRECT( K56)),"")),"")</f>
        <v/>
      </c>
      <c r="Y56" s="17" t="str">
        <f t="array" aca="1" ref="Y56" ca="1">IF(AD56,IF(AH56&lt;&gt;"",AH56,IF(J56,MAX(INDIRECT( K56)),"")),"")</f>
        <v/>
      </c>
      <c r="Z56" s="17" t="b">
        <f t="shared" ca="1" si="14"/>
        <v>0</v>
      </c>
      <c r="AC56" s="17" t="b">
        <f t="shared" ca="1" si="15"/>
        <v>1</v>
      </c>
      <c r="AD56" s="14" t="b">
        <f t="shared" ca="1" si="16"/>
        <v>1</v>
      </c>
      <c r="AE56" s="15" t="b">
        <f t="shared" ca="1" si="17"/>
        <v>0</v>
      </c>
      <c r="AF56" s="16"/>
      <c r="AG56" s="16"/>
      <c r="AH56" s="16"/>
      <c r="AI56" s="16"/>
      <c r="AJ56" s="16"/>
      <c r="AK56" s="16"/>
      <c r="AL56" s="16"/>
      <c r="AM56" s="16"/>
    </row>
    <row r="57" spans="2:39">
      <c r="B57" s="14">
        <f t="shared" si="6"/>
        <v>55</v>
      </c>
      <c r="C57" s="14" t="str">
        <f t="shared" ca="1" si="7"/>
        <v>D</v>
      </c>
      <c r="D57" s="14" t="str">
        <f t="shared" ca="1" si="8"/>
        <v>q_34a</v>
      </c>
      <c r="E57" s="14" t="str">
        <f t="shared" ca="1" si="1"/>
        <v>Immunosupressors</v>
      </c>
      <c r="F57" s="14">
        <f t="shared" ca="1" si="18"/>
        <v>2</v>
      </c>
      <c r="G57" s="14" t="str">
        <f t="shared" ca="1" si="9"/>
        <v>q_34a</v>
      </c>
      <c r="H57" s="14">
        <f ca="1">IF(G57&lt;&gt;"",IFERROR( IsVariableNameLegal(G57),0),0)+IF(COUNTIF(INDIRECT(wew!$C$13),G57)&gt;1,10,0)</f>
        <v>0</v>
      </c>
      <c r="I57" s="14">
        <f ca="1">IF(E57&lt;&gt;"",IF(LEN(E57)&gt;150,1,0)+IF(COUNTIF(INDIRECT(wew!$C$15),E57)&gt;1,10,0),0)</f>
        <v>0</v>
      </c>
      <c r="J57" s="14" t="b">
        <f t="shared" ca="1" si="10"/>
        <v>1</v>
      </c>
      <c r="K57" s="14" t="str">
        <f ca="1">ADDRESS(3,(B57+1)*2-1,4,,"[" &amp; wew!$G$7 &amp; "]" &amp; _sheetname_labels) &amp; ":" &amp; ADDRESS(2+ster!$B$20,(B57+1)*2-1,4)</f>
        <v>'[dane surowe2c.xlsm]labels'!DG3:DG36</v>
      </c>
      <c r="L57" s="14" t="str">
        <f ca="1">IF(F57&gt;0,ADDRESS(3,(B57+1)*2-1,4,,"[" &amp; wew!$G$7 &amp; "]" &amp; _sheetname_labels) &amp; ":" &amp; ADDRESS(2+F57,(B57+1)*2-1,4),"")</f>
        <v>'[dane surowe2c.xlsm]labels'!DG3:DG4</v>
      </c>
      <c r="M57" s="14" t="str">
        <f ca="1">IF(F57&gt;0,ADDRESS(3,(B57+1)*2,4,,"["&amp;wew!$G$7&amp;"]"&amp;_sheetname_labels)&amp;":"&amp;ADDRESS(2+F57,(B57+1)*2,4),"")</f>
        <v>'[dane surowe2c.xlsm]labels'!DH3:DH4</v>
      </c>
      <c r="N57" s="14" t="str">
        <f ca="1">ADDRESS(3,B57+1,4,,"[" &amp; wew!$G$7 &amp; "]" &amp;_sheetname_dataframe) &amp; ":" &amp; ADDRESS(2+ster!$C$14,B57+1,4)</f>
        <v>'[dane surowe2c.xlsm]data_frame'!BD3:BD35</v>
      </c>
      <c r="O57" s="14">
        <f t="shared" ca="1" si="11"/>
        <v>32</v>
      </c>
      <c r="P57" s="14">
        <f ca="1">IF(AND($AD57,$S57=1),IF(wew!$B$3,MIN(INDIRECT($N57)),"&lt;włącz podświetlanie wartości&gt;"),"—")</f>
        <v>2</v>
      </c>
      <c r="Q57" s="14">
        <f ca="1">IF(AND($AD57,$S57=1),IF(wew!$B$3,MAX(INDIRECT($N57)),"&lt;włącz podświetlanie wartości&gt;"),"—")</f>
        <v>2</v>
      </c>
      <c r="R57" s="14">
        <f ca="1">IF(AD57,ster!$C$14- (COUNTIF( INDIRECT(N57),"" )+ COUNT(INDIRECT(N57)) +COUNTIF( INDIRECT(N57),"NA" )),"")</f>
        <v>0</v>
      </c>
      <c r="S57" s="12">
        <f ca="1">IF(AD57,IF(COUNTA(INDIRECT(N57))=0,0, 1-(ster!$C$14- COUNT(INDIRECT(N57)) -COUNTIF( INDIRECT(N57),"" )) /COUNTA(INDIRECT(N57))),"")</f>
        <v>1</v>
      </c>
      <c r="T57" s="17">
        <f t="array" aca="1" ref="T57" ca="1">IF(L57&lt;&gt;"",SUM(IF(INDIRECT(L57)&lt;&gt;INT(INDIRECT(L57)),1,0)),"")</f>
        <v>0</v>
      </c>
      <c r="U57" s="17">
        <f t="array" aca="1" ref="U57" ca="1">IF(S57=1,SUM(IF(ISNUMBER(INDIRECT(N57)),IF(INDIRECT(N57)&lt;&gt;INT(INDIRECT(N57)),1,0),0)),"")</f>
        <v>0</v>
      </c>
      <c r="V57" s="17">
        <f t="shared" ca="1" si="12"/>
        <v>1</v>
      </c>
      <c r="W57" s="17">
        <f t="shared" ca="1" si="13"/>
        <v>0</v>
      </c>
      <c r="X57" s="24">
        <f t="array" aca="1" ref="X57" ca="1">IF(AD57,IF(AG57&lt;&gt;"",AG57,IF(J57,MIN(INDIRECT( K57)),"")),"")</f>
        <v>1</v>
      </c>
      <c r="Y57" s="17">
        <f t="array" aca="1" ref="Y57" ca="1">IF(AD57,IF(AH57&lt;&gt;"",AH57,IF(J57,MAX(INDIRECT( K57)),"")),"")</f>
        <v>2</v>
      </c>
      <c r="Z57" s="17" t="b">
        <f t="shared" ca="1" si="14"/>
        <v>1</v>
      </c>
      <c r="AC57" s="17" t="b">
        <f t="shared" ca="1" si="15"/>
        <v>0</v>
      </c>
      <c r="AD57" s="14" t="b">
        <f t="shared" ca="1" si="16"/>
        <v>1</v>
      </c>
      <c r="AE57" s="15" t="b">
        <f t="shared" ca="1" si="17"/>
        <v>1</v>
      </c>
      <c r="AF57" s="16"/>
      <c r="AG57" s="16"/>
      <c r="AH57" s="16"/>
      <c r="AI57" s="16"/>
      <c r="AJ57" s="16"/>
      <c r="AK57" s="16"/>
      <c r="AL57" s="16"/>
      <c r="AM57" s="16"/>
    </row>
    <row r="58" spans="2:39">
      <c r="B58" s="14">
        <f t="shared" si="6"/>
        <v>56</v>
      </c>
      <c r="C58" s="14" t="str">
        <f t="shared" ca="1" si="7"/>
        <v>I</v>
      </c>
      <c r="D58" s="14" t="str">
        <f t="shared" ca="1" si="8"/>
        <v>q_34b</v>
      </c>
      <c r="E58" s="14" t="str">
        <f t="shared" ca="1" si="1"/>
        <v>Immunosupressor's name</v>
      </c>
      <c r="F58" s="14">
        <f t="shared" ca="1" si="18"/>
        <v>0</v>
      </c>
      <c r="G58" s="14" t="str">
        <f t="shared" ca="1" si="9"/>
        <v>q_34b</v>
      </c>
      <c r="H58" s="14">
        <f ca="1">IF(G58&lt;&gt;"",IFERROR( IsVariableNameLegal(G58),0),0)+IF(COUNTIF(INDIRECT(wew!$C$13),G58)&gt;1,10,0)</f>
        <v>0</v>
      </c>
      <c r="I58" s="14">
        <f ca="1">IF(E58&lt;&gt;"",IF(LEN(E58)&gt;150,1,0)+IF(COUNTIF(INDIRECT(wew!$C$15),E58)&gt;1,10,0),0)</f>
        <v>0</v>
      </c>
      <c r="J58" s="14" t="b">
        <f t="shared" ca="1" si="10"/>
        <v>0</v>
      </c>
      <c r="K58" s="14" t="str">
        <f ca="1">ADDRESS(3,(B58+1)*2-1,4,,"[" &amp; wew!$G$7 &amp; "]" &amp; _sheetname_labels) &amp; ":" &amp; ADDRESS(2+ster!$B$20,(B58+1)*2-1,4)</f>
        <v>'[dane surowe2c.xlsm]labels'!DI3:DI36</v>
      </c>
      <c r="L58" s="14" t="str">
        <f ca="1">IF(F58&gt;0,ADDRESS(3,(B58+1)*2-1,4,,"[" &amp; wew!$G$7 &amp; "]" &amp; _sheetname_labels) &amp; ":" &amp; ADDRESS(2+F58,(B58+1)*2-1,4),"")</f>
        <v/>
      </c>
      <c r="M58" s="14" t="str">
        <f ca="1">IF(F58&gt;0,ADDRESS(3,(B58+1)*2,4,,"["&amp;wew!$G$7&amp;"]"&amp;_sheetname_labels)&amp;":"&amp;ADDRESS(2+F58,(B58+1)*2,4),"")</f>
        <v/>
      </c>
      <c r="N58" s="14" t="str">
        <f ca="1">ADDRESS(3,B58+1,4,,"[" &amp; wew!$G$7 &amp; "]" &amp;_sheetname_dataframe) &amp; ":" &amp; ADDRESS(2+ster!$C$14,B58+1,4)</f>
        <v>'[dane surowe2c.xlsm]data_frame'!BE3:BE35</v>
      </c>
      <c r="O58" s="14">
        <f t="shared" ca="1" si="11"/>
        <v>0</v>
      </c>
      <c r="P58" s="14" t="str">
        <f ca="1">IF(AND($AD58,$S58=1),IF(wew!$B$3,MIN(INDIRECT($N58)),"&lt;włącz podświetlanie wartości&gt;"),"—")</f>
        <v>—</v>
      </c>
      <c r="Q58" s="14" t="str">
        <f ca="1">IF(AND($AD58,$S58=1),IF(wew!$B$3,MAX(INDIRECT($N58)),"&lt;włącz podświetlanie wartości&gt;"),"—")</f>
        <v>—</v>
      </c>
      <c r="R58" s="14">
        <f ca="1">IF(AD58,ster!$C$14- (COUNTIF( INDIRECT(N58),"" )+ COUNT(INDIRECT(N58)) +COUNTIF( INDIRECT(N58),"NA" )),"")</f>
        <v>0</v>
      </c>
      <c r="S58" s="12">
        <f ca="1">IF(AD58,IF(COUNTA(INDIRECT(N58))=0,0, 1-(ster!$C$14- COUNT(INDIRECT(N58)) -COUNTIF( INDIRECT(N58),"" )) /COUNTA(INDIRECT(N58))),"")</f>
        <v>0</v>
      </c>
      <c r="T58" s="17" t="str">
        <f t="array" aca="1" ref="T58" ca="1">IF(L58&lt;&gt;"",SUM(IF(INDIRECT(L58)&lt;&gt;INT(INDIRECT(L58)),1,0)),"")</f>
        <v/>
      </c>
      <c r="U58" s="17" t="str">
        <f t="array" aca="1" ref="U58" ca="1">IF(S58=1,SUM(IF(ISNUMBER(INDIRECT(N58)),IF(INDIRECT(N58)&lt;&gt;INT(INDIRECT(N58)),1,0),0)),"")</f>
        <v/>
      </c>
      <c r="V58" s="17">
        <f t="shared" ca="1" si="12"/>
        <v>0</v>
      </c>
      <c r="W58" s="17">
        <f t="shared" ca="1" si="13"/>
        <v>0</v>
      </c>
      <c r="X58" s="24" t="str">
        <f t="array" aca="1" ref="X58" ca="1">IF(AD58,IF(AG58&lt;&gt;"",AG58,IF(J58,MIN(INDIRECT( K58)),"")),"")</f>
        <v/>
      </c>
      <c r="Y58" s="17" t="str">
        <f t="array" aca="1" ref="Y58" ca="1">IF(AD58,IF(AH58&lt;&gt;"",AH58,IF(J58,MAX(INDIRECT( K58)),"")),"")</f>
        <v/>
      </c>
      <c r="Z58" s="17" t="b">
        <f t="shared" ca="1" si="14"/>
        <v>0</v>
      </c>
      <c r="AC58" s="17" t="b">
        <f t="shared" ca="1" si="15"/>
        <v>0</v>
      </c>
      <c r="AD58" s="14" t="b">
        <f t="shared" ca="1" si="16"/>
        <v>1</v>
      </c>
      <c r="AE58" s="15" t="b">
        <f t="shared" ca="1" si="17"/>
        <v>0</v>
      </c>
      <c r="AF58" s="16"/>
      <c r="AG58" s="16"/>
      <c r="AH58" s="16"/>
      <c r="AI58" s="16"/>
      <c r="AJ58" s="16"/>
      <c r="AK58" s="16"/>
      <c r="AL58" s="16"/>
      <c r="AM58" s="16"/>
    </row>
    <row r="59" spans="2:39">
      <c r="B59" s="14">
        <f t="shared" si="6"/>
        <v>57</v>
      </c>
      <c r="C59" s="14" t="str">
        <f t="shared" ca="1" si="7"/>
        <v>N</v>
      </c>
      <c r="D59" s="14" t="str">
        <f t="shared" ca="1" si="8"/>
        <v>q_35a</v>
      </c>
      <c r="E59" s="14" t="str">
        <f t="shared" ca="1" si="1"/>
        <v>SOD1 mutation</v>
      </c>
      <c r="F59" s="14">
        <f t="shared" ca="1" si="18"/>
        <v>3</v>
      </c>
      <c r="G59" s="14" t="str">
        <f t="shared" ca="1" si="9"/>
        <v>q_35a</v>
      </c>
      <c r="H59" s="14">
        <f ca="1">IF(G59&lt;&gt;"",IFERROR( IsVariableNameLegal(G59),0),0)+IF(COUNTIF(INDIRECT(wew!$C$13),G59)&gt;1,10,0)</f>
        <v>0</v>
      </c>
      <c r="I59" s="14">
        <f ca="1">IF(E59&lt;&gt;"",IF(LEN(E59)&gt;150,1,0)+IF(COUNTIF(INDIRECT(wew!$C$15),E59)&gt;1,10,0),0)</f>
        <v>0</v>
      </c>
      <c r="J59" s="14" t="b">
        <f t="shared" ca="1" si="10"/>
        <v>1</v>
      </c>
      <c r="K59" s="14" t="str">
        <f ca="1">ADDRESS(3,(B59+1)*2-1,4,,"[" &amp; wew!$G$7 &amp; "]" &amp; _sheetname_labels) &amp; ":" &amp; ADDRESS(2+ster!$B$20,(B59+1)*2-1,4)</f>
        <v>'[dane surowe2c.xlsm]labels'!DK3:DK36</v>
      </c>
      <c r="L59" s="14" t="str">
        <f ca="1">IF(F59&gt;0,ADDRESS(3,(B59+1)*2-1,4,,"[" &amp; wew!$G$7 &amp; "]" &amp; _sheetname_labels) &amp; ":" &amp; ADDRESS(2+F59,(B59+1)*2-1,4),"")</f>
        <v>'[dane surowe2c.xlsm]labels'!DK3:DK5</v>
      </c>
      <c r="M59" s="14" t="str">
        <f ca="1">IF(F59&gt;0,ADDRESS(3,(B59+1)*2,4,,"["&amp;wew!$G$7&amp;"]"&amp;_sheetname_labels)&amp;":"&amp;ADDRESS(2+F59,(B59+1)*2,4),"")</f>
        <v>'[dane surowe2c.xlsm]labels'!DL3:DL5</v>
      </c>
      <c r="N59" s="14" t="str">
        <f ca="1">ADDRESS(3,B59+1,4,,"[" &amp; wew!$G$7 &amp; "]" &amp;_sheetname_dataframe) &amp; ":" &amp; ADDRESS(2+ster!$C$14,B59+1,4)</f>
        <v>'[dane surowe2c.xlsm]data_frame'!BF3:BF35</v>
      </c>
      <c r="O59" s="14">
        <f t="shared" ca="1" si="11"/>
        <v>2</v>
      </c>
      <c r="P59" s="14">
        <f ca="1">IF(AND($AD59,$S59=1),IF(wew!$B$3,MIN(INDIRECT($N59)),"&lt;włącz podświetlanie wartości&gt;"),"—")</f>
        <v>2</v>
      </c>
      <c r="Q59" s="14">
        <f ca="1">IF(AND($AD59,$S59=1),IF(wew!$B$3,MAX(INDIRECT($N59)),"&lt;włącz podświetlanie wartości&gt;"),"—")</f>
        <v>2</v>
      </c>
      <c r="R59" s="14">
        <f ca="1">IF(AD59,ster!$C$14- (COUNTIF( INDIRECT(N59),"" )+ COUNT(INDIRECT(N59)) +COUNTIF( INDIRECT(N59),"NA" )),"")</f>
        <v>0</v>
      </c>
      <c r="S59" s="12">
        <f ca="1">IF(AD59,IF(COUNTA(INDIRECT(N59))=0,0, 1-(ster!$C$14- COUNT(INDIRECT(N59)) -COUNTIF( INDIRECT(N59),"" )) /COUNTA(INDIRECT(N59))),"")</f>
        <v>1</v>
      </c>
      <c r="T59" s="17">
        <f t="array" aca="1" ref="T59" ca="1">IF(L59&lt;&gt;"",SUM(IF(INDIRECT(L59)&lt;&gt;INT(INDIRECT(L59)),1,0)),"")</f>
        <v>0</v>
      </c>
      <c r="U59" s="17">
        <f t="array" aca="1" ref="U59" ca="1">IF(S59=1,SUM(IF(ISNUMBER(INDIRECT(N59)),IF(INDIRECT(N59)&lt;&gt;INT(INDIRECT(N59)),1,0),0)),"")</f>
        <v>0</v>
      </c>
      <c r="V59" s="17">
        <f t="shared" ca="1" si="12"/>
        <v>1</v>
      </c>
      <c r="W59" s="17">
        <f t="shared" ca="1" si="13"/>
        <v>0</v>
      </c>
      <c r="X59" s="24">
        <f t="array" aca="1" ref="X59" ca="1">IF(AD59,IF(AG59&lt;&gt;"",AG59,IF(J59,MIN(INDIRECT( K59)),"")),"")</f>
        <v>1</v>
      </c>
      <c r="Y59" s="17">
        <f t="array" aca="1" ref="Y59" ca="1">IF(AD59,IF(AH59&lt;&gt;"",AH59,IF(J59,MAX(INDIRECT( K59)),"")),"")</f>
        <v>3</v>
      </c>
      <c r="Z59" s="17" t="b">
        <f t="shared" ca="1" si="14"/>
        <v>1</v>
      </c>
      <c r="AC59" s="17" t="b">
        <f t="shared" ca="1" si="15"/>
        <v>0</v>
      </c>
      <c r="AD59" s="14" t="b">
        <f t="shared" ca="1" si="16"/>
        <v>1</v>
      </c>
      <c r="AE59" s="15" t="b">
        <f t="shared" ca="1" si="17"/>
        <v>1</v>
      </c>
      <c r="AF59" s="16"/>
      <c r="AG59" s="16"/>
      <c r="AH59" s="16"/>
      <c r="AI59" s="16"/>
      <c r="AJ59" s="16"/>
      <c r="AK59" s="16"/>
      <c r="AL59" s="16"/>
      <c r="AM59" s="16"/>
    </row>
    <row r="60" spans="2:39">
      <c r="B60" s="14">
        <f t="shared" si="6"/>
        <v>58</v>
      </c>
      <c r="C60" s="14" t="str">
        <f t="shared" ca="1" si="7"/>
        <v>I</v>
      </c>
      <c r="D60" s="14" t="str">
        <f t="shared" ca="1" si="8"/>
        <v>q_35b</v>
      </c>
      <c r="E60" s="14" t="str">
        <f t="shared" ca="1" si="1"/>
        <v>SOD1 mutation type</v>
      </c>
      <c r="F60" s="14">
        <f t="shared" ca="1" si="18"/>
        <v>0</v>
      </c>
      <c r="G60" s="14" t="str">
        <f t="shared" ca="1" si="9"/>
        <v>q_35b</v>
      </c>
      <c r="H60" s="14">
        <f ca="1">IF(G60&lt;&gt;"",IFERROR( IsVariableNameLegal(G60),0),0)+IF(COUNTIF(INDIRECT(wew!$C$13),G60)&gt;1,10,0)</f>
        <v>0</v>
      </c>
      <c r="I60" s="14">
        <f ca="1">IF(E60&lt;&gt;"",IF(LEN(E60)&gt;150,1,0)+IF(COUNTIF(INDIRECT(wew!$C$15),E60)&gt;1,10,0),0)</f>
        <v>0</v>
      </c>
      <c r="J60" s="14" t="b">
        <f t="shared" ca="1" si="10"/>
        <v>0</v>
      </c>
      <c r="K60" s="14" t="str">
        <f ca="1">ADDRESS(3,(B60+1)*2-1,4,,"[" &amp; wew!$G$7 &amp; "]" &amp; _sheetname_labels) &amp; ":" &amp; ADDRESS(2+ster!$B$20,(B60+1)*2-1,4)</f>
        <v>'[dane surowe2c.xlsm]labels'!DM3:DM36</v>
      </c>
      <c r="L60" s="14" t="str">
        <f ca="1">IF(F60&gt;0,ADDRESS(3,(B60+1)*2-1,4,,"[" &amp; wew!$G$7 &amp; "]" &amp; _sheetname_labels) &amp; ":" &amp; ADDRESS(2+F60,(B60+1)*2-1,4),"")</f>
        <v/>
      </c>
      <c r="M60" s="14" t="str">
        <f ca="1">IF(F60&gt;0,ADDRESS(3,(B60+1)*2,4,,"["&amp;wew!$G$7&amp;"]"&amp;_sheetname_labels)&amp;":"&amp;ADDRESS(2+F60,(B60+1)*2,4),"")</f>
        <v/>
      </c>
      <c r="N60" s="14" t="str">
        <f ca="1">ADDRESS(3,B60+1,4,,"[" &amp; wew!$G$7 &amp; "]" &amp;_sheetname_dataframe) &amp; ":" &amp; ADDRESS(2+ster!$C$14,B60+1,4)</f>
        <v>'[dane surowe2c.xlsm]data_frame'!BG3:BG35</v>
      </c>
      <c r="O60" s="14">
        <f t="shared" ca="1" si="11"/>
        <v>0</v>
      </c>
      <c r="P60" s="14" t="str">
        <f ca="1">IF(AND($AD60,$S60=1),IF(wew!$B$3,MIN(INDIRECT($N60)),"&lt;włącz podświetlanie wartości&gt;"),"—")</f>
        <v>—</v>
      </c>
      <c r="Q60" s="14" t="str">
        <f ca="1">IF(AND($AD60,$S60=1),IF(wew!$B$3,MAX(INDIRECT($N60)),"&lt;włącz podświetlanie wartości&gt;"),"—")</f>
        <v>—</v>
      </c>
      <c r="R60" s="14">
        <f ca="1">IF(AD60,ster!$C$14- (COUNTIF( INDIRECT(N60),"" )+ COUNT(INDIRECT(N60)) +COUNTIF( INDIRECT(N60),"NA" )),"")</f>
        <v>0</v>
      </c>
      <c r="S60" s="12">
        <f ca="1">IF(AD60,IF(COUNTA(INDIRECT(N60))=0,0, 1-(ster!$C$14- COUNT(INDIRECT(N60)) -COUNTIF( INDIRECT(N60),"" )) /COUNTA(INDIRECT(N60))),"")</f>
        <v>0</v>
      </c>
      <c r="T60" s="17" t="str">
        <f t="array" aca="1" ref="T60" ca="1">IF(L60&lt;&gt;"",SUM(IF(INDIRECT(L60)&lt;&gt;INT(INDIRECT(L60)),1,0)),"")</f>
        <v/>
      </c>
      <c r="U60" s="17" t="str">
        <f t="array" aca="1" ref="U60" ca="1">IF(S60=1,SUM(IF(ISNUMBER(INDIRECT(N60)),IF(INDIRECT(N60)&lt;&gt;INT(INDIRECT(N60)),1,0),0)),"")</f>
        <v/>
      </c>
      <c r="V60" s="17">
        <f t="shared" ca="1" si="12"/>
        <v>0</v>
      </c>
      <c r="W60" s="17">
        <f t="shared" ca="1" si="13"/>
        <v>0</v>
      </c>
      <c r="X60" s="24" t="str">
        <f t="array" aca="1" ref="X60" ca="1">IF(AD60,IF(AG60&lt;&gt;"",AG60,IF(J60,MIN(INDIRECT( K60)),"")),"")</f>
        <v/>
      </c>
      <c r="Y60" s="17" t="str">
        <f t="array" aca="1" ref="Y60" ca="1">IF(AD60,IF(AH60&lt;&gt;"",AH60,IF(J60,MAX(INDIRECT( K60)),"")),"")</f>
        <v/>
      </c>
      <c r="Z60" s="17" t="b">
        <f t="shared" ca="1" si="14"/>
        <v>0</v>
      </c>
      <c r="AC60" s="17" t="b">
        <f t="shared" ca="1" si="15"/>
        <v>0</v>
      </c>
      <c r="AD60" s="14" t="b">
        <f t="shared" ca="1" si="16"/>
        <v>1</v>
      </c>
      <c r="AE60" s="15" t="b">
        <f t="shared" ca="1" si="17"/>
        <v>0</v>
      </c>
      <c r="AF60" s="16"/>
      <c r="AG60" s="16"/>
      <c r="AH60" s="16"/>
      <c r="AI60" s="16"/>
      <c r="AJ60" s="16"/>
      <c r="AK60" s="16"/>
      <c r="AL60" s="16"/>
      <c r="AM60" s="16"/>
    </row>
    <row r="61" spans="2:39">
      <c r="B61" s="14">
        <f t="shared" si="6"/>
        <v>59</v>
      </c>
      <c r="C61" s="14" t="str">
        <f t="shared" ca="1" si="7"/>
        <v>N</v>
      </c>
      <c r="D61" s="14" t="str">
        <f t="shared" ca="1" si="8"/>
        <v>q_36</v>
      </c>
      <c r="E61" s="14" t="str">
        <f t="shared" ca="1" si="1"/>
        <v>Abnormal C9orf72 repeat-expansion</v>
      </c>
      <c r="F61" s="14">
        <f t="shared" ca="1" si="18"/>
        <v>3</v>
      </c>
      <c r="G61" s="14" t="str">
        <f t="shared" ca="1" si="9"/>
        <v>q_36</v>
      </c>
      <c r="H61" s="14">
        <f ca="1">IF(G61&lt;&gt;"",IFERROR( IsVariableNameLegal(G61),0),0)+IF(COUNTIF(INDIRECT(wew!$C$13),G61)&gt;1,10,0)</f>
        <v>0</v>
      </c>
      <c r="I61" s="14">
        <f ca="1">IF(E61&lt;&gt;"",IF(LEN(E61)&gt;150,1,0)+IF(COUNTIF(INDIRECT(wew!$C$15),E61)&gt;1,10,0),0)</f>
        <v>0</v>
      </c>
      <c r="J61" s="14" t="b">
        <f t="shared" ca="1" si="10"/>
        <v>1</v>
      </c>
      <c r="K61" s="14" t="str">
        <f ca="1">ADDRESS(3,(B61+1)*2-1,4,,"[" &amp; wew!$G$7 &amp; "]" &amp; _sheetname_labels) &amp; ":" &amp; ADDRESS(2+ster!$B$20,(B61+1)*2-1,4)</f>
        <v>'[dane surowe2c.xlsm]labels'!DO3:DO36</v>
      </c>
      <c r="L61" s="14" t="str">
        <f ca="1">IF(F61&gt;0,ADDRESS(3,(B61+1)*2-1,4,,"[" &amp; wew!$G$7 &amp; "]" &amp; _sheetname_labels) &amp; ":" &amp; ADDRESS(2+F61,(B61+1)*2-1,4),"")</f>
        <v>'[dane surowe2c.xlsm]labels'!DO3:DO5</v>
      </c>
      <c r="M61" s="14" t="str">
        <f ca="1">IF(F61&gt;0,ADDRESS(3,(B61+1)*2,4,,"["&amp;wew!$G$7&amp;"]"&amp;_sheetname_labels)&amp;":"&amp;ADDRESS(2+F61,(B61+1)*2,4),"")</f>
        <v>'[dane surowe2c.xlsm]labels'!DP3:DP5</v>
      </c>
      <c r="N61" s="14" t="str">
        <f ca="1">ADDRESS(3,B61+1,4,,"[" &amp; wew!$G$7 &amp; "]" &amp;_sheetname_dataframe) &amp; ":" &amp; ADDRESS(2+ster!$C$14,B61+1,4)</f>
        <v>'[dane surowe2c.xlsm]data_frame'!BH3:BH35</v>
      </c>
      <c r="O61" s="14">
        <f t="shared" ca="1" si="11"/>
        <v>3</v>
      </c>
      <c r="P61" s="14">
        <f ca="1">IF(AND($AD61,$S61=1),IF(wew!$B$3,MIN(INDIRECT($N61)),"&lt;włącz podświetlanie wartości&gt;"),"—")</f>
        <v>2</v>
      </c>
      <c r="Q61" s="14">
        <f ca="1">IF(AND($AD61,$S61=1),IF(wew!$B$3,MAX(INDIRECT($N61)),"&lt;włącz podświetlanie wartości&gt;"),"—")</f>
        <v>2</v>
      </c>
      <c r="R61" s="14">
        <f ca="1">IF(AD61,ster!$C$14- (COUNTIF( INDIRECT(N61),"" )+ COUNT(INDIRECT(N61)) +COUNTIF( INDIRECT(N61),"NA" )),"")</f>
        <v>0</v>
      </c>
      <c r="S61" s="12">
        <f ca="1">IF(AD61,IF(COUNTA(INDIRECT(N61))=0,0, 1-(ster!$C$14- COUNT(INDIRECT(N61)) -COUNTIF( INDIRECT(N61),"" )) /COUNTA(INDIRECT(N61))),"")</f>
        <v>1</v>
      </c>
      <c r="T61" s="17">
        <f t="array" aca="1" ref="T61" ca="1">IF(L61&lt;&gt;"",SUM(IF(INDIRECT(L61)&lt;&gt;INT(INDIRECT(L61)),1,0)),"")</f>
        <v>0</v>
      </c>
      <c r="U61" s="17">
        <f t="array" aca="1" ref="U61" ca="1">IF(S61=1,SUM(IF(ISNUMBER(INDIRECT(N61)),IF(INDIRECT(N61)&lt;&gt;INT(INDIRECT(N61)),1,0),0)),"")</f>
        <v>0</v>
      </c>
      <c r="V61" s="17">
        <f t="shared" ca="1" si="12"/>
        <v>1</v>
      </c>
      <c r="W61" s="17">
        <f t="shared" ca="1" si="13"/>
        <v>0</v>
      </c>
      <c r="X61" s="24">
        <f t="array" aca="1" ref="X61" ca="1">IF(AD61,IF(AG61&lt;&gt;"",AG61,IF(J61,MIN(INDIRECT( K61)),"")),"")</f>
        <v>1</v>
      </c>
      <c r="Y61" s="17">
        <f t="array" aca="1" ref="Y61" ca="1">IF(AD61,IF(AH61&lt;&gt;"",AH61,IF(J61,MAX(INDIRECT( K61)),"")),"")</f>
        <v>3</v>
      </c>
      <c r="Z61" s="17" t="b">
        <f t="shared" ca="1" si="14"/>
        <v>1</v>
      </c>
      <c r="AC61" s="17" t="b">
        <f t="shared" ca="1" si="15"/>
        <v>0</v>
      </c>
      <c r="AD61" s="14" t="b">
        <f t="shared" ca="1" si="16"/>
        <v>1</v>
      </c>
      <c r="AE61" s="15" t="b">
        <f t="shared" ca="1" si="17"/>
        <v>1</v>
      </c>
      <c r="AF61" s="16"/>
      <c r="AG61" s="16"/>
      <c r="AH61" s="16"/>
      <c r="AI61" s="16"/>
      <c r="AJ61" s="16"/>
      <c r="AK61" s="16"/>
      <c r="AL61" s="16"/>
      <c r="AM61" s="16"/>
    </row>
    <row r="62" spans="2:39">
      <c r="B62" s="14">
        <f t="shared" si="6"/>
        <v>60</v>
      </c>
      <c r="C62" s="14" t="str">
        <f t="shared" ca="1" si="7"/>
        <v>S</v>
      </c>
      <c r="D62" s="14" t="str">
        <f t="shared" ca="1" si="8"/>
        <v>q_37.1</v>
      </c>
      <c r="E62" s="14" t="str">
        <f t="shared" ca="1" si="1"/>
        <v>Other genes</v>
      </c>
      <c r="F62" s="14">
        <f t="shared" ca="1" si="18"/>
        <v>0</v>
      </c>
      <c r="G62" s="14" t="str">
        <f t="shared" ca="1" si="9"/>
        <v>q_37.1</v>
      </c>
      <c r="H62" s="14">
        <f ca="1">IF(G62&lt;&gt;"",IFERROR( IsVariableNameLegal(G62),0),0)+IF(COUNTIF(INDIRECT(wew!$C$13),G62)&gt;1,10,0)</f>
        <v>0</v>
      </c>
      <c r="I62" s="14">
        <f ca="1">IF(E62&lt;&gt;"",IF(LEN(E62)&gt;150,1,0)+IF(COUNTIF(INDIRECT(wew!$C$15),E62)&gt;1,10,0),0)</f>
        <v>0</v>
      </c>
      <c r="J62" s="14" t="b">
        <f t="shared" ca="1" si="10"/>
        <v>0</v>
      </c>
      <c r="K62" s="14" t="str">
        <f ca="1">ADDRESS(3,(B62+1)*2-1,4,,"[" &amp; wew!$G$7 &amp; "]" &amp; _sheetname_labels) &amp; ":" &amp; ADDRESS(2+ster!$B$20,(B62+1)*2-1,4)</f>
        <v>'[dane surowe2c.xlsm]labels'!DQ3:DQ36</v>
      </c>
      <c r="L62" s="14" t="str">
        <f ca="1">IF(F62&gt;0,ADDRESS(3,(B62+1)*2-1,4,,"[" &amp; wew!$G$7 &amp; "]" &amp; _sheetname_labels) &amp; ":" &amp; ADDRESS(2+F62,(B62+1)*2-1,4),"")</f>
        <v/>
      </c>
      <c r="M62" s="14" t="str">
        <f ca="1">IF(F62&gt;0,ADDRESS(3,(B62+1)*2,4,,"["&amp;wew!$G$7&amp;"]"&amp;_sheetname_labels)&amp;":"&amp;ADDRESS(2+F62,(B62+1)*2,4),"")</f>
        <v/>
      </c>
      <c r="N62" s="14" t="str">
        <f ca="1">ADDRESS(3,B62+1,4,,"[" &amp; wew!$G$7 &amp; "]" &amp;_sheetname_dataframe) &amp; ":" &amp; ADDRESS(2+ster!$C$14,B62+1,4)</f>
        <v>'[dane surowe2c.xlsm]data_frame'!BI3:BI35</v>
      </c>
      <c r="O62" s="14">
        <f t="shared" ca="1" si="11"/>
        <v>0</v>
      </c>
      <c r="P62" s="14" t="str">
        <f ca="1">IF(AND($AD62,$S62=1),IF(wew!$B$3,MIN(INDIRECT($N62)),"&lt;włącz podświetlanie wartości&gt;"),"—")</f>
        <v>—</v>
      </c>
      <c r="Q62" s="14" t="str">
        <f ca="1">IF(AND($AD62,$S62=1),IF(wew!$B$3,MAX(INDIRECT($N62)),"&lt;włącz podświetlanie wartości&gt;"),"—")</f>
        <v>—</v>
      </c>
      <c r="R62" s="14">
        <f ca="1">IF(AD62,ster!$C$14- (COUNTIF( INDIRECT(N62),"" )+ COUNT(INDIRECT(N62)) +COUNTIF( INDIRECT(N62),"NA" )),"")</f>
        <v>32</v>
      </c>
      <c r="S62" s="12">
        <f ca="1">IF(AD62,IF(COUNTA(INDIRECT(N62))=0,0, 1-(ster!$C$14- COUNT(INDIRECT(N62)) -COUNTIF( INDIRECT(N62),"" )) /COUNTA(INDIRECT(N62))),"")</f>
        <v>0</v>
      </c>
      <c r="T62" s="17" t="str">
        <f t="array" aca="1" ref="T62" ca="1">IF(L62&lt;&gt;"",SUM(IF(INDIRECT(L62)&lt;&gt;INT(INDIRECT(L62)),1,0)),"")</f>
        <v/>
      </c>
      <c r="U62" s="17" t="str">
        <f t="array" aca="1" ref="U62" ca="1">IF(S62=1,SUM(IF(ISNUMBER(INDIRECT(N62)),IF(INDIRECT(N62)&lt;&gt;INT(INDIRECT(N62)),1,0),0)),"")</f>
        <v/>
      </c>
      <c r="V62" s="17">
        <f t="shared" ca="1" si="12"/>
        <v>0</v>
      </c>
      <c r="W62" s="17">
        <f t="shared" ca="1" si="13"/>
        <v>0</v>
      </c>
      <c r="X62" s="24" t="str">
        <f t="array" aca="1" ref="X62" ca="1">IF(AD62,IF(AG62&lt;&gt;"",AG62,IF(J62,MIN(INDIRECT( K62)),"")),"")</f>
        <v/>
      </c>
      <c r="Y62" s="17" t="str">
        <f t="array" aca="1" ref="Y62" ca="1">IF(AD62,IF(AH62&lt;&gt;"",AH62,IF(J62,MAX(INDIRECT( K62)),"")),"")</f>
        <v/>
      </c>
      <c r="Z62" s="17" t="b">
        <f t="shared" ca="1" si="14"/>
        <v>0</v>
      </c>
      <c r="AC62" s="17" t="b">
        <f t="shared" ca="1" si="15"/>
        <v>1</v>
      </c>
      <c r="AD62" s="14" t="b">
        <f t="shared" ca="1" si="16"/>
        <v>1</v>
      </c>
      <c r="AE62" s="15" t="b">
        <f t="shared" ca="1" si="17"/>
        <v>0</v>
      </c>
      <c r="AF62" s="16"/>
      <c r="AG62" s="16"/>
      <c r="AH62" s="16"/>
      <c r="AI62" s="16"/>
      <c r="AJ62" s="16"/>
      <c r="AK62" s="16"/>
      <c r="AL62" s="16"/>
      <c r="AM62" s="16"/>
    </row>
    <row r="63" spans="2:39">
      <c r="B63" s="14">
        <f t="shared" si="6"/>
        <v>61</v>
      </c>
      <c r="C63" s="14" t="str">
        <f t="shared" ca="1" si="7"/>
        <v>I</v>
      </c>
      <c r="D63" s="14" t="str">
        <f t="shared" ca="1" si="8"/>
        <v>q_37.1a</v>
      </c>
      <c r="E63" s="14" t="str">
        <f t="shared" ca="1" si="1"/>
        <v>Other gene 1</v>
      </c>
      <c r="F63" s="14">
        <f t="shared" ca="1" si="18"/>
        <v>0</v>
      </c>
      <c r="G63" s="14" t="str">
        <f t="shared" ca="1" si="9"/>
        <v>q_37.1a</v>
      </c>
      <c r="H63" s="14">
        <f ca="1">IF(G63&lt;&gt;"",IFERROR( IsVariableNameLegal(G63),0),0)+IF(COUNTIF(INDIRECT(wew!$C$13),G63)&gt;1,10,0)</f>
        <v>0</v>
      </c>
      <c r="I63" s="14">
        <f ca="1">IF(E63&lt;&gt;"",IF(LEN(E63)&gt;150,1,0)+IF(COUNTIF(INDIRECT(wew!$C$15),E63)&gt;1,10,0),0)</f>
        <v>0</v>
      </c>
      <c r="J63" s="14" t="b">
        <f t="shared" ca="1" si="10"/>
        <v>0</v>
      </c>
      <c r="K63" s="14" t="str">
        <f ca="1">ADDRESS(3,(B63+1)*2-1,4,,"[" &amp; wew!$G$7 &amp; "]" &amp; _sheetname_labels) &amp; ":" &amp; ADDRESS(2+ster!$B$20,(B63+1)*2-1,4)</f>
        <v>'[dane surowe2c.xlsm]labels'!DS3:DS36</v>
      </c>
      <c r="L63" s="14" t="str">
        <f ca="1">IF(F63&gt;0,ADDRESS(3,(B63+1)*2-1,4,,"[" &amp; wew!$G$7 &amp; "]" &amp; _sheetname_labels) &amp; ":" &amp; ADDRESS(2+F63,(B63+1)*2-1,4),"")</f>
        <v/>
      </c>
      <c r="M63" s="14" t="str">
        <f ca="1">IF(F63&gt;0,ADDRESS(3,(B63+1)*2,4,,"["&amp;wew!$G$7&amp;"]"&amp;_sheetname_labels)&amp;":"&amp;ADDRESS(2+F63,(B63+1)*2,4),"")</f>
        <v/>
      </c>
      <c r="N63" s="14" t="str">
        <f ca="1">ADDRESS(3,B63+1,4,,"[" &amp; wew!$G$7 &amp; "]" &amp;_sheetname_dataframe) &amp; ":" &amp; ADDRESS(2+ster!$C$14,B63+1,4)</f>
        <v>'[dane surowe2c.xlsm]data_frame'!BJ3:BJ35</v>
      </c>
      <c r="O63" s="14">
        <f t="shared" ca="1" si="11"/>
        <v>0</v>
      </c>
      <c r="P63" s="14" t="str">
        <f ca="1">IF(AND($AD63,$S63=1),IF(wew!$B$3,MIN(INDIRECT($N63)),"&lt;włącz podświetlanie wartości&gt;"),"—")</f>
        <v>—</v>
      </c>
      <c r="Q63" s="14" t="str">
        <f ca="1">IF(AND($AD63,$S63=1),IF(wew!$B$3,MAX(INDIRECT($N63)),"&lt;włącz podświetlanie wartości&gt;"),"—")</f>
        <v>—</v>
      </c>
      <c r="R63" s="14">
        <f ca="1">IF(AD63,ster!$C$14- (COUNTIF( INDIRECT(N63),"" )+ COUNT(INDIRECT(N63)) +COUNTIF( INDIRECT(N63),"NA" )),"")</f>
        <v>0</v>
      </c>
      <c r="S63" s="12">
        <f ca="1">IF(AD63,IF(COUNTA(INDIRECT(N63))=0,0, 1-(ster!$C$14- COUNT(INDIRECT(N63)) -COUNTIF( INDIRECT(N63),"" )) /COUNTA(INDIRECT(N63))),"")</f>
        <v>0</v>
      </c>
      <c r="T63" s="17" t="str">
        <f t="array" aca="1" ref="T63" ca="1">IF(L63&lt;&gt;"",SUM(IF(INDIRECT(L63)&lt;&gt;INT(INDIRECT(L63)),1,0)),"")</f>
        <v/>
      </c>
      <c r="U63" s="17" t="str">
        <f t="array" aca="1" ref="U63" ca="1">IF(S63=1,SUM(IF(ISNUMBER(INDIRECT(N63)),IF(INDIRECT(N63)&lt;&gt;INT(INDIRECT(N63)),1,0),0)),"")</f>
        <v/>
      </c>
      <c r="V63" s="17">
        <f t="shared" ca="1" si="12"/>
        <v>0</v>
      </c>
      <c r="W63" s="17">
        <f t="shared" ca="1" si="13"/>
        <v>0</v>
      </c>
      <c r="X63" s="24" t="str">
        <f t="array" aca="1" ref="X63" ca="1">IF(AD63,IF(AG63&lt;&gt;"",AG63,IF(J63,MIN(INDIRECT( K63)),"")),"")</f>
        <v/>
      </c>
      <c r="Y63" s="17" t="str">
        <f t="array" aca="1" ref="Y63" ca="1">IF(AD63,IF(AH63&lt;&gt;"",AH63,IF(J63,MAX(INDIRECT( K63)),"")),"")</f>
        <v/>
      </c>
      <c r="Z63" s="17" t="b">
        <f t="shared" ca="1" si="14"/>
        <v>0</v>
      </c>
      <c r="AC63" s="17" t="b">
        <f t="shared" ca="1" si="15"/>
        <v>0</v>
      </c>
      <c r="AD63" s="14" t="b">
        <f t="shared" ca="1" si="16"/>
        <v>1</v>
      </c>
      <c r="AE63" s="15" t="b">
        <f t="shared" ca="1" si="17"/>
        <v>0</v>
      </c>
      <c r="AF63" s="16"/>
      <c r="AG63" s="16"/>
      <c r="AH63" s="16"/>
      <c r="AI63" s="16"/>
      <c r="AJ63" s="16"/>
      <c r="AK63" s="16"/>
      <c r="AL63" s="16"/>
      <c r="AM63" s="16"/>
    </row>
    <row r="64" spans="2:39">
      <c r="B64" s="14">
        <f t="shared" si="6"/>
        <v>62</v>
      </c>
      <c r="C64" s="14" t="str">
        <f t="shared" ca="1" si="7"/>
        <v>I</v>
      </c>
      <c r="D64" s="14" t="str">
        <f t="shared" ca="1" si="8"/>
        <v>q_37.1b</v>
      </c>
      <c r="E64" s="14" t="str">
        <f t="shared" ca="1" si="1"/>
        <v>Gene 1 result</v>
      </c>
      <c r="F64" s="14">
        <f t="shared" ca="1" si="18"/>
        <v>0</v>
      </c>
      <c r="G64" s="14" t="str">
        <f t="shared" ca="1" si="9"/>
        <v>q_37.1b</v>
      </c>
      <c r="H64" s="14">
        <f ca="1">IF(G64&lt;&gt;"",IFERROR( IsVariableNameLegal(G64),0),0)+IF(COUNTIF(INDIRECT(wew!$C$13),G64)&gt;1,10,0)</f>
        <v>0</v>
      </c>
      <c r="I64" s="14">
        <f ca="1">IF(E64&lt;&gt;"",IF(LEN(E64)&gt;150,1,0)+IF(COUNTIF(INDIRECT(wew!$C$15),E64)&gt;1,10,0),0)</f>
        <v>0</v>
      </c>
      <c r="J64" s="14" t="b">
        <f t="shared" ca="1" si="10"/>
        <v>0</v>
      </c>
      <c r="K64" s="14" t="str">
        <f ca="1">ADDRESS(3,(B64+1)*2-1,4,,"[" &amp; wew!$G$7 &amp; "]" &amp; _sheetname_labels) &amp; ":" &amp; ADDRESS(2+ster!$B$20,(B64+1)*2-1,4)</f>
        <v>'[dane surowe2c.xlsm]labels'!DU3:DU36</v>
      </c>
      <c r="L64" s="14" t="str">
        <f ca="1">IF(F64&gt;0,ADDRESS(3,(B64+1)*2-1,4,,"[" &amp; wew!$G$7 &amp; "]" &amp; _sheetname_labels) &amp; ":" &amp; ADDRESS(2+F64,(B64+1)*2-1,4),"")</f>
        <v/>
      </c>
      <c r="M64" s="14" t="str">
        <f ca="1">IF(F64&gt;0,ADDRESS(3,(B64+1)*2,4,,"["&amp;wew!$G$7&amp;"]"&amp;_sheetname_labels)&amp;":"&amp;ADDRESS(2+F64,(B64+1)*2,4),"")</f>
        <v/>
      </c>
      <c r="N64" s="14" t="str">
        <f ca="1">ADDRESS(3,B64+1,4,,"[" &amp; wew!$G$7 &amp; "]" &amp;_sheetname_dataframe) &amp; ":" &amp; ADDRESS(2+ster!$C$14,B64+1,4)</f>
        <v>'[dane surowe2c.xlsm]data_frame'!BK3:BK35</v>
      </c>
      <c r="O64" s="14">
        <f t="shared" ca="1" si="11"/>
        <v>0</v>
      </c>
      <c r="P64" s="14" t="str">
        <f ca="1">IF(AND($AD64,$S64=1),IF(wew!$B$3,MIN(INDIRECT($N64)),"&lt;włącz podświetlanie wartości&gt;"),"—")</f>
        <v>—</v>
      </c>
      <c r="Q64" s="14" t="str">
        <f ca="1">IF(AND($AD64,$S64=1),IF(wew!$B$3,MAX(INDIRECT($N64)),"&lt;włącz podświetlanie wartości&gt;"),"—")</f>
        <v>—</v>
      </c>
      <c r="R64" s="14">
        <f ca="1">IF(AD64,ster!$C$14- (COUNTIF( INDIRECT(N64),"" )+ COUNT(INDIRECT(N64)) +COUNTIF( INDIRECT(N64),"NA" )),"")</f>
        <v>0</v>
      </c>
      <c r="S64" s="12">
        <f ca="1">IF(AD64,IF(COUNTA(INDIRECT(N64))=0,0, 1-(ster!$C$14- COUNT(INDIRECT(N64)) -COUNTIF( INDIRECT(N64),"" )) /COUNTA(INDIRECT(N64))),"")</f>
        <v>0</v>
      </c>
      <c r="T64" s="17" t="str">
        <f t="array" aca="1" ref="T64" ca="1">IF(L64&lt;&gt;"",SUM(IF(INDIRECT(L64)&lt;&gt;INT(INDIRECT(L64)),1,0)),"")</f>
        <v/>
      </c>
      <c r="U64" s="17" t="str">
        <f t="array" aca="1" ref="U64" ca="1">IF(S64=1,SUM(IF(ISNUMBER(INDIRECT(N64)),IF(INDIRECT(N64)&lt;&gt;INT(INDIRECT(N64)),1,0),0)),"")</f>
        <v/>
      </c>
      <c r="V64" s="17">
        <f t="shared" ca="1" si="12"/>
        <v>0</v>
      </c>
      <c r="W64" s="17">
        <f t="shared" ca="1" si="13"/>
        <v>0</v>
      </c>
      <c r="X64" s="24" t="str">
        <f t="array" aca="1" ref="X64" ca="1">IF(AD64,IF(AG64&lt;&gt;"",AG64,IF(J64,MIN(INDIRECT( K64)),"")),"")</f>
        <v/>
      </c>
      <c r="Y64" s="17" t="str">
        <f t="array" aca="1" ref="Y64" ca="1">IF(AD64,IF(AH64&lt;&gt;"",AH64,IF(J64,MAX(INDIRECT( K64)),"")),"")</f>
        <v/>
      </c>
      <c r="Z64" s="17" t="b">
        <f t="shared" ca="1" si="14"/>
        <v>0</v>
      </c>
      <c r="AC64" s="17" t="b">
        <f t="shared" ca="1" si="15"/>
        <v>0</v>
      </c>
      <c r="AD64" s="14" t="b">
        <f t="shared" ca="1" si="16"/>
        <v>1</v>
      </c>
      <c r="AE64" s="15" t="b">
        <f t="shared" ca="1" si="17"/>
        <v>0</v>
      </c>
      <c r="AF64" s="16"/>
      <c r="AG64" s="16"/>
      <c r="AH64" s="16"/>
      <c r="AI64" s="16"/>
      <c r="AJ64" s="16"/>
      <c r="AK64" s="16"/>
      <c r="AL64" s="16"/>
      <c r="AM64" s="16"/>
    </row>
    <row r="65" spans="2:39">
      <c r="B65" s="14">
        <f t="shared" si="6"/>
        <v>63</v>
      </c>
      <c r="C65" s="14" t="str">
        <f t="shared" ca="1" si="7"/>
        <v>I</v>
      </c>
      <c r="D65" s="14" t="str">
        <f t="shared" ca="1" si="8"/>
        <v>q_37.1c</v>
      </c>
      <c r="E65" s="14" t="str">
        <f t="shared" ca="1" si="1"/>
        <v>Other gene 2</v>
      </c>
      <c r="F65" s="14">
        <f t="shared" ca="1" si="18"/>
        <v>0</v>
      </c>
      <c r="G65" s="14" t="str">
        <f t="shared" ca="1" si="9"/>
        <v>q_37.1c</v>
      </c>
      <c r="H65" s="14">
        <f ca="1">IF(G65&lt;&gt;"",IFERROR( IsVariableNameLegal(G65),0),0)+IF(COUNTIF(INDIRECT(wew!$C$13),G65)&gt;1,10,0)</f>
        <v>0</v>
      </c>
      <c r="I65" s="14">
        <f ca="1">IF(E65&lt;&gt;"",IF(LEN(E65)&gt;150,1,0)+IF(COUNTIF(INDIRECT(wew!$C$15),E65)&gt;1,10,0),0)</f>
        <v>0</v>
      </c>
      <c r="J65" s="14" t="b">
        <f t="shared" ca="1" si="10"/>
        <v>0</v>
      </c>
      <c r="K65" s="14" t="str">
        <f ca="1">ADDRESS(3,(B65+1)*2-1,4,,"[" &amp; wew!$G$7 &amp; "]" &amp; _sheetname_labels) &amp; ":" &amp; ADDRESS(2+ster!$B$20,(B65+1)*2-1,4)</f>
        <v>'[dane surowe2c.xlsm]labels'!DW3:DW36</v>
      </c>
      <c r="L65" s="14" t="str">
        <f ca="1">IF(F65&gt;0,ADDRESS(3,(B65+1)*2-1,4,,"[" &amp; wew!$G$7 &amp; "]" &amp; _sheetname_labels) &amp; ":" &amp; ADDRESS(2+F65,(B65+1)*2-1,4),"")</f>
        <v/>
      </c>
      <c r="M65" s="14" t="str">
        <f ca="1">IF(F65&gt;0,ADDRESS(3,(B65+1)*2,4,,"["&amp;wew!$G$7&amp;"]"&amp;_sheetname_labels)&amp;":"&amp;ADDRESS(2+F65,(B65+1)*2,4),"")</f>
        <v/>
      </c>
      <c r="N65" s="14" t="str">
        <f ca="1">ADDRESS(3,B65+1,4,,"[" &amp; wew!$G$7 &amp; "]" &amp;_sheetname_dataframe) &amp; ":" &amp; ADDRESS(2+ster!$C$14,B65+1,4)</f>
        <v>'[dane surowe2c.xlsm]data_frame'!BL3:BL35</v>
      </c>
      <c r="O65" s="14">
        <f t="shared" ca="1" si="11"/>
        <v>0</v>
      </c>
      <c r="P65" s="14" t="str">
        <f ca="1">IF(AND($AD65,$S65=1),IF(wew!$B$3,MIN(INDIRECT($N65)),"&lt;włącz podświetlanie wartości&gt;"),"—")</f>
        <v>—</v>
      </c>
      <c r="Q65" s="14" t="str">
        <f ca="1">IF(AND($AD65,$S65=1),IF(wew!$B$3,MAX(INDIRECT($N65)),"&lt;włącz podświetlanie wartości&gt;"),"—")</f>
        <v>—</v>
      </c>
      <c r="R65" s="14">
        <f ca="1">IF(AD65,ster!$C$14- (COUNTIF( INDIRECT(N65),"" )+ COUNT(INDIRECT(N65)) +COUNTIF( INDIRECT(N65),"NA" )),"")</f>
        <v>0</v>
      </c>
      <c r="S65" s="12">
        <f ca="1">IF(AD65,IF(COUNTA(INDIRECT(N65))=0,0, 1-(ster!$C$14- COUNT(INDIRECT(N65)) -COUNTIF( INDIRECT(N65),"" )) /COUNTA(INDIRECT(N65))),"")</f>
        <v>0</v>
      </c>
      <c r="T65" s="17" t="str">
        <f t="array" aca="1" ref="T65" ca="1">IF(L65&lt;&gt;"",SUM(IF(INDIRECT(L65)&lt;&gt;INT(INDIRECT(L65)),1,0)),"")</f>
        <v/>
      </c>
      <c r="U65" s="17" t="str">
        <f t="array" aca="1" ref="U65" ca="1">IF(S65=1,SUM(IF(ISNUMBER(INDIRECT(N65)),IF(INDIRECT(N65)&lt;&gt;INT(INDIRECT(N65)),1,0),0)),"")</f>
        <v/>
      </c>
      <c r="V65" s="17">
        <f t="shared" ca="1" si="12"/>
        <v>0</v>
      </c>
      <c r="W65" s="17">
        <f t="shared" ca="1" si="13"/>
        <v>0</v>
      </c>
      <c r="X65" s="24" t="str">
        <f t="array" aca="1" ref="X65" ca="1">IF(AD65,IF(AG65&lt;&gt;"",AG65,IF(J65,MIN(INDIRECT( K65)),"")),"")</f>
        <v/>
      </c>
      <c r="Y65" s="17" t="str">
        <f t="array" aca="1" ref="Y65" ca="1">IF(AD65,IF(AH65&lt;&gt;"",AH65,IF(J65,MAX(INDIRECT( K65)),"")),"")</f>
        <v/>
      </c>
      <c r="Z65" s="17" t="b">
        <f t="shared" ca="1" si="14"/>
        <v>0</v>
      </c>
      <c r="AC65" s="17" t="b">
        <f t="shared" ca="1" si="15"/>
        <v>0</v>
      </c>
      <c r="AD65" s="14" t="b">
        <f t="shared" ca="1" si="16"/>
        <v>1</v>
      </c>
      <c r="AE65" s="15" t="b">
        <f t="shared" ca="1" si="17"/>
        <v>0</v>
      </c>
      <c r="AF65" s="16"/>
      <c r="AG65" s="16"/>
      <c r="AH65" s="16"/>
      <c r="AI65" s="16"/>
      <c r="AJ65" s="16"/>
      <c r="AK65" s="16"/>
      <c r="AL65" s="16"/>
      <c r="AM65" s="16"/>
    </row>
    <row r="66" spans="2:39">
      <c r="B66" s="14">
        <f t="shared" si="6"/>
        <v>64</v>
      </c>
      <c r="C66" s="14" t="str">
        <f t="shared" ca="1" si="7"/>
        <v>I</v>
      </c>
      <c r="D66" s="14" t="str">
        <f t="shared" ca="1" si="8"/>
        <v>q_37.1d</v>
      </c>
      <c r="E66" s="14" t="str">
        <f t="shared" ref="E66:E129" ca="1" si="19">IF(AD66,IF(INDIRECT(ADDRESS(1,ROW(A65),,,_sheetname_dataframe))="","",INDIRECT(ADDRESS(1,ROW(A65),,,_sheetname_dataframe))),"")</f>
        <v>Gene 2 result</v>
      </c>
      <c r="F66" s="14">
        <f t="shared" ca="1" si="18"/>
        <v>0</v>
      </c>
      <c r="G66" s="14" t="str">
        <f t="shared" ca="1" si="9"/>
        <v>q_37.1d</v>
      </c>
      <c r="H66" s="14">
        <f ca="1">IF(G66&lt;&gt;"",IFERROR( IsVariableNameLegal(G66),0),0)+IF(COUNTIF(INDIRECT(wew!$C$13),G66)&gt;1,10,0)</f>
        <v>0</v>
      </c>
      <c r="I66" s="14">
        <f ca="1">IF(E66&lt;&gt;"",IF(LEN(E66)&gt;150,1,0)+IF(COUNTIF(INDIRECT(wew!$C$15),E66)&gt;1,10,0),0)</f>
        <v>0</v>
      </c>
      <c r="J66" s="14" t="b">
        <f t="shared" ca="1" si="10"/>
        <v>0</v>
      </c>
      <c r="K66" s="14" t="str">
        <f ca="1">ADDRESS(3,(B66+1)*2-1,4,,"[" &amp; wew!$G$7 &amp; "]" &amp; _sheetname_labels) &amp; ":" &amp; ADDRESS(2+ster!$B$20,(B66+1)*2-1,4)</f>
        <v>'[dane surowe2c.xlsm]labels'!DY3:DY36</v>
      </c>
      <c r="L66" s="14" t="str">
        <f ca="1">IF(F66&gt;0,ADDRESS(3,(B66+1)*2-1,4,,"[" &amp; wew!$G$7 &amp; "]" &amp; _sheetname_labels) &amp; ":" &amp; ADDRESS(2+F66,(B66+1)*2-1,4),"")</f>
        <v/>
      </c>
      <c r="M66" s="14" t="str">
        <f ca="1">IF(F66&gt;0,ADDRESS(3,(B66+1)*2,4,,"["&amp;wew!$G$7&amp;"]"&amp;_sheetname_labels)&amp;":"&amp;ADDRESS(2+F66,(B66+1)*2,4),"")</f>
        <v/>
      </c>
      <c r="N66" s="14" t="str">
        <f ca="1">ADDRESS(3,B66+1,4,,"[" &amp; wew!$G$7 &amp; "]" &amp;_sheetname_dataframe) &amp; ":" &amp; ADDRESS(2+ster!$C$14,B66+1,4)</f>
        <v>'[dane surowe2c.xlsm]data_frame'!BM3:BM35</v>
      </c>
      <c r="O66" s="14">
        <f t="shared" ca="1" si="11"/>
        <v>0</v>
      </c>
      <c r="P66" s="14" t="str">
        <f ca="1">IF(AND($AD66,$S66=1),IF(wew!$B$3,MIN(INDIRECT($N66)),"&lt;włącz podświetlanie wartości&gt;"),"—")</f>
        <v>—</v>
      </c>
      <c r="Q66" s="14" t="str">
        <f ca="1">IF(AND($AD66,$S66=1),IF(wew!$B$3,MAX(INDIRECT($N66)),"&lt;włącz podświetlanie wartości&gt;"),"—")</f>
        <v>—</v>
      </c>
      <c r="R66" s="14">
        <f ca="1">IF(AD66,ster!$C$14- (COUNTIF( INDIRECT(N66),"" )+ COUNT(INDIRECT(N66)) +COUNTIF( INDIRECT(N66),"NA" )),"")</f>
        <v>0</v>
      </c>
      <c r="S66" s="12">
        <f ca="1">IF(AD66,IF(COUNTA(INDIRECT(N66))=0,0, 1-(ster!$C$14- COUNT(INDIRECT(N66)) -COUNTIF( INDIRECT(N66),"" )) /COUNTA(INDIRECT(N66))),"")</f>
        <v>0</v>
      </c>
      <c r="T66" s="17" t="str">
        <f t="array" aca="1" ref="T66" ca="1">IF(L66&lt;&gt;"",SUM(IF(INDIRECT(L66)&lt;&gt;INT(INDIRECT(L66)),1,0)),"")</f>
        <v/>
      </c>
      <c r="U66" s="17" t="str">
        <f t="array" aca="1" ref="U66" ca="1">IF(S66=1,SUM(IF(ISNUMBER(INDIRECT(N66)),IF(INDIRECT(N66)&lt;&gt;INT(INDIRECT(N66)),1,0),0)),"")</f>
        <v/>
      </c>
      <c r="V66" s="17">
        <f t="shared" ca="1" si="12"/>
        <v>0</v>
      </c>
      <c r="W66" s="17">
        <f t="shared" ca="1" si="13"/>
        <v>0</v>
      </c>
      <c r="X66" s="24" t="str">
        <f t="array" aca="1" ref="X66" ca="1">IF(AD66,IF(AG66&lt;&gt;"",AG66,IF(J66,MIN(INDIRECT( K66)),"")),"")</f>
        <v/>
      </c>
      <c r="Y66" s="17" t="str">
        <f t="array" aca="1" ref="Y66" ca="1">IF(AD66,IF(AH66&lt;&gt;"",AH66,IF(J66,MAX(INDIRECT( K66)),"")),"")</f>
        <v/>
      </c>
      <c r="Z66" s="17" t="b">
        <f t="shared" ca="1" si="14"/>
        <v>0</v>
      </c>
      <c r="AC66" s="17" t="b">
        <f t="shared" ca="1" si="15"/>
        <v>0</v>
      </c>
      <c r="AD66" s="14" t="b">
        <f t="shared" ca="1" si="16"/>
        <v>1</v>
      </c>
      <c r="AE66" s="15" t="b">
        <f t="shared" ca="1" si="17"/>
        <v>0</v>
      </c>
      <c r="AF66" s="16"/>
      <c r="AG66" s="16"/>
      <c r="AH66" s="16"/>
      <c r="AI66" s="16"/>
      <c r="AJ66" s="16"/>
      <c r="AK66" s="16"/>
      <c r="AL66" s="16"/>
      <c r="AM66" s="16"/>
    </row>
    <row r="67" spans="2:39">
      <c r="B67" s="14">
        <f t="shared" ref="B67:B130" si="20">ROW(A67)-2</f>
        <v>65</v>
      </c>
      <c r="C67" s="14" t="str">
        <f t="shared" ref="C67:C130" ca="1" si="21">IF(OR(E67="",ROW(E67)=2),"",IF(R67&gt;0,"S",IF(J67,IF(F67=2,"D","N"),"I")))</f>
        <v>I</v>
      </c>
      <c r="D67" s="14" t="str">
        <f t="shared" ref="D67:D130" ca="1" si="22">IFERROR(CHOOSE(H67+1,G67,"Nazwa musi zaczynać się od litery:" &amp; G67, "Nazwa nie może kończyć się kropką","Nazwa nie może kończyć się podkreśleniem","Nazwa nie może być dłuższa od 64 znaków","?","Ta nazwa jest zarezerwowana i nie może być użyta"),G67)</f>
        <v>q_37.1e</v>
      </c>
      <c r="E67" s="14" t="str">
        <f t="shared" ca="1" si="19"/>
        <v>Other gene 3</v>
      </c>
      <c r="F67" s="14">
        <f t="shared" ca="1" si="18"/>
        <v>0</v>
      </c>
      <c r="G67" s="14" t="str">
        <f t="shared" ref="G67:G130" ca="1" si="23">IF(AD67,INDIRECT(ADDRESS(2,ROW(A66),,,_sheetname_dataframe)),"")</f>
        <v>q_37.1e</v>
      </c>
      <c r="H67" s="14">
        <f ca="1">IF(G67&lt;&gt;"",IFERROR( IsVariableNameLegal(G67),0),0)+IF(COUNTIF(INDIRECT(wew!$C$13),G67)&gt;1,10,0)</f>
        <v>0</v>
      </c>
      <c r="I67" s="14">
        <f ca="1">IF(E67&lt;&gt;"",IF(LEN(E67)&gt;150,1,0)+IF(COUNTIF(INDIRECT(wew!$C$15),E67)&gt;1,10,0),0)</f>
        <v>0</v>
      </c>
      <c r="J67" s="14" t="b">
        <f t="shared" ref="J67:J130" ca="1" si="24">F67&gt;0</f>
        <v>0</v>
      </c>
      <c r="K67" s="14" t="str">
        <f ca="1">ADDRESS(3,(B67+1)*2-1,4,,"[" &amp; wew!$G$7 &amp; "]" &amp; _sheetname_labels) &amp; ":" &amp; ADDRESS(2+ster!$B$20,(B67+1)*2-1,4)</f>
        <v>'[dane surowe2c.xlsm]labels'!EA3:EA36</v>
      </c>
      <c r="L67" s="14" t="str">
        <f ca="1">IF(F67&gt;0,ADDRESS(3,(B67+1)*2-1,4,,"[" &amp; wew!$G$7 &amp; "]" &amp; _sheetname_labels) &amp; ":" &amp; ADDRESS(2+F67,(B67+1)*2-1,4),"")</f>
        <v/>
      </c>
      <c r="M67" s="14" t="str">
        <f ca="1">IF(F67&gt;0,ADDRESS(3,(B67+1)*2,4,,"["&amp;wew!$G$7&amp;"]"&amp;_sheetname_labels)&amp;":"&amp;ADDRESS(2+F67,(B67+1)*2,4),"")</f>
        <v/>
      </c>
      <c r="N67" s="14" t="str">
        <f ca="1">ADDRESS(3,B67+1,4,,"[" &amp; wew!$G$7 &amp; "]" &amp;_sheetname_dataframe) &amp; ":" &amp; ADDRESS(2+ster!$C$14,B67+1,4)</f>
        <v>'[dane surowe2c.xlsm]data_frame'!BN3:BN35</v>
      </c>
      <c r="O67" s="14">
        <f t="shared" ref="O67:O130" ca="1" si="25">IF(AD67,COUNT(INDIRECT(N67)),"")</f>
        <v>0</v>
      </c>
      <c r="P67" s="14" t="str">
        <f ca="1">IF(AND($AD67,$S67=1),IF(wew!$B$3,MIN(INDIRECT($N67)),"&lt;włącz podświetlanie wartości&gt;"),"—")</f>
        <v>—</v>
      </c>
      <c r="Q67" s="14" t="str">
        <f ca="1">IF(AND($AD67,$S67=1),IF(wew!$B$3,MAX(INDIRECT($N67)),"&lt;włącz podświetlanie wartości&gt;"),"—")</f>
        <v>—</v>
      </c>
      <c r="R67" s="14">
        <f ca="1">IF(AD67,ster!$C$14- (COUNTIF( INDIRECT(N67),"" )+ COUNT(INDIRECT(N67)) +COUNTIF( INDIRECT(N67),"NA" )),"")</f>
        <v>0</v>
      </c>
      <c r="S67" s="12">
        <f ca="1">IF(AD67,IF(COUNTA(INDIRECT(N67))=0,0, 1-(ster!$C$14- COUNT(INDIRECT(N67)) -COUNTIF( INDIRECT(N67),"" )) /COUNTA(INDIRECT(N67))),"")</f>
        <v>0</v>
      </c>
      <c r="T67" s="17" t="str">
        <f t="array" aca="1" ref="T67" ca="1">IF(L67&lt;&gt;"",SUM(IF(INDIRECT(L67)&lt;&gt;INT(INDIRECT(L67)),1,0)),"")</f>
        <v/>
      </c>
      <c r="U67" s="17" t="str">
        <f t="array" aca="1" ref="U67" ca="1">IF(S67=1,SUM(IF(ISNUMBER(INDIRECT(N67)),IF(INDIRECT(N67)&lt;&gt;INT(INDIRECT(N67)),1,0),0)),"")</f>
        <v/>
      </c>
      <c r="V67" s="17">
        <f t="shared" ref="V67:V130" ca="1" si="26">IF(U67&lt;&gt;"",IF(U67=0,1,IF(U67/O67&lt;0.05,2,3)),0)</f>
        <v>0</v>
      </c>
      <c r="W67" s="17">
        <f t="shared" ref="W67:W130" ca="1" si="27">IF(COUNTA(INDIRECT(N67))=0,0, IF(AND(X67&lt;&gt;"",P67&lt;X67),1,IF(AND(Y67&lt;&gt;"",Q67&gt;Y67),1,IF(AND(Z67,U67&gt;0),2,0))))</f>
        <v>0</v>
      </c>
      <c r="X67" s="24" t="str">
        <f t="array" aca="1" ref="X67" ca="1">IF(AD67,IF(AG67&lt;&gt;"",AG67,IF(J67,MIN(INDIRECT( K67)),"")),"")</f>
        <v/>
      </c>
      <c r="Y67" s="17" t="str">
        <f t="array" aca="1" ref="Y67" ca="1">IF(AD67,IF(AH67&lt;&gt;"",AH67,IF(J67,MAX(INDIRECT( K67)),"")),"")</f>
        <v/>
      </c>
      <c r="Z67" s="17" t="b">
        <f t="shared" ref="Z67:Z130" ca="1" si="28">IF(AD67,IF(AI67&lt;&gt;"",AI67,T67=0),FALSE)</f>
        <v>0</v>
      </c>
      <c r="AC67" s="17" t="b">
        <f t="shared" ref="AC67:AC130" ca="1" si="29">IF(AD67,C67="S","")</f>
        <v>0</v>
      </c>
      <c r="AD67" s="14" t="b">
        <f t="shared" ref="AD67:AD130" ca="1" si="30">INDIRECT(ADDRESS(2,ROW(A66),,,_sheetname_dataframe))&lt;&gt;""</f>
        <v>1</v>
      </c>
      <c r="AE67" s="15" t="b">
        <f t="shared" ref="AE67:AE130" ca="1" si="31">J67</f>
        <v>0</v>
      </c>
      <c r="AF67" s="16"/>
      <c r="AG67" s="16"/>
      <c r="AH67" s="16"/>
      <c r="AI67" s="16"/>
      <c r="AJ67" s="16"/>
      <c r="AK67" s="16"/>
      <c r="AL67" s="16"/>
      <c r="AM67" s="16"/>
    </row>
    <row r="68" spans="2:39">
      <c r="B68" s="14">
        <f t="shared" si="20"/>
        <v>66</v>
      </c>
      <c r="C68" s="14" t="str">
        <f t="shared" ca="1" si="21"/>
        <v>I</v>
      </c>
      <c r="D68" s="14" t="str">
        <f t="shared" ca="1" si="22"/>
        <v>q_37.1f</v>
      </c>
      <c r="E68" s="14" t="str">
        <f t="shared" ca="1" si="19"/>
        <v>Gene 3 result</v>
      </c>
      <c r="F68" s="14">
        <f t="shared" ca="1" si="18"/>
        <v>0</v>
      </c>
      <c r="G68" s="14" t="str">
        <f t="shared" ca="1" si="23"/>
        <v>q_37.1f</v>
      </c>
      <c r="H68" s="14">
        <f ca="1">IF(G68&lt;&gt;"",IFERROR( IsVariableNameLegal(G68),0),0)+IF(COUNTIF(INDIRECT(wew!$C$13),G68)&gt;1,10,0)</f>
        <v>0</v>
      </c>
      <c r="I68" s="14">
        <f ca="1">IF(E68&lt;&gt;"",IF(LEN(E68)&gt;150,1,0)+IF(COUNTIF(INDIRECT(wew!$C$15),E68)&gt;1,10,0),0)</f>
        <v>0</v>
      </c>
      <c r="J68" s="14" t="b">
        <f t="shared" ca="1" si="24"/>
        <v>0</v>
      </c>
      <c r="K68" s="14" t="str">
        <f ca="1">ADDRESS(3,(B68+1)*2-1,4,,"[" &amp; wew!$G$7 &amp; "]" &amp; _sheetname_labels) &amp; ":" &amp; ADDRESS(2+ster!$B$20,(B68+1)*2-1,4)</f>
        <v>'[dane surowe2c.xlsm]labels'!EC3:EC36</v>
      </c>
      <c r="L68" s="14" t="str">
        <f ca="1">IF(F68&gt;0,ADDRESS(3,(B68+1)*2-1,4,,"[" &amp; wew!$G$7 &amp; "]" &amp; _sheetname_labels) &amp; ":" &amp; ADDRESS(2+F68,(B68+1)*2-1,4),"")</f>
        <v/>
      </c>
      <c r="M68" s="14" t="str">
        <f ca="1">IF(F68&gt;0,ADDRESS(3,(B68+1)*2,4,,"["&amp;wew!$G$7&amp;"]"&amp;_sheetname_labels)&amp;":"&amp;ADDRESS(2+F68,(B68+1)*2,4),"")</f>
        <v/>
      </c>
      <c r="N68" s="14" t="str">
        <f ca="1">ADDRESS(3,B68+1,4,,"[" &amp; wew!$G$7 &amp; "]" &amp;_sheetname_dataframe) &amp; ":" &amp; ADDRESS(2+ster!$C$14,B68+1,4)</f>
        <v>'[dane surowe2c.xlsm]data_frame'!BO3:BO35</v>
      </c>
      <c r="O68" s="14">
        <f t="shared" ca="1" si="25"/>
        <v>0</v>
      </c>
      <c r="P68" s="14" t="str">
        <f ca="1">IF(AND($AD68,$S68=1),IF(wew!$B$3,MIN(INDIRECT($N68)),"&lt;włącz podświetlanie wartości&gt;"),"—")</f>
        <v>—</v>
      </c>
      <c r="Q68" s="14" t="str">
        <f ca="1">IF(AND($AD68,$S68=1),IF(wew!$B$3,MAX(INDIRECT($N68)),"&lt;włącz podświetlanie wartości&gt;"),"—")</f>
        <v>—</v>
      </c>
      <c r="R68" s="14">
        <f ca="1">IF(AD68,ster!$C$14- (COUNTIF( INDIRECT(N68),"" )+ COUNT(INDIRECT(N68)) +COUNTIF( INDIRECT(N68),"NA" )),"")</f>
        <v>0</v>
      </c>
      <c r="S68" s="12">
        <f ca="1">IF(AD68,IF(COUNTA(INDIRECT(N68))=0,0, 1-(ster!$C$14- COUNT(INDIRECT(N68)) -COUNTIF( INDIRECT(N68),"" )) /COUNTA(INDIRECT(N68))),"")</f>
        <v>0</v>
      </c>
      <c r="T68" s="17" t="str">
        <f t="array" aca="1" ref="T68" ca="1">IF(L68&lt;&gt;"",SUM(IF(INDIRECT(L68)&lt;&gt;INT(INDIRECT(L68)),1,0)),"")</f>
        <v/>
      </c>
      <c r="U68" s="17" t="str">
        <f t="array" aca="1" ref="U68" ca="1">IF(S68=1,SUM(IF(ISNUMBER(INDIRECT(N68)),IF(INDIRECT(N68)&lt;&gt;INT(INDIRECT(N68)),1,0),0)),"")</f>
        <v/>
      </c>
      <c r="V68" s="17">
        <f t="shared" ca="1" si="26"/>
        <v>0</v>
      </c>
      <c r="W68" s="17">
        <f t="shared" ca="1" si="27"/>
        <v>0</v>
      </c>
      <c r="X68" s="24" t="str">
        <f t="array" aca="1" ref="X68" ca="1">IF(AD68,IF(AG68&lt;&gt;"",AG68,IF(J68,MIN(INDIRECT( K68)),"")),"")</f>
        <v/>
      </c>
      <c r="Y68" s="17" t="str">
        <f t="array" aca="1" ref="Y68" ca="1">IF(AD68,IF(AH68&lt;&gt;"",AH68,IF(J68,MAX(INDIRECT( K68)),"")),"")</f>
        <v/>
      </c>
      <c r="Z68" s="17" t="b">
        <f t="shared" ca="1" si="28"/>
        <v>0</v>
      </c>
      <c r="AC68" s="17" t="b">
        <f t="shared" ca="1" si="29"/>
        <v>0</v>
      </c>
      <c r="AD68" s="14" t="b">
        <f t="shared" ca="1" si="30"/>
        <v>1</v>
      </c>
      <c r="AE68" s="15" t="b">
        <f t="shared" ca="1" si="31"/>
        <v>0</v>
      </c>
      <c r="AF68" s="16"/>
      <c r="AG68" s="16"/>
      <c r="AH68" s="16"/>
      <c r="AI68" s="16"/>
      <c r="AJ68" s="16"/>
      <c r="AK68" s="16"/>
      <c r="AL68" s="16"/>
      <c r="AM68" s="16"/>
    </row>
    <row r="69" spans="2:39">
      <c r="B69" s="14">
        <f t="shared" si="20"/>
        <v>67</v>
      </c>
      <c r="C69" s="14" t="str">
        <f t="shared" ca="1" si="21"/>
        <v>I</v>
      </c>
      <c r="D69" s="14" t="str">
        <f t="shared" ca="1" si="22"/>
        <v>q_37.1g</v>
      </c>
      <c r="E69" s="14" t="str">
        <f t="shared" ca="1" si="19"/>
        <v>Other gene 4</v>
      </c>
      <c r="F69" s="14">
        <f t="shared" ca="1" si="18"/>
        <v>0</v>
      </c>
      <c r="G69" s="14" t="str">
        <f t="shared" ca="1" si="23"/>
        <v>q_37.1g</v>
      </c>
      <c r="H69" s="14">
        <f ca="1">IF(G69&lt;&gt;"",IFERROR( IsVariableNameLegal(G69),0),0)+IF(COUNTIF(INDIRECT(wew!$C$13),G69)&gt;1,10,0)</f>
        <v>0</v>
      </c>
      <c r="I69" s="14">
        <f ca="1">IF(E69&lt;&gt;"",IF(LEN(E69)&gt;150,1,0)+IF(COUNTIF(INDIRECT(wew!$C$15),E69)&gt;1,10,0),0)</f>
        <v>0</v>
      </c>
      <c r="J69" s="14" t="b">
        <f t="shared" ca="1" si="24"/>
        <v>0</v>
      </c>
      <c r="K69" s="14" t="str">
        <f ca="1">ADDRESS(3,(B69+1)*2-1,4,,"[" &amp; wew!$G$7 &amp; "]" &amp; _sheetname_labels) &amp; ":" &amp; ADDRESS(2+ster!$B$20,(B69+1)*2-1,4)</f>
        <v>'[dane surowe2c.xlsm]labels'!EE3:EE36</v>
      </c>
      <c r="L69" s="14" t="str">
        <f ca="1">IF(F69&gt;0,ADDRESS(3,(B69+1)*2-1,4,,"[" &amp; wew!$G$7 &amp; "]" &amp; _sheetname_labels) &amp; ":" &amp; ADDRESS(2+F69,(B69+1)*2-1,4),"")</f>
        <v/>
      </c>
      <c r="M69" s="14" t="str">
        <f ca="1">IF(F69&gt;0,ADDRESS(3,(B69+1)*2,4,,"["&amp;wew!$G$7&amp;"]"&amp;_sheetname_labels)&amp;":"&amp;ADDRESS(2+F69,(B69+1)*2,4),"")</f>
        <v/>
      </c>
      <c r="N69" s="14" t="str">
        <f ca="1">ADDRESS(3,B69+1,4,,"[" &amp; wew!$G$7 &amp; "]" &amp;_sheetname_dataframe) &amp; ":" &amp; ADDRESS(2+ster!$C$14,B69+1,4)</f>
        <v>'[dane surowe2c.xlsm]data_frame'!BP3:BP35</v>
      </c>
      <c r="O69" s="14">
        <f t="shared" ca="1" si="25"/>
        <v>0</v>
      </c>
      <c r="P69" s="14" t="str">
        <f ca="1">IF(AND($AD69,$S69=1),IF(wew!$B$3,MIN(INDIRECT($N69)),"&lt;włącz podświetlanie wartości&gt;"),"—")</f>
        <v>—</v>
      </c>
      <c r="Q69" s="14" t="str">
        <f ca="1">IF(AND($AD69,$S69=1),IF(wew!$B$3,MAX(INDIRECT($N69)),"&lt;włącz podświetlanie wartości&gt;"),"—")</f>
        <v>—</v>
      </c>
      <c r="R69" s="14">
        <f ca="1">IF(AD69,ster!$C$14- (COUNTIF( INDIRECT(N69),"" )+ COUNT(INDIRECT(N69)) +COUNTIF( INDIRECT(N69),"NA" )),"")</f>
        <v>0</v>
      </c>
      <c r="S69" s="12">
        <f ca="1">IF(AD69,IF(COUNTA(INDIRECT(N69))=0,0, 1-(ster!$C$14- COUNT(INDIRECT(N69)) -COUNTIF( INDIRECT(N69),"" )) /COUNTA(INDIRECT(N69))),"")</f>
        <v>0</v>
      </c>
      <c r="T69" s="17" t="str">
        <f t="array" aca="1" ref="T69" ca="1">IF(L69&lt;&gt;"",SUM(IF(INDIRECT(L69)&lt;&gt;INT(INDIRECT(L69)),1,0)),"")</f>
        <v/>
      </c>
      <c r="U69" s="17" t="str">
        <f t="array" aca="1" ref="U69" ca="1">IF(S69=1,SUM(IF(ISNUMBER(INDIRECT(N69)),IF(INDIRECT(N69)&lt;&gt;INT(INDIRECT(N69)),1,0),0)),"")</f>
        <v/>
      </c>
      <c r="V69" s="17">
        <f t="shared" ca="1" si="26"/>
        <v>0</v>
      </c>
      <c r="W69" s="17">
        <f t="shared" ca="1" si="27"/>
        <v>0</v>
      </c>
      <c r="X69" s="24" t="str">
        <f t="array" aca="1" ref="X69" ca="1">IF(AD69,IF(AG69&lt;&gt;"",AG69,IF(J69,MIN(INDIRECT( K69)),"")),"")</f>
        <v/>
      </c>
      <c r="Y69" s="17" t="str">
        <f t="array" aca="1" ref="Y69" ca="1">IF(AD69,IF(AH69&lt;&gt;"",AH69,IF(J69,MAX(INDIRECT( K69)),"")),"")</f>
        <v/>
      </c>
      <c r="Z69" s="17" t="b">
        <f t="shared" ca="1" si="28"/>
        <v>0</v>
      </c>
      <c r="AC69" s="17" t="b">
        <f t="shared" ca="1" si="29"/>
        <v>0</v>
      </c>
      <c r="AD69" s="14" t="b">
        <f t="shared" ca="1" si="30"/>
        <v>1</v>
      </c>
      <c r="AE69" s="15" t="b">
        <f t="shared" ca="1" si="31"/>
        <v>0</v>
      </c>
      <c r="AF69" s="16"/>
      <c r="AG69" s="16"/>
      <c r="AH69" s="16"/>
      <c r="AI69" s="16"/>
      <c r="AJ69" s="16"/>
      <c r="AK69" s="16"/>
      <c r="AL69" s="16"/>
      <c r="AM69" s="16"/>
    </row>
    <row r="70" spans="2:39">
      <c r="B70" s="14">
        <f t="shared" si="20"/>
        <v>68</v>
      </c>
      <c r="C70" s="14" t="str">
        <f t="shared" ca="1" si="21"/>
        <v>I</v>
      </c>
      <c r="D70" s="14" t="str">
        <f t="shared" ca="1" si="22"/>
        <v>q_37.1h</v>
      </c>
      <c r="E70" s="14" t="str">
        <f t="shared" ca="1" si="19"/>
        <v>Gene 4 result</v>
      </c>
      <c r="F70" s="14">
        <f t="shared" ca="1" si="18"/>
        <v>0</v>
      </c>
      <c r="G70" s="14" t="str">
        <f t="shared" ca="1" si="23"/>
        <v>q_37.1h</v>
      </c>
      <c r="H70" s="14">
        <f ca="1">IF(G70&lt;&gt;"",IFERROR( IsVariableNameLegal(G70),0),0)+IF(COUNTIF(INDIRECT(wew!$C$13),G70)&gt;1,10,0)</f>
        <v>0</v>
      </c>
      <c r="I70" s="14">
        <f ca="1">IF(E70&lt;&gt;"",IF(LEN(E70)&gt;150,1,0)+IF(COUNTIF(INDIRECT(wew!$C$15),E70)&gt;1,10,0),0)</f>
        <v>10</v>
      </c>
      <c r="J70" s="14" t="b">
        <f t="shared" ca="1" si="24"/>
        <v>0</v>
      </c>
      <c r="K70" s="14" t="str">
        <f ca="1">ADDRESS(3,(B70+1)*2-1,4,,"[" &amp; wew!$G$7 &amp; "]" &amp; _sheetname_labels) &amp; ":" &amp; ADDRESS(2+ster!$B$20,(B70+1)*2-1,4)</f>
        <v>'[dane surowe2c.xlsm]labels'!EG3:EG36</v>
      </c>
      <c r="L70" s="14" t="str">
        <f ca="1">IF(F70&gt;0,ADDRESS(3,(B70+1)*2-1,4,,"[" &amp; wew!$G$7 &amp; "]" &amp; _sheetname_labels) &amp; ":" &amp; ADDRESS(2+F70,(B70+1)*2-1,4),"")</f>
        <v/>
      </c>
      <c r="M70" s="14" t="str">
        <f ca="1">IF(F70&gt;0,ADDRESS(3,(B70+1)*2,4,,"["&amp;wew!$G$7&amp;"]"&amp;_sheetname_labels)&amp;":"&amp;ADDRESS(2+F70,(B70+1)*2,4),"")</f>
        <v/>
      </c>
      <c r="N70" s="14" t="str">
        <f ca="1">ADDRESS(3,B70+1,4,,"[" &amp; wew!$G$7 &amp; "]" &amp;_sheetname_dataframe) &amp; ":" &amp; ADDRESS(2+ster!$C$14,B70+1,4)</f>
        <v>'[dane surowe2c.xlsm]data_frame'!BQ3:BQ35</v>
      </c>
      <c r="O70" s="14">
        <f t="shared" ca="1" si="25"/>
        <v>0</v>
      </c>
      <c r="P70" s="14" t="str">
        <f ca="1">IF(AND($AD70,$S70=1),IF(wew!$B$3,MIN(INDIRECT($N70)),"&lt;włącz podświetlanie wartości&gt;"),"—")</f>
        <v>—</v>
      </c>
      <c r="Q70" s="14" t="str">
        <f ca="1">IF(AND($AD70,$S70=1),IF(wew!$B$3,MAX(INDIRECT($N70)),"&lt;włącz podświetlanie wartości&gt;"),"—")</f>
        <v>—</v>
      </c>
      <c r="R70" s="14">
        <f ca="1">IF(AD70,ster!$C$14- (COUNTIF( INDIRECT(N70),"" )+ COUNT(INDIRECT(N70)) +COUNTIF( INDIRECT(N70),"NA" )),"")</f>
        <v>0</v>
      </c>
      <c r="S70" s="12">
        <f ca="1">IF(AD70,IF(COUNTA(INDIRECT(N70))=0,0, 1-(ster!$C$14- COUNT(INDIRECT(N70)) -COUNTIF( INDIRECT(N70),"" )) /COUNTA(INDIRECT(N70))),"")</f>
        <v>0</v>
      </c>
      <c r="T70" s="17" t="str">
        <f t="array" aca="1" ref="T70" ca="1">IF(L70&lt;&gt;"",SUM(IF(INDIRECT(L70)&lt;&gt;INT(INDIRECT(L70)),1,0)),"")</f>
        <v/>
      </c>
      <c r="U70" s="17" t="str">
        <f t="array" aca="1" ref="U70" ca="1">IF(S70=1,SUM(IF(ISNUMBER(INDIRECT(N70)),IF(INDIRECT(N70)&lt;&gt;INT(INDIRECT(N70)),1,0),0)),"")</f>
        <v/>
      </c>
      <c r="V70" s="17">
        <f t="shared" ca="1" si="26"/>
        <v>0</v>
      </c>
      <c r="W70" s="17">
        <f t="shared" ca="1" si="27"/>
        <v>0</v>
      </c>
      <c r="X70" s="24" t="str">
        <f t="array" aca="1" ref="X70" ca="1">IF(AD70,IF(AG70&lt;&gt;"",AG70,IF(J70,MIN(INDIRECT( K70)),"")),"")</f>
        <v/>
      </c>
      <c r="Y70" s="17" t="str">
        <f t="array" aca="1" ref="Y70" ca="1">IF(AD70,IF(AH70&lt;&gt;"",AH70,IF(J70,MAX(INDIRECT( K70)),"")),"")</f>
        <v/>
      </c>
      <c r="Z70" s="17" t="b">
        <f t="shared" ca="1" si="28"/>
        <v>0</v>
      </c>
      <c r="AC70" s="17" t="b">
        <f t="shared" ca="1" si="29"/>
        <v>0</v>
      </c>
      <c r="AD70" s="14" t="b">
        <f t="shared" ca="1" si="30"/>
        <v>1</v>
      </c>
      <c r="AE70" s="15" t="b">
        <f t="shared" ca="1" si="31"/>
        <v>0</v>
      </c>
      <c r="AF70" s="16"/>
      <c r="AG70" s="16"/>
      <c r="AH70" s="16"/>
      <c r="AI70" s="16"/>
      <c r="AJ70" s="16"/>
      <c r="AK70" s="16"/>
      <c r="AL70" s="16"/>
      <c r="AM70" s="16"/>
    </row>
    <row r="71" spans="2:39">
      <c r="B71" s="14">
        <f t="shared" si="20"/>
        <v>69</v>
      </c>
      <c r="C71" s="14" t="str">
        <f t="shared" ca="1" si="21"/>
        <v>I</v>
      </c>
      <c r="D71" s="14" t="str">
        <f t="shared" ca="1" si="22"/>
        <v>q_37.1i</v>
      </c>
      <c r="E71" s="14" t="str">
        <f t="shared" ca="1" si="19"/>
        <v>Other gene 5</v>
      </c>
      <c r="F71" s="14">
        <f t="shared" ca="1" si="18"/>
        <v>0</v>
      </c>
      <c r="G71" s="14" t="str">
        <f t="shared" ca="1" si="23"/>
        <v>q_37.1i</v>
      </c>
      <c r="H71" s="14">
        <f ca="1">IF(G71&lt;&gt;"",IFERROR( IsVariableNameLegal(G71),0),0)+IF(COUNTIF(INDIRECT(wew!$C$13),G71)&gt;1,10,0)</f>
        <v>0</v>
      </c>
      <c r="I71" s="14">
        <f ca="1">IF(E71&lt;&gt;"",IF(LEN(E71)&gt;150,1,0)+IF(COUNTIF(INDIRECT(wew!$C$15),E71)&gt;1,10,0),0)</f>
        <v>0</v>
      </c>
      <c r="J71" s="14" t="b">
        <f t="shared" ca="1" si="24"/>
        <v>0</v>
      </c>
      <c r="K71" s="14" t="str">
        <f ca="1">ADDRESS(3,(B71+1)*2-1,4,,"[" &amp; wew!$G$7 &amp; "]" &amp; _sheetname_labels) &amp; ":" &amp; ADDRESS(2+ster!$B$20,(B71+1)*2-1,4)</f>
        <v>'[dane surowe2c.xlsm]labels'!EI3:EI36</v>
      </c>
      <c r="L71" s="14" t="str">
        <f ca="1">IF(F71&gt;0,ADDRESS(3,(B71+1)*2-1,4,,"[" &amp; wew!$G$7 &amp; "]" &amp; _sheetname_labels) &amp; ":" &amp; ADDRESS(2+F71,(B71+1)*2-1,4),"")</f>
        <v/>
      </c>
      <c r="M71" s="14" t="str">
        <f ca="1">IF(F71&gt;0,ADDRESS(3,(B71+1)*2,4,,"["&amp;wew!$G$7&amp;"]"&amp;_sheetname_labels)&amp;":"&amp;ADDRESS(2+F71,(B71+1)*2,4),"")</f>
        <v/>
      </c>
      <c r="N71" s="14" t="str">
        <f ca="1">ADDRESS(3,B71+1,4,,"[" &amp; wew!$G$7 &amp; "]" &amp;_sheetname_dataframe) &amp; ":" &amp; ADDRESS(2+ster!$C$14,B71+1,4)</f>
        <v>'[dane surowe2c.xlsm]data_frame'!BR3:BR35</v>
      </c>
      <c r="O71" s="14">
        <f t="shared" ca="1" si="25"/>
        <v>0</v>
      </c>
      <c r="P71" s="14" t="str">
        <f ca="1">IF(AND($AD71,$S71=1),IF(wew!$B$3,MIN(INDIRECT($N71)),"&lt;włącz podświetlanie wartości&gt;"),"—")</f>
        <v>—</v>
      </c>
      <c r="Q71" s="14" t="str">
        <f ca="1">IF(AND($AD71,$S71=1),IF(wew!$B$3,MAX(INDIRECT($N71)),"&lt;włącz podświetlanie wartości&gt;"),"—")</f>
        <v>—</v>
      </c>
      <c r="R71" s="14">
        <f ca="1">IF(AD71,ster!$C$14- (COUNTIF( INDIRECT(N71),"" )+ COUNT(INDIRECT(N71)) +COUNTIF( INDIRECT(N71),"NA" )),"")</f>
        <v>0</v>
      </c>
      <c r="S71" s="12">
        <f ca="1">IF(AD71,IF(COUNTA(INDIRECT(N71))=0,0, 1-(ster!$C$14- COUNT(INDIRECT(N71)) -COUNTIF( INDIRECT(N71),"" )) /COUNTA(INDIRECT(N71))),"")</f>
        <v>0</v>
      </c>
      <c r="T71" s="17" t="str">
        <f t="array" aca="1" ref="T71" ca="1">IF(L71&lt;&gt;"",SUM(IF(INDIRECT(L71)&lt;&gt;INT(INDIRECT(L71)),1,0)),"")</f>
        <v/>
      </c>
      <c r="U71" s="17" t="str">
        <f t="array" aca="1" ref="U71" ca="1">IF(S71=1,SUM(IF(ISNUMBER(INDIRECT(N71)),IF(INDIRECT(N71)&lt;&gt;INT(INDIRECT(N71)),1,0),0)),"")</f>
        <v/>
      </c>
      <c r="V71" s="17">
        <f t="shared" ca="1" si="26"/>
        <v>0</v>
      </c>
      <c r="W71" s="17">
        <f t="shared" ca="1" si="27"/>
        <v>0</v>
      </c>
      <c r="X71" s="24" t="str">
        <f t="array" aca="1" ref="X71" ca="1">IF(AD71,IF(AG71&lt;&gt;"",AG71,IF(J71,MIN(INDIRECT( K71)),"")),"")</f>
        <v/>
      </c>
      <c r="Y71" s="17" t="str">
        <f t="array" aca="1" ref="Y71" ca="1">IF(AD71,IF(AH71&lt;&gt;"",AH71,IF(J71,MAX(INDIRECT( K71)),"")),"")</f>
        <v/>
      </c>
      <c r="Z71" s="17" t="b">
        <f t="shared" ca="1" si="28"/>
        <v>0</v>
      </c>
      <c r="AC71" s="17" t="b">
        <f t="shared" ca="1" si="29"/>
        <v>0</v>
      </c>
      <c r="AD71" s="14" t="b">
        <f t="shared" ca="1" si="30"/>
        <v>1</v>
      </c>
      <c r="AE71" s="15" t="b">
        <f t="shared" ca="1" si="31"/>
        <v>0</v>
      </c>
      <c r="AF71" s="16"/>
      <c r="AG71" s="16"/>
      <c r="AH71" s="16"/>
      <c r="AI71" s="16"/>
      <c r="AJ71" s="16"/>
      <c r="AK71" s="16"/>
      <c r="AL71" s="16"/>
      <c r="AM71" s="16"/>
    </row>
    <row r="72" spans="2:39">
      <c r="B72" s="14">
        <f t="shared" si="20"/>
        <v>70</v>
      </c>
      <c r="C72" s="14" t="str">
        <f t="shared" ca="1" si="21"/>
        <v>I</v>
      </c>
      <c r="D72" s="14" t="str">
        <f t="shared" ca="1" si="22"/>
        <v>q_37.1j</v>
      </c>
      <c r="E72" s="14" t="str">
        <f t="shared" ca="1" si="19"/>
        <v>Gene 4 result</v>
      </c>
      <c r="F72" s="14">
        <f t="shared" ca="1" si="18"/>
        <v>0</v>
      </c>
      <c r="G72" s="14" t="str">
        <f t="shared" ca="1" si="23"/>
        <v>q_37.1j</v>
      </c>
      <c r="H72" s="14">
        <f ca="1">IF(G72&lt;&gt;"",IFERROR( IsVariableNameLegal(G72),0),0)+IF(COUNTIF(INDIRECT(wew!$C$13),G72)&gt;1,10,0)</f>
        <v>0</v>
      </c>
      <c r="I72" s="14">
        <f ca="1">IF(E72&lt;&gt;"",IF(LEN(E72)&gt;150,1,0)+IF(COUNTIF(INDIRECT(wew!$C$15),E72)&gt;1,10,0),0)</f>
        <v>10</v>
      </c>
      <c r="J72" s="14" t="b">
        <f t="shared" ca="1" si="24"/>
        <v>0</v>
      </c>
      <c r="K72" s="14" t="str">
        <f ca="1">ADDRESS(3,(B72+1)*2-1,4,,"[" &amp; wew!$G$7 &amp; "]" &amp; _sheetname_labels) &amp; ":" &amp; ADDRESS(2+ster!$B$20,(B72+1)*2-1,4)</f>
        <v>'[dane surowe2c.xlsm]labels'!EK3:EK36</v>
      </c>
      <c r="L72" s="14" t="str">
        <f ca="1">IF(F72&gt;0,ADDRESS(3,(B72+1)*2-1,4,,"[" &amp; wew!$G$7 &amp; "]" &amp; _sheetname_labels) &amp; ":" &amp; ADDRESS(2+F72,(B72+1)*2-1,4),"")</f>
        <v/>
      </c>
      <c r="M72" s="14" t="str">
        <f ca="1">IF(F72&gt;0,ADDRESS(3,(B72+1)*2,4,,"["&amp;wew!$G$7&amp;"]"&amp;_sheetname_labels)&amp;":"&amp;ADDRESS(2+F72,(B72+1)*2,4),"")</f>
        <v/>
      </c>
      <c r="N72" s="14" t="str">
        <f ca="1">ADDRESS(3,B72+1,4,,"[" &amp; wew!$G$7 &amp; "]" &amp;_sheetname_dataframe) &amp; ":" &amp; ADDRESS(2+ster!$C$14,B72+1,4)</f>
        <v>'[dane surowe2c.xlsm]data_frame'!BS3:BS35</v>
      </c>
      <c r="O72" s="14">
        <f t="shared" ca="1" si="25"/>
        <v>0</v>
      </c>
      <c r="P72" s="14" t="str">
        <f ca="1">IF(AND($AD72,$S72=1),IF(wew!$B$3,MIN(INDIRECT($N72)),"&lt;włącz podświetlanie wartości&gt;"),"—")</f>
        <v>—</v>
      </c>
      <c r="Q72" s="14" t="str">
        <f ca="1">IF(AND($AD72,$S72=1),IF(wew!$B$3,MAX(INDIRECT($N72)),"&lt;włącz podświetlanie wartości&gt;"),"—")</f>
        <v>—</v>
      </c>
      <c r="R72" s="14">
        <f ca="1">IF(AD72,ster!$C$14- (COUNTIF( INDIRECT(N72),"" )+ COUNT(INDIRECT(N72)) +COUNTIF( INDIRECT(N72),"NA" )),"")</f>
        <v>0</v>
      </c>
      <c r="S72" s="12">
        <f ca="1">IF(AD72,IF(COUNTA(INDIRECT(N72))=0,0, 1-(ster!$C$14- COUNT(INDIRECT(N72)) -COUNTIF( INDIRECT(N72),"" )) /COUNTA(INDIRECT(N72))),"")</f>
        <v>0</v>
      </c>
      <c r="T72" s="17" t="str">
        <f t="array" aca="1" ref="T72" ca="1">IF(L72&lt;&gt;"",SUM(IF(INDIRECT(L72)&lt;&gt;INT(INDIRECT(L72)),1,0)),"")</f>
        <v/>
      </c>
      <c r="U72" s="17" t="str">
        <f t="array" aca="1" ref="U72" ca="1">IF(S72=1,SUM(IF(ISNUMBER(INDIRECT(N72)),IF(INDIRECT(N72)&lt;&gt;INT(INDIRECT(N72)),1,0),0)),"")</f>
        <v/>
      </c>
      <c r="V72" s="17">
        <f t="shared" ca="1" si="26"/>
        <v>0</v>
      </c>
      <c r="W72" s="17">
        <f t="shared" ca="1" si="27"/>
        <v>0</v>
      </c>
      <c r="X72" s="24" t="str">
        <f t="array" aca="1" ref="X72" ca="1">IF(AD72,IF(AG72&lt;&gt;"",AG72,IF(J72,MIN(INDIRECT( K72)),"")),"")</f>
        <v/>
      </c>
      <c r="Y72" s="17" t="str">
        <f t="array" aca="1" ref="Y72" ca="1">IF(AD72,IF(AH72&lt;&gt;"",AH72,IF(J72,MAX(INDIRECT( K72)),"")),"")</f>
        <v/>
      </c>
      <c r="Z72" s="17" t="b">
        <f t="shared" ca="1" si="28"/>
        <v>0</v>
      </c>
      <c r="AC72" s="17" t="b">
        <f t="shared" ca="1" si="29"/>
        <v>0</v>
      </c>
      <c r="AD72" s="14" t="b">
        <f t="shared" ca="1" si="30"/>
        <v>1</v>
      </c>
      <c r="AE72" s="15" t="b">
        <f t="shared" ca="1" si="31"/>
        <v>0</v>
      </c>
      <c r="AF72" s="16"/>
      <c r="AG72" s="16"/>
      <c r="AH72" s="16"/>
      <c r="AI72" s="16"/>
      <c r="AJ72" s="16"/>
      <c r="AK72" s="16"/>
      <c r="AL72" s="16"/>
      <c r="AM72" s="16"/>
    </row>
    <row r="73" spans="2:39">
      <c r="B73" s="14">
        <f t="shared" si="20"/>
        <v>71</v>
      </c>
      <c r="C73" s="14" t="str">
        <f t="shared" ca="1" si="21"/>
        <v>D</v>
      </c>
      <c r="D73" s="14" t="str">
        <f t="shared" ca="1" si="22"/>
        <v>q_37.2a</v>
      </c>
      <c r="E73" s="14" t="str">
        <f t="shared" ca="1" si="19"/>
        <v>Was the patient included in other genomic studies</v>
      </c>
      <c r="F73" s="14">
        <f t="shared" ca="1" si="18"/>
        <v>2</v>
      </c>
      <c r="G73" s="14" t="str">
        <f t="shared" ca="1" si="23"/>
        <v>q_37.2a</v>
      </c>
      <c r="H73" s="14">
        <f ca="1">IF(G73&lt;&gt;"",IFERROR( IsVariableNameLegal(G73),0),0)+IF(COUNTIF(INDIRECT(wew!$C$13),G73)&gt;1,10,0)</f>
        <v>0</v>
      </c>
      <c r="I73" s="14">
        <f ca="1">IF(E73&lt;&gt;"",IF(LEN(E73)&gt;150,1,0)+IF(COUNTIF(INDIRECT(wew!$C$15),E73)&gt;1,10,0),0)</f>
        <v>0</v>
      </c>
      <c r="J73" s="14" t="b">
        <f t="shared" ca="1" si="24"/>
        <v>1</v>
      </c>
      <c r="K73" s="14" t="str">
        <f ca="1">ADDRESS(3,(B73+1)*2-1,4,,"[" &amp; wew!$G$7 &amp; "]" &amp; _sheetname_labels) &amp; ":" &amp; ADDRESS(2+ster!$B$20,(B73+1)*2-1,4)</f>
        <v>'[dane surowe2c.xlsm]labels'!EM3:EM36</v>
      </c>
      <c r="L73" s="14" t="str">
        <f ca="1">IF(F73&gt;0,ADDRESS(3,(B73+1)*2-1,4,,"[" &amp; wew!$G$7 &amp; "]" &amp; _sheetname_labels) &amp; ":" &amp; ADDRESS(2+F73,(B73+1)*2-1,4),"")</f>
        <v>'[dane surowe2c.xlsm]labels'!EM3:EM4</v>
      </c>
      <c r="M73" s="14" t="str">
        <f ca="1">IF(F73&gt;0,ADDRESS(3,(B73+1)*2,4,,"["&amp;wew!$G$7&amp;"]"&amp;_sheetname_labels)&amp;":"&amp;ADDRESS(2+F73,(B73+1)*2,4),"")</f>
        <v>'[dane surowe2c.xlsm]labels'!EN3:EN4</v>
      </c>
      <c r="N73" s="14" t="str">
        <f ca="1">ADDRESS(3,B73+1,4,,"[" &amp; wew!$G$7 &amp; "]" &amp;_sheetname_dataframe) &amp; ":" &amp; ADDRESS(2+ster!$C$14,B73+1,4)</f>
        <v>'[dane surowe2c.xlsm]data_frame'!BT3:BT35</v>
      </c>
      <c r="O73" s="14">
        <f t="shared" ca="1" si="25"/>
        <v>32</v>
      </c>
      <c r="P73" s="14">
        <f ca="1">IF(AND($AD73,$S73=1),IF(wew!$B$3,MIN(INDIRECT($N73)),"&lt;włącz podświetlanie wartości&gt;"),"—")</f>
        <v>2</v>
      </c>
      <c r="Q73" s="14">
        <f ca="1">IF(AND($AD73,$S73=1),IF(wew!$B$3,MAX(INDIRECT($N73)),"&lt;włącz podświetlanie wartości&gt;"),"—")</f>
        <v>2</v>
      </c>
      <c r="R73" s="14">
        <f ca="1">IF(AD73,ster!$C$14- (COUNTIF( INDIRECT(N73),"" )+ COUNT(INDIRECT(N73)) +COUNTIF( INDIRECT(N73),"NA" )),"")</f>
        <v>0</v>
      </c>
      <c r="S73" s="12">
        <f ca="1">IF(AD73,IF(COUNTA(INDIRECT(N73))=0,0, 1-(ster!$C$14- COUNT(INDIRECT(N73)) -COUNTIF( INDIRECT(N73),"" )) /COUNTA(INDIRECT(N73))),"")</f>
        <v>1</v>
      </c>
      <c r="T73" s="17">
        <f t="array" aca="1" ref="T73" ca="1">IF(L73&lt;&gt;"",SUM(IF(INDIRECT(L73)&lt;&gt;INT(INDIRECT(L73)),1,0)),"")</f>
        <v>0</v>
      </c>
      <c r="U73" s="17">
        <f t="array" aca="1" ref="U73" ca="1">IF(S73=1,SUM(IF(ISNUMBER(INDIRECT(N73)),IF(INDIRECT(N73)&lt;&gt;INT(INDIRECT(N73)),1,0),0)),"")</f>
        <v>0</v>
      </c>
      <c r="V73" s="17">
        <f t="shared" ca="1" si="26"/>
        <v>1</v>
      </c>
      <c r="W73" s="17">
        <f t="shared" ca="1" si="27"/>
        <v>0</v>
      </c>
      <c r="X73" s="24">
        <f t="array" aca="1" ref="X73" ca="1">IF(AD73,IF(AG73&lt;&gt;"",AG73,IF(J73,MIN(INDIRECT( K73)),"")),"")</f>
        <v>1</v>
      </c>
      <c r="Y73" s="17">
        <f t="array" aca="1" ref="Y73" ca="1">IF(AD73,IF(AH73&lt;&gt;"",AH73,IF(J73,MAX(INDIRECT( K73)),"")),"")</f>
        <v>2</v>
      </c>
      <c r="Z73" s="17" t="b">
        <f t="shared" ca="1" si="28"/>
        <v>1</v>
      </c>
      <c r="AC73" s="17" t="b">
        <f t="shared" ca="1" si="29"/>
        <v>0</v>
      </c>
      <c r="AD73" s="14" t="b">
        <f t="shared" ca="1" si="30"/>
        <v>1</v>
      </c>
      <c r="AE73" s="15" t="b">
        <f t="shared" ca="1" si="31"/>
        <v>1</v>
      </c>
      <c r="AF73" s="16"/>
      <c r="AG73" s="16"/>
      <c r="AH73" s="16"/>
      <c r="AI73" s="16"/>
      <c r="AJ73" s="16"/>
      <c r="AK73" s="16"/>
      <c r="AL73" s="16"/>
      <c r="AM73" s="16"/>
    </row>
    <row r="74" spans="2:39">
      <c r="B74" s="14">
        <f t="shared" si="20"/>
        <v>72</v>
      </c>
      <c r="C74" s="14" t="str">
        <f t="shared" ca="1" si="21"/>
        <v>I</v>
      </c>
      <c r="D74" s="14" t="str">
        <f t="shared" ca="1" si="22"/>
        <v>q_37.2b</v>
      </c>
      <c r="E74" s="14" t="str">
        <f t="shared" ca="1" si="19"/>
        <v>Genomic study name 1</v>
      </c>
      <c r="F74" s="14">
        <f t="shared" ca="1" si="18"/>
        <v>0</v>
      </c>
      <c r="G74" s="14" t="str">
        <f t="shared" ca="1" si="23"/>
        <v>q_37.2b</v>
      </c>
      <c r="H74" s="14">
        <f ca="1">IF(G74&lt;&gt;"",IFERROR( IsVariableNameLegal(G74),0),0)+IF(COUNTIF(INDIRECT(wew!$C$13),G74)&gt;1,10,0)</f>
        <v>0</v>
      </c>
      <c r="I74" s="14">
        <f ca="1">IF(E74&lt;&gt;"",IF(LEN(E74)&gt;150,1,0)+IF(COUNTIF(INDIRECT(wew!$C$15),E74)&gt;1,10,0),0)</f>
        <v>0</v>
      </c>
      <c r="J74" s="14" t="b">
        <f t="shared" ca="1" si="24"/>
        <v>0</v>
      </c>
      <c r="K74" s="14" t="str">
        <f ca="1">ADDRESS(3,(B74+1)*2-1,4,,"[" &amp; wew!$G$7 &amp; "]" &amp; _sheetname_labels) &amp; ":" &amp; ADDRESS(2+ster!$B$20,(B74+1)*2-1,4)</f>
        <v>'[dane surowe2c.xlsm]labels'!EO3:EO36</v>
      </c>
      <c r="L74" s="14" t="str">
        <f ca="1">IF(F74&gt;0,ADDRESS(3,(B74+1)*2-1,4,,"[" &amp; wew!$G$7 &amp; "]" &amp; _sheetname_labels) &amp; ":" &amp; ADDRESS(2+F74,(B74+1)*2-1,4),"")</f>
        <v/>
      </c>
      <c r="M74" s="14" t="str">
        <f ca="1">IF(F74&gt;0,ADDRESS(3,(B74+1)*2,4,,"["&amp;wew!$G$7&amp;"]"&amp;_sheetname_labels)&amp;":"&amp;ADDRESS(2+F74,(B74+1)*2,4),"")</f>
        <v/>
      </c>
      <c r="N74" s="14" t="str">
        <f ca="1">ADDRESS(3,B74+1,4,,"[" &amp; wew!$G$7 &amp; "]" &amp;_sheetname_dataframe) &amp; ":" &amp; ADDRESS(2+ster!$C$14,B74+1,4)</f>
        <v>'[dane surowe2c.xlsm]data_frame'!BU3:BU35</v>
      </c>
      <c r="O74" s="14">
        <f t="shared" ca="1" si="25"/>
        <v>0</v>
      </c>
      <c r="P74" s="14" t="str">
        <f ca="1">IF(AND($AD74,$S74=1),IF(wew!$B$3,MIN(INDIRECT($N74)),"&lt;włącz podświetlanie wartości&gt;"),"—")</f>
        <v>—</v>
      </c>
      <c r="Q74" s="14" t="str">
        <f ca="1">IF(AND($AD74,$S74=1),IF(wew!$B$3,MAX(INDIRECT($N74)),"&lt;włącz podświetlanie wartości&gt;"),"—")</f>
        <v>—</v>
      </c>
      <c r="R74" s="14">
        <f ca="1">IF(AD74,ster!$C$14- (COUNTIF( INDIRECT(N74),"" )+ COUNT(INDIRECT(N74)) +COUNTIF( INDIRECT(N74),"NA" )),"")</f>
        <v>0</v>
      </c>
      <c r="S74" s="12">
        <f ca="1">IF(AD74,IF(COUNTA(INDIRECT(N74))=0,0, 1-(ster!$C$14- COUNT(INDIRECT(N74)) -COUNTIF( INDIRECT(N74),"" )) /COUNTA(INDIRECT(N74))),"")</f>
        <v>0</v>
      </c>
      <c r="T74" s="17" t="str">
        <f t="array" aca="1" ref="T74" ca="1">IF(L74&lt;&gt;"",SUM(IF(INDIRECT(L74)&lt;&gt;INT(INDIRECT(L74)),1,0)),"")</f>
        <v/>
      </c>
      <c r="U74" s="17" t="str">
        <f t="array" aca="1" ref="U74" ca="1">IF(S74=1,SUM(IF(ISNUMBER(INDIRECT(N74)),IF(INDIRECT(N74)&lt;&gt;INT(INDIRECT(N74)),1,0),0)),"")</f>
        <v/>
      </c>
      <c r="V74" s="17">
        <f t="shared" ca="1" si="26"/>
        <v>0</v>
      </c>
      <c r="W74" s="17">
        <f t="shared" ca="1" si="27"/>
        <v>0</v>
      </c>
      <c r="X74" s="24" t="str">
        <f t="array" aca="1" ref="X74" ca="1">IF(AD74,IF(AG74&lt;&gt;"",AG74,IF(J74,MIN(INDIRECT( K74)),"")),"")</f>
        <v/>
      </c>
      <c r="Y74" s="17" t="str">
        <f t="array" aca="1" ref="Y74" ca="1">IF(AD74,IF(AH74&lt;&gt;"",AH74,IF(J74,MAX(INDIRECT( K74)),"")),"")</f>
        <v/>
      </c>
      <c r="Z74" s="17" t="b">
        <f t="shared" ca="1" si="28"/>
        <v>0</v>
      </c>
      <c r="AC74" s="17" t="b">
        <f t="shared" ca="1" si="29"/>
        <v>0</v>
      </c>
      <c r="AD74" s="14" t="b">
        <f t="shared" ca="1" si="30"/>
        <v>1</v>
      </c>
      <c r="AE74" s="15" t="b">
        <f t="shared" ca="1" si="31"/>
        <v>0</v>
      </c>
      <c r="AF74" s="16"/>
      <c r="AG74" s="16"/>
      <c r="AH74" s="16"/>
      <c r="AI74" s="16"/>
      <c r="AJ74" s="16"/>
      <c r="AK74" s="16"/>
      <c r="AL74" s="16"/>
      <c r="AM74" s="16"/>
    </row>
    <row r="75" spans="2:39">
      <c r="B75" s="14">
        <f t="shared" si="20"/>
        <v>73</v>
      </c>
      <c r="C75" s="14" t="str">
        <f t="shared" ca="1" si="21"/>
        <v>I</v>
      </c>
      <c r="D75" s="14" t="str">
        <f t="shared" ca="1" si="22"/>
        <v>q_37.2c</v>
      </c>
      <c r="E75" s="14" t="str">
        <f t="shared" ca="1" si="19"/>
        <v>Genomic study name 2</v>
      </c>
      <c r="F75" s="14">
        <f t="shared" ca="1" si="18"/>
        <v>0</v>
      </c>
      <c r="G75" s="14" t="str">
        <f t="shared" ca="1" si="23"/>
        <v>q_37.2c</v>
      </c>
      <c r="H75" s="14">
        <f ca="1">IF(G75&lt;&gt;"",IFERROR( IsVariableNameLegal(G75),0),0)+IF(COUNTIF(INDIRECT(wew!$C$13),G75)&gt;1,10,0)</f>
        <v>0</v>
      </c>
      <c r="I75" s="14">
        <f ca="1">IF(E75&lt;&gt;"",IF(LEN(E75)&gt;150,1,0)+IF(COUNTIF(INDIRECT(wew!$C$15),E75)&gt;1,10,0),0)</f>
        <v>0</v>
      </c>
      <c r="J75" s="14" t="b">
        <f t="shared" ca="1" si="24"/>
        <v>0</v>
      </c>
      <c r="K75" s="14" t="str">
        <f ca="1">ADDRESS(3,(B75+1)*2-1,4,,"[" &amp; wew!$G$7 &amp; "]" &amp; _sheetname_labels) &amp; ":" &amp; ADDRESS(2+ster!$B$20,(B75+1)*2-1,4)</f>
        <v>'[dane surowe2c.xlsm]labels'!EQ3:EQ36</v>
      </c>
      <c r="L75" s="14" t="str">
        <f ca="1">IF(F75&gt;0,ADDRESS(3,(B75+1)*2-1,4,,"[" &amp; wew!$G$7 &amp; "]" &amp; _sheetname_labels) &amp; ":" &amp; ADDRESS(2+F75,(B75+1)*2-1,4),"")</f>
        <v/>
      </c>
      <c r="M75" s="14" t="str">
        <f ca="1">IF(F75&gt;0,ADDRESS(3,(B75+1)*2,4,,"["&amp;wew!$G$7&amp;"]"&amp;_sheetname_labels)&amp;":"&amp;ADDRESS(2+F75,(B75+1)*2,4),"")</f>
        <v/>
      </c>
      <c r="N75" s="14" t="str">
        <f ca="1">ADDRESS(3,B75+1,4,,"[" &amp; wew!$G$7 &amp; "]" &amp;_sheetname_dataframe) &amp; ":" &amp; ADDRESS(2+ster!$C$14,B75+1,4)</f>
        <v>'[dane surowe2c.xlsm]data_frame'!BV3:BV35</v>
      </c>
      <c r="O75" s="14">
        <f t="shared" ca="1" si="25"/>
        <v>0</v>
      </c>
      <c r="P75" s="14" t="str">
        <f ca="1">IF(AND($AD75,$S75=1),IF(wew!$B$3,MIN(INDIRECT($N75)),"&lt;włącz podświetlanie wartości&gt;"),"—")</f>
        <v>—</v>
      </c>
      <c r="Q75" s="14" t="str">
        <f ca="1">IF(AND($AD75,$S75=1),IF(wew!$B$3,MAX(INDIRECT($N75)),"&lt;włącz podświetlanie wartości&gt;"),"—")</f>
        <v>—</v>
      </c>
      <c r="R75" s="14">
        <f ca="1">IF(AD75,ster!$C$14- (COUNTIF( INDIRECT(N75),"" )+ COUNT(INDIRECT(N75)) +COUNTIF( INDIRECT(N75),"NA" )),"")</f>
        <v>0</v>
      </c>
      <c r="S75" s="12">
        <f ca="1">IF(AD75,IF(COUNTA(INDIRECT(N75))=0,0, 1-(ster!$C$14- COUNT(INDIRECT(N75)) -COUNTIF( INDIRECT(N75),"" )) /COUNTA(INDIRECT(N75))),"")</f>
        <v>0</v>
      </c>
      <c r="T75" s="17" t="str">
        <f t="array" aca="1" ref="T75" ca="1">IF(L75&lt;&gt;"",SUM(IF(INDIRECT(L75)&lt;&gt;INT(INDIRECT(L75)),1,0)),"")</f>
        <v/>
      </c>
      <c r="U75" s="17" t="str">
        <f t="array" aca="1" ref="U75" ca="1">IF(S75=1,SUM(IF(ISNUMBER(INDIRECT(N75)),IF(INDIRECT(N75)&lt;&gt;INT(INDIRECT(N75)),1,0),0)),"")</f>
        <v/>
      </c>
      <c r="V75" s="17">
        <f t="shared" ca="1" si="26"/>
        <v>0</v>
      </c>
      <c r="W75" s="17">
        <f t="shared" ca="1" si="27"/>
        <v>0</v>
      </c>
      <c r="X75" s="24" t="str">
        <f t="array" aca="1" ref="X75" ca="1">IF(AD75,IF(AG75&lt;&gt;"",AG75,IF(J75,MIN(INDIRECT( K75)),"")),"")</f>
        <v/>
      </c>
      <c r="Y75" s="17" t="str">
        <f t="array" aca="1" ref="Y75" ca="1">IF(AD75,IF(AH75&lt;&gt;"",AH75,IF(J75,MAX(INDIRECT( K75)),"")),"")</f>
        <v/>
      </c>
      <c r="Z75" s="17" t="b">
        <f t="shared" ca="1" si="28"/>
        <v>0</v>
      </c>
      <c r="AC75" s="17" t="b">
        <f t="shared" ca="1" si="29"/>
        <v>0</v>
      </c>
      <c r="AD75" s="14" t="b">
        <f t="shared" ca="1" si="30"/>
        <v>1</v>
      </c>
      <c r="AE75" s="15" t="b">
        <f t="shared" ca="1" si="31"/>
        <v>0</v>
      </c>
      <c r="AF75" s="16"/>
      <c r="AG75" s="16"/>
      <c r="AH75" s="16"/>
      <c r="AI75" s="16"/>
      <c r="AJ75" s="16"/>
      <c r="AK75" s="16"/>
      <c r="AL75" s="16"/>
      <c r="AM75" s="16"/>
    </row>
    <row r="76" spans="2:39">
      <c r="B76" s="14">
        <f t="shared" si="20"/>
        <v>74</v>
      </c>
      <c r="C76" s="14" t="str">
        <f t="shared" ca="1" si="21"/>
        <v>D</v>
      </c>
      <c r="D76" s="14" t="str">
        <f t="shared" ca="1" si="22"/>
        <v>q_38a</v>
      </c>
      <c r="E76" s="14" t="str">
        <f t="shared" ca="1" si="19"/>
        <v>Was there ALS in the family</v>
      </c>
      <c r="F76" s="14">
        <f t="shared" ca="1" si="18"/>
        <v>2</v>
      </c>
      <c r="G76" s="14" t="str">
        <f t="shared" ca="1" si="23"/>
        <v>q_38a</v>
      </c>
      <c r="H76" s="14">
        <f ca="1">IF(G76&lt;&gt;"",IFERROR( IsVariableNameLegal(G76),0),0)+IF(COUNTIF(INDIRECT(wew!$C$13),G76)&gt;1,10,0)</f>
        <v>0</v>
      </c>
      <c r="I76" s="14">
        <f ca="1">IF(E76&lt;&gt;"",IF(LEN(E76)&gt;150,1,0)+IF(COUNTIF(INDIRECT(wew!$C$15),E76)&gt;1,10,0),0)</f>
        <v>0</v>
      </c>
      <c r="J76" s="14" t="b">
        <f t="shared" ca="1" si="24"/>
        <v>1</v>
      </c>
      <c r="K76" s="14" t="str">
        <f ca="1">ADDRESS(3,(B76+1)*2-1,4,,"[" &amp; wew!$G$7 &amp; "]" &amp; _sheetname_labels) &amp; ":" &amp; ADDRESS(2+ster!$B$20,(B76+1)*2-1,4)</f>
        <v>'[dane surowe2c.xlsm]labels'!ES3:ES36</v>
      </c>
      <c r="L76" s="14" t="str">
        <f ca="1">IF(F76&gt;0,ADDRESS(3,(B76+1)*2-1,4,,"[" &amp; wew!$G$7 &amp; "]" &amp; _sheetname_labels) &amp; ":" &amp; ADDRESS(2+F76,(B76+1)*2-1,4),"")</f>
        <v>'[dane surowe2c.xlsm]labels'!ES3:ES4</v>
      </c>
      <c r="M76" s="14" t="str">
        <f ca="1">IF(F76&gt;0,ADDRESS(3,(B76+1)*2,4,,"["&amp;wew!$G$7&amp;"]"&amp;_sheetname_labels)&amp;":"&amp;ADDRESS(2+F76,(B76+1)*2,4),"")</f>
        <v>'[dane surowe2c.xlsm]labels'!ET3:ET4</v>
      </c>
      <c r="N76" s="14" t="str">
        <f ca="1">ADDRESS(3,B76+1,4,,"[" &amp; wew!$G$7 &amp; "]" &amp;_sheetname_dataframe) &amp; ":" &amp; ADDRESS(2+ster!$C$14,B76+1,4)</f>
        <v>'[dane surowe2c.xlsm]data_frame'!BW3:BW35</v>
      </c>
      <c r="O76" s="14">
        <f t="shared" ca="1" si="25"/>
        <v>32</v>
      </c>
      <c r="P76" s="14">
        <f ca="1">IF(AND($AD76,$S76=1),IF(wew!$B$3,MIN(INDIRECT($N76)),"&lt;włącz podświetlanie wartości&gt;"),"—")</f>
        <v>2</v>
      </c>
      <c r="Q76" s="14">
        <f ca="1">IF(AND($AD76,$S76=1),IF(wew!$B$3,MAX(INDIRECT($N76)),"&lt;włącz podświetlanie wartości&gt;"),"—")</f>
        <v>2</v>
      </c>
      <c r="R76" s="14">
        <f ca="1">IF(AD76,ster!$C$14- (COUNTIF( INDIRECT(N76),"" )+ COUNT(INDIRECT(N76)) +COUNTIF( INDIRECT(N76),"NA" )),"")</f>
        <v>0</v>
      </c>
      <c r="S76" s="12">
        <f ca="1">IF(AD76,IF(COUNTA(INDIRECT(N76))=0,0, 1-(ster!$C$14- COUNT(INDIRECT(N76)) -COUNTIF( INDIRECT(N76),"" )) /COUNTA(INDIRECT(N76))),"")</f>
        <v>1</v>
      </c>
      <c r="T76" s="17">
        <f t="array" aca="1" ref="T76" ca="1">IF(L76&lt;&gt;"",SUM(IF(INDIRECT(L76)&lt;&gt;INT(INDIRECT(L76)),1,0)),"")</f>
        <v>0</v>
      </c>
      <c r="U76" s="17">
        <f t="array" aca="1" ref="U76" ca="1">IF(S76=1,SUM(IF(ISNUMBER(INDIRECT(N76)),IF(INDIRECT(N76)&lt;&gt;INT(INDIRECT(N76)),1,0),0)),"")</f>
        <v>0</v>
      </c>
      <c r="V76" s="17">
        <f t="shared" ca="1" si="26"/>
        <v>1</v>
      </c>
      <c r="W76" s="17">
        <f t="shared" ca="1" si="27"/>
        <v>0</v>
      </c>
      <c r="X76" s="24">
        <f t="array" aca="1" ref="X76" ca="1">IF(AD76,IF(AG76&lt;&gt;"",AG76,IF(J76,MIN(INDIRECT( K76)),"")),"")</f>
        <v>1</v>
      </c>
      <c r="Y76" s="17">
        <f t="array" aca="1" ref="Y76" ca="1">IF(AD76,IF(AH76&lt;&gt;"",AH76,IF(J76,MAX(INDIRECT( K76)),"")),"")</f>
        <v>2</v>
      </c>
      <c r="Z76" s="17" t="b">
        <f t="shared" ca="1" si="28"/>
        <v>1</v>
      </c>
      <c r="AC76" s="17" t="b">
        <f t="shared" ca="1" si="29"/>
        <v>0</v>
      </c>
      <c r="AD76" s="14" t="b">
        <f t="shared" ca="1" si="30"/>
        <v>1</v>
      </c>
      <c r="AE76" s="15" t="b">
        <f t="shared" ca="1" si="31"/>
        <v>1</v>
      </c>
      <c r="AF76" s="16"/>
      <c r="AG76" s="16"/>
      <c r="AH76" s="16"/>
      <c r="AI76" s="16"/>
      <c r="AJ76" s="16"/>
      <c r="AK76" s="16"/>
      <c r="AL76" s="16"/>
      <c r="AM76" s="16"/>
    </row>
    <row r="77" spans="2:39">
      <c r="B77" s="14">
        <f t="shared" si="20"/>
        <v>75</v>
      </c>
      <c r="C77" s="14" t="str">
        <f t="shared" ca="1" si="21"/>
        <v>D</v>
      </c>
      <c r="D77" s="14" t="str">
        <f t="shared" ca="1" si="22"/>
        <v>q_38b</v>
      </c>
      <c r="E77" s="14" t="str">
        <f t="shared" ca="1" si="19"/>
        <v>Mother</v>
      </c>
      <c r="F77" s="14">
        <f t="shared" ca="1" si="18"/>
        <v>2</v>
      </c>
      <c r="G77" s="14" t="str">
        <f t="shared" ca="1" si="23"/>
        <v>q_38b</v>
      </c>
      <c r="H77" s="14">
        <f ca="1">IF(G77&lt;&gt;"",IFERROR( IsVariableNameLegal(G77),0),0)+IF(COUNTIF(INDIRECT(wew!$C$13),G77)&gt;1,10,0)</f>
        <v>0</v>
      </c>
      <c r="I77" s="14">
        <f ca="1">IF(E77&lt;&gt;"",IF(LEN(E77)&gt;150,1,0)+IF(COUNTIF(INDIRECT(wew!$C$15),E77)&gt;1,10,0),0)</f>
        <v>10</v>
      </c>
      <c r="J77" s="14" t="b">
        <f t="shared" ca="1" si="24"/>
        <v>1</v>
      </c>
      <c r="K77" s="14" t="str">
        <f ca="1">ADDRESS(3,(B77+1)*2-1,4,,"[" &amp; wew!$G$7 &amp; "]" &amp; _sheetname_labels) &amp; ":" &amp; ADDRESS(2+ster!$B$20,(B77+1)*2-1,4)</f>
        <v>'[dane surowe2c.xlsm]labels'!EU3:EU36</v>
      </c>
      <c r="L77" s="14" t="str">
        <f ca="1">IF(F77&gt;0,ADDRESS(3,(B77+1)*2-1,4,,"[" &amp; wew!$G$7 &amp; "]" &amp; _sheetname_labels) &amp; ":" &amp; ADDRESS(2+F77,(B77+1)*2-1,4),"")</f>
        <v>'[dane surowe2c.xlsm]labels'!EU3:EU4</v>
      </c>
      <c r="M77" s="14" t="str">
        <f ca="1">IF(F77&gt;0,ADDRESS(3,(B77+1)*2,4,,"["&amp;wew!$G$7&amp;"]"&amp;_sheetname_labels)&amp;":"&amp;ADDRESS(2+F77,(B77+1)*2,4),"")</f>
        <v>'[dane surowe2c.xlsm]labels'!EV3:EV4</v>
      </c>
      <c r="N77" s="14" t="str">
        <f ca="1">ADDRESS(3,B77+1,4,,"[" &amp; wew!$G$7 &amp; "]" &amp;_sheetname_dataframe) &amp; ":" &amp; ADDRESS(2+ster!$C$14,B77+1,4)</f>
        <v>'[dane surowe2c.xlsm]data_frame'!BX3:BX35</v>
      </c>
      <c r="O77" s="14">
        <f t="shared" ca="1" si="25"/>
        <v>32</v>
      </c>
      <c r="P77" s="14">
        <f ca="1">IF(AND($AD77,$S77=1),IF(wew!$B$3,MIN(INDIRECT($N77)),"&lt;włącz podświetlanie wartości&gt;"),"—")</f>
        <v>2</v>
      </c>
      <c r="Q77" s="14">
        <f ca="1">IF(AND($AD77,$S77=1),IF(wew!$B$3,MAX(INDIRECT($N77)),"&lt;włącz podświetlanie wartości&gt;"),"—")</f>
        <v>2</v>
      </c>
      <c r="R77" s="14">
        <f ca="1">IF(AD77,ster!$C$14- (COUNTIF( INDIRECT(N77),"" )+ COUNT(INDIRECT(N77)) +COUNTIF( INDIRECT(N77),"NA" )),"")</f>
        <v>0</v>
      </c>
      <c r="S77" s="12">
        <f ca="1">IF(AD77,IF(COUNTA(INDIRECT(N77))=0,0, 1-(ster!$C$14- COUNT(INDIRECT(N77)) -COUNTIF( INDIRECT(N77),"" )) /COUNTA(INDIRECT(N77))),"")</f>
        <v>1</v>
      </c>
      <c r="T77" s="17">
        <f t="array" aca="1" ref="T77" ca="1">IF(L77&lt;&gt;"",SUM(IF(INDIRECT(L77)&lt;&gt;INT(INDIRECT(L77)),1,0)),"")</f>
        <v>0</v>
      </c>
      <c r="U77" s="17">
        <f t="array" aca="1" ref="U77" ca="1">IF(S77=1,SUM(IF(ISNUMBER(INDIRECT(N77)),IF(INDIRECT(N77)&lt;&gt;INT(INDIRECT(N77)),1,0),0)),"")</f>
        <v>0</v>
      </c>
      <c r="V77" s="17">
        <f t="shared" ca="1" si="26"/>
        <v>1</v>
      </c>
      <c r="W77" s="17">
        <f t="shared" ca="1" si="27"/>
        <v>0</v>
      </c>
      <c r="X77" s="24">
        <f t="array" aca="1" ref="X77" ca="1">IF(AD77,IF(AG77&lt;&gt;"",AG77,IF(J77,MIN(INDIRECT( K77)),"")),"")</f>
        <v>1</v>
      </c>
      <c r="Y77" s="17">
        <f t="array" aca="1" ref="Y77" ca="1">IF(AD77,IF(AH77&lt;&gt;"",AH77,IF(J77,MAX(INDIRECT( K77)),"")),"")</f>
        <v>2</v>
      </c>
      <c r="Z77" s="17" t="b">
        <f t="shared" ca="1" si="28"/>
        <v>1</v>
      </c>
      <c r="AC77" s="17" t="b">
        <f t="shared" ca="1" si="29"/>
        <v>0</v>
      </c>
      <c r="AD77" s="14" t="b">
        <f t="shared" ca="1" si="30"/>
        <v>1</v>
      </c>
      <c r="AE77" s="15" t="b">
        <f t="shared" ca="1" si="31"/>
        <v>1</v>
      </c>
      <c r="AF77" s="16"/>
      <c r="AG77" s="16"/>
      <c r="AH77" s="16"/>
      <c r="AI77" s="16"/>
      <c r="AJ77" s="16"/>
      <c r="AK77" s="16"/>
      <c r="AL77" s="16"/>
      <c r="AM77" s="16"/>
    </row>
    <row r="78" spans="2:39">
      <c r="B78" s="14">
        <f t="shared" si="20"/>
        <v>76</v>
      </c>
      <c r="C78" s="14" t="str">
        <f t="shared" ca="1" si="21"/>
        <v>D</v>
      </c>
      <c r="D78" s="14" t="str">
        <f t="shared" ca="1" si="22"/>
        <v>q_38c</v>
      </c>
      <c r="E78" s="14" t="str">
        <f t="shared" ca="1" si="19"/>
        <v>Father</v>
      </c>
      <c r="F78" s="14">
        <f t="shared" ca="1" si="18"/>
        <v>2</v>
      </c>
      <c r="G78" s="14" t="str">
        <f t="shared" ca="1" si="23"/>
        <v>q_38c</v>
      </c>
      <c r="H78" s="14">
        <f ca="1">IF(G78&lt;&gt;"",IFERROR( IsVariableNameLegal(G78),0),0)+IF(COUNTIF(INDIRECT(wew!$C$13),G78)&gt;1,10,0)</f>
        <v>0</v>
      </c>
      <c r="I78" s="14">
        <f ca="1">IF(E78&lt;&gt;"",IF(LEN(E78)&gt;150,1,0)+IF(COUNTIF(INDIRECT(wew!$C$15),E78)&gt;1,10,0),0)</f>
        <v>10</v>
      </c>
      <c r="J78" s="14" t="b">
        <f t="shared" ca="1" si="24"/>
        <v>1</v>
      </c>
      <c r="K78" s="14" t="str">
        <f ca="1">ADDRESS(3,(B78+1)*2-1,4,,"[" &amp; wew!$G$7 &amp; "]" &amp; _sheetname_labels) &amp; ":" &amp; ADDRESS(2+ster!$B$20,(B78+1)*2-1,4)</f>
        <v>'[dane surowe2c.xlsm]labels'!EW3:EW36</v>
      </c>
      <c r="L78" s="14" t="str">
        <f ca="1">IF(F78&gt;0,ADDRESS(3,(B78+1)*2-1,4,,"[" &amp; wew!$G$7 &amp; "]" &amp; _sheetname_labels) &amp; ":" &amp; ADDRESS(2+F78,(B78+1)*2-1,4),"")</f>
        <v>'[dane surowe2c.xlsm]labels'!EW3:EW4</v>
      </c>
      <c r="M78" s="14" t="str">
        <f ca="1">IF(F78&gt;0,ADDRESS(3,(B78+1)*2,4,,"["&amp;wew!$G$7&amp;"]"&amp;_sheetname_labels)&amp;":"&amp;ADDRESS(2+F78,(B78+1)*2,4),"")</f>
        <v>'[dane surowe2c.xlsm]labels'!EX3:EX4</v>
      </c>
      <c r="N78" s="14" t="str">
        <f ca="1">ADDRESS(3,B78+1,4,,"[" &amp; wew!$G$7 &amp; "]" &amp;_sheetname_dataframe) &amp; ":" &amp; ADDRESS(2+ster!$C$14,B78+1,4)</f>
        <v>'[dane surowe2c.xlsm]data_frame'!BY3:BY35</v>
      </c>
      <c r="O78" s="14">
        <f t="shared" ca="1" si="25"/>
        <v>32</v>
      </c>
      <c r="P78" s="14">
        <f ca="1">IF(AND($AD78,$S78=1),IF(wew!$B$3,MIN(INDIRECT($N78)),"&lt;włącz podświetlanie wartości&gt;"),"—")</f>
        <v>2</v>
      </c>
      <c r="Q78" s="14">
        <f ca="1">IF(AND($AD78,$S78=1),IF(wew!$B$3,MAX(INDIRECT($N78)),"&lt;włącz podświetlanie wartości&gt;"),"—")</f>
        <v>2</v>
      </c>
      <c r="R78" s="14">
        <f ca="1">IF(AD78,ster!$C$14- (COUNTIF( INDIRECT(N78),"" )+ COUNT(INDIRECT(N78)) +COUNTIF( INDIRECT(N78),"NA" )),"")</f>
        <v>0</v>
      </c>
      <c r="S78" s="12">
        <f ca="1">IF(AD78,IF(COUNTA(INDIRECT(N78))=0,0, 1-(ster!$C$14- COUNT(INDIRECT(N78)) -COUNTIF( INDIRECT(N78),"" )) /COUNTA(INDIRECT(N78))),"")</f>
        <v>1</v>
      </c>
      <c r="T78" s="17">
        <f t="array" aca="1" ref="T78" ca="1">IF(L78&lt;&gt;"",SUM(IF(INDIRECT(L78)&lt;&gt;INT(INDIRECT(L78)),1,0)),"")</f>
        <v>0</v>
      </c>
      <c r="U78" s="17">
        <f t="array" aca="1" ref="U78" ca="1">IF(S78=1,SUM(IF(ISNUMBER(INDIRECT(N78)),IF(INDIRECT(N78)&lt;&gt;INT(INDIRECT(N78)),1,0),0)),"")</f>
        <v>0</v>
      </c>
      <c r="V78" s="17">
        <f t="shared" ca="1" si="26"/>
        <v>1</v>
      </c>
      <c r="W78" s="17">
        <f t="shared" ca="1" si="27"/>
        <v>0</v>
      </c>
      <c r="X78" s="24">
        <f t="array" aca="1" ref="X78" ca="1">IF(AD78,IF(AG78&lt;&gt;"",AG78,IF(J78,MIN(INDIRECT( K78)),"")),"")</f>
        <v>1</v>
      </c>
      <c r="Y78" s="17">
        <f t="array" aca="1" ref="Y78" ca="1">IF(AD78,IF(AH78&lt;&gt;"",AH78,IF(J78,MAX(INDIRECT( K78)),"")),"")</f>
        <v>2</v>
      </c>
      <c r="Z78" s="17" t="b">
        <f t="shared" ca="1" si="28"/>
        <v>1</v>
      </c>
      <c r="AC78" s="17" t="b">
        <f t="shared" ca="1" si="29"/>
        <v>0</v>
      </c>
      <c r="AD78" s="14" t="b">
        <f t="shared" ca="1" si="30"/>
        <v>1</v>
      </c>
      <c r="AE78" s="15" t="b">
        <f t="shared" ca="1" si="31"/>
        <v>1</v>
      </c>
      <c r="AF78" s="16"/>
      <c r="AG78" s="16"/>
      <c r="AH78" s="16"/>
      <c r="AI78" s="16"/>
      <c r="AJ78" s="16"/>
      <c r="AK78" s="16"/>
      <c r="AL78" s="16"/>
      <c r="AM78" s="16"/>
    </row>
    <row r="79" spans="2:39">
      <c r="B79" s="14">
        <f t="shared" si="20"/>
        <v>77</v>
      </c>
      <c r="C79" s="14" t="str">
        <f t="shared" ca="1" si="21"/>
        <v>D</v>
      </c>
      <c r="D79" s="14" t="str">
        <f t="shared" ca="1" si="22"/>
        <v>q_38d</v>
      </c>
      <c r="E79" s="14" t="str">
        <f t="shared" ca="1" si="19"/>
        <v>Heterozygous twin brother</v>
      </c>
      <c r="F79" s="14">
        <f t="shared" ca="1" si="18"/>
        <v>2</v>
      </c>
      <c r="G79" s="14" t="str">
        <f t="shared" ca="1" si="23"/>
        <v>q_38d</v>
      </c>
      <c r="H79" s="14">
        <f ca="1">IF(G79&lt;&gt;"",IFERROR( IsVariableNameLegal(G79),0),0)+IF(COUNTIF(INDIRECT(wew!$C$13),G79)&gt;1,10,0)</f>
        <v>0</v>
      </c>
      <c r="I79" s="14">
        <f ca="1">IF(E79&lt;&gt;"",IF(LEN(E79)&gt;150,1,0)+IF(COUNTIF(INDIRECT(wew!$C$15),E79)&gt;1,10,0),0)</f>
        <v>10</v>
      </c>
      <c r="J79" s="14" t="b">
        <f t="shared" ca="1" si="24"/>
        <v>1</v>
      </c>
      <c r="K79" s="14" t="str">
        <f ca="1">ADDRESS(3,(B79+1)*2-1,4,,"[" &amp; wew!$G$7 &amp; "]" &amp; _sheetname_labels) &amp; ":" &amp; ADDRESS(2+ster!$B$20,(B79+1)*2-1,4)</f>
        <v>'[dane surowe2c.xlsm]labels'!EY3:EY36</v>
      </c>
      <c r="L79" s="14" t="str">
        <f ca="1">IF(F79&gt;0,ADDRESS(3,(B79+1)*2-1,4,,"[" &amp; wew!$G$7 &amp; "]" &amp; _sheetname_labels) &amp; ":" &amp; ADDRESS(2+F79,(B79+1)*2-1,4),"")</f>
        <v>'[dane surowe2c.xlsm]labels'!EY3:EY4</v>
      </c>
      <c r="M79" s="14" t="str">
        <f ca="1">IF(F79&gt;0,ADDRESS(3,(B79+1)*2,4,,"["&amp;wew!$G$7&amp;"]"&amp;_sheetname_labels)&amp;":"&amp;ADDRESS(2+F79,(B79+1)*2,4),"")</f>
        <v>'[dane surowe2c.xlsm]labels'!EZ3:EZ4</v>
      </c>
      <c r="N79" s="14" t="str">
        <f ca="1">ADDRESS(3,B79+1,4,,"[" &amp; wew!$G$7 &amp; "]" &amp;_sheetname_dataframe) &amp; ":" &amp; ADDRESS(2+ster!$C$14,B79+1,4)</f>
        <v>'[dane surowe2c.xlsm]data_frame'!BZ3:BZ35</v>
      </c>
      <c r="O79" s="14">
        <f t="shared" ca="1" si="25"/>
        <v>32</v>
      </c>
      <c r="P79" s="14">
        <f ca="1">IF(AND($AD79,$S79=1),IF(wew!$B$3,MIN(INDIRECT($N79)),"&lt;włącz podświetlanie wartości&gt;"),"—")</f>
        <v>2</v>
      </c>
      <c r="Q79" s="14">
        <f ca="1">IF(AND($AD79,$S79=1),IF(wew!$B$3,MAX(INDIRECT($N79)),"&lt;włącz podświetlanie wartości&gt;"),"—")</f>
        <v>2</v>
      </c>
      <c r="R79" s="14">
        <f ca="1">IF(AD79,ster!$C$14- (COUNTIF( INDIRECT(N79),"" )+ COUNT(INDIRECT(N79)) +COUNTIF( INDIRECT(N79),"NA" )),"")</f>
        <v>0</v>
      </c>
      <c r="S79" s="12">
        <f ca="1">IF(AD79,IF(COUNTA(INDIRECT(N79))=0,0, 1-(ster!$C$14- COUNT(INDIRECT(N79)) -COUNTIF( INDIRECT(N79),"" )) /COUNTA(INDIRECT(N79))),"")</f>
        <v>1</v>
      </c>
      <c r="T79" s="17">
        <f t="array" aca="1" ref="T79" ca="1">IF(L79&lt;&gt;"",SUM(IF(INDIRECT(L79)&lt;&gt;INT(INDIRECT(L79)),1,0)),"")</f>
        <v>0</v>
      </c>
      <c r="U79" s="17">
        <f t="array" aca="1" ref="U79" ca="1">IF(S79=1,SUM(IF(ISNUMBER(INDIRECT(N79)),IF(INDIRECT(N79)&lt;&gt;INT(INDIRECT(N79)),1,0),0)),"")</f>
        <v>0</v>
      </c>
      <c r="V79" s="17">
        <f t="shared" ca="1" si="26"/>
        <v>1</v>
      </c>
      <c r="W79" s="17">
        <f t="shared" ca="1" si="27"/>
        <v>0</v>
      </c>
      <c r="X79" s="24">
        <f t="array" aca="1" ref="X79" ca="1">IF(AD79,IF(AG79&lt;&gt;"",AG79,IF(J79,MIN(INDIRECT( K79)),"")),"")</f>
        <v>1</v>
      </c>
      <c r="Y79" s="17">
        <f t="array" aca="1" ref="Y79" ca="1">IF(AD79,IF(AH79&lt;&gt;"",AH79,IF(J79,MAX(INDIRECT( K79)),"")),"")</f>
        <v>2</v>
      </c>
      <c r="Z79" s="17" t="b">
        <f t="shared" ca="1" si="28"/>
        <v>1</v>
      </c>
      <c r="AC79" s="17" t="b">
        <f t="shared" ca="1" si="29"/>
        <v>0</v>
      </c>
      <c r="AD79" s="14" t="b">
        <f t="shared" ca="1" si="30"/>
        <v>1</v>
      </c>
      <c r="AE79" s="15" t="b">
        <f t="shared" ca="1" si="31"/>
        <v>1</v>
      </c>
      <c r="AF79" s="16"/>
      <c r="AG79" s="16"/>
      <c r="AH79" s="16"/>
      <c r="AI79" s="16"/>
      <c r="AJ79" s="16"/>
      <c r="AK79" s="16"/>
      <c r="AL79" s="16"/>
      <c r="AM79" s="16"/>
    </row>
    <row r="80" spans="2:39">
      <c r="B80" s="14">
        <f t="shared" si="20"/>
        <v>78</v>
      </c>
      <c r="C80" s="14" t="str">
        <f t="shared" ca="1" si="21"/>
        <v>D</v>
      </c>
      <c r="D80" s="14" t="str">
        <f t="shared" ca="1" si="22"/>
        <v>q_38e</v>
      </c>
      <c r="E80" s="14" t="str">
        <f t="shared" ca="1" si="19"/>
        <v>homozygous twin brother</v>
      </c>
      <c r="F80" s="14">
        <f t="shared" ca="1" si="18"/>
        <v>2</v>
      </c>
      <c r="G80" s="14" t="str">
        <f t="shared" ca="1" si="23"/>
        <v>q_38e</v>
      </c>
      <c r="H80" s="14">
        <f ca="1">IF(G80&lt;&gt;"",IFERROR( IsVariableNameLegal(G80),0),0)+IF(COUNTIF(INDIRECT(wew!$C$13),G80)&gt;1,10,0)</f>
        <v>0</v>
      </c>
      <c r="I80" s="14">
        <f ca="1">IF(E80&lt;&gt;"",IF(LEN(E80)&gt;150,1,0)+IF(COUNTIF(INDIRECT(wew!$C$15),E80)&gt;1,10,0),0)</f>
        <v>10</v>
      </c>
      <c r="J80" s="14" t="b">
        <f t="shared" ca="1" si="24"/>
        <v>1</v>
      </c>
      <c r="K80" s="14" t="str">
        <f ca="1">ADDRESS(3,(B80+1)*2-1,4,,"[" &amp; wew!$G$7 &amp; "]" &amp; _sheetname_labels) &amp; ":" &amp; ADDRESS(2+ster!$B$20,(B80+1)*2-1,4)</f>
        <v>'[dane surowe2c.xlsm]labels'!FA3:FA36</v>
      </c>
      <c r="L80" s="14" t="str">
        <f ca="1">IF(F80&gt;0,ADDRESS(3,(B80+1)*2-1,4,,"[" &amp; wew!$G$7 &amp; "]" &amp; _sheetname_labels) &amp; ":" &amp; ADDRESS(2+F80,(B80+1)*2-1,4),"")</f>
        <v>'[dane surowe2c.xlsm]labels'!FA3:FA4</v>
      </c>
      <c r="M80" s="14" t="str">
        <f ca="1">IF(F80&gt;0,ADDRESS(3,(B80+1)*2,4,,"["&amp;wew!$G$7&amp;"]"&amp;_sheetname_labels)&amp;":"&amp;ADDRESS(2+F80,(B80+1)*2,4),"")</f>
        <v>'[dane surowe2c.xlsm]labels'!FB3:FB4</v>
      </c>
      <c r="N80" s="14" t="str">
        <f ca="1">ADDRESS(3,B80+1,4,,"[" &amp; wew!$G$7 &amp; "]" &amp;_sheetname_dataframe) &amp; ":" &amp; ADDRESS(2+ster!$C$14,B80+1,4)</f>
        <v>'[dane surowe2c.xlsm]data_frame'!CA3:CA35</v>
      </c>
      <c r="O80" s="14">
        <f t="shared" ca="1" si="25"/>
        <v>32</v>
      </c>
      <c r="P80" s="14">
        <f ca="1">IF(AND($AD80,$S80=1),IF(wew!$B$3,MIN(INDIRECT($N80)),"&lt;włącz podświetlanie wartości&gt;"),"—")</f>
        <v>2</v>
      </c>
      <c r="Q80" s="14">
        <f ca="1">IF(AND($AD80,$S80=1),IF(wew!$B$3,MAX(INDIRECT($N80)),"&lt;włącz podświetlanie wartości&gt;"),"—")</f>
        <v>2</v>
      </c>
      <c r="R80" s="14">
        <f ca="1">IF(AD80,ster!$C$14- (COUNTIF( INDIRECT(N80),"" )+ COUNT(INDIRECT(N80)) +COUNTIF( INDIRECT(N80),"NA" )),"")</f>
        <v>0</v>
      </c>
      <c r="S80" s="12">
        <f ca="1">IF(AD80,IF(COUNTA(INDIRECT(N80))=0,0, 1-(ster!$C$14- COUNT(INDIRECT(N80)) -COUNTIF( INDIRECT(N80),"" )) /COUNTA(INDIRECT(N80))),"")</f>
        <v>1</v>
      </c>
      <c r="T80" s="17">
        <f t="array" aca="1" ref="T80" ca="1">IF(L80&lt;&gt;"",SUM(IF(INDIRECT(L80)&lt;&gt;INT(INDIRECT(L80)),1,0)),"")</f>
        <v>0</v>
      </c>
      <c r="U80" s="17">
        <f t="array" aca="1" ref="U80" ca="1">IF(S80=1,SUM(IF(ISNUMBER(INDIRECT(N80)),IF(INDIRECT(N80)&lt;&gt;INT(INDIRECT(N80)),1,0),0)),"")</f>
        <v>0</v>
      </c>
      <c r="V80" s="17">
        <f t="shared" ca="1" si="26"/>
        <v>1</v>
      </c>
      <c r="W80" s="17">
        <f t="shared" ca="1" si="27"/>
        <v>0</v>
      </c>
      <c r="X80" s="24">
        <f t="array" aca="1" ref="X80" ca="1">IF(AD80,IF(AG80&lt;&gt;"",AG80,IF(J80,MIN(INDIRECT( K80)),"")),"")</f>
        <v>1</v>
      </c>
      <c r="Y80" s="17">
        <f t="array" aca="1" ref="Y80" ca="1">IF(AD80,IF(AH80&lt;&gt;"",AH80,IF(J80,MAX(INDIRECT( K80)),"")),"")</f>
        <v>2</v>
      </c>
      <c r="Z80" s="17" t="b">
        <f t="shared" ca="1" si="28"/>
        <v>1</v>
      </c>
      <c r="AC80" s="17" t="b">
        <f t="shared" ca="1" si="29"/>
        <v>0</v>
      </c>
      <c r="AD80" s="14" t="b">
        <f t="shared" ca="1" si="30"/>
        <v>1</v>
      </c>
      <c r="AE80" s="15" t="b">
        <f t="shared" ca="1" si="31"/>
        <v>1</v>
      </c>
      <c r="AF80" s="16"/>
      <c r="AG80" s="16"/>
      <c r="AH80" s="16"/>
      <c r="AI80" s="16"/>
      <c r="AJ80" s="16"/>
      <c r="AK80" s="16"/>
      <c r="AL80" s="16"/>
      <c r="AM80" s="16"/>
    </row>
    <row r="81" spans="2:39">
      <c r="B81" s="14">
        <f t="shared" si="20"/>
        <v>79</v>
      </c>
      <c r="C81" s="14" t="str">
        <f t="shared" ca="1" si="21"/>
        <v>D</v>
      </c>
      <c r="D81" s="14" t="str">
        <f t="shared" ca="1" si="22"/>
        <v>q_38f</v>
      </c>
      <c r="E81" s="14" t="str">
        <f t="shared" ca="1" si="19"/>
        <v>heterozygous twin sister</v>
      </c>
      <c r="F81" s="14">
        <f t="shared" ca="1" si="18"/>
        <v>2</v>
      </c>
      <c r="G81" s="14" t="str">
        <f t="shared" ca="1" si="23"/>
        <v>q_38f</v>
      </c>
      <c r="H81" s="14">
        <f ca="1">IF(G81&lt;&gt;"",IFERROR( IsVariableNameLegal(G81),0),0)+IF(COUNTIF(INDIRECT(wew!$C$13),G81)&gt;1,10,0)</f>
        <v>0</v>
      </c>
      <c r="I81" s="14">
        <f ca="1">IF(E81&lt;&gt;"",IF(LEN(E81)&gt;150,1,0)+IF(COUNTIF(INDIRECT(wew!$C$15),E81)&gt;1,10,0),0)</f>
        <v>10</v>
      </c>
      <c r="J81" s="14" t="b">
        <f t="shared" ca="1" si="24"/>
        <v>1</v>
      </c>
      <c r="K81" s="14" t="str">
        <f ca="1">ADDRESS(3,(B81+1)*2-1,4,,"[" &amp; wew!$G$7 &amp; "]" &amp; _sheetname_labels) &amp; ":" &amp; ADDRESS(2+ster!$B$20,(B81+1)*2-1,4)</f>
        <v>'[dane surowe2c.xlsm]labels'!FC3:FC36</v>
      </c>
      <c r="L81" s="14" t="str">
        <f ca="1">IF(F81&gt;0,ADDRESS(3,(B81+1)*2-1,4,,"[" &amp; wew!$G$7 &amp; "]" &amp; _sheetname_labels) &amp; ":" &amp; ADDRESS(2+F81,(B81+1)*2-1,4),"")</f>
        <v>'[dane surowe2c.xlsm]labels'!FC3:FC4</v>
      </c>
      <c r="M81" s="14" t="str">
        <f ca="1">IF(F81&gt;0,ADDRESS(3,(B81+1)*2,4,,"["&amp;wew!$G$7&amp;"]"&amp;_sheetname_labels)&amp;":"&amp;ADDRESS(2+F81,(B81+1)*2,4),"")</f>
        <v>'[dane surowe2c.xlsm]labels'!FD3:FD4</v>
      </c>
      <c r="N81" s="14" t="str">
        <f ca="1">ADDRESS(3,B81+1,4,,"[" &amp; wew!$G$7 &amp; "]" &amp;_sheetname_dataframe) &amp; ":" &amp; ADDRESS(2+ster!$C$14,B81+1,4)</f>
        <v>'[dane surowe2c.xlsm]data_frame'!CB3:CB35</v>
      </c>
      <c r="O81" s="14">
        <f t="shared" ca="1" si="25"/>
        <v>32</v>
      </c>
      <c r="P81" s="14">
        <f ca="1">IF(AND($AD81,$S81=1),IF(wew!$B$3,MIN(INDIRECT($N81)),"&lt;włącz podświetlanie wartości&gt;"),"—")</f>
        <v>2</v>
      </c>
      <c r="Q81" s="14">
        <f ca="1">IF(AND($AD81,$S81=1),IF(wew!$B$3,MAX(INDIRECT($N81)),"&lt;włącz podświetlanie wartości&gt;"),"—")</f>
        <v>2</v>
      </c>
      <c r="R81" s="14">
        <f ca="1">IF(AD81,ster!$C$14- (COUNTIF( INDIRECT(N81),"" )+ COUNT(INDIRECT(N81)) +COUNTIF( INDIRECT(N81),"NA" )),"")</f>
        <v>0</v>
      </c>
      <c r="S81" s="12">
        <f ca="1">IF(AD81,IF(COUNTA(INDIRECT(N81))=0,0, 1-(ster!$C$14- COUNT(INDIRECT(N81)) -COUNTIF( INDIRECT(N81),"" )) /COUNTA(INDIRECT(N81))),"")</f>
        <v>1</v>
      </c>
      <c r="T81" s="17">
        <f t="array" aca="1" ref="T81" ca="1">IF(L81&lt;&gt;"",SUM(IF(INDIRECT(L81)&lt;&gt;INT(INDIRECT(L81)),1,0)),"")</f>
        <v>0</v>
      </c>
      <c r="U81" s="17">
        <f t="array" aca="1" ref="U81" ca="1">IF(S81=1,SUM(IF(ISNUMBER(INDIRECT(N81)),IF(INDIRECT(N81)&lt;&gt;INT(INDIRECT(N81)),1,0),0)),"")</f>
        <v>0</v>
      </c>
      <c r="V81" s="17">
        <f t="shared" ca="1" si="26"/>
        <v>1</v>
      </c>
      <c r="W81" s="17">
        <f t="shared" ca="1" si="27"/>
        <v>0</v>
      </c>
      <c r="X81" s="24">
        <f t="array" aca="1" ref="X81" ca="1">IF(AD81,IF(AG81&lt;&gt;"",AG81,IF(J81,MIN(INDIRECT( K81)),"")),"")</f>
        <v>1</v>
      </c>
      <c r="Y81" s="17">
        <f t="array" aca="1" ref="Y81" ca="1">IF(AD81,IF(AH81&lt;&gt;"",AH81,IF(J81,MAX(INDIRECT( K81)),"")),"")</f>
        <v>2</v>
      </c>
      <c r="Z81" s="17" t="b">
        <f t="shared" ca="1" si="28"/>
        <v>1</v>
      </c>
      <c r="AC81" s="17" t="b">
        <f t="shared" ca="1" si="29"/>
        <v>0</v>
      </c>
      <c r="AD81" s="14" t="b">
        <f t="shared" ca="1" si="30"/>
        <v>1</v>
      </c>
      <c r="AE81" s="15" t="b">
        <f t="shared" ca="1" si="31"/>
        <v>1</v>
      </c>
      <c r="AF81" s="16"/>
      <c r="AG81" s="16"/>
      <c r="AH81" s="16"/>
      <c r="AI81" s="16"/>
      <c r="AJ81" s="16"/>
      <c r="AK81" s="16"/>
      <c r="AL81" s="16"/>
      <c r="AM81" s="16"/>
    </row>
    <row r="82" spans="2:39">
      <c r="B82" s="14">
        <f t="shared" si="20"/>
        <v>80</v>
      </c>
      <c r="C82" s="14" t="str">
        <f t="shared" ca="1" si="21"/>
        <v>D</v>
      </c>
      <c r="D82" s="14" t="str">
        <f t="shared" ca="1" si="22"/>
        <v>q_38g</v>
      </c>
      <c r="E82" s="14" t="str">
        <f t="shared" ca="1" si="19"/>
        <v>homozygous twin sister</v>
      </c>
      <c r="F82" s="14">
        <f t="shared" ca="1" si="18"/>
        <v>2</v>
      </c>
      <c r="G82" s="14" t="str">
        <f t="shared" ca="1" si="23"/>
        <v>q_38g</v>
      </c>
      <c r="H82" s="14">
        <f ca="1">IF(G82&lt;&gt;"",IFERROR( IsVariableNameLegal(G82),0),0)+IF(COUNTIF(INDIRECT(wew!$C$13),G82)&gt;1,10,0)</f>
        <v>0</v>
      </c>
      <c r="I82" s="14">
        <f ca="1">IF(E82&lt;&gt;"",IF(LEN(E82)&gt;150,1,0)+IF(COUNTIF(INDIRECT(wew!$C$15),E82)&gt;1,10,0),0)</f>
        <v>10</v>
      </c>
      <c r="J82" s="14" t="b">
        <f t="shared" ca="1" si="24"/>
        <v>1</v>
      </c>
      <c r="K82" s="14" t="str">
        <f ca="1">ADDRESS(3,(B82+1)*2-1,4,,"[" &amp; wew!$G$7 &amp; "]" &amp; _sheetname_labels) &amp; ":" &amp; ADDRESS(2+ster!$B$20,(B82+1)*2-1,4)</f>
        <v>'[dane surowe2c.xlsm]labels'!FE3:FE36</v>
      </c>
      <c r="L82" s="14" t="str">
        <f ca="1">IF(F82&gt;0,ADDRESS(3,(B82+1)*2-1,4,,"[" &amp; wew!$G$7 &amp; "]" &amp; _sheetname_labels) &amp; ":" &amp; ADDRESS(2+F82,(B82+1)*2-1,4),"")</f>
        <v>'[dane surowe2c.xlsm]labels'!FE3:FE4</v>
      </c>
      <c r="M82" s="14" t="str">
        <f ca="1">IF(F82&gt;0,ADDRESS(3,(B82+1)*2,4,,"["&amp;wew!$G$7&amp;"]"&amp;_sheetname_labels)&amp;":"&amp;ADDRESS(2+F82,(B82+1)*2,4),"")</f>
        <v>'[dane surowe2c.xlsm]labels'!FF3:FF4</v>
      </c>
      <c r="N82" s="14" t="str">
        <f ca="1">ADDRESS(3,B82+1,4,,"[" &amp; wew!$G$7 &amp; "]" &amp;_sheetname_dataframe) &amp; ":" &amp; ADDRESS(2+ster!$C$14,B82+1,4)</f>
        <v>'[dane surowe2c.xlsm]data_frame'!CC3:CC35</v>
      </c>
      <c r="O82" s="14">
        <f t="shared" ca="1" si="25"/>
        <v>32</v>
      </c>
      <c r="P82" s="14">
        <f ca="1">IF(AND($AD82,$S82=1),IF(wew!$B$3,MIN(INDIRECT($N82)),"&lt;włącz podświetlanie wartości&gt;"),"—")</f>
        <v>2</v>
      </c>
      <c r="Q82" s="14">
        <f ca="1">IF(AND($AD82,$S82=1),IF(wew!$B$3,MAX(INDIRECT($N82)),"&lt;włącz podświetlanie wartości&gt;"),"—")</f>
        <v>2</v>
      </c>
      <c r="R82" s="14">
        <f ca="1">IF(AD82,ster!$C$14- (COUNTIF( INDIRECT(N82),"" )+ COUNT(INDIRECT(N82)) +COUNTIF( INDIRECT(N82),"NA" )),"")</f>
        <v>0</v>
      </c>
      <c r="S82" s="12">
        <f ca="1">IF(AD82,IF(COUNTA(INDIRECT(N82))=0,0, 1-(ster!$C$14- COUNT(INDIRECT(N82)) -COUNTIF( INDIRECT(N82),"" )) /COUNTA(INDIRECT(N82))),"")</f>
        <v>1</v>
      </c>
      <c r="T82" s="17">
        <f t="array" aca="1" ref="T82" ca="1">IF(L82&lt;&gt;"",SUM(IF(INDIRECT(L82)&lt;&gt;INT(INDIRECT(L82)),1,0)),"")</f>
        <v>0</v>
      </c>
      <c r="U82" s="17">
        <f t="array" aca="1" ref="U82" ca="1">IF(S82=1,SUM(IF(ISNUMBER(INDIRECT(N82)),IF(INDIRECT(N82)&lt;&gt;INT(INDIRECT(N82)),1,0),0)),"")</f>
        <v>0</v>
      </c>
      <c r="V82" s="17">
        <f t="shared" ca="1" si="26"/>
        <v>1</v>
      </c>
      <c r="W82" s="17">
        <f t="shared" ca="1" si="27"/>
        <v>0</v>
      </c>
      <c r="X82" s="24">
        <f t="array" aca="1" ref="X82" ca="1">IF(AD82,IF(AG82&lt;&gt;"",AG82,IF(J82,MIN(INDIRECT( K82)),"")),"")</f>
        <v>1</v>
      </c>
      <c r="Y82" s="17">
        <f t="array" aca="1" ref="Y82" ca="1">IF(AD82,IF(AH82&lt;&gt;"",AH82,IF(J82,MAX(INDIRECT( K82)),"")),"")</f>
        <v>2</v>
      </c>
      <c r="Z82" s="17" t="b">
        <f t="shared" ca="1" si="28"/>
        <v>1</v>
      </c>
      <c r="AC82" s="17" t="b">
        <f t="shared" ca="1" si="29"/>
        <v>0</v>
      </c>
      <c r="AD82" s="14" t="b">
        <f t="shared" ca="1" si="30"/>
        <v>1</v>
      </c>
      <c r="AE82" s="15" t="b">
        <f t="shared" ca="1" si="31"/>
        <v>1</v>
      </c>
      <c r="AF82" s="16"/>
      <c r="AG82" s="16"/>
      <c r="AH82" s="16"/>
      <c r="AI82" s="16"/>
      <c r="AJ82" s="16"/>
      <c r="AK82" s="16"/>
      <c r="AL82" s="16"/>
      <c r="AM82" s="16"/>
    </row>
    <row r="83" spans="2:39">
      <c r="B83" s="14">
        <f t="shared" si="20"/>
        <v>81</v>
      </c>
      <c r="C83" s="14" t="str">
        <f t="shared" ca="1" si="21"/>
        <v>I</v>
      </c>
      <c r="D83" s="14" t="str">
        <f t="shared" ca="1" si="22"/>
        <v>q_38h</v>
      </c>
      <c r="E83" s="14" t="str">
        <f t="shared" ca="1" si="19"/>
        <v>Other family member 1</v>
      </c>
      <c r="F83" s="14">
        <f t="shared" ca="1" si="18"/>
        <v>0</v>
      </c>
      <c r="G83" s="14" t="str">
        <f t="shared" ca="1" si="23"/>
        <v>q_38h</v>
      </c>
      <c r="H83" s="14">
        <f ca="1">IF(G83&lt;&gt;"",IFERROR( IsVariableNameLegal(G83),0),0)+IF(COUNTIF(INDIRECT(wew!$C$13),G83)&gt;1,10,0)</f>
        <v>0</v>
      </c>
      <c r="I83" s="14">
        <f ca="1">IF(E83&lt;&gt;"",IF(LEN(E83)&gt;150,1,0)+IF(COUNTIF(INDIRECT(wew!$C$15),E83)&gt;1,10,0),0)</f>
        <v>10</v>
      </c>
      <c r="J83" s="14" t="b">
        <f t="shared" ca="1" si="24"/>
        <v>0</v>
      </c>
      <c r="K83" s="14" t="str">
        <f ca="1">ADDRESS(3,(B83+1)*2-1,4,,"[" &amp; wew!$G$7 &amp; "]" &amp; _sheetname_labels) &amp; ":" &amp; ADDRESS(2+ster!$B$20,(B83+1)*2-1,4)</f>
        <v>'[dane surowe2c.xlsm]labels'!FG3:FG36</v>
      </c>
      <c r="L83" s="14" t="str">
        <f ca="1">IF(F83&gt;0,ADDRESS(3,(B83+1)*2-1,4,,"[" &amp; wew!$G$7 &amp; "]" &amp; _sheetname_labels) &amp; ":" &amp; ADDRESS(2+F83,(B83+1)*2-1,4),"")</f>
        <v/>
      </c>
      <c r="M83" s="14" t="str">
        <f ca="1">IF(F83&gt;0,ADDRESS(3,(B83+1)*2,4,,"["&amp;wew!$G$7&amp;"]"&amp;_sheetname_labels)&amp;":"&amp;ADDRESS(2+F83,(B83+1)*2,4),"")</f>
        <v/>
      </c>
      <c r="N83" s="14" t="str">
        <f ca="1">ADDRESS(3,B83+1,4,,"[" &amp; wew!$G$7 &amp; "]" &amp;_sheetname_dataframe) &amp; ":" &amp; ADDRESS(2+ster!$C$14,B83+1,4)</f>
        <v>'[dane surowe2c.xlsm]data_frame'!CD3:CD35</v>
      </c>
      <c r="O83" s="14">
        <f t="shared" ca="1" si="25"/>
        <v>0</v>
      </c>
      <c r="P83" s="14" t="str">
        <f ca="1">IF(AND($AD83,$S83=1),IF(wew!$B$3,MIN(INDIRECT($N83)),"&lt;włącz podświetlanie wartości&gt;"),"—")</f>
        <v>—</v>
      </c>
      <c r="Q83" s="14" t="str">
        <f ca="1">IF(AND($AD83,$S83=1),IF(wew!$B$3,MAX(INDIRECT($N83)),"&lt;włącz podświetlanie wartości&gt;"),"—")</f>
        <v>—</v>
      </c>
      <c r="R83" s="14">
        <f ca="1">IF(AD83,ster!$C$14- (COUNTIF( INDIRECT(N83),"" )+ COUNT(INDIRECT(N83)) +COUNTIF( INDIRECT(N83),"NA" )),"")</f>
        <v>0</v>
      </c>
      <c r="S83" s="12">
        <f ca="1">IF(AD83,IF(COUNTA(INDIRECT(N83))=0,0, 1-(ster!$C$14- COUNT(INDIRECT(N83)) -COUNTIF( INDIRECT(N83),"" )) /COUNTA(INDIRECT(N83))),"")</f>
        <v>0</v>
      </c>
      <c r="T83" s="17" t="str">
        <f t="array" aca="1" ref="T83" ca="1">IF(L83&lt;&gt;"",SUM(IF(INDIRECT(L83)&lt;&gt;INT(INDIRECT(L83)),1,0)),"")</f>
        <v/>
      </c>
      <c r="U83" s="17" t="str">
        <f t="array" aca="1" ref="U83" ca="1">IF(S83=1,SUM(IF(ISNUMBER(INDIRECT(N83)),IF(INDIRECT(N83)&lt;&gt;INT(INDIRECT(N83)),1,0),0)),"")</f>
        <v/>
      </c>
      <c r="V83" s="17">
        <f t="shared" ca="1" si="26"/>
        <v>0</v>
      </c>
      <c r="W83" s="17">
        <f t="shared" ca="1" si="27"/>
        <v>0</v>
      </c>
      <c r="X83" s="24" t="str">
        <f t="array" aca="1" ref="X83" ca="1">IF(AD83,IF(AG83&lt;&gt;"",AG83,IF(J83,MIN(INDIRECT( K83)),"")),"")</f>
        <v/>
      </c>
      <c r="Y83" s="17" t="str">
        <f t="array" aca="1" ref="Y83" ca="1">IF(AD83,IF(AH83&lt;&gt;"",AH83,IF(J83,MAX(INDIRECT( K83)),"")),"")</f>
        <v/>
      </c>
      <c r="Z83" s="17" t="b">
        <f t="shared" ca="1" si="28"/>
        <v>0</v>
      </c>
      <c r="AC83" s="17" t="b">
        <f t="shared" ca="1" si="29"/>
        <v>0</v>
      </c>
      <c r="AD83" s="14" t="b">
        <f t="shared" ca="1" si="30"/>
        <v>1</v>
      </c>
      <c r="AE83" s="15" t="b">
        <f t="shared" ca="1" si="31"/>
        <v>0</v>
      </c>
      <c r="AF83" s="16"/>
      <c r="AG83" s="16"/>
      <c r="AH83" s="16"/>
      <c r="AI83" s="16"/>
      <c r="AJ83" s="16"/>
      <c r="AK83" s="16"/>
      <c r="AL83" s="16"/>
      <c r="AM83" s="16"/>
    </row>
    <row r="84" spans="2:39">
      <c r="B84" s="14">
        <f t="shared" si="20"/>
        <v>82</v>
      </c>
      <c r="C84" s="14" t="str">
        <f t="shared" ca="1" si="21"/>
        <v>I</v>
      </c>
      <c r="D84" s="14" t="str">
        <f t="shared" ca="1" si="22"/>
        <v>q_38i</v>
      </c>
      <c r="E84" s="14" t="str">
        <f t="shared" ca="1" si="19"/>
        <v>Other family member 2</v>
      </c>
      <c r="F84" s="14">
        <f t="shared" ca="1" si="18"/>
        <v>0</v>
      </c>
      <c r="G84" s="14" t="str">
        <f t="shared" ca="1" si="23"/>
        <v>q_38i</v>
      </c>
      <c r="H84" s="14">
        <f ca="1">IF(G84&lt;&gt;"",IFERROR( IsVariableNameLegal(G84),0),0)+IF(COUNTIF(INDIRECT(wew!$C$13),G84)&gt;1,10,0)</f>
        <v>0</v>
      </c>
      <c r="I84" s="14">
        <f ca="1">IF(E84&lt;&gt;"",IF(LEN(E84)&gt;150,1,0)+IF(COUNTIF(INDIRECT(wew!$C$15),E84)&gt;1,10,0),0)</f>
        <v>10</v>
      </c>
      <c r="J84" s="14" t="b">
        <f t="shared" ca="1" si="24"/>
        <v>0</v>
      </c>
      <c r="K84" s="14" t="str">
        <f ca="1">ADDRESS(3,(B84+1)*2-1,4,,"[" &amp; wew!$G$7 &amp; "]" &amp; _sheetname_labels) &amp; ":" &amp; ADDRESS(2+ster!$B$20,(B84+1)*2-1,4)</f>
        <v>'[dane surowe2c.xlsm]labels'!FI3:FI36</v>
      </c>
      <c r="L84" s="14" t="str">
        <f ca="1">IF(F84&gt;0,ADDRESS(3,(B84+1)*2-1,4,,"[" &amp; wew!$G$7 &amp; "]" &amp; _sheetname_labels) &amp; ":" &amp; ADDRESS(2+F84,(B84+1)*2-1,4),"")</f>
        <v/>
      </c>
      <c r="M84" s="14" t="str">
        <f ca="1">IF(F84&gt;0,ADDRESS(3,(B84+1)*2,4,,"["&amp;wew!$G$7&amp;"]"&amp;_sheetname_labels)&amp;":"&amp;ADDRESS(2+F84,(B84+1)*2,4),"")</f>
        <v/>
      </c>
      <c r="N84" s="14" t="str">
        <f ca="1">ADDRESS(3,B84+1,4,,"[" &amp; wew!$G$7 &amp; "]" &amp;_sheetname_dataframe) &amp; ":" &amp; ADDRESS(2+ster!$C$14,B84+1,4)</f>
        <v>'[dane surowe2c.xlsm]data_frame'!CE3:CE35</v>
      </c>
      <c r="O84" s="14">
        <f t="shared" ca="1" si="25"/>
        <v>0</v>
      </c>
      <c r="P84" s="14" t="str">
        <f ca="1">IF(AND($AD84,$S84=1),IF(wew!$B$3,MIN(INDIRECT($N84)),"&lt;włącz podświetlanie wartości&gt;"),"—")</f>
        <v>—</v>
      </c>
      <c r="Q84" s="14" t="str">
        <f ca="1">IF(AND($AD84,$S84=1),IF(wew!$B$3,MAX(INDIRECT($N84)),"&lt;włącz podświetlanie wartości&gt;"),"—")</f>
        <v>—</v>
      </c>
      <c r="R84" s="14">
        <f ca="1">IF(AD84,ster!$C$14- (COUNTIF( INDIRECT(N84),"" )+ COUNT(INDIRECT(N84)) +COUNTIF( INDIRECT(N84),"NA" )),"")</f>
        <v>0</v>
      </c>
      <c r="S84" s="12">
        <f ca="1">IF(AD84,IF(COUNTA(INDIRECT(N84))=0,0, 1-(ster!$C$14- COUNT(INDIRECT(N84)) -COUNTIF( INDIRECT(N84),"" )) /COUNTA(INDIRECT(N84))),"")</f>
        <v>0</v>
      </c>
      <c r="T84" s="17" t="str">
        <f t="array" aca="1" ref="T84" ca="1">IF(L84&lt;&gt;"",SUM(IF(INDIRECT(L84)&lt;&gt;INT(INDIRECT(L84)),1,0)),"")</f>
        <v/>
      </c>
      <c r="U84" s="17" t="str">
        <f t="array" aca="1" ref="U84" ca="1">IF(S84=1,SUM(IF(ISNUMBER(INDIRECT(N84)),IF(INDIRECT(N84)&lt;&gt;INT(INDIRECT(N84)),1,0),0)),"")</f>
        <v/>
      </c>
      <c r="V84" s="17">
        <f t="shared" ca="1" si="26"/>
        <v>0</v>
      </c>
      <c r="W84" s="17">
        <f t="shared" ca="1" si="27"/>
        <v>0</v>
      </c>
      <c r="X84" s="24" t="str">
        <f t="array" aca="1" ref="X84" ca="1">IF(AD84,IF(AG84&lt;&gt;"",AG84,IF(J84,MIN(INDIRECT( K84)),"")),"")</f>
        <v/>
      </c>
      <c r="Y84" s="17" t="str">
        <f t="array" aca="1" ref="Y84" ca="1">IF(AD84,IF(AH84&lt;&gt;"",AH84,IF(J84,MAX(INDIRECT( K84)),"")),"")</f>
        <v/>
      </c>
      <c r="Z84" s="17" t="b">
        <f t="shared" ca="1" si="28"/>
        <v>0</v>
      </c>
      <c r="AC84" s="17" t="b">
        <f t="shared" ca="1" si="29"/>
        <v>0</v>
      </c>
      <c r="AD84" s="14" t="b">
        <f t="shared" ca="1" si="30"/>
        <v>1</v>
      </c>
      <c r="AE84" s="15" t="b">
        <f t="shared" ca="1" si="31"/>
        <v>0</v>
      </c>
      <c r="AF84" s="16"/>
      <c r="AG84" s="16"/>
      <c r="AH84" s="16"/>
      <c r="AI84" s="16"/>
      <c r="AJ84" s="16"/>
      <c r="AK84" s="16"/>
      <c r="AL84" s="16"/>
      <c r="AM84" s="16"/>
    </row>
    <row r="85" spans="2:39">
      <c r="B85" s="14">
        <f t="shared" si="20"/>
        <v>83</v>
      </c>
      <c r="C85" s="14" t="str">
        <f t="shared" ca="1" si="21"/>
        <v>I</v>
      </c>
      <c r="D85" s="14" t="str">
        <f t="shared" ca="1" si="22"/>
        <v>q_38j</v>
      </c>
      <c r="E85" s="14" t="str">
        <f t="shared" ca="1" si="19"/>
        <v>Other family member 3</v>
      </c>
      <c r="F85" s="14">
        <f t="shared" ca="1" si="18"/>
        <v>0</v>
      </c>
      <c r="G85" s="14" t="str">
        <f t="shared" ca="1" si="23"/>
        <v>q_38j</v>
      </c>
      <c r="H85" s="14">
        <f ca="1">IF(G85&lt;&gt;"",IFERROR( IsVariableNameLegal(G85),0),0)+IF(COUNTIF(INDIRECT(wew!$C$13),G85)&gt;1,10,0)</f>
        <v>0</v>
      </c>
      <c r="I85" s="14">
        <f ca="1">IF(E85&lt;&gt;"",IF(LEN(E85)&gt;150,1,0)+IF(COUNTIF(INDIRECT(wew!$C$15),E85)&gt;1,10,0),0)</f>
        <v>10</v>
      </c>
      <c r="J85" s="14" t="b">
        <f t="shared" ca="1" si="24"/>
        <v>0</v>
      </c>
      <c r="K85" s="14" t="str">
        <f ca="1">ADDRESS(3,(B85+1)*2-1,4,,"[" &amp; wew!$G$7 &amp; "]" &amp; _sheetname_labels) &amp; ":" &amp; ADDRESS(2+ster!$B$20,(B85+1)*2-1,4)</f>
        <v>'[dane surowe2c.xlsm]labels'!FK3:FK36</v>
      </c>
      <c r="L85" s="14" t="str">
        <f ca="1">IF(F85&gt;0,ADDRESS(3,(B85+1)*2-1,4,,"[" &amp; wew!$G$7 &amp; "]" &amp; _sheetname_labels) &amp; ":" &amp; ADDRESS(2+F85,(B85+1)*2-1,4),"")</f>
        <v/>
      </c>
      <c r="M85" s="14" t="str">
        <f ca="1">IF(F85&gt;0,ADDRESS(3,(B85+1)*2,4,,"["&amp;wew!$G$7&amp;"]"&amp;_sheetname_labels)&amp;":"&amp;ADDRESS(2+F85,(B85+1)*2,4),"")</f>
        <v/>
      </c>
      <c r="N85" s="14" t="str">
        <f ca="1">ADDRESS(3,B85+1,4,,"[" &amp; wew!$G$7 &amp; "]" &amp;_sheetname_dataframe) &amp; ":" &amp; ADDRESS(2+ster!$C$14,B85+1,4)</f>
        <v>'[dane surowe2c.xlsm]data_frame'!CF3:CF35</v>
      </c>
      <c r="O85" s="14">
        <f t="shared" ca="1" si="25"/>
        <v>0</v>
      </c>
      <c r="P85" s="14" t="str">
        <f ca="1">IF(AND($AD85,$S85=1),IF(wew!$B$3,MIN(INDIRECT($N85)),"&lt;włącz podświetlanie wartości&gt;"),"—")</f>
        <v>—</v>
      </c>
      <c r="Q85" s="14" t="str">
        <f ca="1">IF(AND($AD85,$S85=1),IF(wew!$B$3,MAX(INDIRECT($N85)),"&lt;włącz podświetlanie wartości&gt;"),"—")</f>
        <v>—</v>
      </c>
      <c r="R85" s="14">
        <f ca="1">IF(AD85,ster!$C$14- (COUNTIF( INDIRECT(N85),"" )+ COUNT(INDIRECT(N85)) +COUNTIF( INDIRECT(N85),"NA" )),"")</f>
        <v>0</v>
      </c>
      <c r="S85" s="12">
        <f ca="1">IF(AD85,IF(COUNTA(INDIRECT(N85))=0,0, 1-(ster!$C$14- COUNT(INDIRECT(N85)) -COUNTIF( INDIRECT(N85),"" )) /COUNTA(INDIRECT(N85))),"")</f>
        <v>0</v>
      </c>
      <c r="T85" s="17" t="str">
        <f t="array" aca="1" ref="T85" ca="1">IF(L85&lt;&gt;"",SUM(IF(INDIRECT(L85)&lt;&gt;INT(INDIRECT(L85)),1,0)),"")</f>
        <v/>
      </c>
      <c r="U85" s="17" t="str">
        <f t="array" aca="1" ref="U85" ca="1">IF(S85=1,SUM(IF(ISNUMBER(INDIRECT(N85)),IF(INDIRECT(N85)&lt;&gt;INT(INDIRECT(N85)),1,0),0)),"")</f>
        <v/>
      </c>
      <c r="V85" s="17">
        <f t="shared" ca="1" si="26"/>
        <v>0</v>
      </c>
      <c r="W85" s="17">
        <f t="shared" ca="1" si="27"/>
        <v>0</v>
      </c>
      <c r="X85" s="24" t="str">
        <f t="array" aca="1" ref="X85" ca="1">IF(AD85,IF(AG85&lt;&gt;"",AG85,IF(J85,MIN(INDIRECT( K85)),"")),"")</f>
        <v/>
      </c>
      <c r="Y85" s="17" t="str">
        <f t="array" aca="1" ref="Y85" ca="1">IF(AD85,IF(AH85&lt;&gt;"",AH85,IF(J85,MAX(INDIRECT( K85)),"")),"")</f>
        <v/>
      </c>
      <c r="Z85" s="17" t="b">
        <f t="shared" ca="1" si="28"/>
        <v>0</v>
      </c>
      <c r="AC85" s="17" t="b">
        <f t="shared" ca="1" si="29"/>
        <v>0</v>
      </c>
      <c r="AD85" s="14" t="b">
        <f t="shared" ca="1" si="30"/>
        <v>1</v>
      </c>
      <c r="AE85" s="15" t="b">
        <f t="shared" ca="1" si="31"/>
        <v>0</v>
      </c>
      <c r="AF85" s="16"/>
      <c r="AG85" s="16"/>
      <c r="AH85" s="16"/>
      <c r="AI85" s="16"/>
      <c r="AJ85" s="16"/>
      <c r="AK85" s="16"/>
      <c r="AL85" s="16"/>
      <c r="AM85" s="16"/>
    </row>
    <row r="86" spans="2:39">
      <c r="B86" s="14">
        <f t="shared" si="20"/>
        <v>84</v>
      </c>
      <c r="C86" s="14" t="str">
        <f t="shared" ca="1" si="21"/>
        <v>D</v>
      </c>
      <c r="D86" s="14" t="str">
        <f t="shared" ca="1" si="22"/>
        <v>q_39a</v>
      </c>
      <c r="E86" s="14" t="str">
        <f t="shared" ca="1" si="19"/>
        <v>Was there FTD in the family</v>
      </c>
      <c r="F86" s="14">
        <f t="shared" ca="1" si="18"/>
        <v>2</v>
      </c>
      <c r="G86" s="14" t="str">
        <f t="shared" ca="1" si="23"/>
        <v>q_39a</v>
      </c>
      <c r="H86" s="14">
        <f ca="1">IF(G86&lt;&gt;"",IFERROR( IsVariableNameLegal(G86),0),0)+IF(COUNTIF(INDIRECT(wew!$C$13),G86)&gt;1,10,0)</f>
        <v>0</v>
      </c>
      <c r="I86" s="14">
        <f ca="1">IF(E86&lt;&gt;"",IF(LEN(E86)&gt;150,1,0)+IF(COUNTIF(INDIRECT(wew!$C$15),E86)&gt;1,10,0),0)</f>
        <v>0</v>
      </c>
      <c r="J86" s="14" t="b">
        <f t="shared" ca="1" si="24"/>
        <v>1</v>
      </c>
      <c r="K86" s="14" t="str">
        <f ca="1">ADDRESS(3,(B86+1)*2-1,4,,"[" &amp; wew!$G$7 &amp; "]" &amp; _sheetname_labels) &amp; ":" &amp; ADDRESS(2+ster!$B$20,(B86+1)*2-1,4)</f>
        <v>'[dane surowe2c.xlsm]labels'!FM3:FM36</v>
      </c>
      <c r="L86" s="14" t="str">
        <f ca="1">IF(F86&gt;0,ADDRESS(3,(B86+1)*2-1,4,,"[" &amp; wew!$G$7 &amp; "]" &amp; _sheetname_labels) &amp; ":" &amp; ADDRESS(2+F86,(B86+1)*2-1,4),"")</f>
        <v>'[dane surowe2c.xlsm]labels'!FM3:FM4</v>
      </c>
      <c r="M86" s="14" t="str">
        <f ca="1">IF(F86&gt;0,ADDRESS(3,(B86+1)*2,4,,"["&amp;wew!$G$7&amp;"]"&amp;_sheetname_labels)&amp;":"&amp;ADDRESS(2+F86,(B86+1)*2,4),"")</f>
        <v>'[dane surowe2c.xlsm]labels'!FN3:FN4</v>
      </c>
      <c r="N86" s="14" t="str">
        <f ca="1">ADDRESS(3,B86+1,4,,"[" &amp; wew!$G$7 &amp; "]" &amp;_sheetname_dataframe) &amp; ":" &amp; ADDRESS(2+ster!$C$14,B86+1,4)</f>
        <v>'[dane surowe2c.xlsm]data_frame'!CG3:CG35</v>
      </c>
      <c r="O86" s="14">
        <f t="shared" ca="1" si="25"/>
        <v>32</v>
      </c>
      <c r="P86" s="14">
        <f ca="1">IF(AND($AD86,$S86=1),IF(wew!$B$3,MIN(INDIRECT($N86)),"&lt;włącz podświetlanie wartości&gt;"),"—")</f>
        <v>1</v>
      </c>
      <c r="Q86" s="14">
        <f ca="1">IF(AND($AD86,$S86=1),IF(wew!$B$3,MAX(INDIRECT($N86)),"&lt;włącz podświetlanie wartości&gt;"),"—")</f>
        <v>2</v>
      </c>
      <c r="R86" s="14">
        <f ca="1">IF(AD86,ster!$C$14- (COUNTIF( INDIRECT(N86),"" )+ COUNT(INDIRECT(N86)) +COUNTIF( INDIRECT(N86),"NA" )),"")</f>
        <v>0</v>
      </c>
      <c r="S86" s="12">
        <f ca="1">IF(AD86,IF(COUNTA(INDIRECT(N86))=0,0, 1-(ster!$C$14- COUNT(INDIRECT(N86)) -COUNTIF( INDIRECT(N86),"" )) /COUNTA(INDIRECT(N86))),"")</f>
        <v>1</v>
      </c>
      <c r="T86" s="17">
        <f t="array" aca="1" ref="T86" ca="1">IF(L86&lt;&gt;"",SUM(IF(INDIRECT(L86)&lt;&gt;INT(INDIRECT(L86)),1,0)),"")</f>
        <v>0</v>
      </c>
      <c r="U86" s="17">
        <f t="array" aca="1" ref="U86" ca="1">IF(S86=1,SUM(IF(ISNUMBER(INDIRECT(N86)),IF(INDIRECT(N86)&lt;&gt;INT(INDIRECT(N86)),1,0),0)),"")</f>
        <v>0</v>
      </c>
      <c r="V86" s="17">
        <f t="shared" ca="1" si="26"/>
        <v>1</v>
      </c>
      <c r="W86" s="17">
        <f t="shared" ca="1" si="27"/>
        <v>0</v>
      </c>
      <c r="X86" s="24">
        <f t="array" aca="1" ref="X86" ca="1">IF(AD86,IF(AG86&lt;&gt;"",AG86,IF(J86,MIN(INDIRECT( K86)),"")),"")</f>
        <v>1</v>
      </c>
      <c r="Y86" s="17">
        <f t="array" aca="1" ref="Y86" ca="1">IF(AD86,IF(AH86&lt;&gt;"",AH86,IF(J86,MAX(INDIRECT( K86)),"")),"")</f>
        <v>2</v>
      </c>
      <c r="Z86" s="17" t="b">
        <f t="shared" ca="1" si="28"/>
        <v>1</v>
      </c>
      <c r="AC86" s="17" t="b">
        <f t="shared" ca="1" si="29"/>
        <v>0</v>
      </c>
      <c r="AD86" s="14" t="b">
        <f t="shared" ca="1" si="30"/>
        <v>1</v>
      </c>
      <c r="AE86" s="15" t="b">
        <f t="shared" ca="1" si="31"/>
        <v>1</v>
      </c>
      <c r="AF86" s="16"/>
      <c r="AG86" s="16"/>
      <c r="AH86" s="16"/>
      <c r="AI86" s="16"/>
      <c r="AJ86" s="16"/>
      <c r="AK86" s="16"/>
      <c r="AL86" s="16"/>
      <c r="AM86" s="16"/>
    </row>
    <row r="87" spans="2:39">
      <c r="B87" s="14">
        <f t="shared" si="20"/>
        <v>85</v>
      </c>
      <c r="C87" s="14" t="str">
        <f t="shared" ca="1" si="21"/>
        <v>D</v>
      </c>
      <c r="D87" s="14" t="str">
        <f t="shared" ca="1" si="22"/>
        <v>q_39b</v>
      </c>
      <c r="E87" s="14" t="str">
        <f t="shared" ca="1" si="19"/>
        <v>Mother</v>
      </c>
      <c r="F87" s="14">
        <f t="shared" ca="1" si="18"/>
        <v>2</v>
      </c>
      <c r="G87" s="14" t="str">
        <f t="shared" ca="1" si="23"/>
        <v>q_39b</v>
      </c>
      <c r="H87" s="14">
        <f ca="1">IF(G87&lt;&gt;"",IFERROR( IsVariableNameLegal(G87),0),0)+IF(COUNTIF(INDIRECT(wew!$C$13),G87)&gt;1,10,0)</f>
        <v>0</v>
      </c>
      <c r="I87" s="14">
        <f ca="1">IF(E87&lt;&gt;"",IF(LEN(E87)&gt;150,1,0)+IF(COUNTIF(INDIRECT(wew!$C$15),E87)&gt;1,10,0),0)</f>
        <v>10</v>
      </c>
      <c r="J87" s="14" t="b">
        <f t="shared" ca="1" si="24"/>
        <v>1</v>
      </c>
      <c r="K87" s="14" t="str">
        <f ca="1">ADDRESS(3,(B87+1)*2-1,4,,"[" &amp; wew!$G$7 &amp; "]" &amp; _sheetname_labels) &amp; ":" &amp; ADDRESS(2+ster!$B$20,(B87+1)*2-1,4)</f>
        <v>'[dane surowe2c.xlsm]labels'!FO3:FO36</v>
      </c>
      <c r="L87" s="14" t="str">
        <f ca="1">IF(F87&gt;0,ADDRESS(3,(B87+1)*2-1,4,,"[" &amp; wew!$G$7 &amp; "]" &amp; _sheetname_labels) &amp; ":" &amp; ADDRESS(2+F87,(B87+1)*2-1,4),"")</f>
        <v>'[dane surowe2c.xlsm]labels'!FO3:FO4</v>
      </c>
      <c r="M87" s="14" t="str">
        <f ca="1">IF(F87&gt;0,ADDRESS(3,(B87+1)*2,4,,"["&amp;wew!$G$7&amp;"]"&amp;_sheetname_labels)&amp;":"&amp;ADDRESS(2+F87,(B87+1)*2,4),"")</f>
        <v>'[dane surowe2c.xlsm]labels'!FP3:FP4</v>
      </c>
      <c r="N87" s="14" t="str">
        <f ca="1">ADDRESS(3,B87+1,4,,"[" &amp; wew!$G$7 &amp; "]" &amp;_sheetname_dataframe) &amp; ":" &amp; ADDRESS(2+ster!$C$14,B87+1,4)</f>
        <v>'[dane surowe2c.xlsm]data_frame'!CH3:CH35</v>
      </c>
      <c r="O87" s="14">
        <f t="shared" ca="1" si="25"/>
        <v>32</v>
      </c>
      <c r="P87" s="14">
        <f ca="1">IF(AND($AD87,$S87=1),IF(wew!$B$3,MIN(INDIRECT($N87)),"&lt;włącz podświetlanie wartości&gt;"),"—")</f>
        <v>2</v>
      </c>
      <c r="Q87" s="14">
        <f ca="1">IF(AND($AD87,$S87=1),IF(wew!$B$3,MAX(INDIRECT($N87)),"&lt;włącz podświetlanie wartości&gt;"),"—")</f>
        <v>2</v>
      </c>
      <c r="R87" s="14">
        <f ca="1">IF(AD87,ster!$C$14- (COUNTIF( INDIRECT(N87),"" )+ COUNT(INDIRECT(N87)) +COUNTIF( INDIRECT(N87),"NA" )),"")</f>
        <v>0</v>
      </c>
      <c r="S87" s="12">
        <f ca="1">IF(AD87,IF(COUNTA(INDIRECT(N87))=0,0, 1-(ster!$C$14- COUNT(INDIRECT(N87)) -COUNTIF( INDIRECT(N87),"" )) /COUNTA(INDIRECT(N87))),"")</f>
        <v>1</v>
      </c>
      <c r="T87" s="17">
        <f t="array" aca="1" ref="T87" ca="1">IF(L87&lt;&gt;"",SUM(IF(INDIRECT(L87)&lt;&gt;INT(INDIRECT(L87)),1,0)),"")</f>
        <v>0</v>
      </c>
      <c r="U87" s="17">
        <f t="array" aca="1" ref="U87" ca="1">IF(S87=1,SUM(IF(ISNUMBER(INDIRECT(N87)),IF(INDIRECT(N87)&lt;&gt;INT(INDIRECT(N87)),1,0),0)),"")</f>
        <v>0</v>
      </c>
      <c r="V87" s="17">
        <f t="shared" ca="1" si="26"/>
        <v>1</v>
      </c>
      <c r="W87" s="17">
        <f t="shared" ca="1" si="27"/>
        <v>0</v>
      </c>
      <c r="X87" s="24">
        <f t="array" aca="1" ref="X87" ca="1">IF(AD87,IF(AG87&lt;&gt;"",AG87,IF(J87,MIN(INDIRECT( K87)),"")),"")</f>
        <v>1</v>
      </c>
      <c r="Y87" s="17">
        <f t="array" aca="1" ref="Y87" ca="1">IF(AD87,IF(AH87&lt;&gt;"",AH87,IF(J87,MAX(INDIRECT( K87)),"")),"")</f>
        <v>2</v>
      </c>
      <c r="Z87" s="17" t="b">
        <f t="shared" ca="1" si="28"/>
        <v>1</v>
      </c>
      <c r="AC87" s="17" t="b">
        <f t="shared" ca="1" si="29"/>
        <v>0</v>
      </c>
      <c r="AD87" s="14" t="b">
        <f t="shared" ca="1" si="30"/>
        <v>1</v>
      </c>
      <c r="AE87" s="15" t="b">
        <f t="shared" ca="1" si="31"/>
        <v>1</v>
      </c>
      <c r="AF87" s="16"/>
      <c r="AG87" s="16"/>
      <c r="AH87" s="16"/>
      <c r="AI87" s="16"/>
      <c r="AJ87" s="16"/>
      <c r="AK87" s="16"/>
      <c r="AL87" s="16"/>
      <c r="AM87" s="16"/>
    </row>
    <row r="88" spans="2:39">
      <c r="B88" s="14">
        <f t="shared" si="20"/>
        <v>86</v>
      </c>
      <c r="C88" s="14" t="str">
        <f t="shared" ca="1" si="21"/>
        <v>D</v>
      </c>
      <c r="D88" s="14" t="str">
        <f t="shared" ca="1" si="22"/>
        <v>q_39c</v>
      </c>
      <c r="E88" s="14" t="str">
        <f t="shared" ca="1" si="19"/>
        <v>Father</v>
      </c>
      <c r="F88" s="14">
        <f t="shared" ca="1" si="18"/>
        <v>2</v>
      </c>
      <c r="G88" s="14" t="str">
        <f t="shared" ca="1" si="23"/>
        <v>q_39c</v>
      </c>
      <c r="H88" s="14">
        <f ca="1">IF(G88&lt;&gt;"",IFERROR( IsVariableNameLegal(G88),0),0)+IF(COUNTIF(INDIRECT(wew!$C$13),G88)&gt;1,10,0)</f>
        <v>0</v>
      </c>
      <c r="I88" s="14">
        <f ca="1">IF(E88&lt;&gt;"",IF(LEN(E88)&gt;150,1,0)+IF(COUNTIF(INDIRECT(wew!$C$15),E88)&gt;1,10,0),0)</f>
        <v>10</v>
      </c>
      <c r="J88" s="14" t="b">
        <f t="shared" ca="1" si="24"/>
        <v>1</v>
      </c>
      <c r="K88" s="14" t="str">
        <f ca="1">ADDRESS(3,(B88+1)*2-1,4,,"[" &amp; wew!$G$7 &amp; "]" &amp; _sheetname_labels) &amp; ":" &amp; ADDRESS(2+ster!$B$20,(B88+1)*2-1,4)</f>
        <v>'[dane surowe2c.xlsm]labels'!FQ3:FQ36</v>
      </c>
      <c r="L88" s="14" t="str">
        <f ca="1">IF(F88&gt;0,ADDRESS(3,(B88+1)*2-1,4,,"[" &amp; wew!$G$7 &amp; "]" &amp; _sheetname_labels) &amp; ":" &amp; ADDRESS(2+F88,(B88+1)*2-1,4),"")</f>
        <v>'[dane surowe2c.xlsm]labels'!FQ3:FQ4</v>
      </c>
      <c r="M88" s="14" t="str">
        <f ca="1">IF(F88&gt;0,ADDRESS(3,(B88+1)*2,4,,"["&amp;wew!$G$7&amp;"]"&amp;_sheetname_labels)&amp;":"&amp;ADDRESS(2+F88,(B88+1)*2,4),"")</f>
        <v>'[dane surowe2c.xlsm]labels'!FR3:FR4</v>
      </c>
      <c r="N88" s="14" t="str">
        <f ca="1">ADDRESS(3,B88+1,4,,"[" &amp; wew!$G$7 &amp; "]" &amp;_sheetname_dataframe) &amp; ":" &amp; ADDRESS(2+ster!$C$14,B88+1,4)</f>
        <v>'[dane surowe2c.xlsm]data_frame'!CI3:CI35</v>
      </c>
      <c r="O88" s="14">
        <f t="shared" ca="1" si="25"/>
        <v>32</v>
      </c>
      <c r="P88" s="14">
        <f ca="1">IF(AND($AD88,$S88=1),IF(wew!$B$3,MIN(INDIRECT($N88)),"&lt;włącz podświetlanie wartości&gt;"),"—")</f>
        <v>1</v>
      </c>
      <c r="Q88" s="14">
        <f ca="1">IF(AND($AD88,$S88=1),IF(wew!$B$3,MAX(INDIRECT($N88)),"&lt;włącz podświetlanie wartości&gt;"),"—")</f>
        <v>2</v>
      </c>
      <c r="R88" s="14">
        <f ca="1">IF(AD88,ster!$C$14- (COUNTIF( INDIRECT(N88),"" )+ COUNT(INDIRECT(N88)) +COUNTIF( INDIRECT(N88),"NA" )),"")</f>
        <v>0</v>
      </c>
      <c r="S88" s="12">
        <f ca="1">IF(AD88,IF(COUNTA(INDIRECT(N88))=0,0, 1-(ster!$C$14- COUNT(INDIRECT(N88)) -COUNTIF( INDIRECT(N88),"" )) /COUNTA(INDIRECT(N88))),"")</f>
        <v>1</v>
      </c>
      <c r="T88" s="17">
        <f t="array" aca="1" ref="T88" ca="1">IF(L88&lt;&gt;"",SUM(IF(INDIRECT(L88)&lt;&gt;INT(INDIRECT(L88)),1,0)),"")</f>
        <v>0</v>
      </c>
      <c r="U88" s="17">
        <f t="array" aca="1" ref="U88" ca="1">IF(S88=1,SUM(IF(ISNUMBER(INDIRECT(N88)),IF(INDIRECT(N88)&lt;&gt;INT(INDIRECT(N88)),1,0),0)),"")</f>
        <v>0</v>
      </c>
      <c r="V88" s="17">
        <f t="shared" ca="1" si="26"/>
        <v>1</v>
      </c>
      <c r="W88" s="17">
        <f t="shared" ca="1" si="27"/>
        <v>0</v>
      </c>
      <c r="X88" s="24">
        <f t="array" aca="1" ref="X88" ca="1">IF(AD88,IF(AG88&lt;&gt;"",AG88,IF(J88,MIN(INDIRECT( K88)),"")),"")</f>
        <v>1</v>
      </c>
      <c r="Y88" s="17">
        <f t="array" aca="1" ref="Y88" ca="1">IF(AD88,IF(AH88&lt;&gt;"",AH88,IF(J88,MAX(INDIRECT( K88)),"")),"")</f>
        <v>2</v>
      </c>
      <c r="Z88" s="17" t="b">
        <f t="shared" ca="1" si="28"/>
        <v>1</v>
      </c>
      <c r="AC88" s="17" t="b">
        <f t="shared" ca="1" si="29"/>
        <v>0</v>
      </c>
      <c r="AD88" s="14" t="b">
        <f t="shared" ca="1" si="30"/>
        <v>1</v>
      </c>
      <c r="AE88" s="15" t="b">
        <f t="shared" ca="1" si="31"/>
        <v>1</v>
      </c>
      <c r="AF88" s="16"/>
      <c r="AG88" s="16"/>
      <c r="AH88" s="16"/>
      <c r="AI88" s="16"/>
      <c r="AJ88" s="16"/>
      <c r="AK88" s="16"/>
      <c r="AL88" s="16"/>
      <c r="AM88" s="16"/>
    </row>
    <row r="89" spans="2:39">
      <c r="B89" s="14">
        <f t="shared" si="20"/>
        <v>87</v>
      </c>
      <c r="C89" s="14" t="str">
        <f t="shared" ca="1" si="21"/>
        <v>D</v>
      </c>
      <c r="D89" s="14" t="str">
        <f t="shared" ca="1" si="22"/>
        <v>q_39d</v>
      </c>
      <c r="E89" s="14" t="str">
        <f t="shared" ca="1" si="19"/>
        <v>Heterozygous twin brother</v>
      </c>
      <c r="F89" s="14">
        <f t="shared" ca="1" si="18"/>
        <v>2</v>
      </c>
      <c r="G89" s="14" t="str">
        <f t="shared" ca="1" si="23"/>
        <v>q_39d</v>
      </c>
      <c r="H89" s="14">
        <f ca="1">IF(G89&lt;&gt;"",IFERROR( IsVariableNameLegal(G89),0),0)+IF(COUNTIF(INDIRECT(wew!$C$13),G89)&gt;1,10,0)</f>
        <v>0</v>
      </c>
      <c r="I89" s="14">
        <f ca="1">IF(E89&lt;&gt;"",IF(LEN(E89)&gt;150,1,0)+IF(COUNTIF(INDIRECT(wew!$C$15),E89)&gt;1,10,0),0)</f>
        <v>10</v>
      </c>
      <c r="J89" s="14" t="b">
        <f t="shared" ca="1" si="24"/>
        <v>1</v>
      </c>
      <c r="K89" s="14" t="str">
        <f ca="1">ADDRESS(3,(B89+1)*2-1,4,,"[" &amp; wew!$G$7 &amp; "]" &amp; _sheetname_labels) &amp; ":" &amp; ADDRESS(2+ster!$B$20,(B89+1)*2-1,4)</f>
        <v>'[dane surowe2c.xlsm]labels'!FS3:FS36</v>
      </c>
      <c r="L89" s="14" t="str">
        <f ca="1">IF(F89&gt;0,ADDRESS(3,(B89+1)*2-1,4,,"[" &amp; wew!$G$7 &amp; "]" &amp; _sheetname_labels) &amp; ":" &amp; ADDRESS(2+F89,(B89+1)*2-1,4),"")</f>
        <v>'[dane surowe2c.xlsm]labels'!FS3:FS4</v>
      </c>
      <c r="M89" s="14" t="str">
        <f ca="1">IF(F89&gt;0,ADDRESS(3,(B89+1)*2,4,,"["&amp;wew!$G$7&amp;"]"&amp;_sheetname_labels)&amp;":"&amp;ADDRESS(2+F89,(B89+1)*2,4),"")</f>
        <v>'[dane surowe2c.xlsm]labels'!FT3:FT4</v>
      </c>
      <c r="N89" s="14" t="str">
        <f ca="1">ADDRESS(3,B89+1,4,,"[" &amp; wew!$G$7 &amp; "]" &amp;_sheetname_dataframe) &amp; ":" &amp; ADDRESS(2+ster!$C$14,B89+1,4)</f>
        <v>'[dane surowe2c.xlsm]data_frame'!CJ3:CJ35</v>
      </c>
      <c r="O89" s="14">
        <f t="shared" ca="1" si="25"/>
        <v>32</v>
      </c>
      <c r="P89" s="14">
        <f ca="1">IF(AND($AD89,$S89=1),IF(wew!$B$3,MIN(INDIRECT($N89)),"&lt;włącz podświetlanie wartości&gt;"),"—")</f>
        <v>2</v>
      </c>
      <c r="Q89" s="14">
        <f ca="1">IF(AND($AD89,$S89=1),IF(wew!$B$3,MAX(INDIRECT($N89)),"&lt;włącz podświetlanie wartości&gt;"),"—")</f>
        <v>2</v>
      </c>
      <c r="R89" s="14">
        <f ca="1">IF(AD89,ster!$C$14- (COUNTIF( INDIRECT(N89),"" )+ COUNT(INDIRECT(N89)) +COUNTIF( INDIRECT(N89),"NA" )),"")</f>
        <v>0</v>
      </c>
      <c r="S89" s="12">
        <f ca="1">IF(AD89,IF(COUNTA(INDIRECT(N89))=0,0, 1-(ster!$C$14- COUNT(INDIRECT(N89)) -COUNTIF( INDIRECT(N89),"" )) /COUNTA(INDIRECT(N89))),"")</f>
        <v>1</v>
      </c>
      <c r="T89" s="17">
        <f t="array" aca="1" ref="T89" ca="1">IF(L89&lt;&gt;"",SUM(IF(INDIRECT(L89)&lt;&gt;INT(INDIRECT(L89)),1,0)),"")</f>
        <v>0</v>
      </c>
      <c r="U89" s="17">
        <f t="array" aca="1" ref="U89" ca="1">IF(S89=1,SUM(IF(ISNUMBER(INDIRECT(N89)),IF(INDIRECT(N89)&lt;&gt;INT(INDIRECT(N89)),1,0),0)),"")</f>
        <v>0</v>
      </c>
      <c r="V89" s="17">
        <f t="shared" ca="1" si="26"/>
        <v>1</v>
      </c>
      <c r="W89" s="17">
        <f t="shared" ca="1" si="27"/>
        <v>0</v>
      </c>
      <c r="X89" s="24">
        <f t="array" aca="1" ref="X89" ca="1">IF(AD89,IF(AG89&lt;&gt;"",AG89,IF(J89,MIN(INDIRECT( K89)),"")),"")</f>
        <v>1</v>
      </c>
      <c r="Y89" s="17">
        <f t="array" aca="1" ref="Y89" ca="1">IF(AD89,IF(AH89&lt;&gt;"",AH89,IF(J89,MAX(INDIRECT( K89)),"")),"")</f>
        <v>2</v>
      </c>
      <c r="Z89" s="17" t="b">
        <f t="shared" ca="1" si="28"/>
        <v>1</v>
      </c>
      <c r="AC89" s="17" t="b">
        <f t="shared" ca="1" si="29"/>
        <v>0</v>
      </c>
      <c r="AD89" s="14" t="b">
        <f t="shared" ca="1" si="30"/>
        <v>1</v>
      </c>
      <c r="AE89" s="15" t="b">
        <f t="shared" ca="1" si="31"/>
        <v>1</v>
      </c>
      <c r="AF89" s="16"/>
      <c r="AG89" s="16"/>
      <c r="AH89" s="16"/>
      <c r="AI89" s="16"/>
      <c r="AJ89" s="16"/>
      <c r="AK89" s="16"/>
      <c r="AL89" s="16"/>
      <c r="AM89" s="16"/>
    </row>
    <row r="90" spans="2:39">
      <c r="B90" s="14">
        <f t="shared" si="20"/>
        <v>88</v>
      </c>
      <c r="C90" s="14" t="str">
        <f t="shared" ca="1" si="21"/>
        <v>D</v>
      </c>
      <c r="D90" s="14" t="str">
        <f t="shared" ca="1" si="22"/>
        <v>q_39e</v>
      </c>
      <c r="E90" s="14" t="str">
        <f t="shared" ca="1" si="19"/>
        <v>homozygous twin brother</v>
      </c>
      <c r="F90" s="14">
        <f t="shared" ca="1" si="18"/>
        <v>2</v>
      </c>
      <c r="G90" s="14" t="str">
        <f t="shared" ca="1" si="23"/>
        <v>q_39e</v>
      </c>
      <c r="H90" s="14">
        <f ca="1">IF(G90&lt;&gt;"",IFERROR( IsVariableNameLegal(G90),0),0)+IF(COUNTIF(INDIRECT(wew!$C$13),G90)&gt;1,10,0)</f>
        <v>0</v>
      </c>
      <c r="I90" s="14">
        <f ca="1">IF(E90&lt;&gt;"",IF(LEN(E90)&gt;150,1,0)+IF(COUNTIF(INDIRECT(wew!$C$15),E90)&gt;1,10,0),0)</f>
        <v>10</v>
      </c>
      <c r="J90" s="14" t="b">
        <f t="shared" ca="1" si="24"/>
        <v>1</v>
      </c>
      <c r="K90" s="14" t="str">
        <f ca="1">ADDRESS(3,(B90+1)*2-1,4,,"[" &amp; wew!$G$7 &amp; "]" &amp; _sheetname_labels) &amp; ":" &amp; ADDRESS(2+ster!$B$20,(B90+1)*2-1,4)</f>
        <v>'[dane surowe2c.xlsm]labels'!FU3:FU36</v>
      </c>
      <c r="L90" s="14" t="str">
        <f ca="1">IF(F90&gt;0,ADDRESS(3,(B90+1)*2-1,4,,"[" &amp; wew!$G$7 &amp; "]" &amp; _sheetname_labels) &amp; ":" &amp; ADDRESS(2+F90,(B90+1)*2-1,4),"")</f>
        <v>'[dane surowe2c.xlsm]labels'!FU3:FU4</v>
      </c>
      <c r="M90" s="14" t="str">
        <f ca="1">IF(F90&gt;0,ADDRESS(3,(B90+1)*2,4,,"["&amp;wew!$G$7&amp;"]"&amp;_sheetname_labels)&amp;":"&amp;ADDRESS(2+F90,(B90+1)*2,4),"")</f>
        <v>'[dane surowe2c.xlsm]labels'!FV3:FV4</v>
      </c>
      <c r="N90" s="14" t="str">
        <f ca="1">ADDRESS(3,B90+1,4,,"[" &amp; wew!$G$7 &amp; "]" &amp;_sheetname_dataframe) &amp; ":" &amp; ADDRESS(2+ster!$C$14,B90+1,4)</f>
        <v>'[dane surowe2c.xlsm]data_frame'!CK3:CK35</v>
      </c>
      <c r="O90" s="14">
        <f t="shared" ca="1" si="25"/>
        <v>32</v>
      </c>
      <c r="P90" s="14">
        <f ca="1">IF(AND($AD90,$S90=1),IF(wew!$B$3,MIN(INDIRECT($N90)),"&lt;włącz podświetlanie wartości&gt;"),"—")</f>
        <v>2</v>
      </c>
      <c r="Q90" s="14">
        <f ca="1">IF(AND($AD90,$S90=1),IF(wew!$B$3,MAX(INDIRECT($N90)),"&lt;włącz podświetlanie wartości&gt;"),"—")</f>
        <v>2</v>
      </c>
      <c r="R90" s="14">
        <f ca="1">IF(AD90,ster!$C$14- (COUNTIF( INDIRECT(N90),"" )+ COUNT(INDIRECT(N90)) +COUNTIF( INDIRECT(N90),"NA" )),"")</f>
        <v>0</v>
      </c>
      <c r="S90" s="12">
        <f ca="1">IF(AD90,IF(COUNTA(INDIRECT(N90))=0,0, 1-(ster!$C$14- COUNT(INDIRECT(N90)) -COUNTIF( INDIRECT(N90),"" )) /COUNTA(INDIRECT(N90))),"")</f>
        <v>1</v>
      </c>
      <c r="T90" s="17">
        <f t="array" aca="1" ref="T90" ca="1">IF(L90&lt;&gt;"",SUM(IF(INDIRECT(L90)&lt;&gt;INT(INDIRECT(L90)),1,0)),"")</f>
        <v>0</v>
      </c>
      <c r="U90" s="17">
        <f t="array" aca="1" ref="U90" ca="1">IF(S90=1,SUM(IF(ISNUMBER(INDIRECT(N90)),IF(INDIRECT(N90)&lt;&gt;INT(INDIRECT(N90)),1,0),0)),"")</f>
        <v>0</v>
      </c>
      <c r="V90" s="17">
        <f t="shared" ca="1" si="26"/>
        <v>1</v>
      </c>
      <c r="W90" s="17">
        <f t="shared" ca="1" si="27"/>
        <v>0</v>
      </c>
      <c r="X90" s="24">
        <f t="array" aca="1" ref="X90" ca="1">IF(AD90,IF(AG90&lt;&gt;"",AG90,IF(J90,MIN(INDIRECT( K90)),"")),"")</f>
        <v>1</v>
      </c>
      <c r="Y90" s="17">
        <f t="array" aca="1" ref="Y90" ca="1">IF(AD90,IF(AH90&lt;&gt;"",AH90,IF(J90,MAX(INDIRECT( K90)),"")),"")</f>
        <v>2</v>
      </c>
      <c r="Z90" s="17" t="b">
        <f t="shared" ca="1" si="28"/>
        <v>1</v>
      </c>
      <c r="AC90" s="17" t="b">
        <f t="shared" ca="1" si="29"/>
        <v>0</v>
      </c>
      <c r="AD90" s="14" t="b">
        <f t="shared" ca="1" si="30"/>
        <v>1</v>
      </c>
      <c r="AE90" s="15" t="b">
        <f t="shared" ca="1" si="31"/>
        <v>1</v>
      </c>
      <c r="AF90" s="16"/>
      <c r="AG90" s="16"/>
      <c r="AH90" s="16"/>
      <c r="AI90" s="16"/>
      <c r="AJ90" s="16"/>
      <c r="AK90" s="16"/>
      <c r="AL90" s="16"/>
      <c r="AM90" s="16"/>
    </row>
    <row r="91" spans="2:39">
      <c r="B91" s="14">
        <f t="shared" si="20"/>
        <v>89</v>
      </c>
      <c r="C91" s="14" t="str">
        <f t="shared" ca="1" si="21"/>
        <v>D</v>
      </c>
      <c r="D91" s="14" t="str">
        <f t="shared" ca="1" si="22"/>
        <v>q_39f</v>
      </c>
      <c r="E91" s="14" t="str">
        <f t="shared" ca="1" si="19"/>
        <v>heterozygous twin sister</v>
      </c>
      <c r="F91" s="14">
        <f t="shared" ca="1" si="18"/>
        <v>2</v>
      </c>
      <c r="G91" s="14" t="str">
        <f t="shared" ca="1" si="23"/>
        <v>q_39f</v>
      </c>
      <c r="H91" s="14">
        <f ca="1">IF(G91&lt;&gt;"",IFERROR( IsVariableNameLegal(G91),0),0)+IF(COUNTIF(INDIRECT(wew!$C$13),G91)&gt;1,10,0)</f>
        <v>0</v>
      </c>
      <c r="I91" s="14">
        <f ca="1">IF(E91&lt;&gt;"",IF(LEN(E91)&gt;150,1,0)+IF(COUNTIF(INDIRECT(wew!$C$15),E91)&gt;1,10,0),0)</f>
        <v>10</v>
      </c>
      <c r="J91" s="14" t="b">
        <f t="shared" ca="1" si="24"/>
        <v>1</v>
      </c>
      <c r="K91" s="14" t="str">
        <f ca="1">ADDRESS(3,(B91+1)*2-1,4,,"[" &amp; wew!$G$7 &amp; "]" &amp; _sheetname_labels) &amp; ":" &amp; ADDRESS(2+ster!$B$20,(B91+1)*2-1,4)</f>
        <v>'[dane surowe2c.xlsm]labels'!FW3:FW36</v>
      </c>
      <c r="L91" s="14" t="str">
        <f ca="1">IF(F91&gt;0,ADDRESS(3,(B91+1)*2-1,4,,"[" &amp; wew!$G$7 &amp; "]" &amp; _sheetname_labels) &amp; ":" &amp; ADDRESS(2+F91,(B91+1)*2-1,4),"")</f>
        <v>'[dane surowe2c.xlsm]labels'!FW3:FW4</v>
      </c>
      <c r="M91" s="14" t="str">
        <f ca="1">IF(F91&gt;0,ADDRESS(3,(B91+1)*2,4,,"["&amp;wew!$G$7&amp;"]"&amp;_sheetname_labels)&amp;":"&amp;ADDRESS(2+F91,(B91+1)*2,4),"")</f>
        <v>'[dane surowe2c.xlsm]labels'!FX3:FX4</v>
      </c>
      <c r="N91" s="14" t="str">
        <f ca="1">ADDRESS(3,B91+1,4,,"[" &amp; wew!$G$7 &amp; "]" &amp;_sheetname_dataframe) &amp; ":" &amp; ADDRESS(2+ster!$C$14,B91+1,4)</f>
        <v>'[dane surowe2c.xlsm]data_frame'!CL3:CL35</v>
      </c>
      <c r="O91" s="14">
        <f t="shared" ca="1" si="25"/>
        <v>32</v>
      </c>
      <c r="P91" s="14">
        <f ca="1">IF(AND($AD91,$S91=1),IF(wew!$B$3,MIN(INDIRECT($N91)),"&lt;włącz podświetlanie wartości&gt;"),"—")</f>
        <v>2</v>
      </c>
      <c r="Q91" s="14">
        <f ca="1">IF(AND($AD91,$S91=1),IF(wew!$B$3,MAX(INDIRECT($N91)),"&lt;włącz podświetlanie wartości&gt;"),"—")</f>
        <v>2</v>
      </c>
      <c r="R91" s="14">
        <f ca="1">IF(AD91,ster!$C$14- (COUNTIF( INDIRECT(N91),"" )+ COUNT(INDIRECT(N91)) +COUNTIF( INDIRECT(N91),"NA" )),"")</f>
        <v>0</v>
      </c>
      <c r="S91" s="12">
        <f ca="1">IF(AD91,IF(COUNTA(INDIRECT(N91))=0,0, 1-(ster!$C$14- COUNT(INDIRECT(N91)) -COUNTIF( INDIRECT(N91),"" )) /COUNTA(INDIRECT(N91))),"")</f>
        <v>1</v>
      </c>
      <c r="T91" s="17">
        <f t="array" aca="1" ref="T91" ca="1">IF(L91&lt;&gt;"",SUM(IF(INDIRECT(L91)&lt;&gt;INT(INDIRECT(L91)),1,0)),"")</f>
        <v>0</v>
      </c>
      <c r="U91" s="17">
        <f t="array" aca="1" ref="U91" ca="1">IF(S91=1,SUM(IF(ISNUMBER(INDIRECT(N91)),IF(INDIRECT(N91)&lt;&gt;INT(INDIRECT(N91)),1,0),0)),"")</f>
        <v>0</v>
      </c>
      <c r="V91" s="17">
        <f t="shared" ca="1" si="26"/>
        <v>1</v>
      </c>
      <c r="W91" s="17">
        <f t="shared" ca="1" si="27"/>
        <v>0</v>
      </c>
      <c r="X91" s="24">
        <f t="array" aca="1" ref="X91" ca="1">IF(AD91,IF(AG91&lt;&gt;"",AG91,IF(J91,MIN(INDIRECT( K91)),"")),"")</f>
        <v>1</v>
      </c>
      <c r="Y91" s="17">
        <f t="array" aca="1" ref="Y91" ca="1">IF(AD91,IF(AH91&lt;&gt;"",AH91,IF(J91,MAX(INDIRECT( K91)),"")),"")</f>
        <v>2</v>
      </c>
      <c r="Z91" s="17" t="b">
        <f t="shared" ca="1" si="28"/>
        <v>1</v>
      </c>
      <c r="AC91" s="17" t="b">
        <f t="shared" ca="1" si="29"/>
        <v>0</v>
      </c>
      <c r="AD91" s="14" t="b">
        <f t="shared" ca="1" si="30"/>
        <v>1</v>
      </c>
      <c r="AE91" s="15" t="b">
        <f t="shared" ca="1" si="31"/>
        <v>1</v>
      </c>
      <c r="AF91" s="16"/>
      <c r="AG91" s="16"/>
      <c r="AH91" s="16"/>
      <c r="AI91" s="16"/>
      <c r="AJ91" s="16"/>
      <c r="AK91" s="16"/>
      <c r="AL91" s="16"/>
      <c r="AM91" s="16"/>
    </row>
    <row r="92" spans="2:39">
      <c r="B92" s="14">
        <f t="shared" si="20"/>
        <v>90</v>
      </c>
      <c r="C92" s="14" t="str">
        <f t="shared" ca="1" si="21"/>
        <v>D</v>
      </c>
      <c r="D92" s="14" t="str">
        <f t="shared" ca="1" si="22"/>
        <v>q_39g</v>
      </c>
      <c r="E92" s="14" t="str">
        <f t="shared" ca="1" si="19"/>
        <v>homozygous twin sister</v>
      </c>
      <c r="F92" s="14">
        <f t="shared" ca="1" si="18"/>
        <v>2</v>
      </c>
      <c r="G92" s="14" t="str">
        <f t="shared" ca="1" si="23"/>
        <v>q_39g</v>
      </c>
      <c r="H92" s="14">
        <f ca="1">IF(G92&lt;&gt;"",IFERROR( IsVariableNameLegal(G92),0),0)+IF(COUNTIF(INDIRECT(wew!$C$13),G92)&gt;1,10,0)</f>
        <v>0</v>
      </c>
      <c r="I92" s="14">
        <f ca="1">IF(E92&lt;&gt;"",IF(LEN(E92)&gt;150,1,0)+IF(COUNTIF(INDIRECT(wew!$C$15),E92)&gt;1,10,0),0)</f>
        <v>10</v>
      </c>
      <c r="J92" s="14" t="b">
        <f t="shared" ca="1" si="24"/>
        <v>1</v>
      </c>
      <c r="K92" s="14" t="str">
        <f ca="1">ADDRESS(3,(B92+1)*2-1,4,,"[" &amp; wew!$G$7 &amp; "]" &amp; _sheetname_labels) &amp; ":" &amp; ADDRESS(2+ster!$B$20,(B92+1)*2-1,4)</f>
        <v>'[dane surowe2c.xlsm]labels'!FY3:FY36</v>
      </c>
      <c r="L92" s="14" t="str">
        <f ca="1">IF(F92&gt;0,ADDRESS(3,(B92+1)*2-1,4,,"[" &amp; wew!$G$7 &amp; "]" &amp; _sheetname_labels) &amp; ":" &amp; ADDRESS(2+F92,(B92+1)*2-1,4),"")</f>
        <v>'[dane surowe2c.xlsm]labels'!FY3:FY4</v>
      </c>
      <c r="M92" s="14" t="str">
        <f ca="1">IF(F92&gt;0,ADDRESS(3,(B92+1)*2,4,,"["&amp;wew!$G$7&amp;"]"&amp;_sheetname_labels)&amp;":"&amp;ADDRESS(2+F92,(B92+1)*2,4),"")</f>
        <v>'[dane surowe2c.xlsm]labels'!FZ3:FZ4</v>
      </c>
      <c r="N92" s="14" t="str">
        <f ca="1">ADDRESS(3,B92+1,4,,"[" &amp; wew!$G$7 &amp; "]" &amp;_sheetname_dataframe) &amp; ":" &amp; ADDRESS(2+ster!$C$14,B92+1,4)</f>
        <v>'[dane surowe2c.xlsm]data_frame'!CM3:CM35</v>
      </c>
      <c r="O92" s="14">
        <f t="shared" ca="1" si="25"/>
        <v>32</v>
      </c>
      <c r="P92" s="14">
        <f ca="1">IF(AND($AD92,$S92=1),IF(wew!$B$3,MIN(INDIRECT($N92)),"&lt;włącz podświetlanie wartości&gt;"),"—")</f>
        <v>2</v>
      </c>
      <c r="Q92" s="14">
        <f ca="1">IF(AND($AD92,$S92=1),IF(wew!$B$3,MAX(INDIRECT($N92)),"&lt;włącz podświetlanie wartości&gt;"),"—")</f>
        <v>2</v>
      </c>
      <c r="R92" s="14">
        <f ca="1">IF(AD92,ster!$C$14- (COUNTIF( INDIRECT(N92),"" )+ COUNT(INDIRECT(N92)) +COUNTIF( INDIRECT(N92),"NA" )),"")</f>
        <v>0</v>
      </c>
      <c r="S92" s="12">
        <f ca="1">IF(AD92,IF(COUNTA(INDIRECT(N92))=0,0, 1-(ster!$C$14- COUNT(INDIRECT(N92)) -COUNTIF( INDIRECT(N92),"" )) /COUNTA(INDIRECT(N92))),"")</f>
        <v>1</v>
      </c>
      <c r="T92" s="17">
        <f t="array" aca="1" ref="T92" ca="1">IF(L92&lt;&gt;"",SUM(IF(INDIRECT(L92)&lt;&gt;INT(INDIRECT(L92)),1,0)),"")</f>
        <v>0</v>
      </c>
      <c r="U92" s="17">
        <f t="array" aca="1" ref="U92" ca="1">IF(S92=1,SUM(IF(ISNUMBER(INDIRECT(N92)),IF(INDIRECT(N92)&lt;&gt;INT(INDIRECT(N92)),1,0),0)),"")</f>
        <v>0</v>
      </c>
      <c r="V92" s="17">
        <f t="shared" ca="1" si="26"/>
        <v>1</v>
      </c>
      <c r="W92" s="17">
        <f t="shared" ca="1" si="27"/>
        <v>0</v>
      </c>
      <c r="X92" s="24">
        <f t="array" aca="1" ref="X92" ca="1">IF(AD92,IF(AG92&lt;&gt;"",AG92,IF(J92,MIN(INDIRECT( K92)),"")),"")</f>
        <v>1</v>
      </c>
      <c r="Y92" s="17">
        <f t="array" aca="1" ref="Y92" ca="1">IF(AD92,IF(AH92&lt;&gt;"",AH92,IF(J92,MAX(INDIRECT( K92)),"")),"")</f>
        <v>2</v>
      </c>
      <c r="Z92" s="17" t="b">
        <f t="shared" ca="1" si="28"/>
        <v>1</v>
      </c>
      <c r="AC92" s="17" t="b">
        <f t="shared" ca="1" si="29"/>
        <v>0</v>
      </c>
      <c r="AD92" s="14" t="b">
        <f t="shared" ca="1" si="30"/>
        <v>1</v>
      </c>
      <c r="AE92" s="15" t="b">
        <f t="shared" ca="1" si="31"/>
        <v>1</v>
      </c>
      <c r="AF92" s="16"/>
      <c r="AG92" s="16"/>
      <c r="AH92" s="16"/>
      <c r="AI92" s="16"/>
      <c r="AJ92" s="16"/>
      <c r="AK92" s="16"/>
      <c r="AL92" s="16"/>
      <c r="AM92" s="16"/>
    </row>
    <row r="93" spans="2:39">
      <c r="B93" s="14">
        <f t="shared" si="20"/>
        <v>91</v>
      </c>
      <c r="C93" s="14" t="str">
        <f t="shared" ca="1" si="21"/>
        <v>I</v>
      </c>
      <c r="D93" s="14" t="str">
        <f t="shared" ca="1" si="22"/>
        <v>q_39h</v>
      </c>
      <c r="E93" s="14" t="str">
        <f t="shared" ca="1" si="19"/>
        <v>Other family member 1</v>
      </c>
      <c r="F93" s="14">
        <f t="shared" ca="1" si="18"/>
        <v>0</v>
      </c>
      <c r="G93" s="14" t="str">
        <f t="shared" ca="1" si="23"/>
        <v>q_39h</v>
      </c>
      <c r="H93" s="14">
        <f ca="1">IF(G93&lt;&gt;"",IFERROR( IsVariableNameLegal(G93),0),0)+IF(COUNTIF(INDIRECT(wew!$C$13),G93)&gt;1,10,0)</f>
        <v>0</v>
      </c>
      <c r="I93" s="14">
        <f ca="1">IF(E93&lt;&gt;"",IF(LEN(E93)&gt;150,1,0)+IF(COUNTIF(INDIRECT(wew!$C$15),E93)&gt;1,10,0),0)</f>
        <v>10</v>
      </c>
      <c r="J93" s="14" t="b">
        <f t="shared" ca="1" si="24"/>
        <v>0</v>
      </c>
      <c r="K93" s="14" t="str">
        <f ca="1">ADDRESS(3,(B93+1)*2-1,4,,"[" &amp; wew!$G$7 &amp; "]" &amp; _sheetname_labels) &amp; ":" &amp; ADDRESS(2+ster!$B$20,(B93+1)*2-1,4)</f>
        <v>'[dane surowe2c.xlsm]labels'!GA3:GA36</v>
      </c>
      <c r="L93" s="14" t="str">
        <f ca="1">IF(F93&gt;0,ADDRESS(3,(B93+1)*2-1,4,,"[" &amp; wew!$G$7 &amp; "]" &amp; _sheetname_labels) &amp; ":" &amp; ADDRESS(2+F93,(B93+1)*2-1,4),"")</f>
        <v/>
      </c>
      <c r="M93" s="14" t="str">
        <f ca="1">IF(F93&gt;0,ADDRESS(3,(B93+1)*2,4,,"["&amp;wew!$G$7&amp;"]"&amp;_sheetname_labels)&amp;":"&amp;ADDRESS(2+F93,(B93+1)*2,4),"")</f>
        <v/>
      </c>
      <c r="N93" s="14" t="str">
        <f ca="1">ADDRESS(3,B93+1,4,,"[" &amp; wew!$G$7 &amp; "]" &amp;_sheetname_dataframe) &amp; ":" &amp; ADDRESS(2+ster!$C$14,B93+1,4)</f>
        <v>'[dane surowe2c.xlsm]data_frame'!CN3:CN35</v>
      </c>
      <c r="O93" s="14">
        <f t="shared" ca="1" si="25"/>
        <v>0</v>
      </c>
      <c r="P93" s="14" t="str">
        <f ca="1">IF(AND($AD93,$S93=1),IF(wew!$B$3,MIN(INDIRECT($N93)),"&lt;włącz podświetlanie wartości&gt;"),"—")</f>
        <v>—</v>
      </c>
      <c r="Q93" s="14" t="str">
        <f ca="1">IF(AND($AD93,$S93=1),IF(wew!$B$3,MAX(INDIRECT($N93)),"&lt;włącz podświetlanie wartości&gt;"),"—")</f>
        <v>—</v>
      </c>
      <c r="R93" s="14">
        <f ca="1">IF(AD93,ster!$C$14- (COUNTIF( INDIRECT(N93),"" )+ COUNT(INDIRECT(N93)) +COUNTIF( INDIRECT(N93),"NA" )),"")</f>
        <v>0</v>
      </c>
      <c r="S93" s="12">
        <f ca="1">IF(AD93,IF(COUNTA(INDIRECT(N93))=0,0, 1-(ster!$C$14- COUNT(INDIRECT(N93)) -COUNTIF( INDIRECT(N93),"" )) /COUNTA(INDIRECT(N93))),"")</f>
        <v>0</v>
      </c>
      <c r="T93" s="17" t="str">
        <f t="array" aca="1" ref="T93" ca="1">IF(L93&lt;&gt;"",SUM(IF(INDIRECT(L93)&lt;&gt;INT(INDIRECT(L93)),1,0)),"")</f>
        <v/>
      </c>
      <c r="U93" s="17" t="str">
        <f t="array" aca="1" ref="U93" ca="1">IF(S93=1,SUM(IF(ISNUMBER(INDIRECT(N93)),IF(INDIRECT(N93)&lt;&gt;INT(INDIRECT(N93)),1,0),0)),"")</f>
        <v/>
      </c>
      <c r="V93" s="17">
        <f t="shared" ca="1" si="26"/>
        <v>0</v>
      </c>
      <c r="W93" s="17">
        <f t="shared" ca="1" si="27"/>
        <v>0</v>
      </c>
      <c r="X93" s="24" t="str">
        <f t="array" aca="1" ref="X93" ca="1">IF(AD93,IF(AG93&lt;&gt;"",AG93,IF(J93,MIN(INDIRECT( K93)),"")),"")</f>
        <v/>
      </c>
      <c r="Y93" s="17" t="str">
        <f t="array" aca="1" ref="Y93" ca="1">IF(AD93,IF(AH93&lt;&gt;"",AH93,IF(J93,MAX(INDIRECT( K93)),"")),"")</f>
        <v/>
      </c>
      <c r="Z93" s="17" t="b">
        <f t="shared" ca="1" si="28"/>
        <v>0</v>
      </c>
      <c r="AC93" s="17" t="b">
        <f t="shared" ca="1" si="29"/>
        <v>0</v>
      </c>
      <c r="AD93" s="14" t="b">
        <f t="shared" ca="1" si="30"/>
        <v>1</v>
      </c>
      <c r="AE93" s="15" t="b">
        <f t="shared" ca="1" si="31"/>
        <v>0</v>
      </c>
      <c r="AF93" s="16"/>
      <c r="AG93" s="16"/>
      <c r="AH93" s="16"/>
      <c r="AI93" s="16"/>
      <c r="AJ93" s="16"/>
      <c r="AK93" s="16"/>
      <c r="AL93" s="16"/>
      <c r="AM93" s="16"/>
    </row>
    <row r="94" spans="2:39">
      <c r="B94" s="14">
        <f t="shared" si="20"/>
        <v>92</v>
      </c>
      <c r="C94" s="14" t="str">
        <f t="shared" ca="1" si="21"/>
        <v>I</v>
      </c>
      <c r="D94" s="14" t="str">
        <f t="shared" ca="1" si="22"/>
        <v>q_39i</v>
      </c>
      <c r="E94" s="14" t="str">
        <f t="shared" ca="1" si="19"/>
        <v>Other family member 2</v>
      </c>
      <c r="F94" s="14">
        <f t="shared" ca="1" si="18"/>
        <v>0</v>
      </c>
      <c r="G94" s="14" t="str">
        <f t="shared" ca="1" si="23"/>
        <v>q_39i</v>
      </c>
      <c r="H94" s="14">
        <f ca="1">IF(G94&lt;&gt;"",IFERROR( IsVariableNameLegal(G94),0),0)+IF(COUNTIF(INDIRECT(wew!$C$13),G94)&gt;1,10,0)</f>
        <v>0</v>
      </c>
      <c r="I94" s="14">
        <f ca="1">IF(E94&lt;&gt;"",IF(LEN(E94)&gt;150,1,0)+IF(COUNTIF(INDIRECT(wew!$C$15),E94)&gt;1,10,0),0)</f>
        <v>10</v>
      </c>
      <c r="J94" s="14" t="b">
        <f t="shared" ca="1" si="24"/>
        <v>0</v>
      </c>
      <c r="K94" s="14" t="str">
        <f ca="1">ADDRESS(3,(B94+1)*2-1,4,,"[" &amp; wew!$G$7 &amp; "]" &amp; _sheetname_labels) &amp; ":" &amp; ADDRESS(2+ster!$B$20,(B94+1)*2-1,4)</f>
        <v>'[dane surowe2c.xlsm]labels'!GC3:GC36</v>
      </c>
      <c r="L94" s="14" t="str">
        <f ca="1">IF(F94&gt;0,ADDRESS(3,(B94+1)*2-1,4,,"[" &amp; wew!$G$7 &amp; "]" &amp; _sheetname_labels) &amp; ":" &amp; ADDRESS(2+F94,(B94+1)*2-1,4),"")</f>
        <v/>
      </c>
      <c r="M94" s="14" t="str">
        <f ca="1">IF(F94&gt;0,ADDRESS(3,(B94+1)*2,4,,"["&amp;wew!$G$7&amp;"]"&amp;_sheetname_labels)&amp;":"&amp;ADDRESS(2+F94,(B94+1)*2,4),"")</f>
        <v/>
      </c>
      <c r="N94" s="14" t="str">
        <f ca="1">ADDRESS(3,B94+1,4,,"[" &amp; wew!$G$7 &amp; "]" &amp;_sheetname_dataframe) &amp; ":" &amp; ADDRESS(2+ster!$C$14,B94+1,4)</f>
        <v>'[dane surowe2c.xlsm]data_frame'!CO3:CO35</v>
      </c>
      <c r="O94" s="14">
        <f t="shared" ca="1" si="25"/>
        <v>0</v>
      </c>
      <c r="P94" s="14" t="str">
        <f ca="1">IF(AND($AD94,$S94=1),IF(wew!$B$3,MIN(INDIRECT($N94)),"&lt;włącz podświetlanie wartości&gt;"),"—")</f>
        <v>—</v>
      </c>
      <c r="Q94" s="14" t="str">
        <f ca="1">IF(AND($AD94,$S94=1),IF(wew!$B$3,MAX(INDIRECT($N94)),"&lt;włącz podświetlanie wartości&gt;"),"—")</f>
        <v>—</v>
      </c>
      <c r="R94" s="14">
        <f ca="1">IF(AD94,ster!$C$14- (COUNTIF( INDIRECT(N94),"" )+ COUNT(INDIRECT(N94)) +COUNTIF( INDIRECT(N94),"NA" )),"")</f>
        <v>0</v>
      </c>
      <c r="S94" s="12">
        <f ca="1">IF(AD94,IF(COUNTA(INDIRECT(N94))=0,0, 1-(ster!$C$14- COUNT(INDIRECT(N94)) -COUNTIF( INDIRECT(N94),"" )) /COUNTA(INDIRECT(N94))),"")</f>
        <v>0</v>
      </c>
      <c r="T94" s="17" t="str">
        <f t="array" aca="1" ref="T94" ca="1">IF(L94&lt;&gt;"",SUM(IF(INDIRECT(L94)&lt;&gt;INT(INDIRECT(L94)),1,0)),"")</f>
        <v/>
      </c>
      <c r="U94" s="17" t="str">
        <f t="array" aca="1" ref="U94" ca="1">IF(S94=1,SUM(IF(ISNUMBER(INDIRECT(N94)),IF(INDIRECT(N94)&lt;&gt;INT(INDIRECT(N94)),1,0),0)),"")</f>
        <v/>
      </c>
      <c r="V94" s="17">
        <f t="shared" ca="1" si="26"/>
        <v>0</v>
      </c>
      <c r="W94" s="17">
        <f t="shared" ca="1" si="27"/>
        <v>0</v>
      </c>
      <c r="X94" s="24" t="str">
        <f t="array" aca="1" ref="X94" ca="1">IF(AD94,IF(AG94&lt;&gt;"",AG94,IF(J94,MIN(INDIRECT( K94)),"")),"")</f>
        <v/>
      </c>
      <c r="Y94" s="17" t="str">
        <f t="array" aca="1" ref="Y94" ca="1">IF(AD94,IF(AH94&lt;&gt;"",AH94,IF(J94,MAX(INDIRECT( K94)),"")),"")</f>
        <v/>
      </c>
      <c r="Z94" s="17" t="b">
        <f t="shared" ca="1" si="28"/>
        <v>0</v>
      </c>
      <c r="AC94" s="17" t="b">
        <f t="shared" ca="1" si="29"/>
        <v>0</v>
      </c>
      <c r="AD94" s="14" t="b">
        <f t="shared" ca="1" si="30"/>
        <v>1</v>
      </c>
      <c r="AE94" s="15" t="b">
        <f t="shared" ca="1" si="31"/>
        <v>0</v>
      </c>
      <c r="AF94" s="16"/>
      <c r="AG94" s="16"/>
      <c r="AH94" s="16"/>
      <c r="AI94" s="16"/>
      <c r="AJ94" s="16"/>
      <c r="AK94" s="16"/>
      <c r="AL94" s="16"/>
      <c r="AM94" s="16"/>
    </row>
    <row r="95" spans="2:39">
      <c r="B95" s="14">
        <f t="shared" si="20"/>
        <v>93</v>
      </c>
      <c r="C95" s="14" t="str">
        <f t="shared" ca="1" si="21"/>
        <v>I</v>
      </c>
      <c r="D95" s="14" t="str">
        <f t="shared" ca="1" si="22"/>
        <v>q_39j</v>
      </c>
      <c r="E95" s="14" t="str">
        <f t="shared" ca="1" si="19"/>
        <v>Other family member 3</v>
      </c>
      <c r="F95" s="14">
        <f t="shared" ca="1" si="18"/>
        <v>0</v>
      </c>
      <c r="G95" s="14" t="str">
        <f t="shared" ca="1" si="23"/>
        <v>q_39j</v>
      </c>
      <c r="H95" s="14">
        <f ca="1">IF(G95&lt;&gt;"",IFERROR( IsVariableNameLegal(G95),0),0)+IF(COUNTIF(INDIRECT(wew!$C$13),G95)&gt;1,10,0)</f>
        <v>0</v>
      </c>
      <c r="I95" s="14">
        <f ca="1">IF(E95&lt;&gt;"",IF(LEN(E95)&gt;150,1,0)+IF(COUNTIF(INDIRECT(wew!$C$15),E95)&gt;1,10,0),0)</f>
        <v>10</v>
      </c>
      <c r="J95" s="14" t="b">
        <f t="shared" ca="1" si="24"/>
        <v>0</v>
      </c>
      <c r="K95" s="14" t="str">
        <f ca="1">ADDRESS(3,(B95+1)*2-1,4,,"[" &amp; wew!$G$7 &amp; "]" &amp; _sheetname_labels) &amp; ":" &amp; ADDRESS(2+ster!$B$20,(B95+1)*2-1,4)</f>
        <v>'[dane surowe2c.xlsm]labels'!GE3:GE36</v>
      </c>
      <c r="L95" s="14" t="str">
        <f ca="1">IF(F95&gt;0,ADDRESS(3,(B95+1)*2-1,4,,"[" &amp; wew!$G$7 &amp; "]" &amp; _sheetname_labels) &amp; ":" &amp; ADDRESS(2+F95,(B95+1)*2-1,4),"")</f>
        <v/>
      </c>
      <c r="M95" s="14" t="str">
        <f ca="1">IF(F95&gt;0,ADDRESS(3,(B95+1)*2,4,,"["&amp;wew!$G$7&amp;"]"&amp;_sheetname_labels)&amp;":"&amp;ADDRESS(2+F95,(B95+1)*2,4),"")</f>
        <v/>
      </c>
      <c r="N95" s="14" t="str">
        <f ca="1">ADDRESS(3,B95+1,4,,"[" &amp; wew!$G$7 &amp; "]" &amp;_sheetname_dataframe) &amp; ":" &amp; ADDRESS(2+ster!$C$14,B95+1,4)</f>
        <v>'[dane surowe2c.xlsm]data_frame'!CP3:CP35</v>
      </c>
      <c r="O95" s="14">
        <f t="shared" ca="1" si="25"/>
        <v>0</v>
      </c>
      <c r="P95" s="14" t="str">
        <f ca="1">IF(AND($AD95,$S95=1),IF(wew!$B$3,MIN(INDIRECT($N95)),"&lt;włącz podświetlanie wartości&gt;"),"—")</f>
        <v>—</v>
      </c>
      <c r="Q95" s="14" t="str">
        <f ca="1">IF(AND($AD95,$S95=1),IF(wew!$B$3,MAX(INDIRECT($N95)),"&lt;włącz podświetlanie wartości&gt;"),"—")</f>
        <v>—</v>
      </c>
      <c r="R95" s="14">
        <f ca="1">IF(AD95,ster!$C$14- (COUNTIF( INDIRECT(N95),"" )+ COUNT(INDIRECT(N95)) +COUNTIF( INDIRECT(N95),"NA" )),"")</f>
        <v>0</v>
      </c>
      <c r="S95" s="12">
        <f ca="1">IF(AD95,IF(COUNTA(INDIRECT(N95))=0,0, 1-(ster!$C$14- COUNT(INDIRECT(N95)) -COUNTIF( INDIRECT(N95),"" )) /COUNTA(INDIRECT(N95))),"")</f>
        <v>0</v>
      </c>
      <c r="T95" s="17" t="str">
        <f t="array" aca="1" ref="T95" ca="1">IF(L95&lt;&gt;"",SUM(IF(INDIRECT(L95)&lt;&gt;INT(INDIRECT(L95)),1,0)),"")</f>
        <v/>
      </c>
      <c r="U95" s="17" t="str">
        <f t="array" aca="1" ref="U95" ca="1">IF(S95=1,SUM(IF(ISNUMBER(INDIRECT(N95)),IF(INDIRECT(N95)&lt;&gt;INT(INDIRECT(N95)),1,0),0)),"")</f>
        <v/>
      </c>
      <c r="V95" s="17">
        <f t="shared" ca="1" si="26"/>
        <v>0</v>
      </c>
      <c r="W95" s="17">
        <f t="shared" ca="1" si="27"/>
        <v>0</v>
      </c>
      <c r="X95" s="24" t="str">
        <f t="array" aca="1" ref="X95" ca="1">IF(AD95,IF(AG95&lt;&gt;"",AG95,IF(J95,MIN(INDIRECT( K95)),"")),"")</f>
        <v/>
      </c>
      <c r="Y95" s="17" t="str">
        <f t="array" aca="1" ref="Y95" ca="1">IF(AD95,IF(AH95&lt;&gt;"",AH95,IF(J95,MAX(INDIRECT( K95)),"")),"")</f>
        <v/>
      </c>
      <c r="Z95" s="17" t="b">
        <f t="shared" ca="1" si="28"/>
        <v>0</v>
      </c>
      <c r="AC95" s="17" t="b">
        <f t="shared" ca="1" si="29"/>
        <v>0</v>
      </c>
      <c r="AD95" s="14" t="b">
        <f t="shared" ca="1" si="30"/>
        <v>1</v>
      </c>
      <c r="AE95" s="15" t="b">
        <f t="shared" ca="1" si="31"/>
        <v>0</v>
      </c>
      <c r="AF95" s="16"/>
      <c r="AG95" s="16"/>
      <c r="AH95" s="16"/>
      <c r="AI95" s="16"/>
      <c r="AJ95" s="16"/>
      <c r="AK95" s="16"/>
      <c r="AL95" s="16"/>
      <c r="AM95" s="16"/>
    </row>
    <row r="96" spans="2:39">
      <c r="B96" s="14">
        <f t="shared" si="20"/>
        <v>94</v>
      </c>
      <c r="C96" s="14" t="str">
        <f t="shared" ca="1" si="21"/>
        <v>D</v>
      </c>
      <c r="D96" s="14" t="str">
        <f t="shared" ca="1" si="22"/>
        <v>q_40a</v>
      </c>
      <c r="E96" s="14" t="str">
        <f t="shared" ca="1" si="19"/>
        <v>Was there AD in the family</v>
      </c>
      <c r="F96" s="14">
        <f t="shared" ca="1" si="18"/>
        <v>2</v>
      </c>
      <c r="G96" s="14" t="str">
        <f t="shared" ca="1" si="23"/>
        <v>q_40a</v>
      </c>
      <c r="H96" s="14">
        <f ca="1">IF(G96&lt;&gt;"",IFERROR( IsVariableNameLegal(G96),0),0)+IF(COUNTIF(INDIRECT(wew!$C$13),G96)&gt;1,10,0)</f>
        <v>0</v>
      </c>
      <c r="I96" s="14">
        <f ca="1">IF(E96&lt;&gt;"",IF(LEN(E96)&gt;150,1,0)+IF(COUNTIF(INDIRECT(wew!$C$15),E96)&gt;1,10,0),0)</f>
        <v>0</v>
      </c>
      <c r="J96" s="14" t="b">
        <f t="shared" ca="1" si="24"/>
        <v>1</v>
      </c>
      <c r="K96" s="14" t="str">
        <f ca="1">ADDRESS(3,(B96+1)*2-1,4,,"[" &amp; wew!$G$7 &amp; "]" &amp; _sheetname_labels) &amp; ":" &amp; ADDRESS(2+ster!$B$20,(B96+1)*2-1,4)</f>
        <v>'[dane surowe2c.xlsm]labels'!GG3:GG36</v>
      </c>
      <c r="L96" s="14" t="str">
        <f ca="1">IF(F96&gt;0,ADDRESS(3,(B96+1)*2-1,4,,"[" &amp; wew!$G$7 &amp; "]" &amp; _sheetname_labels) &amp; ":" &amp; ADDRESS(2+F96,(B96+1)*2-1,4),"")</f>
        <v>'[dane surowe2c.xlsm]labels'!GG3:GG4</v>
      </c>
      <c r="M96" s="14" t="str">
        <f ca="1">IF(F96&gt;0,ADDRESS(3,(B96+1)*2,4,,"["&amp;wew!$G$7&amp;"]"&amp;_sheetname_labels)&amp;":"&amp;ADDRESS(2+F96,(B96+1)*2,4),"")</f>
        <v>'[dane surowe2c.xlsm]labels'!GH3:GH4</v>
      </c>
      <c r="N96" s="14" t="str">
        <f ca="1">ADDRESS(3,B96+1,4,,"[" &amp; wew!$G$7 &amp; "]" &amp;_sheetname_dataframe) &amp; ":" &amp; ADDRESS(2+ster!$C$14,B96+1,4)</f>
        <v>'[dane surowe2c.xlsm]data_frame'!CQ3:CQ35</v>
      </c>
      <c r="O96" s="14">
        <f t="shared" ca="1" si="25"/>
        <v>32</v>
      </c>
      <c r="P96" s="14">
        <f ca="1">IF(AND($AD96,$S96=1),IF(wew!$B$3,MIN(INDIRECT($N96)),"&lt;włącz podświetlanie wartości&gt;"),"—")</f>
        <v>1</v>
      </c>
      <c r="Q96" s="14">
        <f ca="1">IF(AND($AD96,$S96=1),IF(wew!$B$3,MAX(INDIRECT($N96)),"&lt;włącz podświetlanie wartości&gt;"),"—")</f>
        <v>2</v>
      </c>
      <c r="R96" s="14">
        <f ca="1">IF(AD96,ster!$C$14- (COUNTIF( INDIRECT(N96),"" )+ COUNT(INDIRECT(N96)) +COUNTIF( INDIRECT(N96),"NA" )),"")</f>
        <v>0</v>
      </c>
      <c r="S96" s="12">
        <f ca="1">IF(AD96,IF(COUNTA(INDIRECT(N96))=0,0, 1-(ster!$C$14- COUNT(INDIRECT(N96)) -COUNTIF( INDIRECT(N96),"" )) /COUNTA(INDIRECT(N96))),"")</f>
        <v>1</v>
      </c>
      <c r="T96" s="17">
        <f t="array" aca="1" ref="T96" ca="1">IF(L96&lt;&gt;"",SUM(IF(INDIRECT(L96)&lt;&gt;INT(INDIRECT(L96)),1,0)),"")</f>
        <v>0</v>
      </c>
      <c r="U96" s="17">
        <f t="array" aca="1" ref="U96" ca="1">IF(S96=1,SUM(IF(ISNUMBER(INDIRECT(N96)),IF(INDIRECT(N96)&lt;&gt;INT(INDIRECT(N96)),1,0),0)),"")</f>
        <v>0</v>
      </c>
      <c r="V96" s="17">
        <f t="shared" ca="1" si="26"/>
        <v>1</v>
      </c>
      <c r="W96" s="17">
        <f t="shared" ca="1" si="27"/>
        <v>0</v>
      </c>
      <c r="X96" s="24">
        <f t="array" aca="1" ref="X96" ca="1">IF(AD96,IF(AG96&lt;&gt;"",AG96,IF(J96,MIN(INDIRECT( K96)),"")),"")</f>
        <v>1</v>
      </c>
      <c r="Y96" s="17">
        <f t="array" aca="1" ref="Y96" ca="1">IF(AD96,IF(AH96&lt;&gt;"",AH96,IF(J96,MAX(INDIRECT( K96)),"")),"")</f>
        <v>2</v>
      </c>
      <c r="Z96" s="17" t="b">
        <f t="shared" ca="1" si="28"/>
        <v>1</v>
      </c>
      <c r="AC96" s="17" t="b">
        <f t="shared" ca="1" si="29"/>
        <v>0</v>
      </c>
      <c r="AD96" s="14" t="b">
        <f t="shared" ca="1" si="30"/>
        <v>1</v>
      </c>
      <c r="AE96" s="15" t="b">
        <f t="shared" ca="1" si="31"/>
        <v>1</v>
      </c>
      <c r="AF96" s="16"/>
      <c r="AG96" s="16"/>
      <c r="AH96" s="16"/>
      <c r="AI96" s="16"/>
      <c r="AJ96" s="16"/>
      <c r="AK96" s="16"/>
      <c r="AL96" s="16"/>
      <c r="AM96" s="16"/>
    </row>
    <row r="97" spans="2:39">
      <c r="B97" s="14">
        <f t="shared" si="20"/>
        <v>95</v>
      </c>
      <c r="C97" s="14" t="str">
        <f t="shared" ca="1" si="21"/>
        <v>D</v>
      </c>
      <c r="D97" s="14" t="str">
        <f t="shared" ca="1" si="22"/>
        <v>q_40b</v>
      </c>
      <c r="E97" s="14" t="str">
        <f t="shared" ca="1" si="19"/>
        <v>Mother</v>
      </c>
      <c r="F97" s="14">
        <f t="shared" ca="1" si="18"/>
        <v>2</v>
      </c>
      <c r="G97" s="14" t="str">
        <f t="shared" ca="1" si="23"/>
        <v>q_40b</v>
      </c>
      <c r="H97" s="14">
        <f ca="1">IF(G97&lt;&gt;"",IFERROR( IsVariableNameLegal(G97),0),0)+IF(COUNTIF(INDIRECT(wew!$C$13),G97)&gt;1,10,0)</f>
        <v>0</v>
      </c>
      <c r="I97" s="14">
        <f ca="1">IF(E97&lt;&gt;"",IF(LEN(E97)&gt;150,1,0)+IF(COUNTIF(INDIRECT(wew!$C$15),E97)&gt;1,10,0),0)</f>
        <v>10</v>
      </c>
      <c r="J97" s="14" t="b">
        <f t="shared" ca="1" si="24"/>
        <v>1</v>
      </c>
      <c r="K97" s="14" t="str">
        <f ca="1">ADDRESS(3,(B97+1)*2-1,4,,"[" &amp; wew!$G$7 &amp; "]" &amp; _sheetname_labels) &amp; ":" &amp; ADDRESS(2+ster!$B$20,(B97+1)*2-1,4)</f>
        <v>'[dane surowe2c.xlsm]labels'!GI3:GI36</v>
      </c>
      <c r="L97" s="14" t="str">
        <f ca="1">IF(F97&gt;0,ADDRESS(3,(B97+1)*2-1,4,,"[" &amp; wew!$G$7 &amp; "]" &amp; _sheetname_labels) &amp; ":" &amp; ADDRESS(2+F97,(B97+1)*2-1,4),"")</f>
        <v>'[dane surowe2c.xlsm]labels'!GI3:GI4</v>
      </c>
      <c r="M97" s="14" t="str">
        <f ca="1">IF(F97&gt;0,ADDRESS(3,(B97+1)*2,4,,"["&amp;wew!$G$7&amp;"]"&amp;_sheetname_labels)&amp;":"&amp;ADDRESS(2+F97,(B97+1)*2,4),"")</f>
        <v>'[dane surowe2c.xlsm]labels'!GJ3:GJ4</v>
      </c>
      <c r="N97" s="14" t="str">
        <f ca="1">ADDRESS(3,B97+1,4,,"[" &amp; wew!$G$7 &amp; "]" &amp;_sheetname_dataframe) &amp; ":" &amp; ADDRESS(2+ster!$C$14,B97+1,4)</f>
        <v>'[dane surowe2c.xlsm]data_frame'!CR3:CR35</v>
      </c>
      <c r="O97" s="14">
        <f t="shared" ca="1" si="25"/>
        <v>32</v>
      </c>
      <c r="P97" s="14">
        <f ca="1">IF(AND($AD97,$S97=1),IF(wew!$B$3,MIN(INDIRECT($N97)),"&lt;włącz podświetlanie wartości&gt;"),"—")</f>
        <v>1</v>
      </c>
      <c r="Q97" s="14">
        <f ca="1">IF(AND($AD97,$S97=1),IF(wew!$B$3,MAX(INDIRECT($N97)),"&lt;włącz podświetlanie wartości&gt;"),"—")</f>
        <v>2</v>
      </c>
      <c r="R97" s="14">
        <f ca="1">IF(AD97,ster!$C$14- (COUNTIF( INDIRECT(N97),"" )+ COUNT(INDIRECT(N97)) +COUNTIF( INDIRECT(N97),"NA" )),"")</f>
        <v>0</v>
      </c>
      <c r="S97" s="12">
        <f ca="1">IF(AD97,IF(COUNTA(INDIRECT(N97))=0,0, 1-(ster!$C$14- COUNT(INDIRECT(N97)) -COUNTIF( INDIRECT(N97),"" )) /COUNTA(INDIRECT(N97))),"")</f>
        <v>1</v>
      </c>
      <c r="T97" s="17">
        <f t="array" aca="1" ref="T97" ca="1">IF(L97&lt;&gt;"",SUM(IF(INDIRECT(L97)&lt;&gt;INT(INDIRECT(L97)),1,0)),"")</f>
        <v>0</v>
      </c>
      <c r="U97" s="17">
        <f t="array" aca="1" ref="U97" ca="1">IF(S97=1,SUM(IF(ISNUMBER(INDIRECT(N97)),IF(INDIRECT(N97)&lt;&gt;INT(INDIRECT(N97)),1,0),0)),"")</f>
        <v>0</v>
      </c>
      <c r="V97" s="17">
        <f t="shared" ca="1" si="26"/>
        <v>1</v>
      </c>
      <c r="W97" s="17">
        <f t="shared" ca="1" si="27"/>
        <v>0</v>
      </c>
      <c r="X97" s="24">
        <f t="array" aca="1" ref="X97" ca="1">IF(AD97,IF(AG97&lt;&gt;"",AG97,IF(J97,MIN(INDIRECT( K97)),"")),"")</f>
        <v>1</v>
      </c>
      <c r="Y97" s="17">
        <f t="array" aca="1" ref="Y97" ca="1">IF(AD97,IF(AH97&lt;&gt;"",AH97,IF(J97,MAX(INDIRECT( K97)),"")),"")</f>
        <v>2</v>
      </c>
      <c r="Z97" s="17" t="b">
        <f t="shared" ca="1" si="28"/>
        <v>1</v>
      </c>
      <c r="AC97" s="17" t="b">
        <f t="shared" ca="1" si="29"/>
        <v>0</v>
      </c>
      <c r="AD97" s="14" t="b">
        <f t="shared" ca="1" si="30"/>
        <v>1</v>
      </c>
      <c r="AE97" s="15" t="b">
        <f t="shared" ca="1" si="31"/>
        <v>1</v>
      </c>
      <c r="AF97" s="16"/>
      <c r="AG97" s="16"/>
      <c r="AH97" s="16"/>
      <c r="AI97" s="16"/>
      <c r="AJ97" s="16"/>
      <c r="AK97" s="16"/>
      <c r="AL97" s="16"/>
      <c r="AM97" s="16"/>
    </row>
    <row r="98" spans="2:39">
      <c r="B98" s="14">
        <f t="shared" si="20"/>
        <v>96</v>
      </c>
      <c r="C98" s="14" t="str">
        <f t="shared" ca="1" si="21"/>
        <v>D</v>
      </c>
      <c r="D98" s="14" t="str">
        <f t="shared" ca="1" si="22"/>
        <v>q_40c</v>
      </c>
      <c r="E98" s="14" t="str">
        <f t="shared" ca="1" si="19"/>
        <v>Father</v>
      </c>
      <c r="F98" s="14">
        <f t="shared" ca="1" si="18"/>
        <v>2</v>
      </c>
      <c r="G98" s="14" t="str">
        <f t="shared" ca="1" si="23"/>
        <v>q_40c</v>
      </c>
      <c r="H98" s="14">
        <f ca="1">IF(G98&lt;&gt;"",IFERROR( IsVariableNameLegal(G98),0),0)+IF(COUNTIF(INDIRECT(wew!$C$13),G98)&gt;1,10,0)</f>
        <v>0</v>
      </c>
      <c r="I98" s="14">
        <f ca="1">IF(E98&lt;&gt;"",IF(LEN(E98)&gt;150,1,0)+IF(COUNTIF(INDIRECT(wew!$C$15),E98)&gt;1,10,0),0)</f>
        <v>10</v>
      </c>
      <c r="J98" s="14" t="b">
        <f t="shared" ca="1" si="24"/>
        <v>1</v>
      </c>
      <c r="K98" s="14" t="str">
        <f ca="1">ADDRESS(3,(B98+1)*2-1,4,,"[" &amp; wew!$G$7 &amp; "]" &amp; _sheetname_labels) &amp; ":" &amp; ADDRESS(2+ster!$B$20,(B98+1)*2-1,4)</f>
        <v>'[dane surowe2c.xlsm]labels'!GK3:GK36</v>
      </c>
      <c r="L98" s="14" t="str">
        <f ca="1">IF(F98&gt;0,ADDRESS(3,(B98+1)*2-1,4,,"[" &amp; wew!$G$7 &amp; "]" &amp; _sheetname_labels) &amp; ":" &amp; ADDRESS(2+F98,(B98+1)*2-1,4),"")</f>
        <v>'[dane surowe2c.xlsm]labels'!GK3:GK4</v>
      </c>
      <c r="M98" s="14" t="str">
        <f ca="1">IF(F98&gt;0,ADDRESS(3,(B98+1)*2,4,,"["&amp;wew!$G$7&amp;"]"&amp;_sheetname_labels)&amp;":"&amp;ADDRESS(2+F98,(B98+1)*2,4),"")</f>
        <v>'[dane surowe2c.xlsm]labels'!GL3:GL4</v>
      </c>
      <c r="N98" s="14" t="str">
        <f ca="1">ADDRESS(3,B98+1,4,,"[" &amp; wew!$G$7 &amp; "]" &amp;_sheetname_dataframe) &amp; ":" &amp; ADDRESS(2+ster!$C$14,B98+1,4)</f>
        <v>'[dane surowe2c.xlsm]data_frame'!CS3:CS35</v>
      </c>
      <c r="O98" s="14">
        <f t="shared" ca="1" si="25"/>
        <v>32</v>
      </c>
      <c r="P98" s="14">
        <f ca="1">IF(AND($AD98,$S98=1),IF(wew!$B$3,MIN(INDIRECT($N98)),"&lt;włącz podświetlanie wartości&gt;"),"—")</f>
        <v>1</v>
      </c>
      <c r="Q98" s="14">
        <f ca="1">IF(AND($AD98,$S98=1),IF(wew!$B$3,MAX(INDIRECT($N98)),"&lt;włącz podświetlanie wartości&gt;"),"—")</f>
        <v>2</v>
      </c>
      <c r="R98" s="14">
        <f ca="1">IF(AD98,ster!$C$14- (COUNTIF( INDIRECT(N98),"" )+ COUNT(INDIRECT(N98)) +COUNTIF( INDIRECT(N98),"NA" )),"")</f>
        <v>0</v>
      </c>
      <c r="S98" s="12">
        <f ca="1">IF(AD98,IF(COUNTA(INDIRECT(N98))=0,0, 1-(ster!$C$14- COUNT(INDIRECT(N98)) -COUNTIF( INDIRECT(N98),"" )) /COUNTA(INDIRECT(N98))),"")</f>
        <v>1</v>
      </c>
      <c r="T98" s="17">
        <f t="array" aca="1" ref="T98" ca="1">IF(L98&lt;&gt;"",SUM(IF(INDIRECT(L98)&lt;&gt;INT(INDIRECT(L98)),1,0)),"")</f>
        <v>0</v>
      </c>
      <c r="U98" s="17">
        <f t="array" aca="1" ref="U98" ca="1">IF(S98=1,SUM(IF(ISNUMBER(INDIRECT(N98)),IF(INDIRECT(N98)&lt;&gt;INT(INDIRECT(N98)),1,0),0)),"")</f>
        <v>0</v>
      </c>
      <c r="V98" s="17">
        <f t="shared" ca="1" si="26"/>
        <v>1</v>
      </c>
      <c r="W98" s="17">
        <f t="shared" ca="1" si="27"/>
        <v>0</v>
      </c>
      <c r="X98" s="24">
        <f t="array" aca="1" ref="X98" ca="1">IF(AD98,IF(AG98&lt;&gt;"",AG98,IF(J98,MIN(INDIRECT( K98)),"")),"")</f>
        <v>1</v>
      </c>
      <c r="Y98" s="17">
        <f t="array" aca="1" ref="Y98" ca="1">IF(AD98,IF(AH98&lt;&gt;"",AH98,IF(J98,MAX(INDIRECT( K98)),"")),"")</f>
        <v>2</v>
      </c>
      <c r="Z98" s="17" t="b">
        <f t="shared" ca="1" si="28"/>
        <v>1</v>
      </c>
      <c r="AC98" s="17" t="b">
        <f t="shared" ca="1" si="29"/>
        <v>0</v>
      </c>
      <c r="AD98" s="14" t="b">
        <f t="shared" ca="1" si="30"/>
        <v>1</v>
      </c>
      <c r="AE98" s="15" t="b">
        <f t="shared" ca="1" si="31"/>
        <v>1</v>
      </c>
      <c r="AF98" s="16"/>
      <c r="AG98" s="16"/>
      <c r="AH98" s="16"/>
      <c r="AI98" s="16"/>
      <c r="AJ98" s="16"/>
      <c r="AK98" s="16"/>
      <c r="AL98" s="16"/>
      <c r="AM98" s="16"/>
    </row>
    <row r="99" spans="2:39">
      <c r="B99" s="14">
        <f t="shared" si="20"/>
        <v>97</v>
      </c>
      <c r="C99" s="14" t="str">
        <f t="shared" ca="1" si="21"/>
        <v>D</v>
      </c>
      <c r="D99" s="14" t="str">
        <f t="shared" ca="1" si="22"/>
        <v>q_40d</v>
      </c>
      <c r="E99" s="14" t="str">
        <f t="shared" ca="1" si="19"/>
        <v>Heterozygous twin brother</v>
      </c>
      <c r="F99" s="14">
        <f t="shared" ref="F99:F162" ca="1" si="32">IF(AD99,COUNT(INDIRECT(K99)),0)</f>
        <v>2</v>
      </c>
      <c r="G99" s="14" t="str">
        <f t="shared" ca="1" si="23"/>
        <v>q_40d</v>
      </c>
      <c r="H99" s="14">
        <f ca="1">IF(G99&lt;&gt;"",IFERROR( IsVariableNameLegal(G99),0),0)+IF(COUNTIF(INDIRECT(wew!$C$13),G99)&gt;1,10,0)</f>
        <v>0</v>
      </c>
      <c r="I99" s="14">
        <f ca="1">IF(E99&lt;&gt;"",IF(LEN(E99)&gt;150,1,0)+IF(COUNTIF(INDIRECT(wew!$C$15),E99)&gt;1,10,0),0)</f>
        <v>10</v>
      </c>
      <c r="J99" s="14" t="b">
        <f t="shared" ca="1" si="24"/>
        <v>1</v>
      </c>
      <c r="K99" s="14" t="str">
        <f ca="1">ADDRESS(3,(B99+1)*2-1,4,,"[" &amp; wew!$G$7 &amp; "]" &amp; _sheetname_labels) &amp; ":" &amp; ADDRESS(2+ster!$B$20,(B99+1)*2-1,4)</f>
        <v>'[dane surowe2c.xlsm]labels'!GM3:GM36</v>
      </c>
      <c r="L99" s="14" t="str">
        <f ca="1">IF(F99&gt;0,ADDRESS(3,(B99+1)*2-1,4,,"[" &amp; wew!$G$7 &amp; "]" &amp; _sheetname_labels) &amp; ":" &amp; ADDRESS(2+F99,(B99+1)*2-1,4),"")</f>
        <v>'[dane surowe2c.xlsm]labels'!GM3:GM4</v>
      </c>
      <c r="M99" s="14" t="str">
        <f ca="1">IF(F99&gt;0,ADDRESS(3,(B99+1)*2,4,,"["&amp;wew!$G$7&amp;"]"&amp;_sheetname_labels)&amp;":"&amp;ADDRESS(2+F99,(B99+1)*2,4),"")</f>
        <v>'[dane surowe2c.xlsm]labels'!GN3:GN4</v>
      </c>
      <c r="N99" s="14" t="str">
        <f ca="1">ADDRESS(3,B99+1,4,,"[" &amp; wew!$G$7 &amp; "]" &amp;_sheetname_dataframe) &amp; ":" &amp; ADDRESS(2+ster!$C$14,B99+1,4)</f>
        <v>'[dane surowe2c.xlsm]data_frame'!CT3:CT35</v>
      </c>
      <c r="O99" s="14">
        <f t="shared" ca="1" si="25"/>
        <v>32</v>
      </c>
      <c r="P99" s="14">
        <f ca="1">IF(AND($AD99,$S99=1),IF(wew!$B$3,MIN(INDIRECT($N99)),"&lt;włącz podświetlanie wartości&gt;"),"—")</f>
        <v>2</v>
      </c>
      <c r="Q99" s="14">
        <f ca="1">IF(AND($AD99,$S99=1),IF(wew!$B$3,MAX(INDIRECT($N99)),"&lt;włącz podświetlanie wartości&gt;"),"—")</f>
        <v>2</v>
      </c>
      <c r="R99" s="14">
        <f ca="1">IF(AD99,ster!$C$14- (COUNTIF( INDIRECT(N99),"" )+ COUNT(INDIRECT(N99)) +COUNTIF( INDIRECT(N99),"NA" )),"")</f>
        <v>0</v>
      </c>
      <c r="S99" s="12">
        <f ca="1">IF(AD99,IF(COUNTA(INDIRECT(N99))=0,0, 1-(ster!$C$14- COUNT(INDIRECT(N99)) -COUNTIF( INDIRECT(N99),"" )) /COUNTA(INDIRECT(N99))),"")</f>
        <v>1</v>
      </c>
      <c r="T99" s="17">
        <f t="array" aca="1" ref="T99" ca="1">IF(L99&lt;&gt;"",SUM(IF(INDIRECT(L99)&lt;&gt;INT(INDIRECT(L99)),1,0)),"")</f>
        <v>0</v>
      </c>
      <c r="U99" s="17">
        <f t="array" aca="1" ref="U99" ca="1">IF(S99=1,SUM(IF(ISNUMBER(INDIRECT(N99)),IF(INDIRECT(N99)&lt;&gt;INT(INDIRECT(N99)),1,0),0)),"")</f>
        <v>0</v>
      </c>
      <c r="V99" s="17">
        <f t="shared" ca="1" si="26"/>
        <v>1</v>
      </c>
      <c r="W99" s="17">
        <f t="shared" ca="1" si="27"/>
        <v>0</v>
      </c>
      <c r="X99" s="24">
        <f t="array" aca="1" ref="X99" ca="1">IF(AD99,IF(AG99&lt;&gt;"",AG99,IF(J99,MIN(INDIRECT( K99)),"")),"")</f>
        <v>1</v>
      </c>
      <c r="Y99" s="17">
        <f t="array" aca="1" ref="Y99" ca="1">IF(AD99,IF(AH99&lt;&gt;"",AH99,IF(J99,MAX(INDIRECT( K99)),"")),"")</f>
        <v>2</v>
      </c>
      <c r="Z99" s="17" t="b">
        <f t="shared" ca="1" si="28"/>
        <v>1</v>
      </c>
      <c r="AC99" s="17" t="b">
        <f t="shared" ca="1" si="29"/>
        <v>0</v>
      </c>
      <c r="AD99" s="14" t="b">
        <f t="shared" ca="1" si="30"/>
        <v>1</v>
      </c>
      <c r="AE99" s="15" t="b">
        <f t="shared" ca="1" si="31"/>
        <v>1</v>
      </c>
      <c r="AF99" s="16"/>
      <c r="AG99" s="16"/>
      <c r="AH99" s="16"/>
      <c r="AI99" s="16"/>
      <c r="AJ99" s="16"/>
      <c r="AK99" s="16"/>
      <c r="AL99" s="16"/>
      <c r="AM99" s="16"/>
    </row>
    <row r="100" spans="2:39">
      <c r="B100" s="14">
        <f t="shared" si="20"/>
        <v>98</v>
      </c>
      <c r="C100" s="14" t="str">
        <f t="shared" ca="1" si="21"/>
        <v>D</v>
      </c>
      <c r="D100" s="14" t="str">
        <f t="shared" ca="1" si="22"/>
        <v>q_40e</v>
      </c>
      <c r="E100" s="14" t="str">
        <f t="shared" ca="1" si="19"/>
        <v>homozygous twin brother</v>
      </c>
      <c r="F100" s="14">
        <f t="shared" ca="1" si="32"/>
        <v>2</v>
      </c>
      <c r="G100" s="14" t="str">
        <f t="shared" ca="1" si="23"/>
        <v>q_40e</v>
      </c>
      <c r="H100" s="14">
        <f ca="1">IF(G100&lt;&gt;"",IFERROR( IsVariableNameLegal(G100),0),0)+IF(COUNTIF(INDIRECT(wew!$C$13),G100)&gt;1,10,0)</f>
        <v>0</v>
      </c>
      <c r="I100" s="14">
        <f ca="1">IF(E100&lt;&gt;"",IF(LEN(E100)&gt;150,1,0)+IF(COUNTIF(INDIRECT(wew!$C$15),E100)&gt;1,10,0),0)</f>
        <v>10</v>
      </c>
      <c r="J100" s="14" t="b">
        <f t="shared" ca="1" si="24"/>
        <v>1</v>
      </c>
      <c r="K100" s="14" t="str">
        <f ca="1">ADDRESS(3,(B100+1)*2-1,4,,"[" &amp; wew!$G$7 &amp; "]" &amp; _sheetname_labels) &amp; ":" &amp; ADDRESS(2+ster!$B$20,(B100+1)*2-1,4)</f>
        <v>'[dane surowe2c.xlsm]labels'!GO3:GO36</v>
      </c>
      <c r="L100" s="14" t="str">
        <f ca="1">IF(F100&gt;0,ADDRESS(3,(B100+1)*2-1,4,,"[" &amp; wew!$G$7 &amp; "]" &amp; _sheetname_labels) &amp; ":" &amp; ADDRESS(2+F100,(B100+1)*2-1,4),"")</f>
        <v>'[dane surowe2c.xlsm]labels'!GO3:GO4</v>
      </c>
      <c r="M100" s="14" t="str">
        <f ca="1">IF(F100&gt;0,ADDRESS(3,(B100+1)*2,4,,"["&amp;wew!$G$7&amp;"]"&amp;_sheetname_labels)&amp;":"&amp;ADDRESS(2+F100,(B100+1)*2,4),"")</f>
        <v>'[dane surowe2c.xlsm]labels'!GP3:GP4</v>
      </c>
      <c r="N100" s="14" t="str">
        <f ca="1">ADDRESS(3,B100+1,4,,"[" &amp; wew!$G$7 &amp; "]" &amp;_sheetname_dataframe) &amp; ":" &amp; ADDRESS(2+ster!$C$14,B100+1,4)</f>
        <v>'[dane surowe2c.xlsm]data_frame'!CU3:CU35</v>
      </c>
      <c r="O100" s="14">
        <f t="shared" ca="1" si="25"/>
        <v>32</v>
      </c>
      <c r="P100" s="14">
        <f ca="1">IF(AND($AD100,$S100=1),IF(wew!$B$3,MIN(INDIRECT($N100)),"&lt;włącz podświetlanie wartości&gt;"),"—")</f>
        <v>2</v>
      </c>
      <c r="Q100" s="14">
        <f ca="1">IF(AND($AD100,$S100=1),IF(wew!$B$3,MAX(INDIRECT($N100)),"&lt;włącz podświetlanie wartości&gt;"),"—")</f>
        <v>2</v>
      </c>
      <c r="R100" s="14">
        <f ca="1">IF(AD100,ster!$C$14- (COUNTIF( INDIRECT(N100),"" )+ COUNT(INDIRECT(N100)) +COUNTIF( INDIRECT(N100),"NA" )),"")</f>
        <v>0</v>
      </c>
      <c r="S100" s="12">
        <f ca="1">IF(AD100,IF(COUNTA(INDIRECT(N100))=0,0, 1-(ster!$C$14- COUNT(INDIRECT(N100)) -COUNTIF( INDIRECT(N100),"" )) /COUNTA(INDIRECT(N100))),"")</f>
        <v>1</v>
      </c>
      <c r="T100" s="17">
        <f t="array" aca="1" ref="T100" ca="1">IF(L100&lt;&gt;"",SUM(IF(INDIRECT(L100)&lt;&gt;INT(INDIRECT(L100)),1,0)),"")</f>
        <v>0</v>
      </c>
      <c r="U100" s="17">
        <f t="array" aca="1" ref="U100" ca="1">IF(S100=1,SUM(IF(ISNUMBER(INDIRECT(N100)),IF(INDIRECT(N100)&lt;&gt;INT(INDIRECT(N100)),1,0),0)),"")</f>
        <v>0</v>
      </c>
      <c r="V100" s="17">
        <f t="shared" ca="1" si="26"/>
        <v>1</v>
      </c>
      <c r="W100" s="17">
        <f t="shared" ca="1" si="27"/>
        <v>0</v>
      </c>
      <c r="X100" s="24">
        <f t="array" aca="1" ref="X100" ca="1">IF(AD100,IF(AG100&lt;&gt;"",AG100,IF(J100,MIN(INDIRECT( K100)),"")),"")</f>
        <v>1</v>
      </c>
      <c r="Y100" s="17">
        <f t="array" aca="1" ref="Y100" ca="1">IF(AD100,IF(AH100&lt;&gt;"",AH100,IF(J100,MAX(INDIRECT( K100)),"")),"")</f>
        <v>2</v>
      </c>
      <c r="Z100" s="17" t="b">
        <f t="shared" ca="1" si="28"/>
        <v>1</v>
      </c>
      <c r="AC100" s="17" t="b">
        <f t="shared" ca="1" si="29"/>
        <v>0</v>
      </c>
      <c r="AD100" s="14" t="b">
        <f t="shared" ca="1" si="30"/>
        <v>1</v>
      </c>
      <c r="AE100" s="15" t="b">
        <f t="shared" ca="1" si="31"/>
        <v>1</v>
      </c>
      <c r="AF100" s="16"/>
      <c r="AG100" s="16"/>
      <c r="AH100" s="16"/>
      <c r="AI100" s="16"/>
      <c r="AJ100" s="16"/>
      <c r="AK100" s="16"/>
      <c r="AL100" s="16"/>
      <c r="AM100" s="16"/>
    </row>
    <row r="101" spans="2:39">
      <c r="B101" s="14">
        <f t="shared" si="20"/>
        <v>99</v>
      </c>
      <c r="C101" s="14" t="str">
        <f t="shared" ca="1" si="21"/>
        <v>D</v>
      </c>
      <c r="D101" s="14" t="str">
        <f t="shared" ca="1" si="22"/>
        <v>q_40f</v>
      </c>
      <c r="E101" s="14" t="str">
        <f t="shared" ca="1" si="19"/>
        <v>heterozygous twin sister</v>
      </c>
      <c r="F101" s="14">
        <f t="shared" ca="1" si="32"/>
        <v>2</v>
      </c>
      <c r="G101" s="14" t="str">
        <f t="shared" ca="1" si="23"/>
        <v>q_40f</v>
      </c>
      <c r="H101" s="14">
        <f ca="1">IF(G101&lt;&gt;"",IFERROR( IsVariableNameLegal(G101),0),0)+IF(COUNTIF(INDIRECT(wew!$C$13),G101)&gt;1,10,0)</f>
        <v>0</v>
      </c>
      <c r="I101" s="14">
        <f ca="1">IF(E101&lt;&gt;"",IF(LEN(E101)&gt;150,1,0)+IF(COUNTIF(INDIRECT(wew!$C$15),E101)&gt;1,10,0),0)</f>
        <v>10</v>
      </c>
      <c r="J101" s="14" t="b">
        <f t="shared" ca="1" si="24"/>
        <v>1</v>
      </c>
      <c r="K101" s="14" t="str">
        <f ca="1">ADDRESS(3,(B101+1)*2-1,4,,"[" &amp; wew!$G$7 &amp; "]" &amp; _sheetname_labels) &amp; ":" &amp; ADDRESS(2+ster!$B$20,(B101+1)*2-1,4)</f>
        <v>'[dane surowe2c.xlsm]labels'!GQ3:GQ36</v>
      </c>
      <c r="L101" s="14" t="str">
        <f ca="1">IF(F101&gt;0,ADDRESS(3,(B101+1)*2-1,4,,"[" &amp; wew!$G$7 &amp; "]" &amp; _sheetname_labels) &amp; ":" &amp; ADDRESS(2+F101,(B101+1)*2-1,4),"")</f>
        <v>'[dane surowe2c.xlsm]labels'!GQ3:GQ4</v>
      </c>
      <c r="M101" s="14" t="str">
        <f ca="1">IF(F101&gt;0,ADDRESS(3,(B101+1)*2,4,,"["&amp;wew!$G$7&amp;"]"&amp;_sheetname_labels)&amp;":"&amp;ADDRESS(2+F101,(B101+1)*2,4),"")</f>
        <v>'[dane surowe2c.xlsm]labels'!GR3:GR4</v>
      </c>
      <c r="N101" s="14" t="str">
        <f ca="1">ADDRESS(3,B101+1,4,,"[" &amp; wew!$G$7 &amp; "]" &amp;_sheetname_dataframe) &amp; ":" &amp; ADDRESS(2+ster!$C$14,B101+1,4)</f>
        <v>'[dane surowe2c.xlsm]data_frame'!CV3:CV35</v>
      </c>
      <c r="O101" s="14">
        <f t="shared" ca="1" si="25"/>
        <v>32</v>
      </c>
      <c r="P101" s="14">
        <f ca="1">IF(AND($AD101,$S101=1),IF(wew!$B$3,MIN(INDIRECT($N101)),"&lt;włącz podświetlanie wartości&gt;"),"—")</f>
        <v>2</v>
      </c>
      <c r="Q101" s="14">
        <f ca="1">IF(AND($AD101,$S101=1),IF(wew!$B$3,MAX(INDIRECT($N101)),"&lt;włącz podświetlanie wartości&gt;"),"—")</f>
        <v>2</v>
      </c>
      <c r="R101" s="14">
        <f ca="1">IF(AD101,ster!$C$14- (COUNTIF( INDIRECT(N101),"" )+ COUNT(INDIRECT(N101)) +COUNTIF( INDIRECT(N101),"NA" )),"")</f>
        <v>0</v>
      </c>
      <c r="S101" s="12">
        <f ca="1">IF(AD101,IF(COUNTA(INDIRECT(N101))=0,0, 1-(ster!$C$14- COUNT(INDIRECT(N101)) -COUNTIF( INDIRECT(N101),"" )) /COUNTA(INDIRECT(N101))),"")</f>
        <v>1</v>
      </c>
      <c r="T101" s="17">
        <f t="array" aca="1" ref="T101" ca="1">IF(L101&lt;&gt;"",SUM(IF(INDIRECT(L101)&lt;&gt;INT(INDIRECT(L101)),1,0)),"")</f>
        <v>0</v>
      </c>
      <c r="U101" s="17">
        <f t="array" aca="1" ref="U101" ca="1">IF(S101=1,SUM(IF(ISNUMBER(INDIRECT(N101)),IF(INDIRECT(N101)&lt;&gt;INT(INDIRECT(N101)),1,0),0)),"")</f>
        <v>0</v>
      </c>
      <c r="V101" s="17">
        <f t="shared" ca="1" si="26"/>
        <v>1</v>
      </c>
      <c r="W101" s="17">
        <f t="shared" ca="1" si="27"/>
        <v>0</v>
      </c>
      <c r="X101" s="24">
        <f t="array" aca="1" ref="X101" ca="1">IF(AD101,IF(AG101&lt;&gt;"",AG101,IF(J101,MIN(INDIRECT( K101)),"")),"")</f>
        <v>1</v>
      </c>
      <c r="Y101" s="17">
        <f t="array" aca="1" ref="Y101" ca="1">IF(AD101,IF(AH101&lt;&gt;"",AH101,IF(J101,MAX(INDIRECT( K101)),"")),"")</f>
        <v>2</v>
      </c>
      <c r="Z101" s="17" t="b">
        <f t="shared" ca="1" si="28"/>
        <v>1</v>
      </c>
      <c r="AC101" s="17" t="b">
        <f t="shared" ca="1" si="29"/>
        <v>0</v>
      </c>
      <c r="AD101" s="14" t="b">
        <f t="shared" ca="1" si="30"/>
        <v>1</v>
      </c>
      <c r="AE101" s="15" t="b">
        <f t="shared" ca="1" si="31"/>
        <v>1</v>
      </c>
      <c r="AF101" s="16"/>
      <c r="AG101" s="16"/>
      <c r="AH101" s="16"/>
      <c r="AI101" s="16"/>
      <c r="AJ101" s="16"/>
      <c r="AK101" s="16"/>
      <c r="AL101" s="16"/>
      <c r="AM101" s="16"/>
    </row>
    <row r="102" spans="2:39">
      <c r="B102" s="14">
        <f t="shared" si="20"/>
        <v>100</v>
      </c>
      <c r="C102" s="14" t="str">
        <f t="shared" ca="1" si="21"/>
        <v>D</v>
      </c>
      <c r="D102" s="14" t="str">
        <f t="shared" ca="1" si="22"/>
        <v>q_40g</v>
      </c>
      <c r="E102" s="14" t="str">
        <f t="shared" ca="1" si="19"/>
        <v>homozygous twin sister</v>
      </c>
      <c r="F102" s="14">
        <f t="shared" ca="1" si="32"/>
        <v>2</v>
      </c>
      <c r="G102" s="14" t="str">
        <f t="shared" ca="1" si="23"/>
        <v>q_40g</v>
      </c>
      <c r="H102" s="14">
        <f ca="1">IF(G102&lt;&gt;"",IFERROR( IsVariableNameLegal(G102),0),0)+IF(COUNTIF(INDIRECT(wew!$C$13),G102)&gt;1,10,0)</f>
        <v>0</v>
      </c>
      <c r="I102" s="14">
        <f ca="1">IF(E102&lt;&gt;"",IF(LEN(E102)&gt;150,1,0)+IF(COUNTIF(INDIRECT(wew!$C$15),E102)&gt;1,10,0),0)</f>
        <v>10</v>
      </c>
      <c r="J102" s="14" t="b">
        <f t="shared" ca="1" si="24"/>
        <v>1</v>
      </c>
      <c r="K102" s="14" t="str">
        <f ca="1">ADDRESS(3,(B102+1)*2-1,4,,"[" &amp; wew!$G$7 &amp; "]" &amp; _sheetname_labels) &amp; ":" &amp; ADDRESS(2+ster!$B$20,(B102+1)*2-1,4)</f>
        <v>'[dane surowe2c.xlsm]labels'!GS3:GS36</v>
      </c>
      <c r="L102" s="14" t="str">
        <f ca="1">IF(F102&gt;0,ADDRESS(3,(B102+1)*2-1,4,,"[" &amp; wew!$G$7 &amp; "]" &amp; _sheetname_labels) &amp; ":" &amp; ADDRESS(2+F102,(B102+1)*2-1,4),"")</f>
        <v>'[dane surowe2c.xlsm]labels'!GS3:GS4</v>
      </c>
      <c r="M102" s="14" t="str">
        <f ca="1">IF(F102&gt;0,ADDRESS(3,(B102+1)*2,4,,"["&amp;wew!$G$7&amp;"]"&amp;_sheetname_labels)&amp;":"&amp;ADDRESS(2+F102,(B102+1)*2,4),"")</f>
        <v>'[dane surowe2c.xlsm]labels'!GT3:GT4</v>
      </c>
      <c r="N102" s="14" t="str">
        <f ca="1">ADDRESS(3,B102+1,4,,"[" &amp; wew!$G$7 &amp; "]" &amp;_sheetname_dataframe) &amp; ":" &amp; ADDRESS(2+ster!$C$14,B102+1,4)</f>
        <v>'[dane surowe2c.xlsm]data_frame'!CW3:CW35</v>
      </c>
      <c r="O102" s="14">
        <f t="shared" ca="1" si="25"/>
        <v>32</v>
      </c>
      <c r="P102" s="14">
        <f ca="1">IF(AND($AD102,$S102=1),IF(wew!$B$3,MIN(INDIRECT($N102)),"&lt;włącz podświetlanie wartości&gt;"),"—")</f>
        <v>2</v>
      </c>
      <c r="Q102" s="14">
        <f ca="1">IF(AND($AD102,$S102=1),IF(wew!$B$3,MAX(INDIRECT($N102)),"&lt;włącz podświetlanie wartości&gt;"),"—")</f>
        <v>2</v>
      </c>
      <c r="R102" s="14">
        <f ca="1">IF(AD102,ster!$C$14- (COUNTIF( INDIRECT(N102),"" )+ COUNT(INDIRECT(N102)) +COUNTIF( INDIRECT(N102),"NA" )),"")</f>
        <v>0</v>
      </c>
      <c r="S102" s="12">
        <f ca="1">IF(AD102,IF(COUNTA(INDIRECT(N102))=0,0, 1-(ster!$C$14- COUNT(INDIRECT(N102)) -COUNTIF( INDIRECT(N102),"" )) /COUNTA(INDIRECT(N102))),"")</f>
        <v>1</v>
      </c>
      <c r="T102" s="17">
        <f t="array" aca="1" ref="T102" ca="1">IF(L102&lt;&gt;"",SUM(IF(INDIRECT(L102)&lt;&gt;INT(INDIRECT(L102)),1,0)),"")</f>
        <v>0</v>
      </c>
      <c r="U102" s="17">
        <f t="array" aca="1" ref="U102" ca="1">IF(S102=1,SUM(IF(ISNUMBER(INDIRECT(N102)),IF(INDIRECT(N102)&lt;&gt;INT(INDIRECT(N102)),1,0),0)),"")</f>
        <v>0</v>
      </c>
      <c r="V102" s="17">
        <f t="shared" ca="1" si="26"/>
        <v>1</v>
      </c>
      <c r="W102" s="17">
        <f t="shared" ca="1" si="27"/>
        <v>0</v>
      </c>
      <c r="X102" s="24">
        <f t="array" aca="1" ref="X102" ca="1">IF(AD102,IF(AG102&lt;&gt;"",AG102,IF(J102,MIN(INDIRECT( K102)),"")),"")</f>
        <v>1</v>
      </c>
      <c r="Y102" s="17">
        <f t="array" aca="1" ref="Y102" ca="1">IF(AD102,IF(AH102&lt;&gt;"",AH102,IF(J102,MAX(INDIRECT( K102)),"")),"")</f>
        <v>2</v>
      </c>
      <c r="Z102" s="17" t="b">
        <f t="shared" ca="1" si="28"/>
        <v>1</v>
      </c>
      <c r="AC102" s="17" t="b">
        <f t="shared" ca="1" si="29"/>
        <v>0</v>
      </c>
      <c r="AD102" s="14" t="b">
        <f t="shared" ca="1" si="30"/>
        <v>1</v>
      </c>
      <c r="AE102" s="15" t="b">
        <f t="shared" ca="1" si="31"/>
        <v>1</v>
      </c>
      <c r="AF102" s="16"/>
      <c r="AG102" s="16"/>
      <c r="AH102" s="16"/>
      <c r="AI102" s="16"/>
      <c r="AJ102" s="16"/>
      <c r="AK102" s="16"/>
      <c r="AL102" s="16"/>
      <c r="AM102" s="16"/>
    </row>
    <row r="103" spans="2:39">
      <c r="B103" s="14">
        <f t="shared" si="20"/>
        <v>101</v>
      </c>
      <c r="C103" s="14" t="str">
        <f t="shared" ca="1" si="21"/>
        <v>I</v>
      </c>
      <c r="D103" s="14" t="str">
        <f t="shared" ca="1" si="22"/>
        <v>q_40h</v>
      </c>
      <c r="E103" s="14" t="str">
        <f t="shared" ca="1" si="19"/>
        <v>Other family member 1</v>
      </c>
      <c r="F103" s="14">
        <f t="shared" ca="1" si="32"/>
        <v>0</v>
      </c>
      <c r="G103" s="14" t="str">
        <f t="shared" ca="1" si="23"/>
        <v>q_40h</v>
      </c>
      <c r="H103" s="14">
        <f ca="1">IF(G103&lt;&gt;"",IFERROR( IsVariableNameLegal(G103),0),0)+IF(COUNTIF(INDIRECT(wew!$C$13),G103)&gt;1,10,0)</f>
        <v>0</v>
      </c>
      <c r="I103" s="14">
        <f ca="1">IF(E103&lt;&gt;"",IF(LEN(E103)&gt;150,1,0)+IF(COUNTIF(INDIRECT(wew!$C$15),E103)&gt;1,10,0),0)</f>
        <v>10</v>
      </c>
      <c r="J103" s="14" t="b">
        <f t="shared" ca="1" si="24"/>
        <v>0</v>
      </c>
      <c r="K103" s="14" t="str">
        <f ca="1">ADDRESS(3,(B103+1)*2-1,4,,"[" &amp; wew!$G$7 &amp; "]" &amp; _sheetname_labels) &amp; ":" &amp; ADDRESS(2+ster!$B$20,(B103+1)*2-1,4)</f>
        <v>'[dane surowe2c.xlsm]labels'!GU3:GU36</v>
      </c>
      <c r="L103" s="14" t="str">
        <f ca="1">IF(F103&gt;0,ADDRESS(3,(B103+1)*2-1,4,,"[" &amp; wew!$G$7 &amp; "]" &amp; _sheetname_labels) &amp; ":" &amp; ADDRESS(2+F103,(B103+1)*2-1,4),"")</f>
        <v/>
      </c>
      <c r="M103" s="14" t="str">
        <f ca="1">IF(F103&gt;0,ADDRESS(3,(B103+1)*2,4,,"["&amp;wew!$G$7&amp;"]"&amp;_sheetname_labels)&amp;":"&amp;ADDRESS(2+F103,(B103+1)*2,4),"")</f>
        <v/>
      </c>
      <c r="N103" s="14" t="str">
        <f ca="1">ADDRESS(3,B103+1,4,,"[" &amp; wew!$G$7 &amp; "]" &amp;_sheetname_dataframe) &amp; ":" &amp; ADDRESS(2+ster!$C$14,B103+1,4)</f>
        <v>'[dane surowe2c.xlsm]data_frame'!CX3:CX35</v>
      </c>
      <c r="O103" s="14">
        <f t="shared" ca="1" si="25"/>
        <v>0</v>
      </c>
      <c r="P103" s="14" t="str">
        <f ca="1">IF(AND($AD103,$S103=1),IF(wew!$B$3,MIN(INDIRECT($N103)),"&lt;włącz podświetlanie wartości&gt;"),"—")</f>
        <v>—</v>
      </c>
      <c r="Q103" s="14" t="str">
        <f ca="1">IF(AND($AD103,$S103=1),IF(wew!$B$3,MAX(INDIRECT($N103)),"&lt;włącz podświetlanie wartości&gt;"),"—")</f>
        <v>—</v>
      </c>
      <c r="R103" s="14">
        <f ca="1">IF(AD103,ster!$C$14- (COUNTIF( INDIRECT(N103),"" )+ COUNT(INDIRECT(N103)) +COUNTIF( INDIRECT(N103),"NA" )),"")</f>
        <v>0</v>
      </c>
      <c r="S103" s="12">
        <f ca="1">IF(AD103,IF(COUNTA(INDIRECT(N103))=0,0, 1-(ster!$C$14- COUNT(INDIRECT(N103)) -COUNTIF( INDIRECT(N103),"" )) /COUNTA(INDIRECT(N103))),"")</f>
        <v>0</v>
      </c>
      <c r="T103" s="17" t="str">
        <f t="array" aca="1" ref="T103" ca="1">IF(L103&lt;&gt;"",SUM(IF(INDIRECT(L103)&lt;&gt;INT(INDIRECT(L103)),1,0)),"")</f>
        <v/>
      </c>
      <c r="U103" s="17" t="str">
        <f t="array" aca="1" ref="U103" ca="1">IF(S103=1,SUM(IF(ISNUMBER(INDIRECT(N103)),IF(INDIRECT(N103)&lt;&gt;INT(INDIRECT(N103)),1,0),0)),"")</f>
        <v/>
      </c>
      <c r="V103" s="17">
        <f t="shared" ca="1" si="26"/>
        <v>0</v>
      </c>
      <c r="W103" s="17">
        <f t="shared" ca="1" si="27"/>
        <v>0</v>
      </c>
      <c r="X103" s="24" t="str">
        <f t="array" aca="1" ref="X103" ca="1">IF(AD103,IF(AG103&lt;&gt;"",AG103,IF(J103,MIN(INDIRECT( K103)),"")),"")</f>
        <v/>
      </c>
      <c r="Y103" s="17" t="str">
        <f t="array" aca="1" ref="Y103" ca="1">IF(AD103,IF(AH103&lt;&gt;"",AH103,IF(J103,MAX(INDIRECT( K103)),"")),"")</f>
        <v/>
      </c>
      <c r="Z103" s="17" t="b">
        <f t="shared" ca="1" si="28"/>
        <v>0</v>
      </c>
      <c r="AC103" s="17" t="b">
        <f t="shared" ca="1" si="29"/>
        <v>0</v>
      </c>
      <c r="AD103" s="14" t="b">
        <f t="shared" ca="1" si="30"/>
        <v>1</v>
      </c>
      <c r="AE103" s="15" t="b">
        <f t="shared" ca="1" si="31"/>
        <v>0</v>
      </c>
      <c r="AF103" s="16"/>
      <c r="AG103" s="16"/>
      <c r="AH103" s="16"/>
      <c r="AI103" s="16"/>
      <c r="AJ103" s="16"/>
      <c r="AK103" s="16"/>
      <c r="AL103" s="16"/>
      <c r="AM103" s="16"/>
    </row>
    <row r="104" spans="2:39">
      <c r="B104" s="14">
        <f t="shared" si="20"/>
        <v>102</v>
      </c>
      <c r="C104" s="14" t="str">
        <f t="shared" ca="1" si="21"/>
        <v>I</v>
      </c>
      <c r="D104" s="14" t="str">
        <f t="shared" ca="1" si="22"/>
        <v>q_40i</v>
      </c>
      <c r="E104" s="14" t="str">
        <f t="shared" ca="1" si="19"/>
        <v>Other family member 2</v>
      </c>
      <c r="F104" s="14">
        <f t="shared" ca="1" si="32"/>
        <v>0</v>
      </c>
      <c r="G104" s="14" t="str">
        <f t="shared" ca="1" si="23"/>
        <v>q_40i</v>
      </c>
      <c r="H104" s="14">
        <f ca="1">IF(G104&lt;&gt;"",IFERROR( IsVariableNameLegal(G104),0),0)+IF(COUNTIF(INDIRECT(wew!$C$13),G104)&gt;1,10,0)</f>
        <v>0</v>
      </c>
      <c r="I104" s="14">
        <f ca="1">IF(E104&lt;&gt;"",IF(LEN(E104)&gt;150,1,0)+IF(COUNTIF(INDIRECT(wew!$C$15),E104)&gt;1,10,0),0)</f>
        <v>10</v>
      </c>
      <c r="J104" s="14" t="b">
        <f t="shared" ca="1" si="24"/>
        <v>0</v>
      </c>
      <c r="K104" s="14" t="str">
        <f ca="1">ADDRESS(3,(B104+1)*2-1,4,,"[" &amp; wew!$G$7 &amp; "]" &amp; _sheetname_labels) &amp; ":" &amp; ADDRESS(2+ster!$B$20,(B104+1)*2-1,4)</f>
        <v>'[dane surowe2c.xlsm]labels'!GW3:GW36</v>
      </c>
      <c r="L104" s="14" t="str">
        <f ca="1">IF(F104&gt;0,ADDRESS(3,(B104+1)*2-1,4,,"[" &amp; wew!$G$7 &amp; "]" &amp; _sheetname_labels) &amp; ":" &amp; ADDRESS(2+F104,(B104+1)*2-1,4),"")</f>
        <v/>
      </c>
      <c r="M104" s="14" t="str">
        <f ca="1">IF(F104&gt;0,ADDRESS(3,(B104+1)*2,4,,"["&amp;wew!$G$7&amp;"]"&amp;_sheetname_labels)&amp;":"&amp;ADDRESS(2+F104,(B104+1)*2,4),"")</f>
        <v/>
      </c>
      <c r="N104" s="14" t="str">
        <f ca="1">ADDRESS(3,B104+1,4,,"[" &amp; wew!$G$7 &amp; "]" &amp;_sheetname_dataframe) &amp; ":" &amp; ADDRESS(2+ster!$C$14,B104+1,4)</f>
        <v>'[dane surowe2c.xlsm]data_frame'!CY3:CY35</v>
      </c>
      <c r="O104" s="14">
        <f t="shared" ca="1" si="25"/>
        <v>0</v>
      </c>
      <c r="P104" s="14" t="str">
        <f ca="1">IF(AND($AD104,$S104=1),IF(wew!$B$3,MIN(INDIRECT($N104)),"&lt;włącz podświetlanie wartości&gt;"),"—")</f>
        <v>—</v>
      </c>
      <c r="Q104" s="14" t="str">
        <f ca="1">IF(AND($AD104,$S104=1),IF(wew!$B$3,MAX(INDIRECT($N104)),"&lt;włącz podświetlanie wartości&gt;"),"—")</f>
        <v>—</v>
      </c>
      <c r="R104" s="14">
        <f ca="1">IF(AD104,ster!$C$14- (COUNTIF( INDIRECT(N104),"" )+ COUNT(INDIRECT(N104)) +COUNTIF( INDIRECT(N104),"NA" )),"")</f>
        <v>0</v>
      </c>
      <c r="S104" s="12">
        <f ca="1">IF(AD104,IF(COUNTA(INDIRECT(N104))=0,0, 1-(ster!$C$14- COUNT(INDIRECT(N104)) -COUNTIF( INDIRECT(N104),"" )) /COUNTA(INDIRECT(N104))),"")</f>
        <v>0</v>
      </c>
      <c r="T104" s="17" t="str">
        <f t="array" aca="1" ref="T104" ca="1">IF(L104&lt;&gt;"",SUM(IF(INDIRECT(L104)&lt;&gt;INT(INDIRECT(L104)),1,0)),"")</f>
        <v/>
      </c>
      <c r="U104" s="17" t="str">
        <f t="array" aca="1" ref="U104" ca="1">IF(S104=1,SUM(IF(ISNUMBER(INDIRECT(N104)),IF(INDIRECT(N104)&lt;&gt;INT(INDIRECT(N104)),1,0),0)),"")</f>
        <v/>
      </c>
      <c r="V104" s="17">
        <f t="shared" ca="1" si="26"/>
        <v>0</v>
      </c>
      <c r="W104" s="17">
        <f t="shared" ca="1" si="27"/>
        <v>0</v>
      </c>
      <c r="X104" s="24" t="str">
        <f t="array" aca="1" ref="X104" ca="1">IF(AD104,IF(AG104&lt;&gt;"",AG104,IF(J104,MIN(INDIRECT( K104)),"")),"")</f>
        <v/>
      </c>
      <c r="Y104" s="17" t="str">
        <f t="array" aca="1" ref="Y104" ca="1">IF(AD104,IF(AH104&lt;&gt;"",AH104,IF(J104,MAX(INDIRECT( K104)),"")),"")</f>
        <v/>
      </c>
      <c r="Z104" s="17" t="b">
        <f t="shared" ca="1" si="28"/>
        <v>0</v>
      </c>
      <c r="AC104" s="17" t="b">
        <f t="shared" ca="1" si="29"/>
        <v>0</v>
      </c>
      <c r="AD104" s="14" t="b">
        <f t="shared" ca="1" si="30"/>
        <v>1</v>
      </c>
      <c r="AE104" s="15" t="b">
        <f t="shared" ca="1" si="31"/>
        <v>0</v>
      </c>
      <c r="AF104" s="16"/>
      <c r="AG104" s="16"/>
      <c r="AH104" s="16"/>
      <c r="AI104" s="16"/>
      <c r="AJ104" s="16"/>
      <c r="AK104" s="16"/>
      <c r="AL104" s="16"/>
      <c r="AM104" s="16"/>
    </row>
    <row r="105" spans="2:39">
      <c r="B105" s="14">
        <f t="shared" si="20"/>
        <v>103</v>
      </c>
      <c r="C105" s="14" t="str">
        <f t="shared" ca="1" si="21"/>
        <v>I</v>
      </c>
      <c r="D105" s="14" t="str">
        <f t="shared" ca="1" si="22"/>
        <v>q_40j</v>
      </c>
      <c r="E105" s="14" t="str">
        <f t="shared" ca="1" si="19"/>
        <v>Other family member 3</v>
      </c>
      <c r="F105" s="14">
        <f t="shared" ca="1" si="32"/>
        <v>0</v>
      </c>
      <c r="G105" s="14" t="str">
        <f t="shared" ca="1" si="23"/>
        <v>q_40j</v>
      </c>
      <c r="H105" s="14">
        <f ca="1">IF(G105&lt;&gt;"",IFERROR( IsVariableNameLegal(G105),0),0)+IF(COUNTIF(INDIRECT(wew!$C$13),G105)&gt;1,10,0)</f>
        <v>0</v>
      </c>
      <c r="I105" s="14">
        <f ca="1">IF(E105&lt;&gt;"",IF(LEN(E105)&gt;150,1,0)+IF(COUNTIF(INDIRECT(wew!$C$15),E105)&gt;1,10,0),0)</f>
        <v>10</v>
      </c>
      <c r="J105" s="14" t="b">
        <f t="shared" ca="1" si="24"/>
        <v>0</v>
      </c>
      <c r="K105" s="14" t="str">
        <f ca="1">ADDRESS(3,(B105+1)*2-1,4,,"[" &amp; wew!$G$7 &amp; "]" &amp; _sheetname_labels) &amp; ":" &amp; ADDRESS(2+ster!$B$20,(B105+1)*2-1,4)</f>
        <v>'[dane surowe2c.xlsm]labels'!GY3:GY36</v>
      </c>
      <c r="L105" s="14" t="str">
        <f ca="1">IF(F105&gt;0,ADDRESS(3,(B105+1)*2-1,4,,"[" &amp; wew!$G$7 &amp; "]" &amp; _sheetname_labels) &amp; ":" &amp; ADDRESS(2+F105,(B105+1)*2-1,4),"")</f>
        <v/>
      </c>
      <c r="M105" s="14" t="str">
        <f ca="1">IF(F105&gt;0,ADDRESS(3,(B105+1)*2,4,,"["&amp;wew!$G$7&amp;"]"&amp;_sheetname_labels)&amp;":"&amp;ADDRESS(2+F105,(B105+1)*2,4),"")</f>
        <v/>
      </c>
      <c r="N105" s="14" t="str">
        <f ca="1">ADDRESS(3,B105+1,4,,"[" &amp; wew!$G$7 &amp; "]" &amp;_sheetname_dataframe) &amp; ":" &amp; ADDRESS(2+ster!$C$14,B105+1,4)</f>
        <v>'[dane surowe2c.xlsm]data_frame'!CZ3:CZ35</v>
      </c>
      <c r="O105" s="14">
        <f t="shared" ca="1" si="25"/>
        <v>0</v>
      </c>
      <c r="P105" s="14" t="str">
        <f ca="1">IF(AND($AD105,$S105=1),IF(wew!$B$3,MIN(INDIRECT($N105)),"&lt;włącz podświetlanie wartości&gt;"),"—")</f>
        <v>—</v>
      </c>
      <c r="Q105" s="14" t="str">
        <f ca="1">IF(AND($AD105,$S105=1),IF(wew!$B$3,MAX(INDIRECT($N105)),"&lt;włącz podświetlanie wartości&gt;"),"—")</f>
        <v>—</v>
      </c>
      <c r="R105" s="14">
        <f ca="1">IF(AD105,ster!$C$14- (COUNTIF( INDIRECT(N105),"" )+ COUNT(INDIRECT(N105)) +COUNTIF( INDIRECT(N105),"NA" )),"")</f>
        <v>0</v>
      </c>
      <c r="S105" s="12">
        <f ca="1">IF(AD105,IF(COUNTA(INDIRECT(N105))=0,0, 1-(ster!$C$14- COUNT(INDIRECT(N105)) -COUNTIF( INDIRECT(N105),"" )) /COUNTA(INDIRECT(N105))),"")</f>
        <v>0</v>
      </c>
      <c r="T105" s="17" t="str">
        <f t="array" aca="1" ref="T105" ca="1">IF(L105&lt;&gt;"",SUM(IF(INDIRECT(L105)&lt;&gt;INT(INDIRECT(L105)),1,0)),"")</f>
        <v/>
      </c>
      <c r="U105" s="17" t="str">
        <f t="array" aca="1" ref="U105" ca="1">IF(S105=1,SUM(IF(ISNUMBER(INDIRECT(N105)),IF(INDIRECT(N105)&lt;&gt;INT(INDIRECT(N105)),1,0),0)),"")</f>
        <v/>
      </c>
      <c r="V105" s="17">
        <f t="shared" ca="1" si="26"/>
        <v>0</v>
      </c>
      <c r="W105" s="17">
        <f t="shared" ca="1" si="27"/>
        <v>0</v>
      </c>
      <c r="X105" s="24" t="str">
        <f t="array" aca="1" ref="X105" ca="1">IF(AD105,IF(AG105&lt;&gt;"",AG105,IF(J105,MIN(INDIRECT( K105)),"")),"")</f>
        <v/>
      </c>
      <c r="Y105" s="17" t="str">
        <f t="array" aca="1" ref="Y105" ca="1">IF(AD105,IF(AH105&lt;&gt;"",AH105,IF(J105,MAX(INDIRECT( K105)),"")),"")</f>
        <v/>
      </c>
      <c r="Z105" s="17" t="b">
        <f t="shared" ca="1" si="28"/>
        <v>0</v>
      </c>
      <c r="AC105" s="17" t="b">
        <f t="shared" ca="1" si="29"/>
        <v>0</v>
      </c>
      <c r="AD105" s="14" t="b">
        <f t="shared" ca="1" si="30"/>
        <v>1</v>
      </c>
      <c r="AE105" s="15" t="b">
        <f t="shared" ca="1" si="31"/>
        <v>0</v>
      </c>
      <c r="AF105" s="16"/>
      <c r="AG105" s="16"/>
      <c r="AH105" s="16"/>
      <c r="AI105" s="16"/>
      <c r="AJ105" s="16"/>
      <c r="AK105" s="16"/>
      <c r="AL105" s="16"/>
      <c r="AM105" s="16"/>
    </row>
    <row r="106" spans="2:39">
      <c r="B106" s="14">
        <f t="shared" si="20"/>
        <v>104</v>
      </c>
      <c r="C106" s="14" t="str">
        <f t="shared" ca="1" si="21"/>
        <v>D</v>
      </c>
      <c r="D106" s="14" t="str">
        <f t="shared" ca="1" si="22"/>
        <v>q_41a</v>
      </c>
      <c r="E106" s="14" t="str">
        <f t="shared" ca="1" si="19"/>
        <v>Was there PD in the family</v>
      </c>
      <c r="F106" s="14">
        <f t="shared" ca="1" si="32"/>
        <v>2</v>
      </c>
      <c r="G106" s="14" t="str">
        <f t="shared" ca="1" si="23"/>
        <v>q_41a</v>
      </c>
      <c r="H106" s="14">
        <f ca="1">IF(G106&lt;&gt;"",IFERROR( IsVariableNameLegal(G106),0),0)+IF(COUNTIF(INDIRECT(wew!$C$13),G106)&gt;1,10,0)</f>
        <v>0</v>
      </c>
      <c r="I106" s="14">
        <f ca="1">IF(E106&lt;&gt;"",IF(LEN(E106)&gt;150,1,0)+IF(COUNTIF(INDIRECT(wew!$C$15),E106)&gt;1,10,0),0)</f>
        <v>0</v>
      </c>
      <c r="J106" s="14" t="b">
        <f t="shared" ca="1" si="24"/>
        <v>1</v>
      </c>
      <c r="K106" s="14" t="str">
        <f ca="1">ADDRESS(3,(B106+1)*2-1,4,,"[" &amp; wew!$G$7 &amp; "]" &amp; _sheetname_labels) &amp; ":" &amp; ADDRESS(2+ster!$B$20,(B106+1)*2-1,4)</f>
        <v>'[dane surowe2c.xlsm]labels'!HA3:HA36</v>
      </c>
      <c r="L106" s="14" t="str">
        <f ca="1">IF(F106&gt;0,ADDRESS(3,(B106+1)*2-1,4,,"[" &amp; wew!$G$7 &amp; "]" &amp; _sheetname_labels) &amp; ":" &amp; ADDRESS(2+F106,(B106+1)*2-1,4),"")</f>
        <v>'[dane surowe2c.xlsm]labels'!HA3:HA4</v>
      </c>
      <c r="M106" s="14" t="str">
        <f ca="1">IF(F106&gt;0,ADDRESS(3,(B106+1)*2,4,,"["&amp;wew!$G$7&amp;"]"&amp;_sheetname_labels)&amp;":"&amp;ADDRESS(2+F106,(B106+1)*2,4),"")</f>
        <v>'[dane surowe2c.xlsm]labels'!HB3:HB4</v>
      </c>
      <c r="N106" s="14" t="str">
        <f ca="1">ADDRESS(3,B106+1,4,,"[" &amp; wew!$G$7 &amp; "]" &amp;_sheetname_dataframe) &amp; ":" &amp; ADDRESS(2+ster!$C$14,B106+1,4)</f>
        <v>'[dane surowe2c.xlsm]data_frame'!DA3:DA35</v>
      </c>
      <c r="O106" s="14">
        <f t="shared" ca="1" si="25"/>
        <v>32</v>
      </c>
      <c r="P106" s="14">
        <f ca="1">IF(AND($AD106,$S106=1),IF(wew!$B$3,MIN(INDIRECT($N106)),"&lt;włącz podświetlanie wartości&gt;"),"—")</f>
        <v>1</v>
      </c>
      <c r="Q106" s="14">
        <f ca="1">IF(AND($AD106,$S106=1),IF(wew!$B$3,MAX(INDIRECT($N106)),"&lt;włącz podświetlanie wartości&gt;"),"—")</f>
        <v>2</v>
      </c>
      <c r="R106" s="14">
        <f ca="1">IF(AD106,ster!$C$14- (COUNTIF( INDIRECT(N106),"" )+ COUNT(INDIRECT(N106)) +COUNTIF( INDIRECT(N106),"NA" )),"")</f>
        <v>0</v>
      </c>
      <c r="S106" s="12">
        <f ca="1">IF(AD106,IF(COUNTA(INDIRECT(N106))=0,0, 1-(ster!$C$14- COUNT(INDIRECT(N106)) -COUNTIF( INDIRECT(N106),"" )) /COUNTA(INDIRECT(N106))),"")</f>
        <v>1</v>
      </c>
      <c r="T106" s="17">
        <f t="array" aca="1" ref="T106" ca="1">IF(L106&lt;&gt;"",SUM(IF(INDIRECT(L106)&lt;&gt;INT(INDIRECT(L106)),1,0)),"")</f>
        <v>0</v>
      </c>
      <c r="U106" s="17">
        <f t="array" aca="1" ref="U106" ca="1">IF(S106=1,SUM(IF(ISNUMBER(INDIRECT(N106)),IF(INDIRECT(N106)&lt;&gt;INT(INDIRECT(N106)),1,0),0)),"")</f>
        <v>0</v>
      </c>
      <c r="V106" s="17">
        <f t="shared" ca="1" si="26"/>
        <v>1</v>
      </c>
      <c r="W106" s="17">
        <f t="shared" ca="1" si="27"/>
        <v>0</v>
      </c>
      <c r="X106" s="24">
        <f t="array" aca="1" ref="X106" ca="1">IF(AD106,IF(AG106&lt;&gt;"",AG106,IF(J106,MIN(INDIRECT( K106)),"")),"")</f>
        <v>1</v>
      </c>
      <c r="Y106" s="17">
        <f t="array" aca="1" ref="Y106" ca="1">IF(AD106,IF(AH106&lt;&gt;"",AH106,IF(J106,MAX(INDIRECT( K106)),"")),"")</f>
        <v>2</v>
      </c>
      <c r="Z106" s="17" t="b">
        <f t="shared" ca="1" si="28"/>
        <v>1</v>
      </c>
      <c r="AC106" s="17" t="b">
        <f t="shared" ca="1" si="29"/>
        <v>0</v>
      </c>
      <c r="AD106" s="14" t="b">
        <f t="shared" ca="1" si="30"/>
        <v>1</v>
      </c>
      <c r="AE106" s="15" t="b">
        <f t="shared" ca="1" si="31"/>
        <v>1</v>
      </c>
      <c r="AF106" s="16"/>
      <c r="AG106" s="16"/>
      <c r="AH106" s="16"/>
      <c r="AI106" s="16"/>
      <c r="AJ106" s="16"/>
      <c r="AK106" s="16"/>
      <c r="AL106" s="16"/>
      <c r="AM106" s="16"/>
    </row>
    <row r="107" spans="2:39">
      <c r="B107" s="14">
        <f t="shared" si="20"/>
        <v>105</v>
      </c>
      <c r="C107" s="14" t="str">
        <f t="shared" ca="1" si="21"/>
        <v>D</v>
      </c>
      <c r="D107" s="14" t="str">
        <f t="shared" ca="1" si="22"/>
        <v>q_41b</v>
      </c>
      <c r="E107" s="14" t="str">
        <f t="shared" ca="1" si="19"/>
        <v>Mother</v>
      </c>
      <c r="F107" s="14">
        <f t="shared" ca="1" si="32"/>
        <v>2</v>
      </c>
      <c r="G107" s="14" t="str">
        <f t="shared" ca="1" si="23"/>
        <v>q_41b</v>
      </c>
      <c r="H107" s="14">
        <f ca="1">IF(G107&lt;&gt;"",IFERROR( IsVariableNameLegal(G107),0),0)+IF(COUNTIF(INDIRECT(wew!$C$13),G107)&gt;1,10,0)</f>
        <v>0</v>
      </c>
      <c r="I107" s="14">
        <f ca="1">IF(E107&lt;&gt;"",IF(LEN(E107)&gt;150,1,0)+IF(COUNTIF(INDIRECT(wew!$C$15),E107)&gt;1,10,0),0)</f>
        <v>10</v>
      </c>
      <c r="J107" s="14" t="b">
        <f t="shared" ca="1" si="24"/>
        <v>1</v>
      </c>
      <c r="K107" s="14" t="str">
        <f ca="1">ADDRESS(3,(B107+1)*2-1,4,,"[" &amp; wew!$G$7 &amp; "]" &amp; _sheetname_labels) &amp; ":" &amp; ADDRESS(2+ster!$B$20,(B107+1)*2-1,4)</f>
        <v>'[dane surowe2c.xlsm]labels'!HC3:HC36</v>
      </c>
      <c r="L107" s="14" t="str">
        <f ca="1">IF(F107&gt;0,ADDRESS(3,(B107+1)*2-1,4,,"[" &amp; wew!$G$7 &amp; "]" &amp; _sheetname_labels) &amp; ":" &amp; ADDRESS(2+F107,(B107+1)*2-1,4),"")</f>
        <v>'[dane surowe2c.xlsm]labels'!HC3:HC4</v>
      </c>
      <c r="M107" s="14" t="str">
        <f ca="1">IF(F107&gt;0,ADDRESS(3,(B107+1)*2,4,,"["&amp;wew!$G$7&amp;"]"&amp;_sheetname_labels)&amp;":"&amp;ADDRESS(2+F107,(B107+1)*2,4),"")</f>
        <v>'[dane surowe2c.xlsm]labels'!HD3:HD4</v>
      </c>
      <c r="N107" s="14" t="str">
        <f ca="1">ADDRESS(3,B107+1,4,,"[" &amp; wew!$G$7 &amp; "]" &amp;_sheetname_dataframe) &amp; ":" &amp; ADDRESS(2+ster!$C$14,B107+1,4)</f>
        <v>'[dane surowe2c.xlsm]data_frame'!DB3:DB35</v>
      </c>
      <c r="O107" s="14">
        <f t="shared" ca="1" si="25"/>
        <v>32</v>
      </c>
      <c r="P107" s="14">
        <f ca="1">IF(AND($AD107,$S107=1),IF(wew!$B$3,MIN(INDIRECT($N107)),"&lt;włącz podświetlanie wartości&gt;"),"—")</f>
        <v>2</v>
      </c>
      <c r="Q107" s="14">
        <f ca="1">IF(AND($AD107,$S107=1),IF(wew!$B$3,MAX(INDIRECT($N107)),"&lt;włącz podświetlanie wartości&gt;"),"—")</f>
        <v>2</v>
      </c>
      <c r="R107" s="14">
        <f ca="1">IF(AD107,ster!$C$14- (COUNTIF( INDIRECT(N107),"" )+ COUNT(INDIRECT(N107)) +COUNTIF( INDIRECT(N107),"NA" )),"")</f>
        <v>0</v>
      </c>
      <c r="S107" s="12">
        <f ca="1">IF(AD107,IF(COUNTA(INDIRECT(N107))=0,0, 1-(ster!$C$14- COUNT(INDIRECT(N107)) -COUNTIF( INDIRECT(N107),"" )) /COUNTA(INDIRECT(N107))),"")</f>
        <v>1</v>
      </c>
      <c r="T107" s="17">
        <f t="array" aca="1" ref="T107" ca="1">IF(L107&lt;&gt;"",SUM(IF(INDIRECT(L107)&lt;&gt;INT(INDIRECT(L107)),1,0)),"")</f>
        <v>0</v>
      </c>
      <c r="U107" s="17">
        <f t="array" aca="1" ref="U107" ca="1">IF(S107=1,SUM(IF(ISNUMBER(INDIRECT(N107)),IF(INDIRECT(N107)&lt;&gt;INT(INDIRECT(N107)),1,0),0)),"")</f>
        <v>0</v>
      </c>
      <c r="V107" s="17">
        <f t="shared" ca="1" si="26"/>
        <v>1</v>
      </c>
      <c r="W107" s="17">
        <f t="shared" ca="1" si="27"/>
        <v>0</v>
      </c>
      <c r="X107" s="24">
        <f t="array" aca="1" ref="X107" ca="1">IF(AD107,IF(AG107&lt;&gt;"",AG107,IF(J107,MIN(INDIRECT( K107)),"")),"")</f>
        <v>1</v>
      </c>
      <c r="Y107" s="17">
        <f t="array" aca="1" ref="Y107" ca="1">IF(AD107,IF(AH107&lt;&gt;"",AH107,IF(J107,MAX(INDIRECT( K107)),"")),"")</f>
        <v>2</v>
      </c>
      <c r="Z107" s="17" t="b">
        <f t="shared" ca="1" si="28"/>
        <v>1</v>
      </c>
      <c r="AC107" s="17" t="b">
        <f t="shared" ca="1" si="29"/>
        <v>0</v>
      </c>
      <c r="AD107" s="14" t="b">
        <f t="shared" ca="1" si="30"/>
        <v>1</v>
      </c>
      <c r="AE107" s="15" t="b">
        <f t="shared" ca="1" si="31"/>
        <v>1</v>
      </c>
      <c r="AF107" s="16"/>
      <c r="AG107" s="16"/>
      <c r="AH107" s="16"/>
      <c r="AI107" s="16"/>
      <c r="AJ107" s="16"/>
      <c r="AK107" s="16"/>
      <c r="AL107" s="16"/>
      <c r="AM107" s="16"/>
    </row>
    <row r="108" spans="2:39">
      <c r="B108" s="14">
        <f t="shared" si="20"/>
        <v>106</v>
      </c>
      <c r="C108" s="14" t="str">
        <f t="shared" ca="1" si="21"/>
        <v>D</v>
      </c>
      <c r="D108" s="14" t="str">
        <f t="shared" ca="1" si="22"/>
        <v>q_41c</v>
      </c>
      <c r="E108" s="14" t="str">
        <f t="shared" ca="1" si="19"/>
        <v>Father</v>
      </c>
      <c r="F108" s="14">
        <f t="shared" ca="1" si="32"/>
        <v>2</v>
      </c>
      <c r="G108" s="14" t="str">
        <f t="shared" ca="1" si="23"/>
        <v>q_41c</v>
      </c>
      <c r="H108" s="14">
        <f ca="1">IF(G108&lt;&gt;"",IFERROR( IsVariableNameLegal(G108),0),0)+IF(COUNTIF(INDIRECT(wew!$C$13),G108)&gt;1,10,0)</f>
        <v>0</v>
      </c>
      <c r="I108" s="14">
        <f ca="1">IF(E108&lt;&gt;"",IF(LEN(E108)&gt;150,1,0)+IF(COUNTIF(INDIRECT(wew!$C$15),E108)&gt;1,10,0),0)</f>
        <v>10</v>
      </c>
      <c r="J108" s="14" t="b">
        <f t="shared" ca="1" si="24"/>
        <v>1</v>
      </c>
      <c r="K108" s="14" t="str">
        <f ca="1">ADDRESS(3,(B108+1)*2-1,4,,"[" &amp; wew!$G$7 &amp; "]" &amp; _sheetname_labels) &amp; ":" &amp; ADDRESS(2+ster!$B$20,(B108+1)*2-1,4)</f>
        <v>'[dane surowe2c.xlsm]labels'!HE3:HE36</v>
      </c>
      <c r="L108" s="14" t="str">
        <f ca="1">IF(F108&gt;0,ADDRESS(3,(B108+1)*2-1,4,,"[" &amp; wew!$G$7 &amp; "]" &amp; _sheetname_labels) &amp; ":" &amp; ADDRESS(2+F108,(B108+1)*2-1,4),"")</f>
        <v>'[dane surowe2c.xlsm]labels'!HE3:HE4</v>
      </c>
      <c r="M108" s="14" t="str">
        <f ca="1">IF(F108&gt;0,ADDRESS(3,(B108+1)*2,4,,"["&amp;wew!$G$7&amp;"]"&amp;_sheetname_labels)&amp;":"&amp;ADDRESS(2+F108,(B108+1)*2,4),"")</f>
        <v>'[dane surowe2c.xlsm]labels'!HF3:HF4</v>
      </c>
      <c r="N108" s="14" t="str">
        <f ca="1">ADDRESS(3,B108+1,4,,"[" &amp; wew!$G$7 &amp; "]" &amp;_sheetname_dataframe) &amp; ":" &amp; ADDRESS(2+ster!$C$14,B108+1,4)</f>
        <v>'[dane surowe2c.xlsm]data_frame'!DC3:DC35</v>
      </c>
      <c r="O108" s="14">
        <f t="shared" ca="1" si="25"/>
        <v>32</v>
      </c>
      <c r="P108" s="14">
        <f ca="1">IF(AND($AD108,$S108=1),IF(wew!$B$3,MIN(INDIRECT($N108)),"&lt;włącz podświetlanie wartości&gt;"),"—")</f>
        <v>2</v>
      </c>
      <c r="Q108" s="14">
        <f ca="1">IF(AND($AD108,$S108=1),IF(wew!$B$3,MAX(INDIRECT($N108)),"&lt;włącz podświetlanie wartości&gt;"),"—")</f>
        <v>2</v>
      </c>
      <c r="R108" s="14">
        <f ca="1">IF(AD108,ster!$C$14- (COUNTIF( INDIRECT(N108),"" )+ COUNT(INDIRECT(N108)) +COUNTIF( INDIRECT(N108),"NA" )),"")</f>
        <v>0</v>
      </c>
      <c r="S108" s="12">
        <f ca="1">IF(AD108,IF(COUNTA(INDIRECT(N108))=0,0, 1-(ster!$C$14- COUNT(INDIRECT(N108)) -COUNTIF( INDIRECT(N108),"" )) /COUNTA(INDIRECT(N108))),"")</f>
        <v>1</v>
      </c>
      <c r="T108" s="17">
        <f t="array" aca="1" ref="T108" ca="1">IF(L108&lt;&gt;"",SUM(IF(INDIRECT(L108)&lt;&gt;INT(INDIRECT(L108)),1,0)),"")</f>
        <v>0</v>
      </c>
      <c r="U108" s="17">
        <f t="array" aca="1" ref="U108" ca="1">IF(S108=1,SUM(IF(ISNUMBER(INDIRECT(N108)),IF(INDIRECT(N108)&lt;&gt;INT(INDIRECT(N108)),1,0),0)),"")</f>
        <v>0</v>
      </c>
      <c r="V108" s="17">
        <f t="shared" ca="1" si="26"/>
        <v>1</v>
      </c>
      <c r="W108" s="17">
        <f t="shared" ca="1" si="27"/>
        <v>0</v>
      </c>
      <c r="X108" s="24">
        <f t="array" aca="1" ref="X108" ca="1">IF(AD108,IF(AG108&lt;&gt;"",AG108,IF(J108,MIN(INDIRECT( K108)),"")),"")</f>
        <v>1</v>
      </c>
      <c r="Y108" s="17">
        <f t="array" aca="1" ref="Y108" ca="1">IF(AD108,IF(AH108&lt;&gt;"",AH108,IF(J108,MAX(INDIRECT( K108)),"")),"")</f>
        <v>2</v>
      </c>
      <c r="Z108" s="17" t="b">
        <f t="shared" ca="1" si="28"/>
        <v>1</v>
      </c>
      <c r="AC108" s="17" t="b">
        <f t="shared" ca="1" si="29"/>
        <v>0</v>
      </c>
      <c r="AD108" s="14" t="b">
        <f t="shared" ca="1" si="30"/>
        <v>1</v>
      </c>
      <c r="AE108" s="15" t="b">
        <f t="shared" ca="1" si="31"/>
        <v>1</v>
      </c>
      <c r="AF108" s="16"/>
      <c r="AG108" s="16"/>
      <c r="AH108" s="16"/>
      <c r="AI108" s="16"/>
      <c r="AJ108" s="16"/>
      <c r="AK108" s="16"/>
      <c r="AL108" s="16"/>
      <c r="AM108" s="16"/>
    </row>
    <row r="109" spans="2:39">
      <c r="B109" s="14">
        <f t="shared" si="20"/>
        <v>107</v>
      </c>
      <c r="C109" s="14" t="str">
        <f t="shared" ca="1" si="21"/>
        <v>D</v>
      </c>
      <c r="D109" s="14" t="str">
        <f t="shared" ca="1" si="22"/>
        <v>q_41d</v>
      </c>
      <c r="E109" s="14" t="str">
        <f t="shared" ca="1" si="19"/>
        <v>Heterozygous twin brother</v>
      </c>
      <c r="F109" s="14">
        <f t="shared" ca="1" si="32"/>
        <v>2</v>
      </c>
      <c r="G109" s="14" t="str">
        <f t="shared" ca="1" si="23"/>
        <v>q_41d</v>
      </c>
      <c r="H109" s="14">
        <f ca="1">IF(G109&lt;&gt;"",IFERROR( IsVariableNameLegal(G109),0),0)+IF(COUNTIF(INDIRECT(wew!$C$13),G109)&gt;1,10,0)</f>
        <v>0</v>
      </c>
      <c r="I109" s="14">
        <f ca="1">IF(E109&lt;&gt;"",IF(LEN(E109)&gt;150,1,0)+IF(COUNTIF(INDIRECT(wew!$C$15),E109)&gt;1,10,0),0)</f>
        <v>10</v>
      </c>
      <c r="J109" s="14" t="b">
        <f t="shared" ca="1" si="24"/>
        <v>1</v>
      </c>
      <c r="K109" s="14" t="str">
        <f ca="1">ADDRESS(3,(B109+1)*2-1,4,,"[" &amp; wew!$G$7 &amp; "]" &amp; _sheetname_labels) &amp; ":" &amp; ADDRESS(2+ster!$B$20,(B109+1)*2-1,4)</f>
        <v>'[dane surowe2c.xlsm]labels'!HG3:HG36</v>
      </c>
      <c r="L109" s="14" t="str">
        <f ca="1">IF(F109&gt;0,ADDRESS(3,(B109+1)*2-1,4,,"[" &amp; wew!$G$7 &amp; "]" &amp; _sheetname_labels) &amp; ":" &amp; ADDRESS(2+F109,(B109+1)*2-1,4),"")</f>
        <v>'[dane surowe2c.xlsm]labels'!HG3:HG4</v>
      </c>
      <c r="M109" s="14" t="str">
        <f ca="1">IF(F109&gt;0,ADDRESS(3,(B109+1)*2,4,,"["&amp;wew!$G$7&amp;"]"&amp;_sheetname_labels)&amp;":"&amp;ADDRESS(2+F109,(B109+1)*2,4),"")</f>
        <v>'[dane surowe2c.xlsm]labels'!HH3:HH4</v>
      </c>
      <c r="N109" s="14" t="str">
        <f ca="1">ADDRESS(3,B109+1,4,,"[" &amp; wew!$G$7 &amp; "]" &amp;_sheetname_dataframe) &amp; ":" &amp; ADDRESS(2+ster!$C$14,B109+1,4)</f>
        <v>'[dane surowe2c.xlsm]data_frame'!DD3:DD35</v>
      </c>
      <c r="O109" s="14">
        <f t="shared" ca="1" si="25"/>
        <v>32</v>
      </c>
      <c r="P109" s="14">
        <f ca="1">IF(AND($AD109,$S109=1),IF(wew!$B$3,MIN(INDIRECT($N109)),"&lt;włącz podświetlanie wartości&gt;"),"—")</f>
        <v>2</v>
      </c>
      <c r="Q109" s="14">
        <f ca="1">IF(AND($AD109,$S109=1),IF(wew!$B$3,MAX(INDIRECT($N109)),"&lt;włącz podświetlanie wartości&gt;"),"—")</f>
        <v>2</v>
      </c>
      <c r="R109" s="14">
        <f ca="1">IF(AD109,ster!$C$14- (COUNTIF( INDIRECT(N109),"" )+ COUNT(INDIRECT(N109)) +COUNTIF( INDIRECT(N109),"NA" )),"")</f>
        <v>0</v>
      </c>
      <c r="S109" s="12">
        <f ca="1">IF(AD109,IF(COUNTA(INDIRECT(N109))=0,0, 1-(ster!$C$14- COUNT(INDIRECT(N109)) -COUNTIF( INDIRECT(N109),"" )) /COUNTA(INDIRECT(N109))),"")</f>
        <v>1</v>
      </c>
      <c r="T109" s="17">
        <f t="array" aca="1" ref="T109" ca="1">IF(L109&lt;&gt;"",SUM(IF(INDIRECT(L109)&lt;&gt;INT(INDIRECT(L109)),1,0)),"")</f>
        <v>0</v>
      </c>
      <c r="U109" s="17">
        <f t="array" aca="1" ref="U109" ca="1">IF(S109=1,SUM(IF(ISNUMBER(INDIRECT(N109)),IF(INDIRECT(N109)&lt;&gt;INT(INDIRECT(N109)),1,0),0)),"")</f>
        <v>0</v>
      </c>
      <c r="V109" s="17">
        <f t="shared" ca="1" si="26"/>
        <v>1</v>
      </c>
      <c r="W109" s="17">
        <f t="shared" ca="1" si="27"/>
        <v>0</v>
      </c>
      <c r="X109" s="24">
        <f t="array" aca="1" ref="X109" ca="1">IF(AD109,IF(AG109&lt;&gt;"",AG109,IF(J109,MIN(INDIRECT( K109)),"")),"")</f>
        <v>1</v>
      </c>
      <c r="Y109" s="17">
        <f t="array" aca="1" ref="Y109" ca="1">IF(AD109,IF(AH109&lt;&gt;"",AH109,IF(J109,MAX(INDIRECT( K109)),"")),"")</f>
        <v>2</v>
      </c>
      <c r="Z109" s="17" t="b">
        <f t="shared" ca="1" si="28"/>
        <v>1</v>
      </c>
      <c r="AC109" s="17" t="b">
        <f t="shared" ca="1" si="29"/>
        <v>0</v>
      </c>
      <c r="AD109" s="14" t="b">
        <f t="shared" ca="1" si="30"/>
        <v>1</v>
      </c>
      <c r="AE109" s="15" t="b">
        <f t="shared" ca="1" si="31"/>
        <v>1</v>
      </c>
      <c r="AF109" s="16"/>
      <c r="AG109" s="16"/>
      <c r="AH109" s="16"/>
      <c r="AI109" s="16"/>
      <c r="AJ109" s="16"/>
      <c r="AK109" s="16"/>
      <c r="AL109" s="16"/>
      <c r="AM109" s="16"/>
    </row>
    <row r="110" spans="2:39">
      <c r="B110" s="14">
        <f t="shared" si="20"/>
        <v>108</v>
      </c>
      <c r="C110" s="14" t="str">
        <f t="shared" ca="1" si="21"/>
        <v>D</v>
      </c>
      <c r="D110" s="14" t="str">
        <f t="shared" ca="1" si="22"/>
        <v>q_41e</v>
      </c>
      <c r="E110" s="14" t="str">
        <f t="shared" ca="1" si="19"/>
        <v>homozygous twin brother</v>
      </c>
      <c r="F110" s="14">
        <f t="shared" ca="1" si="32"/>
        <v>2</v>
      </c>
      <c r="G110" s="14" t="str">
        <f t="shared" ca="1" si="23"/>
        <v>q_41e</v>
      </c>
      <c r="H110" s="14">
        <f ca="1">IF(G110&lt;&gt;"",IFERROR( IsVariableNameLegal(G110),0),0)+IF(COUNTIF(INDIRECT(wew!$C$13),G110)&gt;1,10,0)</f>
        <v>0</v>
      </c>
      <c r="I110" s="14">
        <f ca="1">IF(E110&lt;&gt;"",IF(LEN(E110)&gt;150,1,0)+IF(COUNTIF(INDIRECT(wew!$C$15),E110)&gt;1,10,0),0)</f>
        <v>10</v>
      </c>
      <c r="J110" s="14" t="b">
        <f t="shared" ca="1" si="24"/>
        <v>1</v>
      </c>
      <c r="K110" s="14" t="str">
        <f ca="1">ADDRESS(3,(B110+1)*2-1,4,,"[" &amp; wew!$G$7 &amp; "]" &amp; _sheetname_labels) &amp; ":" &amp; ADDRESS(2+ster!$B$20,(B110+1)*2-1,4)</f>
        <v>'[dane surowe2c.xlsm]labels'!HI3:HI36</v>
      </c>
      <c r="L110" s="14" t="str">
        <f ca="1">IF(F110&gt;0,ADDRESS(3,(B110+1)*2-1,4,,"[" &amp; wew!$G$7 &amp; "]" &amp; _sheetname_labels) &amp; ":" &amp; ADDRESS(2+F110,(B110+1)*2-1,4),"")</f>
        <v>'[dane surowe2c.xlsm]labels'!HI3:HI4</v>
      </c>
      <c r="M110" s="14" t="str">
        <f ca="1">IF(F110&gt;0,ADDRESS(3,(B110+1)*2,4,,"["&amp;wew!$G$7&amp;"]"&amp;_sheetname_labels)&amp;":"&amp;ADDRESS(2+F110,(B110+1)*2,4),"")</f>
        <v>'[dane surowe2c.xlsm]labels'!HJ3:HJ4</v>
      </c>
      <c r="N110" s="14" t="str">
        <f ca="1">ADDRESS(3,B110+1,4,,"[" &amp; wew!$G$7 &amp; "]" &amp;_sheetname_dataframe) &amp; ":" &amp; ADDRESS(2+ster!$C$14,B110+1,4)</f>
        <v>'[dane surowe2c.xlsm]data_frame'!DE3:DE35</v>
      </c>
      <c r="O110" s="14">
        <f t="shared" ca="1" si="25"/>
        <v>32</v>
      </c>
      <c r="P110" s="14">
        <f ca="1">IF(AND($AD110,$S110=1),IF(wew!$B$3,MIN(INDIRECT($N110)),"&lt;włącz podświetlanie wartości&gt;"),"—")</f>
        <v>2</v>
      </c>
      <c r="Q110" s="14">
        <f ca="1">IF(AND($AD110,$S110=1),IF(wew!$B$3,MAX(INDIRECT($N110)),"&lt;włącz podświetlanie wartości&gt;"),"—")</f>
        <v>2</v>
      </c>
      <c r="R110" s="14">
        <f ca="1">IF(AD110,ster!$C$14- (COUNTIF( INDIRECT(N110),"" )+ COUNT(INDIRECT(N110)) +COUNTIF( INDIRECT(N110),"NA" )),"")</f>
        <v>0</v>
      </c>
      <c r="S110" s="12">
        <f ca="1">IF(AD110,IF(COUNTA(INDIRECT(N110))=0,0, 1-(ster!$C$14- COUNT(INDIRECT(N110)) -COUNTIF( INDIRECT(N110),"" )) /COUNTA(INDIRECT(N110))),"")</f>
        <v>1</v>
      </c>
      <c r="T110" s="17">
        <f t="array" aca="1" ref="T110" ca="1">IF(L110&lt;&gt;"",SUM(IF(INDIRECT(L110)&lt;&gt;INT(INDIRECT(L110)),1,0)),"")</f>
        <v>0</v>
      </c>
      <c r="U110" s="17">
        <f t="array" aca="1" ref="U110" ca="1">IF(S110=1,SUM(IF(ISNUMBER(INDIRECT(N110)),IF(INDIRECT(N110)&lt;&gt;INT(INDIRECT(N110)),1,0),0)),"")</f>
        <v>0</v>
      </c>
      <c r="V110" s="17">
        <f t="shared" ca="1" si="26"/>
        <v>1</v>
      </c>
      <c r="W110" s="17">
        <f t="shared" ca="1" si="27"/>
        <v>0</v>
      </c>
      <c r="X110" s="24">
        <f t="array" aca="1" ref="X110" ca="1">IF(AD110,IF(AG110&lt;&gt;"",AG110,IF(J110,MIN(INDIRECT( K110)),"")),"")</f>
        <v>1</v>
      </c>
      <c r="Y110" s="17">
        <f t="array" aca="1" ref="Y110" ca="1">IF(AD110,IF(AH110&lt;&gt;"",AH110,IF(J110,MAX(INDIRECT( K110)),"")),"")</f>
        <v>2</v>
      </c>
      <c r="Z110" s="17" t="b">
        <f t="shared" ca="1" si="28"/>
        <v>1</v>
      </c>
      <c r="AC110" s="17" t="b">
        <f t="shared" ca="1" si="29"/>
        <v>0</v>
      </c>
      <c r="AD110" s="14" t="b">
        <f t="shared" ca="1" si="30"/>
        <v>1</v>
      </c>
      <c r="AE110" s="15" t="b">
        <f t="shared" ca="1" si="31"/>
        <v>1</v>
      </c>
      <c r="AF110" s="16"/>
      <c r="AG110" s="16"/>
      <c r="AH110" s="16"/>
      <c r="AI110" s="16"/>
      <c r="AJ110" s="16"/>
      <c r="AK110" s="16"/>
      <c r="AL110" s="16"/>
      <c r="AM110" s="16"/>
    </row>
    <row r="111" spans="2:39">
      <c r="B111" s="14">
        <f t="shared" si="20"/>
        <v>109</v>
      </c>
      <c r="C111" s="14" t="str">
        <f t="shared" ca="1" si="21"/>
        <v>D</v>
      </c>
      <c r="D111" s="14" t="str">
        <f t="shared" ca="1" si="22"/>
        <v>q_41f</v>
      </c>
      <c r="E111" s="14" t="str">
        <f t="shared" ca="1" si="19"/>
        <v>heterozygous twin sister</v>
      </c>
      <c r="F111" s="14">
        <f t="shared" ca="1" si="32"/>
        <v>2</v>
      </c>
      <c r="G111" s="14" t="str">
        <f t="shared" ca="1" si="23"/>
        <v>q_41f</v>
      </c>
      <c r="H111" s="14">
        <f ca="1">IF(G111&lt;&gt;"",IFERROR( IsVariableNameLegal(G111),0),0)+IF(COUNTIF(INDIRECT(wew!$C$13),G111)&gt;1,10,0)</f>
        <v>0</v>
      </c>
      <c r="I111" s="14">
        <f ca="1">IF(E111&lt;&gt;"",IF(LEN(E111)&gt;150,1,0)+IF(COUNTIF(INDIRECT(wew!$C$15),E111)&gt;1,10,0),0)</f>
        <v>10</v>
      </c>
      <c r="J111" s="14" t="b">
        <f t="shared" ca="1" si="24"/>
        <v>1</v>
      </c>
      <c r="K111" s="14" t="str">
        <f ca="1">ADDRESS(3,(B111+1)*2-1,4,,"[" &amp; wew!$G$7 &amp; "]" &amp; _sheetname_labels) &amp; ":" &amp; ADDRESS(2+ster!$B$20,(B111+1)*2-1,4)</f>
        <v>'[dane surowe2c.xlsm]labels'!HK3:HK36</v>
      </c>
      <c r="L111" s="14" t="str">
        <f ca="1">IF(F111&gt;0,ADDRESS(3,(B111+1)*2-1,4,,"[" &amp; wew!$G$7 &amp; "]" &amp; _sheetname_labels) &amp; ":" &amp; ADDRESS(2+F111,(B111+1)*2-1,4),"")</f>
        <v>'[dane surowe2c.xlsm]labels'!HK3:HK4</v>
      </c>
      <c r="M111" s="14" t="str">
        <f ca="1">IF(F111&gt;0,ADDRESS(3,(B111+1)*2,4,,"["&amp;wew!$G$7&amp;"]"&amp;_sheetname_labels)&amp;":"&amp;ADDRESS(2+F111,(B111+1)*2,4),"")</f>
        <v>'[dane surowe2c.xlsm]labels'!HL3:HL4</v>
      </c>
      <c r="N111" s="14" t="str">
        <f ca="1">ADDRESS(3,B111+1,4,,"[" &amp; wew!$G$7 &amp; "]" &amp;_sheetname_dataframe) &amp; ":" &amp; ADDRESS(2+ster!$C$14,B111+1,4)</f>
        <v>'[dane surowe2c.xlsm]data_frame'!DF3:DF35</v>
      </c>
      <c r="O111" s="14">
        <f t="shared" ca="1" si="25"/>
        <v>32</v>
      </c>
      <c r="P111" s="14">
        <f ca="1">IF(AND($AD111,$S111=1),IF(wew!$B$3,MIN(INDIRECT($N111)),"&lt;włącz podświetlanie wartości&gt;"),"—")</f>
        <v>2</v>
      </c>
      <c r="Q111" s="14">
        <f ca="1">IF(AND($AD111,$S111=1),IF(wew!$B$3,MAX(INDIRECT($N111)),"&lt;włącz podświetlanie wartości&gt;"),"—")</f>
        <v>2</v>
      </c>
      <c r="R111" s="14">
        <f ca="1">IF(AD111,ster!$C$14- (COUNTIF( INDIRECT(N111),"" )+ COUNT(INDIRECT(N111)) +COUNTIF( INDIRECT(N111),"NA" )),"")</f>
        <v>0</v>
      </c>
      <c r="S111" s="12">
        <f ca="1">IF(AD111,IF(COUNTA(INDIRECT(N111))=0,0, 1-(ster!$C$14- COUNT(INDIRECT(N111)) -COUNTIF( INDIRECT(N111),"" )) /COUNTA(INDIRECT(N111))),"")</f>
        <v>1</v>
      </c>
      <c r="T111" s="17">
        <f t="array" aca="1" ref="T111" ca="1">IF(L111&lt;&gt;"",SUM(IF(INDIRECT(L111)&lt;&gt;INT(INDIRECT(L111)),1,0)),"")</f>
        <v>0</v>
      </c>
      <c r="U111" s="17">
        <f t="array" aca="1" ref="U111" ca="1">IF(S111=1,SUM(IF(ISNUMBER(INDIRECT(N111)),IF(INDIRECT(N111)&lt;&gt;INT(INDIRECT(N111)),1,0),0)),"")</f>
        <v>0</v>
      </c>
      <c r="V111" s="17">
        <f t="shared" ca="1" si="26"/>
        <v>1</v>
      </c>
      <c r="W111" s="17">
        <f t="shared" ca="1" si="27"/>
        <v>0</v>
      </c>
      <c r="X111" s="24">
        <f t="array" aca="1" ref="X111" ca="1">IF(AD111,IF(AG111&lt;&gt;"",AG111,IF(J111,MIN(INDIRECT( K111)),"")),"")</f>
        <v>1</v>
      </c>
      <c r="Y111" s="17">
        <f t="array" aca="1" ref="Y111" ca="1">IF(AD111,IF(AH111&lt;&gt;"",AH111,IF(J111,MAX(INDIRECT( K111)),"")),"")</f>
        <v>2</v>
      </c>
      <c r="Z111" s="17" t="b">
        <f t="shared" ca="1" si="28"/>
        <v>1</v>
      </c>
      <c r="AC111" s="17" t="b">
        <f t="shared" ca="1" si="29"/>
        <v>0</v>
      </c>
      <c r="AD111" s="14" t="b">
        <f t="shared" ca="1" si="30"/>
        <v>1</v>
      </c>
      <c r="AE111" s="15" t="b">
        <f t="shared" ca="1" si="31"/>
        <v>1</v>
      </c>
      <c r="AF111" s="16"/>
      <c r="AG111" s="16"/>
      <c r="AH111" s="16"/>
      <c r="AI111" s="16"/>
      <c r="AJ111" s="16"/>
      <c r="AK111" s="16"/>
      <c r="AL111" s="16"/>
      <c r="AM111" s="16"/>
    </row>
    <row r="112" spans="2:39">
      <c r="B112" s="14">
        <f t="shared" si="20"/>
        <v>110</v>
      </c>
      <c r="C112" s="14" t="str">
        <f t="shared" ca="1" si="21"/>
        <v>D</v>
      </c>
      <c r="D112" s="14" t="str">
        <f t="shared" ca="1" si="22"/>
        <v>q_41g</v>
      </c>
      <c r="E112" s="14" t="str">
        <f t="shared" ca="1" si="19"/>
        <v>homozygous twin sister</v>
      </c>
      <c r="F112" s="14">
        <f t="shared" ca="1" si="32"/>
        <v>2</v>
      </c>
      <c r="G112" s="14" t="str">
        <f t="shared" ca="1" si="23"/>
        <v>q_41g</v>
      </c>
      <c r="H112" s="14">
        <f ca="1">IF(G112&lt;&gt;"",IFERROR( IsVariableNameLegal(G112),0),0)+IF(COUNTIF(INDIRECT(wew!$C$13),G112)&gt;1,10,0)</f>
        <v>0</v>
      </c>
      <c r="I112" s="14">
        <f ca="1">IF(E112&lt;&gt;"",IF(LEN(E112)&gt;150,1,0)+IF(COUNTIF(INDIRECT(wew!$C$15),E112)&gt;1,10,0),0)</f>
        <v>10</v>
      </c>
      <c r="J112" s="14" t="b">
        <f t="shared" ca="1" si="24"/>
        <v>1</v>
      </c>
      <c r="K112" s="14" t="str">
        <f ca="1">ADDRESS(3,(B112+1)*2-1,4,,"[" &amp; wew!$G$7 &amp; "]" &amp; _sheetname_labels) &amp; ":" &amp; ADDRESS(2+ster!$B$20,(B112+1)*2-1,4)</f>
        <v>'[dane surowe2c.xlsm]labels'!HM3:HM36</v>
      </c>
      <c r="L112" s="14" t="str">
        <f ca="1">IF(F112&gt;0,ADDRESS(3,(B112+1)*2-1,4,,"[" &amp; wew!$G$7 &amp; "]" &amp; _sheetname_labels) &amp; ":" &amp; ADDRESS(2+F112,(B112+1)*2-1,4),"")</f>
        <v>'[dane surowe2c.xlsm]labels'!HM3:HM4</v>
      </c>
      <c r="M112" s="14" t="str">
        <f ca="1">IF(F112&gt;0,ADDRESS(3,(B112+1)*2,4,,"["&amp;wew!$G$7&amp;"]"&amp;_sheetname_labels)&amp;":"&amp;ADDRESS(2+F112,(B112+1)*2,4),"")</f>
        <v>'[dane surowe2c.xlsm]labels'!HN3:HN4</v>
      </c>
      <c r="N112" s="14" t="str">
        <f ca="1">ADDRESS(3,B112+1,4,,"[" &amp; wew!$G$7 &amp; "]" &amp;_sheetname_dataframe) &amp; ":" &amp; ADDRESS(2+ster!$C$14,B112+1,4)</f>
        <v>'[dane surowe2c.xlsm]data_frame'!DG3:DG35</v>
      </c>
      <c r="O112" s="14">
        <f t="shared" ca="1" si="25"/>
        <v>32</v>
      </c>
      <c r="P112" s="14">
        <f ca="1">IF(AND($AD112,$S112=1),IF(wew!$B$3,MIN(INDIRECT($N112)),"&lt;włącz podświetlanie wartości&gt;"),"—")</f>
        <v>2</v>
      </c>
      <c r="Q112" s="14">
        <f ca="1">IF(AND($AD112,$S112=1),IF(wew!$B$3,MAX(INDIRECT($N112)),"&lt;włącz podświetlanie wartości&gt;"),"—")</f>
        <v>2</v>
      </c>
      <c r="R112" s="14">
        <f ca="1">IF(AD112,ster!$C$14- (COUNTIF( INDIRECT(N112),"" )+ COUNT(INDIRECT(N112)) +COUNTIF( INDIRECT(N112),"NA" )),"")</f>
        <v>0</v>
      </c>
      <c r="S112" s="12">
        <f ca="1">IF(AD112,IF(COUNTA(INDIRECT(N112))=0,0, 1-(ster!$C$14- COUNT(INDIRECT(N112)) -COUNTIF( INDIRECT(N112),"" )) /COUNTA(INDIRECT(N112))),"")</f>
        <v>1</v>
      </c>
      <c r="T112" s="17">
        <f t="array" aca="1" ref="T112" ca="1">IF(L112&lt;&gt;"",SUM(IF(INDIRECT(L112)&lt;&gt;INT(INDIRECT(L112)),1,0)),"")</f>
        <v>0</v>
      </c>
      <c r="U112" s="17">
        <f t="array" aca="1" ref="U112" ca="1">IF(S112=1,SUM(IF(ISNUMBER(INDIRECT(N112)),IF(INDIRECT(N112)&lt;&gt;INT(INDIRECT(N112)),1,0),0)),"")</f>
        <v>0</v>
      </c>
      <c r="V112" s="17">
        <f t="shared" ca="1" si="26"/>
        <v>1</v>
      </c>
      <c r="W112" s="17">
        <f t="shared" ca="1" si="27"/>
        <v>0</v>
      </c>
      <c r="X112" s="24">
        <f t="array" aca="1" ref="X112" ca="1">IF(AD112,IF(AG112&lt;&gt;"",AG112,IF(J112,MIN(INDIRECT( K112)),"")),"")</f>
        <v>1</v>
      </c>
      <c r="Y112" s="17">
        <f t="array" aca="1" ref="Y112" ca="1">IF(AD112,IF(AH112&lt;&gt;"",AH112,IF(J112,MAX(INDIRECT( K112)),"")),"")</f>
        <v>2</v>
      </c>
      <c r="Z112" s="17" t="b">
        <f t="shared" ca="1" si="28"/>
        <v>1</v>
      </c>
      <c r="AC112" s="17" t="b">
        <f t="shared" ca="1" si="29"/>
        <v>0</v>
      </c>
      <c r="AD112" s="14" t="b">
        <f t="shared" ca="1" si="30"/>
        <v>1</v>
      </c>
      <c r="AE112" s="15" t="b">
        <f t="shared" ca="1" si="31"/>
        <v>1</v>
      </c>
      <c r="AF112" s="16"/>
      <c r="AG112" s="16"/>
      <c r="AH112" s="16"/>
      <c r="AI112" s="16"/>
      <c r="AJ112" s="16"/>
      <c r="AK112" s="16"/>
      <c r="AL112" s="16"/>
      <c r="AM112" s="16"/>
    </row>
    <row r="113" spans="2:39">
      <c r="B113" s="14">
        <f t="shared" si="20"/>
        <v>111</v>
      </c>
      <c r="C113" s="14" t="str">
        <f t="shared" ca="1" si="21"/>
        <v>S</v>
      </c>
      <c r="D113" s="14" t="str">
        <f t="shared" ca="1" si="22"/>
        <v>q_41h</v>
      </c>
      <c r="E113" s="14" t="str">
        <f t="shared" ca="1" si="19"/>
        <v>Other family member 1</v>
      </c>
      <c r="F113" s="14">
        <f t="shared" ca="1" si="32"/>
        <v>0</v>
      </c>
      <c r="G113" s="14" t="str">
        <f t="shared" ca="1" si="23"/>
        <v>q_41h</v>
      </c>
      <c r="H113" s="14">
        <f ca="1">IF(G113&lt;&gt;"",IFERROR( IsVariableNameLegal(G113),0),0)+IF(COUNTIF(INDIRECT(wew!$C$13),G113)&gt;1,10,0)</f>
        <v>0</v>
      </c>
      <c r="I113" s="14">
        <f ca="1">IF(E113&lt;&gt;"",IF(LEN(E113)&gt;150,1,0)+IF(COUNTIF(INDIRECT(wew!$C$15),E113)&gt;1,10,0),0)</f>
        <v>10</v>
      </c>
      <c r="J113" s="14" t="b">
        <f t="shared" ca="1" si="24"/>
        <v>0</v>
      </c>
      <c r="K113" s="14" t="str">
        <f ca="1">ADDRESS(3,(B113+1)*2-1,4,,"[" &amp; wew!$G$7 &amp; "]" &amp; _sheetname_labels) &amp; ":" &amp; ADDRESS(2+ster!$B$20,(B113+1)*2-1,4)</f>
        <v>'[dane surowe2c.xlsm]labels'!HO3:HO36</v>
      </c>
      <c r="L113" s="14" t="str">
        <f ca="1">IF(F113&gt;0,ADDRESS(3,(B113+1)*2-1,4,,"[" &amp; wew!$G$7 &amp; "]" &amp; _sheetname_labels) &amp; ":" &amp; ADDRESS(2+F113,(B113+1)*2-1,4),"")</f>
        <v/>
      </c>
      <c r="M113" s="14" t="str">
        <f ca="1">IF(F113&gt;0,ADDRESS(3,(B113+1)*2,4,,"["&amp;wew!$G$7&amp;"]"&amp;_sheetname_labels)&amp;":"&amp;ADDRESS(2+F113,(B113+1)*2,4),"")</f>
        <v/>
      </c>
      <c r="N113" s="14" t="str">
        <f ca="1">ADDRESS(3,B113+1,4,,"[" &amp; wew!$G$7 &amp; "]" &amp;_sheetname_dataframe) &amp; ":" &amp; ADDRESS(2+ster!$C$14,B113+1,4)</f>
        <v>'[dane surowe2c.xlsm]data_frame'!DH3:DH35</v>
      </c>
      <c r="O113" s="14">
        <f t="shared" ca="1" si="25"/>
        <v>0</v>
      </c>
      <c r="P113" s="14" t="str">
        <f ca="1">IF(AND($AD113,$S113=1),IF(wew!$B$3,MIN(INDIRECT($N113)),"&lt;włącz podświetlanie wartości&gt;"),"—")</f>
        <v>—</v>
      </c>
      <c r="Q113" s="14" t="str">
        <f ca="1">IF(AND($AD113,$S113=1),IF(wew!$B$3,MAX(INDIRECT($N113)),"&lt;włącz podświetlanie wartości&gt;"),"—")</f>
        <v>—</v>
      </c>
      <c r="R113" s="14">
        <f ca="1">IF(AD113,ster!$C$14- (COUNTIF( INDIRECT(N113),"" )+ COUNT(INDIRECT(N113)) +COUNTIF( INDIRECT(N113),"NA" )),"")</f>
        <v>1</v>
      </c>
      <c r="S113" s="12">
        <f ca="1">IF(AD113,IF(COUNTA(INDIRECT(N113))=0,0, 1-(ster!$C$14- COUNT(INDIRECT(N113)) -COUNTIF( INDIRECT(N113),"" )) /COUNTA(INDIRECT(N113))),"")</f>
        <v>0</v>
      </c>
      <c r="T113" s="17" t="str">
        <f t="array" aca="1" ref="T113" ca="1">IF(L113&lt;&gt;"",SUM(IF(INDIRECT(L113)&lt;&gt;INT(INDIRECT(L113)),1,0)),"")</f>
        <v/>
      </c>
      <c r="U113" s="17" t="str">
        <f t="array" aca="1" ref="U113" ca="1">IF(S113=1,SUM(IF(ISNUMBER(INDIRECT(N113)),IF(INDIRECT(N113)&lt;&gt;INT(INDIRECT(N113)),1,0),0)),"")</f>
        <v/>
      </c>
      <c r="V113" s="17">
        <f t="shared" ca="1" si="26"/>
        <v>0</v>
      </c>
      <c r="W113" s="17">
        <f t="shared" ca="1" si="27"/>
        <v>0</v>
      </c>
      <c r="X113" s="24" t="str">
        <f t="array" aca="1" ref="X113" ca="1">IF(AD113,IF(AG113&lt;&gt;"",AG113,IF(J113,MIN(INDIRECT( K113)),"")),"")</f>
        <v/>
      </c>
      <c r="Y113" s="17" t="str">
        <f t="array" aca="1" ref="Y113" ca="1">IF(AD113,IF(AH113&lt;&gt;"",AH113,IF(J113,MAX(INDIRECT( K113)),"")),"")</f>
        <v/>
      </c>
      <c r="Z113" s="17" t="b">
        <f t="shared" ca="1" si="28"/>
        <v>0</v>
      </c>
      <c r="AC113" s="17" t="b">
        <f t="shared" ca="1" si="29"/>
        <v>1</v>
      </c>
      <c r="AD113" s="14" t="b">
        <f t="shared" ca="1" si="30"/>
        <v>1</v>
      </c>
      <c r="AE113" s="15" t="b">
        <f t="shared" ca="1" si="31"/>
        <v>0</v>
      </c>
      <c r="AF113" s="16"/>
      <c r="AG113" s="16"/>
      <c r="AH113" s="16"/>
      <c r="AI113" s="16"/>
      <c r="AJ113" s="16"/>
      <c r="AK113" s="16"/>
      <c r="AL113" s="16"/>
      <c r="AM113" s="16"/>
    </row>
    <row r="114" spans="2:39">
      <c r="B114" s="14">
        <f t="shared" si="20"/>
        <v>112</v>
      </c>
      <c r="C114" s="14" t="str">
        <f t="shared" ca="1" si="21"/>
        <v>I</v>
      </c>
      <c r="D114" s="14" t="str">
        <f t="shared" ca="1" si="22"/>
        <v>q_41i</v>
      </c>
      <c r="E114" s="14" t="str">
        <f t="shared" ca="1" si="19"/>
        <v>Other family member 2</v>
      </c>
      <c r="F114" s="14">
        <f t="shared" ca="1" si="32"/>
        <v>0</v>
      </c>
      <c r="G114" s="14" t="str">
        <f t="shared" ca="1" si="23"/>
        <v>q_41i</v>
      </c>
      <c r="H114" s="14">
        <f ca="1">IF(G114&lt;&gt;"",IFERROR( IsVariableNameLegal(G114),0),0)+IF(COUNTIF(INDIRECT(wew!$C$13),G114)&gt;1,10,0)</f>
        <v>0</v>
      </c>
      <c r="I114" s="14">
        <f ca="1">IF(E114&lt;&gt;"",IF(LEN(E114)&gt;150,1,0)+IF(COUNTIF(INDIRECT(wew!$C$15),E114)&gt;1,10,0),0)</f>
        <v>10</v>
      </c>
      <c r="J114" s="14" t="b">
        <f t="shared" ca="1" si="24"/>
        <v>0</v>
      </c>
      <c r="K114" s="14" t="str">
        <f ca="1">ADDRESS(3,(B114+1)*2-1,4,,"[" &amp; wew!$G$7 &amp; "]" &amp; _sheetname_labels) &amp; ":" &amp; ADDRESS(2+ster!$B$20,(B114+1)*2-1,4)</f>
        <v>'[dane surowe2c.xlsm]labels'!HQ3:HQ36</v>
      </c>
      <c r="L114" s="14" t="str">
        <f ca="1">IF(F114&gt;0,ADDRESS(3,(B114+1)*2-1,4,,"[" &amp; wew!$G$7 &amp; "]" &amp; _sheetname_labels) &amp; ":" &amp; ADDRESS(2+F114,(B114+1)*2-1,4),"")</f>
        <v/>
      </c>
      <c r="M114" s="14" t="str">
        <f ca="1">IF(F114&gt;0,ADDRESS(3,(B114+1)*2,4,,"["&amp;wew!$G$7&amp;"]"&amp;_sheetname_labels)&amp;":"&amp;ADDRESS(2+F114,(B114+1)*2,4),"")</f>
        <v/>
      </c>
      <c r="N114" s="14" t="str">
        <f ca="1">ADDRESS(3,B114+1,4,,"[" &amp; wew!$G$7 &amp; "]" &amp;_sheetname_dataframe) &amp; ":" &amp; ADDRESS(2+ster!$C$14,B114+1,4)</f>
        <v>'[dane surowe2c.xlsm]data_frame'!DI3:DI35</v>
      </c>
      <c r="O114" s="14">
        <f t="shared" ca="1" si="25"/>
        <v>0</v>
      </c>
      <c r="P114" s="14" t="str">
        <f ca="1">IF(AND($AD114,$S114=1),IF(wew!$B$3,MIN(INDIRECT($N114)),"&lt;włącz podświetlanie wartości&gt;"),"—")</f>
        <v>—</v>
      </c>
      <c r="Q114" s="14" t="str">
        <f ca="1">IF(AND($AD114,$S114=1),IF(wew!$B$3,MAX(INDIRECT($N114)),"&lt;włącz podświetlanie wartości&gt;"),"—")</f>
        <v>—</v>
      </c>
      <c r="R114" s="14">
        <f ca="1">IF(AD114,ster!$C$14- (COUNTIF( INDIRECT(N114),"" )+ COUNT(INDIRECT(N114)) +COUNTIF( INDIRECT(N114),"NA" )),"")</f>
        <v>0</v>
      </c>
      <c r="S114" s="12">
        <f ca="1">IF(AD114,IF(COUNTA(INDIRECT(N114))=0,0, 1-(ster!$C$14- COUNT(INDIRECT(N114)) -COUNTIF( INDIRECT(N114),"" )) /COUNTA(INDIRECT(N114))),"")</f>
        <v>0</v>
      </c>
      <c r="T114" s="17" t="str">
        <f t="array" aca="1" ref="T114" ca="1">IF(L114&lt;&gt;"",SUM(IF(INDIRECT(L114)&lt;&gt;INT(INDIRECT(L114)),1,0)),"")</f>
        <v/>
      </c>
      <c r="U114" s="17" t="str">
        <f t="array" aca="1" ref="U114" ca="1">IF(S114=1,SUM(IF(ISNUMBER(INDIRECT(N114)),IF(INDIRECT(N114)&lt;&gt;INT(INDIRECT(N114)),1,0),0)),"")</f>
        <v/>
      </c>
      <c r="V114" s="17">
        <f t="shared" ca="1" si="26"/>
        <v>0</v>
      </c>
      <c r="W114" s="17">
        <f t="shared" ca="1" si="27"/>
        <v>0</v>
      </c>
      <c r="X114" s="24" t="str">
        <f t="array" aca="1" ref="X114" ca="1">IF(AD114,IF(AG114&lt;&gt;"",AG114,IF(J114,MIN(INDIRECT( K114)),"")),"")</f>
        <v/>
      </c>
      <c r="Y114" s="17" t="str">
        <f t="array" aca="1" ref="Y114" ca="1">IF(AD114,IF(AH114&lt;&gt;"",AH114,IF(J114,MAX(INDIRECT( K114)),"")),"")</f>
        <v/>
      </c>
      <c r="Z114" s="17" t="b">
        <f t="shared" ca="1" si="28"/>
        <v>0</v>
      </c>
      <c r="AC114" s="17" t="b">
        <f t="shared" ca="1" si="29"/>
        <v>0</v>
      </c>
      <c r="AD114" s="14" t="b">
        <f t="shared" ca="1" si="30"/>
        <v>1</v>
      </c>
      <c r="AE114" s="15" t="b">
        <f t="shared" ca="1" si="31"/>
        <v>0</v>
      </c>
      <c r="AF114" s="16"/>
      <c r="AG114" s="16"/>
      <c r="AH114" s="16"/>
      <c r="AI114" s="16"/>
      <c r="AJ114" s="16"/>
      <c r="AK114" s="16"/>
      <c r="AL114" s="16"/>
      <c r="AM114" s="16"/>
    </row>
    <row r="115" spans="2:39">
      <c r="B115" s="14">
        <f t="shared" si="20"/>
        <v>113</v>
      </c>
      <c r="C115" s="14" t="str">
        <f t="shared" ca="1" si="21"/>
        <v>I</v>
      </c>
      <c r="D115" s="14" t="str">
        <f t="shared" ca="1" si="22"/>
        <v>q_41j</v>
      </c>
      <c r="E115" s="14" t="str">
        <f t="shared" ca="1" si="19"/>
        <v>Other family member 3</v>
      </c>
      <c r="F115" s="14">
        <f t="shared" ca="1" si="32"/>
        <v>0</v>
      </c>
      <c r="G115" s="14" t="str">
        <f t="shared" ca="1" si="23"/>
        <v>q_41j</v>
      </c>
      <c r="H115" s="14">
        <f ca="1">IF(G115&lt;&gt;"",IFERROR( IsVariableNameLegal(G115),0),0)+IF(COUNTIF(INDIRECT(wew!$C$13),G115)&gt;1,10,0)</f>
        <v>0</v>
      </c>
      <c r="I115" s="14">
        <f ca="1">IF(E115&lt;&gt;"",IF(LEN(E115)&gt;150,1,0)+IF(COUNTIF(INDIRECT(wew!$C$15),E115)&gt;1,10,0),0)</f>
        <v>10</v>
      </c>
      <c r="J115" s="14" t="b">
        <f t="shared" ca="1" si="24"/>
        <v>0</v>
      </c>
      <c r="K115" s="14" t="str">
        <f ca="1">ADDRESS(3,(B115+1)*2-1,4,,"[" &amp; wew!$G$7 &amp; "]" &amp; _sheetname_labels) &amp; ":" &amp; ADDRESS(2+ster!$B$20,(B115+1)*2-1,4)</f>
        <v>'[dane surowe2c.xlsm]labels'!HS3:HS36</v>
      </c>
      <c r="L115" s="14" t="str">
        <f ca="1">IF(F115&gt;0,ADDRESS(3,(B115+1)*2-1,4,,"[" &amp; wew!$G$7 &amp; "]" &amp; _sheetname_labels) &amp; ":" &amp; ADDRESS(2+F115,(B115+1)*2-1,4),"")</f>
        <v/>
      </c>
      <c r="M115" s="14" t="str">
        <f ca="1">IF(F115&gt;0,ADDRESS(3,(B115+1)*2,4,,"["&amp;wew!$G$7&amp;"]"&amp;_sheetname_labels)&amp;":"&amp;ADDRESS(2+F115,(B115+1)*2,4),"")</f>
        <v/>
      </c>
      <c r="N115" s="14" t="str">
        <f ca="1">ADDRESS(3,B115+1,4,,"[" &amp; wew!$G$7 &amp; "]" &amp;_sheetname_dataframe) &amp; ":" &amp; ADDRESS(2+ster!$C$14,B115+1,4)</f>
        <v>'[dane surowe2c.xlsm]data_frame'!DJ3:DJ35</v>
      </c>
      <c r="O115" s="14">
        <f t="shared" ca="1" si="25"/>
        <v>0</v>
      </c>
      <c r="P115" s="14" t="str">
        <f ca="1">IF(AND($AD115,$S115=1),IF(wew!$B$3,MIN(INDIRECT($N115)),"&lt;włącz podświetlanie wartości&gt;"),"—")</f>
        <v>—</v>
      </c>
      <c r="Q115" s="14" t="str">
        <f ca="1">IF(AND($AD115,$S115=1),IF(wew!$B$3,MAX(INDIRECT($N115)),"&lt;włącz podświetlanie wartości&gt;"),"—")</f>
        <v>—</v>
      </c>
      <c r="R115" s="14">
        <f ca="1">IF(AD115,ster!$C$14- (COUNTIF( INDIRECT(N115),"" )+ COUNT(INDIRECT(N115)) +COUNTIF( INDIRECT(N115),"NA" )),"")</f>
        <v>0</v>
      </c>
      <c r="S115" s="12">
        <f ca="1">IF(AD115,IF(COUNTA(INDIRECT(N115))=0,0, 1-(ster!$C$14- COUNT(INDIRECT(N115)) -COUNTIF( INDIRECT(N115),"" )) /COUNTA(INDIRECT(N115))),"")</f>
        <v>0</v>
      </c>
      <c r="T115" s="17" t="str">
        <f t="array" aca="1" ref="T115" ca="1">IF(L115&lt;&gt;"",SUM(IF(INDIRECT(L115)&lt;&gt;INT(INDIRECT(L115)),1,0)),"")</f>
        <v/>
      </c>
      <c r="U115" s="17" t="str">
        <f t="array" aca="1" ref="U115" ca="1">IF(S115=1,SUM(IF(ISNUMBER(INDIRECT(N115)),IF(INDIRECT(N115)&lt;&gt;INT(INDIRECT(N115)),1,0),0)),"")</f>
        <v/>
      </c>
      <c r="V115" s="17">
        <f t="shared" ca="1" si="26"/>
        <v>0</v>
      </c>
      <c r="W115" s="17">
        <f t="shared" ca="1" si="27"/>
        <v>0</v>
      </c>
      <c r="X115" s="24" t="str">
        <f t="array" aca="1" ref="X115" ca="1">IF(AD115,IF(AG115&lt;&gt;"",AG115,IF(J115,MIN(INDIRECT( K115)),"")),"")</f>
        <v/>
      </c>
      <c r="Y115" s="17" t="str">
        <f t="array" aca="1" ref="Y115" ca="1">IF(AD115,IF(AH115&lt;&gt;"",AH115,IF(J115,MAX(INDIRECT( K115)),"")),"")</f>
        <v/>
      </c>
      <c r="Z115" s="17" t="b">
        <f t="shared" ca="1" si="28"/>
        <v>0</v>
      </c>
      <c r="AC115" s="17" t="b">
        <f t="shared" ca="1" si="29"/>
        <v>0</v>
      </c>
      <c r="AD115" s="14" t="b">
        <f t="shared" ca="1" si="30"/>
        <v>1</v>
      </c>
      <c r="AE115" s="15" t="b">
        <f t="shared" ca="1" si="31"/>
        <v>0</v>
      </c>
      <c r="AF115" s="16"/>
      <c r="AG115" s="16"/>
      <c r="AH115" s="16"/>
      <c r="AI115" s="16"/>
      <c r="AJ115" s="16"/>
      <c r="AK115" s="16"/>
      <c r="AL115" s="16"/>
      <c r="AM115" s="16"/>
    </row>
    <row r="116" spans="2:39">
      <c r="B116" s="14">
        <f t="shared" si="20"/>
        <v>114</v>
      </c>
      <c r="C116" s="14" t="str">
        <f t="shared" ca="1" si="21"/>
        <v>D</v>
      </c>
      <c r="D116" s="14" t="str">
        <f t="shared" ca="1" si="22"/>
        <v>q_42a</v>
      </c>
      <c r="E116" s="14" t="str">
        <f t="shared" ca="1" si="19"/>
        <v>Was there MS in the family</v>
      </c>
      <c r="F116" s="14">
        <f t="shared" ca="1" si="32"/>
        <v>2</v>
      </c>
      <c r="G116" s="14" t="str">
        <f t="shared" ca="1" si="23"/>
        <v>q_42a</v>
      </c>
      <c r="H116" s="14">
        <f ca="1">IF(G116&lt;&gt;"",IFERROR( IsVariableNameLegal(G116),0),0)+IF(COUNTIF(INDIRECT(wew!$C$13),G116)&gt;1,10,0)</f>
        <v>0</v>
      </c>
      <c r="I116" s="14">
        <f ca="1">IF(E116&lt;&gt;"",IF(LEN(E116)&gt;150,1,0)+IF(COUNTIF(INDIRECT(wew!$C$15),E116)&gt;1,10,0),0)</f>
        <v>0</v>
      </c>
      <c r="J116" s="14" t="b">
        <f t="shared" ca="1" si="24"/>
        <v>1</v>
      </c>
      <c r="K116" s="14" t="str">
        <f ca="1">ADDRESS(3,(B116+1)*2-1,4,,"[" &amp; wew!$G$7 &amp; "]" &amp; _sheetname_labels) &amp; ":" &amp; ADDRESS(2+ster!$B$20,(B116+1)*2-1,4)</f>
        <v>'[dane surowe2c.xlsm]labels'!HU3:HU36</v>
      </c>
      <c r="L116" s="14" t="str">
        <f ca="1">IF(F116&gt;0,ADDRESS(3,(B116+1)*2-1,4,,"[" &amp; wew!$G$7 &amp; "]" &amp; _sheetname_labels) &amp; ":" &amp; ADDRESS(2+F116,(B116+1)*2-1,4),"")</f>
        <v>'[dane surowe2c.xlsm]labels'!HU3:HU4</v>
      </c>
      <c r="M116" s="14" t="str">
        <f ca="1">IF(F116&gt;0,ADDRESS(3,(B116+1)*2,4,,"["&amp;wew!$G$7&amp;"]"&amp;_sheetname_labels)&amp;":"&amp;ADDRESS(2+F116,(B116+1)*2,4),"")</f>
        <v>'[dane surowe2c.xlsm]labels'!HV3:HV4</v>
      </c>
      <c r="N116" s="14" t="str">
        <f ca="1">ADDRESS(3,B116+1,4,,"[" &amp; wew!$G$7 &amp; "]" &amp;_sheetname_dataframe) &amp; ":" &amp; ADDRESS(2+ster!$C$14,B116+1,4)</f>
        <v>'[dane surowe2c.xlsm]data_frame'!DK3:DK35</v>
      </c>
      <c r="O116" s="14">
        <f t="shared" ca="1" si="25"/>
        <v>32</v>
      </c>
      <c r="P116" s="14">
        <f ca="1">IF(AND($AD116,$S116=1),IF(wew!$B$3,MIN(INDIRECT($N116)),"&lt;włącz podświetlanie wartości&gt;"),"—")</f>
        <v>2</v>
      </c>
      <c r="Q116" s="14">
        <f ca="1">IF(AND($AD116,$S116=1),IF(wew!$B$3,MAX(INDIRECT($N116)),"&lt;włącz podświetlanie wartości&gt;"),"—")</f>
        <v>2</v>
      </c>
      <c r="R116" s="14">
        <f ca="1">IF(AD116,ster!$C$14- (COUNTIF( INDIRECT(N116),"" )+ COUNT(INDIRECT(N116)) +COUNTIF( INDIRECT(N116),"NA" )),"")</f>
        <v>0</v>
      </c>
      <c r="S116" s="12">
        <f ca="1">IF(AD116,IF(COUNTA(INDIRECT(N116))=0,0, 1-(ster!$C$14- COUNT(INDIRECT(N116)) -COUNTIF( INDIRECT(N116),"" )) /COUNTA(INDIRECT(N116))),"")</f>
        <v>1</v>
      </c>
      <c r="T116" s="17">
        <f t="array" aca="1" ref="T116" ca="1">IF(L116&lt;&gt;"",SUM(IF(INDIRECT(L116)&lt;&gt;INT(INDIRECT(L116)),1,0)),"")</f>
        <v>0</v>
      </c>
      <c r="U116" s="17">
        <f t="array" aca="1" ref="U116" ca="1">IF(S116=1,SUM(IF(ISNUMBER(INDIRECT(N116)),IF(INDIRECT(N116)&lt;&gt;INT(INDIRECT(N116)),1,0),0)),"")</f>
        <v>0</v>
      </c>
      <c r="V116" s="17">
        <f t="shared" ca="1" si="26"/>
        <v>1</v>
      </c>
      <c r="W116" s="17">
        <f t="shared" ca="1" si="27"/>
        <v>0</v>
      </c>
      <c r="X116" s="24">
        <f t="array" aca="1" ref="X116" ca="1">IF(AD116,IF(AG116&lt;&gt;"",AG116,IF(J116,MIN(INDIRECT( K116)),"")),"")</f>
        <v>1</v>
      </c>
      <c r="Y116" s="17">
        <f t="array" aca="1" ref="Y116" ca="1">IF(AD116,IF(AH116&lt;&gt;"",AH116,IF(J116,MAX(INDIRECT( K116)),"")),"")</f>
        <v>2</v>
      </c>
      <c r="Z116" s="17" t="b">
        <f t="shared" ca="1" si="28"/>
        <v>1</v>
      </c>
      <c r="AC116" s="17" t="b">
        <f t="shared" ca="1" si="29"/>
        <v>0</v>
      </c>
      <c r="AD116" s="14" t="b">
        <f t="shared" ca="1" si="30"/>
        <v>1</v>
      </c>
      <c r="AE116" s="15" t="b">
        <f t="shared" ca="1" si="31"/>
        <v>1</v>
      </c>
      <c r="AF116" s="16"/>
      <c r="AG116" s="16"/>
      <c r="AH116" s="16"/>
      <c r="AI116" s="16"/>
      <c r="AJ116" s="16"/>
      <c r="AK116" s="16"/>
      <c r="AL116" s="16"/>
      <c r="AM116" s="16"/>
    </row>
    <row r="117" spans="2:39">
      <c r="B117" s="14">
        <f t="shared" si="20"/>
        <v>115</v>
      </c>
      <c r="C117" s="14" t="str">
        <f t="shared" ca="1" si="21"/>
        <v>D</v>
      </c>
      <c r="D117" s="14" t="str">
        <f t="shared" ca="1" si="22"/>
        <v>q_42b</v>
      </c>
      <c r="E117" s="14" t="str">
        <f t="shared" ca="1" si="19"/>
        <v>Mother</v>
      </c>
      <c r="F117" s="14">
        <f t="shared" ca="1" si="32"/>
        <v>2</v>
      </c>
      <c r="G117" s="14" t="str">
        <f t="shared" ca="1" si="23"/>
        <v>q_42b</v>
      </c>
      <c r="H117" s="14">
        <f ca="1">IF(G117&lt;&gt;"",IFERROR( IsVariableNameLegal(G117),0),0)+IF(COUNTIF(INDIRECT(wew!$C$13),G117)&gt;1,10,0)</f>
        <v>0</v>
      </c>
      <c r="I117" s="14">
        <f ca="1">IF(E117&lt;&gt;"",IF(LEN(E117)&gt;150,1,0)+IF(COUNTIF(INDIRECT(wew!$C$15),E117)&gt;1,10,0),0)</f>
        <v>10</v>
      </c>
      <c r="J117" s="14" t="b">
        <f t="shared" ca="1" si="24"/>
        <v>1</v>
      </c>
      <c r="K117" s="14" t="str">
        <f ca="1">ADDRESS(3,(B117+1)*2-1,4,,"[" &amp; wew!$G$7 &amp; "]" &amp; _sheetname_labels) &amp; ":" &amp; ADDRESS(2+ster!$B$20,(B117+1)*2-1,4)</f>
        <v>'[dane surowe2c.xlsm]labels'!HW3:HW36</v>
      </c>
      <c r="L117" s="14" t="str">
        <f ca="1">IF(F117&gt;0,ADDRESS(3,(B117+1)*2-1,4,,"[" &amp; wew!$G$7 &amp; "]" &amp; _sheetname_labels) &amp; ":" &amp; ADDRESS(2+F117,(B117+1)*2-1,4),"")</f>
        <v>'[dane surowe2c.xlsm]labels'!HW3:HW4</v>
      </c>
      <c r="M117" s="14" t="str">
        <f ca="1">IF(F117&gt;0,ADDRESS(3,(B117+1)*2,4,,"["&amp;wew!$G$7&amp;"]"&amp;_sheetname_labels)&amp;":"&amp;ADDRESS(2+F117,(B117+1)*2,4),"")</f>
        <v>'[dane surowe2c.xlsm]labels'!HX3:HX4</v>
      </c>
      <c r="N117" s="14" t="str">
        <f ca="1">ADDRESS(3,B117+1,4,,"[" &amp; wew!$G$7 &amp; "]" &amp;_sheetname_dataframe) &amp; ":" &amp; ADDRESS(2+ster!$C$14,B117+1,4)</f>
        <v>'[dane surowe2c.xlsm]data_frame'!DL3:DL35</v>
      </c>
      <c r="O117" s="14">
        <f t="shared" ca="1" si="25"/>
        <v>32</v>
      </c>
      <c r="P117" s="14">
        <f ca="1">IF(AND($AD117,$S117=1),IF(wew!$B$3,MIN(INDIRECT($N117)),"&lt;włącz podświetlanie wartości&gt;"),"—")</f>
        <v>2</v>
      </c>
      <c r="Q117" s="14">
        <f ca="1">IF(AND($AD117,$S117=1),IF(wew!$B$3,MAX(INDIRECT($N117)),"&lt;włącz podświetlanie wartości&gt;"),"—")</f>
        <v>2</v>
      </c>
      <c r="R117" s="14">
        <f ca="1">IF(AD117,ster!$C$14- (COUNTIF( INDIRECT(N117),"" )+ COUNT(INDIRECT(N117)) +COUNTIF( INDIRECT(N117),"NA" )),"")</f>
        <v>0</v>
      </c>
      <c r="S117" s="12">
        <f ca="1">IF(AD117,IF(COUNTA(INDIRECT(N117))=0,0, 1-(ster!$C$14- COUNT(INDIRECT(N117)) -COUNTIF( INDIRECT(N117),"" )) /COUNTA(INDIRECT(N117))),"")</f>
        <v>1</v>
      </c>
      <c r="T117" s="17">
        <f t="array" aca="1" ref="T117" ca="1">IF(L117&lt;&gt;"",SUM(IF(INDIRECT(L117)&lt;&gt;INT(INDIRECT(L117)),1,0)),"")</f>
        <v>0</v>
      </c>
      <c r="U117" s="17">
        <f t="array" aca="1" ref="U117" ca="1">IF(S117=1,SUM(IF(ISNUMBER(INDIRECT(N117)),IF(INDIRECT(N117)&lt;&gt;INT(INDIRECT(N117)),1,0),0)),"")</f>
        <v>0</v>
      </c>
      <c r="V117" s="17">
        <f t="shared" ca="1" si="26"/>
        <v>1</v>
      </c>
      <c r="W117" s="17">
        <f t="shared" ca="1" si="27"/>
        <v>0</v>
      </c>
      <c r="X117" s="24">
        <f t="array" aca="1" ref="X117" ca="1">IF(AD117,IF(AG117&lt;&gt;"",AG117,IF(J117,MIN(INDIRECT( K117)),"")),"")</f>
        <v>1</v>
      </c>
      <c r="Y117" s="17">
        <f t="array" aca="1" ref="Y117" ca="1">IF(AD117,IF(AH117&lt;&gt;"",AH117,IF(J117,MAX(INDIRECT( K117)),"")),"")</f>
        <v>2</v>
      </c>
      <c r="Z117" s="17" t="b">
        <f t="shared" ca="1" si="28"/>
        <v>1</v>
      </c>
      <c r="AC117" s="17" t="b">
        <f t="shared" ca="1" si="29"/>
        <v>0</v>
      </c>
      <c r="AD117" s="14" t="b">
        <f t="shared" ca="1" si="30"/>
        <v>1</v>
      </c>
      <c r="AE117" s="15" t="b">
        <f t="shared" ca="1" si="31"/>
        <v>1</v>
      </c>
      <c r="AF117" s="16"/>
      <c r="AG117" s="16"/>
      <c r="AH117" s="16"/>
      <c r="AI117" s="16"/>
      <c r="AJ117" s="16"/>
      <c r="AK117" s="16"/>
      <c r="AL117" s="16"/>
      <c r="AM117" s="16"/>
    </row>
    <row r="118" spans="2:39">
      <c r="B118" s="14">
        <f t="shared" si="20"/>
        <v>116</v>
      </c>
      <c r="C118" s="14" t="str">
        <f t="shared" ca="1" si="21"/>
        <v>D</v>
      </c>
      <c r="D118" s="14" t="str">
        <f t="shared" ca="1" si="22"/>
        <v>q_42c</v>
      </c>
      <c r="E118" s="14" t="str">
        <f t="shared" ca="1" si="19"/>
        <v>Father</v>
      </c>
      <c r="F118" s="14">
        <f t="shared" ca="1" si="32"/>
        <v>2</v>
      </c>
      <c r="G118" s="14" t="str">
        <f t="shared" ca="1" si="23"/>
        <v>q_42c</v>
      </c>
      <c r="H118" s="14">
        <f ca="1">IF(G118&lt;&gt;"",IFERROR( IsVariableNameLegal(G118),0),0)+IF(COUNTIF(INDIRECT(wew!$C$13),G118)&gt;1,10,0)</f>
        <v>0</v>
      </c>
      <c r="I118" s="14">
        <f ca="1">IF(E118&lt;&gt;"",IF(LEN(E118)&gt;150,1,0)+IF(COUNTIF(INDIRECT(wew!$C$15),E118)&gt;1,10,0),0)</f>
        <v>10</v>
      </c>
      <c r="J118" s="14" t="b">
        <f t="shared" ca="1" si="24"/>
        <v>1</v>
      </c>
      <c r="K118" s="14" t="str">
        <f ca="1">ADDRESS(3,(B118+1)*2-1,4,,"[" &amp; wew!$G$7 &amp; "]" &amp; _sheetname_labels) &amp; ":" &amp; ADDRESS(2+ster!$B$20,(B118+1)*2-1,4)</f>
        <v>'[dane surowe2c.xlsm]labels'!HY3:HY36</v>
      </c>
      <c r="L118" s="14" t="str">
        <f ca="1">IF(F118&gt;0,ADDRESS(3,(B118+1)*2-1,4,,"[" &amp; wew!$G$7 &amp; "]" &amp; _sheetname_labels) &amp; ":" &amp; ADDRESS(2+F118,(B118+1)*2-1,4),"")</f>
        <v>'[dane surowe2c.xlsm]labels'!HY3:HY4</v>
      </c>
      <c r="M118" s="14" t="str">
        <f ca="1">IF(F118&gt;0,ADDRESS(3,(B118+1)*2,4,,"["&amp;wew!$G$7&amp;"]"&amp;_sheetname_labels)&amp;":"&amp;ADDRESS(2+F118,(B118+1)*2,4),"")</f>
        <v>'[dane surowe2c.xlsm]labels'!HZ3:HZ4</v>
      </c>
      <c r="N118" s="14" t="str">
        <f ca="1">ADDRESS(3,B118+1,4,,"[" &amp; wew!$G$7 &amp; "]" &amp;_sheetname_dataframe) &amp; ":" &amp; ADDRESS(2+ster!$C$14,B118+1,4)</f>
        <v>'[dane surowe2c.xlsm]data_frame'!DM3:DM35</v>
      </c>
      <c r="O118" s="14">
        <f t="shared" ca="1" si="25"/>
        <v>32</v>
      </c>
      <c r="P118" s="14">
        <f ca="1">IF(AND($AD118,$S118=1),IF(wew!$B$3,MIN(INDIRECT($N118)),"&lt;włącz podświetlanie wartości&gt;"),"—")</f>
        <v>2</v>
      </c>
      <c r="Q118" s="14">
        <f ca="1">IF(AND($AD118,$S118=1),IF(wew!$B$3,MAX(INDIRECT($N118)),"&lt;włącz podświetlanie wartości&gt;"),"—")</f>
        <v>2</v>
      </c>
      <c r="R118" s="14">
        <f ca="1">IF(AD118,ster!$C$14- (COUNTIF( INDIRECT(N118),"" )+ COUNT(INDIRECT(N118)) +COUNTIF( INDIRECT(N118),"NA" )),"")</f>
        <v>0</v>
      </c>
      <c r="S118" s="12">
        <f ca="1">IF(AD118,IF(COUNTA(INDIRECT(N118))=0,0, 1-(ster!$C$14- COUNT(INDIRECT(N118)) -COUNTIF( INDIRECT(N118),"" )) /COUNTA(INDIRECT(N118))),"")</f>
        <v>1</v>
      </c>
      <c r="T118" s="17">
        <f t="array" aca="1" ref="T118" ca="1">IF(L118&lt;&gt;"",SUM(IF(INDIRECT(L118)&lt;&gt;INT(INDIRECT(L118)),1,0)),"")</f>
        <v>0</v>
      </c>
      <c r="U118" s="17">
        <f t="array" aca="1" ref="U118" ca="1">IF(S118=1,SUM(IF(ISNUMBER(INDIRECT(N118)),IF(INDIRECT(N118)&lt;&gt;INT(INDIRECT(N118)),1,0),0)),"")</f>
        <v>0</v>
      </c>
      <c r="V118" s="17">
        <f t="shared" ca="1" si="26"/>
        <v>1</v>
      </c>
      <c r="W118" s="17">
        <f t="shared" ca="1" si="27"/>
        <v>0</v>
      </c>
      <c r="X118" s="24">
        <f t="array" aca="1" ref="X118" ca="1">IF(AD118,IF(AG118&lt;&gt;"",AG118,IF(J118,MIN(INDIRECT( K118)),"")),"")</f>
        <v>1</v>
      </c>
      <c r="Y118" s="17">
        <f t="array" aca="1" ref="Y118" ca="1">IF(AD118,IF(AH118&lt;&gt;"",AH118,IF(J118,MAX(INDIRECT( K118)),"")),"")</f>
        <v>2</v>
      </c>
      <c r="Z118" s="17" t="b">
        <f t="shared" ca="1" si="28"/>
        <v>1</v>
      </c>
      <c r="AC118" s="17" t="b">
        <f t="shared" ca="1" si="29"/>
        <v>0</v>
      </c>
      <c r="AD118" s="14" t="b">
        <f t="shared" ca="1" si="30"/>
        <v>1</v>
      </c>
      <c r="AE118" s="15" t="b">
        <f t="shared" ca="1" si="31"/>
        <v>1</v>
      </c>
      <c r="AF118" s="16"/>
      <c r="AG118" s="16"/>
      <c r="AH118" s="16"/>
      <c r="AI118" s="16"/>
      <c r="AJ118" s="16"/>
      <c r="AK118" s="16"/>
      <c r="AL118" s="16"/>
      <c r="AM118" s="16"/>
    </row>
    <row r="119" spans="2:39">
      <c r="B119" s="14">
        <f t="shared" si="20"/>
        <v>117</v>
      </c>
      <c r="C119" s="14" t="str">
        <f t="shared" ca="1" si="21"/>
        <v>D</v>
      </c>
      <c r="D119" s="14" t="str">
        <f t="shared" ca="1" si="22"/>
        <v>q_42d</v>
      </c>
      <c r="E119" s="14" t="str">
        <f t="shared" ca="1" si="19"/>
        <v>Heterozygous twin brother</v>
      </c>
      <c r="F119" s="14">
        <f t="shared" ca="1" si="32"/>
        <v>2</v>
      </c>
      <c r="G119" s="14" t="str">
        <f t="shared" ca="1" si="23"/>
        <v>q_42d</v>
      </c>
      <c r="H119" s="14">
        <f ca="1">IF(G119&lt;&gt;"",IFERROR( IsVariableNameLegal(G119),0),0)+IF(COUNTIF(INDIRECT(wew!$C$13),G119)&gt;1,10,0)</f>
        <v>0</v>
      </c>
      <c r="I119" s="14">
        <f ca="1">IF(E119&lt;&gt;"",IF(LEN(E119)&gt;150,1,0)+IF(COUNTIF(INDIRECT(wew!$C$15),E119)&gt;1,10,0),0)</f>
        <v>10</v>
      </c>
      <c r="J119" s="14" t="b">
        <f t="shared" ca="1" si="24"/>
        <v>1</v>
      </c>
      <c r="K119" s="14" t="str">
        <f ca="1">ADDRESS(3,(B119+1)*2-1,4,,"[" &amp; wew!$G$7 &amp; "]" &amp; _sheetname_labels) &amp; ":" &amp; ADDRESS(2+ster!$B$20,(B119+1)*2-1,4)</f>
        <v>'[dane surowe2c.xlsm]labels'!IA3:IA36</v>
      </c>
      <c r="L119" s="14" t="str">
        <f ca="1">IF(F119&gt;0,ADDRESS(3,(B119+1)*2-1,4,,"[" &amp; wew!$G$7 &amp; "]" &amp; _sheetname_labels) &amp; ":" &amp; ADDRESS(2+F119,(B119+1)*2-1,4),"")</f>
        <v>'[dane surowe2c.xlsm]labels'!IA3:IA4</v>
      </c>
      <c r="M119" s="14" t="str">
        <f ca="1">IF(F119&gt;0,ADDRESS(3,(B119+1)*2,4,,"["&amp;wew!$G$7&amp;"]"&amp;_sheetname_labels)&amp;":"&amp;ADDRESS(2+F119,(B119+1)*2,4),"")</f>
        <v>'[dane surowe2c.xlsm]labels'!IB3:IB4</v>
      </c>
      <c r="N119" s="14" t="str">
        <f ca="1">ADDRESS(3,B119+1,4,,"[" &amp; wew!$G$7 &amp; "]" &amp;_sheetname_dataframe) &amp; ":" &amp; ADDRESS(2+ster!$C$14,B119+1,4)</f>
        <v>'[dane surowe2c.xlsm]data_frame'!DN3:DN35</v>
      </c>
      <c r="O119" s="14">
        <f t="shared" ca="1" si="25"/>
        <v>32</v>
      </c>
      <c r="P119" s="14">
        <f ca="1">IF(AND($AD119,$S119=1),IF(wew!$B$3,MIN(INDIRECT($N119)),"&lt;włącz podświetlanie wartości&gt;"),"—")</f>
        <v>2</v>
      </c>
      <c r="Q119" s="14">
        <f ca="1">IF(AND($AD119,$S119=1),IF(wew!$B$3,MAX(INDIRECT($N119)),"&lt;włącz podświetlanie wartości&gt;"),"—")</f>
        <v>2</v>
      </c>
      <c r="R119" s="14">
        <f ca="1">IF(AD119,ster!$C$14- (COUNTIF( INDIRECT(N119),"" )+ COUNT(INDIRECT(N119)) +COUNTIF( INDIRECT(N119),"NA" )),"")</f>
        <v>0</v>
      </c>
      <c r="S119" s="12">
        <f ca="1">IF(AD119,IF(COUNTA(INDIRECT(N119))=0,0, 1-(ster!$C$14- COUNT(INDIRECT(N119)) -COUNTIF( INDIRECT(N119),"" )) /COUNTA(INDIRECT(N119))),"")</f>
        <v>1</v>
      </c>
      <c r="T119" s="17">
        <f t="array" aca="1" ref="T119" ca="1">IF(L119&lt;&gt;"",SUM(IF(INDIRECT(L119)&lt;&gt;INT(INDIRECT(L119)),1,0)),"")</f>
        <v>0</v>
      </c>
      <c r="U119" s="17">
        <f t="array" aca="1" ref="U119" ca="1">IF(S119=1,SUM(IF(ISNUMBER(INDIRECT(N119)),IF(INDIRECT(N119)&lt;&gt;INT(INDIRECT(N119)),1,0),0)),"")</f>
        <v>0</v>
      </c>
      <c r="V119" s="17">
        <f t="shared" ca="1" si="26"/>
        <v>1</v>
      </c>
      <c r="W119" s="17">
        <f t="shared" ca="1" si="27"/>
        <v>0</v>
      </c>
      <c r="X119" s="24">
        <f t="array" aca="1" ref="X119" ca="1">IF(AD119,IF(AG119&lt;&gt;"",AG119,IF(J119,MIN(INDIRECT( K119)),"")),"")</f>
        <v>1</v>
      </c>
      <c r="Y119" s="17">
        <f t="array" aca="1" ref="Y119" ca="1">IF(AD119,IF(AH119&lt;&gt;"",AH119,IF(J119,MAX(INDIRECT( K119)),"")),"")</f>
        <v>2</v>
      </c>
      <c r="Z119" s="17" t="b">
        <f t="shared" ca="1" si="28"/>
        <v>1</v>
      </c>
      <c r="AC119" s="17" t="b">
        <f t="shared" ca="1" si="29"/>
        <v>0</v>
      </c>
      <c r="AD119" s="14" t="b">
        <f t="shared" ca="1" si="30"/>
        <v>1</v>
      </c>
      <c r="AE119" s="15" t="b">
        <f t="shared" ca="1" si="31"/>
        <v>1</v>
      </c>
      <c r="AF119" s="16"/>
      <c r="AG119" s="16"/>
      <c r="AH119" s="16"/>
      <c r="AI119" s="16"/>
      <c r="AJ119" s="16"/>
      <c r="AK119" s="16"/>
      <c r="AL119" s="16"/>
      <c r="AM119" s="16"/>
    </row>
    <row r="120" spans="2:39">
      <c r="B120" s="14">
        <f t="shared" si="20"/>
        <v>118</v>
      </c>
      <c r="C120" s="14" t="str">
        <f t="shared" ca="1" si="21"/>
        <v>D</v>
      </c>
      <c r="D120" s="14" t="str">
        <f t="shared" ca="1" si="22"/>
        <v>q_42e</v>
      </c>
      <c r="E120" s="14" t="str">
        <f t="shared" ca="1" si="19"/>
        <v>homozygous twin brother</v>
      </c>
      <c r="F120" s="14">
        <f t="shared" ca="1" si="32"/>
        <v>2</v>
      </c>
      <c r="G120" s="14" t="str">
        <f t="shared" ca="1" si="23"/>
        <v>q_42e</v>
      </c>
      <c r="H120" s="14">
        <f ca="1">IF(G120&lt;&gt;"",IFERROR( IsVariableNameLegal(G120),0),0)+IF(COUNTIF(INDIRECT(wew!$C$13),G120)&gt;1,10,0)</f>
        <v>0</v>
      </c>
      <c r="I120" s="14">
        <f ca="1">IF(E120&lt;&gt;"",IF(LEN(E120)&gt;150,1,0)+IF(COUNTIF(INDIRECT(wew!$C$15),E120)&gt;1,10,0),0)</f>
        <v>10</v>
      </c>
      <c r="J120" s="14" t="b">
        <f t="shared" ca="1" si="24"/>
        <v>1</v>
      </c>
      <c r="K120" s="14" t="str">
        <f ca="1">ADDRESS(3,(B120+1)*2-1,4,,"[" &amp; wew!$G$7 &amp; "]" &amp; _sheetname_labels) &amp; ":" &amp; ADDRESS(2+ster!$B$20,(B120+1)*2-1,4)</f>
        <v>'[dane surowe2c.xlsm]labels'!IC3:IC36</v>
      </c>
      <c r="L120" s="14" t="str">
        <f ca="1">IF(F120&gt;0,ADDRESS(3,(B120+1)*2-1,4,,"[" &amp; wew!$G$7 &amp; "]" &amp; _sheetname_labels) &amp; ":" &amp; ADDRESS(2+F120,(B120+1)*2-1,4),"")</f>
        <v>'[dane surowe2c.xlsm]labels'!IC3:IC4</v>
      </c>
      <c r="M120" s="14" t="str">
        <f ca="1">IF(F120&gt;0,ADDRESS(3,(B120+1)*2,4,,"["&amp;wew!$G$7&amp;"]"&amp;_sheetname_labels)&amp;":"&amp;ADDRESS(2+F120,(B120+1)*2,4),"")</f>
        <v>'[dane surowe2c.xlsm]labels'!ID3:ID4</v>
      </c>
      <c r="N120" s="14" t="str">
        <f ca="1">ADDRESS(3,B120+1,4,,"[" &amp; wew!$G$7 &amp; "]" &amp;_sheetname_dataframe) &amp; ":" &amp; ADDRESS(2+ster!$C$14,B120+1,4)</f>
        <v>'[dane surowe2c.xlsm]data_frame'!DO3:DO35</v>
      </c>
      <c r="O120" s="14">
        <f t="shared" ca="1" si="25"/>
        <v>32</v>
      </c>
      <c r="P120" s="14">
        <f ca="1">IF(AND($AD120,$S120=1),IF(wew!$B$3,MIN(INDIRECT($N120)),"&lt;włącz podświetlanie wartości&gt;"),"—")</f>
        <v>2</v>
      </c>
      <c r="Q120" s="14">
        <f ca="1">IF(AND($AD120,$S120=1),IF(wew!$B$3,MAX(INDIRECT($N120)),"&lt;włącz podświetlanie wartości&gt;"),"—")</f>
        <v>2</v>
      </c>
      <c r="R120" s="14">
        <f ca="1">IF(AD120,ster!$C$14- (COUNTIF( INDIRECT(N120),"" )+ COUNT(INDIRECT(N120)) +COUNTIF( INDIRECT(N120),"NA" )),"")</f>
        <v>0</v>
      </c>
      <c r="S120" s="12">
        <f ca="1">IF(AD120,IF(COUNTA(INDIRECT(N120))=0,0, 1-(ster!$C$14- COUNT(INDIRECT(N120)) -COUNTIF( INDIRECT(N120),"" )) /COUNTA(INDIRECT(N120))),"")</f>
        <v>1</v>
      </c>
      <c r="T120" s="17">
        <f t="array" aca="1" ref="T120" ca="1">IF(L120&lt;&gt;"",SUM(IF(INDIRECT(L120)&lt;&gt;INT(INDIRECT(L120)),1,0)),"")</f>
        <v>0</v>
      </c>
      <c r="U120" s="17">
        <f t="array" aca="1" ref="U120" ca="1">IF(S120=1,SUM(IF(ISNUMBER(INDIRECT(N120)),IF(INDIRECT(N120)&lt;&gt;INT(INDIRECT(N120)),1,0),0)),"")</f>
        <v>0</v>
      </c>
      <c r="V120" s="17">
        <f t="shared" ca="1" si="26"/>
        <v>1</v>
      </c>
      <c r="W120" s="17">
        <f t="shared" ca="1" si="27"/>
        <v>0</v>
      </c>
      <c r="X120" s="24">
        <f t="array" aca="1" ref="X120" ca="1">IF(AD120,IF(AG120&lt;&gt;"",AG120,IF(J120,MIN(INDIRECT( K120)),"")),"")</f>
        <v>1</v>
      </c>
      <c r="Y120" s="17">
        <f t="array" aca="1" ref="Y120" ca="1">IF(AD120,IF(AH120&lt;&gt;"",AH120,IF(J120,MAX(INDIRECT( K120)),"")),"")</f>
        <v>2</v>
      </c>
      <c r="Z120" s="17" t="b">
        <f t="shared" ca="1" si="28"/>
        <v>1</v>
      </c>
      <c r="AC120" s="17" t="b">
        <f t="shared" ca="1" si="29"/>
        <v>0</v>
      </c>
      <c r="AD120" s="14" t="b">
        <f t="shared" ca="1" si="30"/>
        <v>1</v>
      </c>
      <c r="AE120" s="15" t="b">
        <f t="shared" ca="1" si="31"/>
        <v>1</v>
      </c>
      <c r="AF120" s="16"/>
      <c r="AG120" s="16"/>
      <c r="AH120" s="16"/>
      <c r="AI120" s="16"/>
      <c r="AJ120" s="16"/>
      <c r="AK120" s="16"/>
      <c r="AL120" s="16"/>
      <c r="AM120" s="16"/>
    </row>
    <row r="121" spans="2:39">
      <c r="B121" s="14">
        <f t="shared" si="20"/>
        <v>119</v>
      </c>
      <c r="C121" s="14" t="str">
        <f t="shared" ca="1" si="21"/>
        <v>D</v>
      </c>
      <c r="D121" s="14" t="str">
        <f t="shared" ca="1" si="22"/>
        <v>q_42f</v>
      </c>
      <c r="E121" s="14" t="str">
        <f t="shared" ca="1" si="19"/>
        <v>heterozygous twin sister</v>
      </c>
      <c r="F121" s="14">
        <f t="shared" ca="1" si="32"/>
        <v>2</v>
      </c>
      <c r="G121" s="14" t="str">
        <f t="shared" ca="1" si="23"/>
        <v>q_42f</v>
      </c>
      <c r="H121" s="14">
        <f ca="1">IF(G121&lt;&gt;"",IFERROR( IsVariableNameLegal(G121),0),0)+IF(COUNTIF(INDIRECT(wew!$C$13),G121)&gt;1,10,0)</f>
        <v>0</v>
      </c>
      <c r="I121" s="14">
        <f ca="1">IF(E121&lt;&gt;"",IF(LEN(E121)&gt;150,1,0)+IF(COUNTIF(INDIRECT(wew!$C$15),E121)&gt;1,10,0),0)</f>
        <v>10</v>
      </c>
      <c r="J121" s="14" t="b">
        <f t="shared" ca="1" si="24"/>
        <v>1</v>
      </c>
      <c r="K121" s="14" t="str">
        <f ca="1">ADDRESS(3,(B121+1)*2-1,4,,"[" &amp; wew!$G$7 &amp; "]" &amp; _sheetname_labels) &amp; ":" &amp; ADDRESS(2+ster!$B$20,(B121+1)*2-1,4)</f>
        <v>'[dane surowe2c.xlsm]labels'!IE3:IE36</v>
      </c>
      <c r="L121" s="14" t="str">
        <f ca="1">IF(F121&gt;0,ADDRESS(3,(B121+1)*2-1,4,,"[" &amp; wew!$G$7 &amp; "]" &amp; _sheetname_labels) &amp; ":" &amp; ADDRESS(2+F121,(B121+1)*2-1,4),"")</f>
        <v>'[dane surowe2c.xlsm]labels'!IE3:IE4</v>
      </c>
      <c r="M121" s="14" t="str">
        <f ca="1">IF(F121&gt;0,ADDRESS(3,(B121+1)*2,4,,"["&amp;wew!$G$7&amp;"]"&amp;_sheetname_labels)&amp;":"&amp;ADDRESS(2+F121,(B121+1)*2,4),"")</f>
        <v>'[dane surowe2c.xlsm]labels'!IF3:IF4</v>
      </c>
      <c r="N121" s="14" t="str">
        <f ca="1">ADDRESS(3,B121+1,4,,"[" &amp; wew!$G$7 &amp; "]" &amp;_sheetname_dataframe) &amp; ":" &amp; ADDRESS(2+ster!$C$14,B121+1,4)</f>
        <v>'[dane surowe2c.xlsm]data_frame'!DP3:DP35</v>
      </c>
      <c r="O121" s="14">
        <f t="shared" ca="1" si="25"/>
        <v>32</v>
      </c>
      <c r="P121" s="14">
        <f ca="1">IF(AND($AD121,$S121=1),IF(wew!$B$3,MIN(INDIRECT($N121)),"&lt;włącz podświetlanie wartości&gt;"),"—")</f>
        <v>2</v>
      </c>
      <c r="Q121" s="14">
        <f ca="1">IF(AND($AD121,$S121=1),IF(wew!$B$3,MAX(INDIRECT($N121)),"&lt;włącz podświetlanie wartości&gt;"),"—")</f>
        <v>2</v>
      </c>
      <c r="R121" s="14">
        <f ca="1">IF(AD121,ster!$C$14- (COUNTIF( INDIRECT(N121),"" )+ COUNT(INDIRECT(N121)) +COUNTIF( INDIRECT(N121),"NA" )),"")</f>
        <v>0</v>
      </c>
      <c r="S121" s="12">
        <f ca="1">IF(AD121,IF(COUNTA(INDIRECT(N121))=0,0, 1-(ster!$C$14- COUNT(INDIRECT(N121)) -COUNTIF( INDIRECT(N121),"" )) /COUNTA(INDIRECT(N121))),"")</f>
        <v>1</v>
      </c>
      <c r="T121" s="17">
        <f t="array" aca="1" ref="T121" ca="1">IF(L121&lt;&gt;"",SUM(IF(INDIRECT(L121)&lt;&gt;INT(INDIRECT(L121)),1,0)),"")</f>
        <v>0</v>
      </c>
      <c r="U121" s="17">
        <f t="array" aca="1" ref="U121" ca="1">IF(S121=1,SUM(IF(ISNUMBER(INDIRECT(N121)),IF(INDIRECT(N121)&lt;&gt;INT(INDIRECT(N121)),1,0),0)),"")</f>
        <v>0</v>
      </c>
      <c r="V121" s="17">
        <f t="shared" ca="1" si="26"/>
        <v>1</v>
      </c>
      <c r="W121" s="17">
        <f t="shared" ca="1" si="27"/>
        <v>0</v>
      </c>
      <c r="X121" s="24">
        <f t="array" aca="1" ref="X121" ca="1">IF(AD121,IF(AG121&lt;&gt;"",AG121,IF(J121,MIN(INDIRECT( K121)),"")),"")</f>
        <v>1</v>
      </c>
      <c r="Y121" s="17">
        <f t="array" aca="1" ref="Y121" ca="1">IF(AD121,IF(AH121&lt;&gt;"",AH121,IF(J121,MAX(INDIRECT( K121)),"")),"")</f>
        <v>2</v>
      </c>
      <c r="Z121" s="17" t="b">
        <f t="shared" ca="1" si="28"/>
        <v>1</v>
      </c>
      <c r="AC121" s="17" t="b">
        <f t="shared" ca="1" si="29"/>
        <v>0</v>
      </c>
      <c r="AD121" s="14" t="b">
        <f t="shared" ca="1" si="30"/>
        <v>1</v>
      </c>
      <c r="AE121" s="15" t="b">
        <f t="shared" ca="1" si="31"/>
        <v>1</v>
      </c>
      <c r="AF121" s="16"/>
      <c r="AG121" s="16"/>
      <c r="AH121" s="16"/>
      <c r="AI121" s="16"/>
      <c r="AJ121" s="16"/>
      <c r="AK121" s="16"/>
      <c r="AL121" s="16"/>
      <c r="AM121" s="16"/>
    </row>
    <row r="122" spans="2:39">
      <c r="B122" s="14">
        <f t="shared" si="20"/>
        <v>120</v>
      </c>
      <c r="C122" s="14" t="str">
        <f t="shared" ca="1" si="21"/>
        <v>D</v>
      </c>
      <c r="D122" s="14" t="str">
        <f t="shared" ca="1" si="22"/>
        <v>q_42g</v>
      </c>
      <c r="E122" s="14" t="str">
        <f t="shared" ca="1" si="19"/>
        <v>homozygous twin sister</v>
      </c>
      <c r="F122" s="14">
        <f t="shared" ca="1" si="32"/>
        <v>2</v>
      </c>
      <c r="G122" s="14" t="str">
        <f t="shared" ca="1" si="23"/>
        <v>q_42g</v>
      </c>
      <c r="H122" s="14">
        <f ca="1">IF(G122&lt;&gt;"",IFERROR( IsVariableNameLegal(G122),0),0)+IF(COUNTIF(INDIRECT(wew!$C$13),G122)&gt;1,10,0)</f>
        <v>0</v>
      </c>
      <c r="I122" s="14">
        <f ca="1">IF(E122&lt;&gt;"",IF(LEN(E122)&gt;150,1,0)+IF(COUNTIF(INDIRECT(wew!$C$15),E122)&gt;1,10,0),0)</f>
        <v>10</v>
      </c>
      <c r="J122" s="14" t="b">
        <f t="shared" ca="1" si="24"/>
        <v>1</v>
      </c>
      <c r="K122" s="14" t="str">
        <f ca="1">ADDRESS(3,(B122+1)*2-1,4,,"[" &amp; wew!$G$7 &amp; "]" &amp; _sheetname_labels) &amp; ":" &amp; ADDRESS(2+ster!$B$20,(B122+1)*2-1,4)</f>
        <v>'[dane surowe2c.xlsm]labels'!IG3:IG36</v>
      </c>
      <c r="L122" s="14" t="str">
        <f ca="1">IF(F122&gt;0,ADDRESS(3,(B122+1)*2-1,4,,"[" &amp; wew!$G$7 &amp; "]" &amp; _sheetname_labels) &amp; ":" &amp; ADDRESS(2+F122,(B122+1)*2-1,4),"")</f>
        <v>'[dane surowe2c.xlsm]labels'!IG3:IG4</v>
      </c>
      <c r="M122" s="14" t="str">
        <f ca="1">IF(F122&gt;0,ADDRESS(3,(B122+1)*2,4,,"["&amp;wew!$G$7&amp;"]"&amp;_sheetname_labels)&amp;":"&amp;ADDRESS(2+F122,(B122+1)*2,4),"")</f>
        <v>'[dane surowe2c.xlsm]labels'!IH3:IH4</v>
      </c>
      <c r="N122" s="14" t="str">
        <f ca="1">ADDRESS(3,B122+1,4,,"[" &amp; wew!$G$7 &amp; "]" &amp;_sheetname_dataframe) &amp; ":" &amp; ADDRESS(2+ster!$C$14,B122+1,4)</f>
        <v>'[dane surowe2c.xlsm]data_frame'!DQ3:DQ35</v>
      </c>
      <c r="O122" s="14">
        <f t="shared" ca="1" si="25"/>
        <v>32</v>
      </c>
      <c r="P122" s="14">
        <f ca="1">IF(AND($AD122,$S122=1),IF(wew!$B$3,MIN(INDIRECT($N122)),"&lt;włącz podświetlanie wartości&gt;"),"—")</f>
        <v>2</v>
      </c>
      <c r="Q122" s="14">
        <f ca="1">IF(AND($AD122,$S122=1),IF(wew!$B$3,MAX(INDIRECT($N122)),"&lt;włącz podświetlanie wartości&gt;"),"—")</f>
        <v>2</v>
      </c>
      <c r="R122" s="14">
        <f ca="1">IF(AD122,ster!$C$14- (COUNTIF( INDIRECT(N122),"" )+ COUNT(INDIRECT(N122)) +COUNTIF( INDIRECT(N122),"NA" )),"")</f>
        <v>0</v>
      </c>
      <c r="S122" s="12">
        <f ca="1">IF(AD122,IF(COUNTA(INDIRECT(N122))=0,0, 1-(ster!$C$14- COUNT(INDIRECT(N122)) -COUNTIF( INDIRECT(N122),"" )) /COUNTA(INDIRECT(N122))),"")</f>
        <v>1</v>
      </c>
      <c r="T122" s="17">
        <f t="array" aca="1" ref="T122" ca="1">IF(L122&lt;&gt;"",SUM(IF(INDIRECT(L122)&lt;&gt;INT(INDIRECT(L122)),1,0)),"")</f>
        <v>0</v>
      </c>
      <c r="U122" s="17">
        <f t="array" aca="1" ref="U122" ca="1">IF(S122=1,SUM(IF(ISNUMBER(INDIRECT(N122)),IF(INDIRECT(N122)&lt;&gt;INT(INDIRECT(N122)),1,0),0)),"")</f>
        <v>0</v>
      </c>
      <c r="V122" s="17">
        <f t="shared" ca="1" si="26"/>
        <v>1</v>
      </c>
      <c r="W122" s="17">
        <f t="shared" ca="1" si="27"/>
        <v>0</v>
      </c>
      <c r="X122" s="24">
        <f t="array" aca="1" ref="X122" ca="1">IF(AD122,IF(AG122&lt;&gt;"",AG122,IF(J122,MIN(INDIRECT( K122)),"")),"")</f>
        <v>1</v>
      </c>
      <c r="Y122" s="17">
        <f t="array" aca="1" ref="Y122" ca="1">IF(AD122,IF(AH122&lt;&gt;"",AH122,IF(J122,MAX(INDIRECT( K122)),"")),"")</f>
        <v>2</v>
      </c>
      <c r="Z122" s="17" t="b">
        <f t="shared" ca="1" si="28"/>
        <v>1</v>
      </c>
      <c r="AC122" s="17" t="b">
        <f t="shared" ca="1" si="29"/>
        <v>0</v>
      </c>
      <c r="AD122" s="14" t="b">
        <f t="shared" ca="1" si="30"/>
        <v>1</v>
      </c>
      <c r="AE122" s="15" t="b">
        <f t="shared" ca="1" si="31"/>
        <v>1</v>
      </c>
      <c r="AF122" s="16"/>
      <c r="AG122" s="16"/>
      <c r="AH122" s="16"/>
      <c r="AI122" s="16"/>
      <c r="AJ122" s="16"/>
      <c r="AK122" s="16"/>
      <c r="AL122" s="16"/>
      <c r="AM122" s="16"/>
    </row>
    <row r="123" spans="2:39">
      <c r="B123" s="14">
        <f t="shared" si="20"/>
        <v>121</v>
      </c>
      <c r="C123" s="14" t="str">
        <f t="shared" ca="1" si="21"/>
        <v>I</v>
      </c>
      <c r="D123" s="14" t="str">
        <f t="shared" ca="1" si="22"/>
        <v>q_42h</v>
      </c>
      <c r="E123" s="14" t="str">
        <f t="shared" ca="1" si="19"/>
        <v>Other family member 1</v>
      </c>
      <c r="F123" s="14">
        <f t="shared" ca="1" si="32"/>
        <v>0</v>
      </c>
      <c r="G123" s="14" t="str">
        <f t="shared" ca="1" si="23"/>
        <v>q_42h</v>
      </c>
      <c r="H123" s="14">
        <f ca="1">IF(G123&lt;&gt;"",IFERROR( IsVariableNameLegal(G123),0),0)+IF(COUNTIF(INDIRECT(wew!$C$13),G123)&gt;1,10,0)</f>
        <v>0</v>
      </c>
      <c r="I123" s="14">
        <f ca="1">IF(E123&lt;&gt;"",IF(LEN(E123)&gt;150,1,0)+IF(COUNTIF(INDIRECT(wew!$C$15),E123)&gt;1,10,0),0)</f>
        <v>10</v>
      </c>
      <c r="J123" s="14" t="b">
        <f t="shared" ca="1" si="24"/>
        <v>0</v>
      </c>
      <c r="K123" s="14" t="str">
        <f ca="1">ADDRESS(3,(B123+1)*2-1,4,,"[" &amp; wew!$G$7 &amp; "]" &amp; _sheetname_labels) &amp; ":" &amp; ADDRESS(2+ster!$B$20,(B123+1)*2-1,4)</f>
        <v>'[dane surowe2c.xlsm]labels'!II3:II36</v>
      </c>
      <c r="L123" s="14" t="str">
        <f ca="1">IF(F123&gt;0,ADDRESS(3,(B123+1)*2-1,4,,"[" &amp; wew!$G$7 &amp; "]" &amp; _sheetname_labels) &amp; ":" &amp; ADDRESS(2+F123,(B123+1)*2-1,4),"")</f>
        <v/>
      </c>
      <c r="M123" s="14" t="str">
        <f ca="1">IF(F123&gt;0,ADDRESS(3,(B123+1)*2,4,,"["&amp;wew!$G$7&amp;"]"&amp;_sheetname_labels)&amp;":"&amp;ADDRESS(2+F123,(B123+1)*2,4),"")</f>
        <v/>
      </c>
      <c r="N123" s="14" t="str">
        <f ca="1">ADDRESS(3,B123+1,4,,"[" &amp; wew!$G$7 &amp; "]" &amp;_sheetname_dataframe) &amp; ":" &amp; ADDRESS(2+ster!$C$14,B123+1,4)</f>
        <v>'[dane surowe2c.xlsm]data_frame'!DR3:DR35</v>
      </c>
      <c r="O123" s="14">
        <f t="shared" ca="1" si="25"/>
        <v>0</v>
      </c>
      <c r="P123" s="14" t="str">
        <f ca="1">IF(AND($AD123,$S123=1),IF(wew!$B$3,MIN(INDIRECT($N123)),"&lt;włącz podświetlanie wartości&gt;"),"—")</f>
        <v>—</v>
      </c>
      <c r="Q123" s="14" t="str">
        <f ca="1">IF(AND($AD123,$S123=1),IF(wew!$B$3,MAX(INDIRECT($N123)),"&lt;włącz podświetlanie wartości&gt;"),"—")</f>
        <v>—</v>
      </c>
      <c r="R123" s="14">
        <f ca="1">IF(AD123,ster!$C$14- (COUNTIF( INDIRECT(N123),"" )+ COUNT(INDIRECT(N123)) +COUNTIF( INDIRECT(N123),"NA" )),"")</f>
        <v>0</v>
      </c>
      <c r="S123" s="12">
        <f ca="1">IF(AD123,IF(COUNTA(INDIRECT(N123))=0,0, 1-(ster!$C$14- COUNT(INDIRECT(N123)) -COUNTIF( INDIRECT(N123),"" )) /COUNTA(INDIRECT(N123))),"")</f>
        <v>0</v>
      </c>
      <c r="T123" s="17" t="str">
        <f t="array" aca="1" ref="T123" ca="1">IF(L123&lt;&gt;"",SUM(IF(INDIRECT(L123)&lt;&gt;INT(INDIRECT(L123)),1,0)),"")</f>
        <v/>
      </c>
      <c r="U123" s="17" t="str">
        <f t="array" aca="1" ref="U123" ca="1">IF(S123=1,SUM(IF(ISNUMBER(INDIRECT(N123)),IF(INDIRECT(N123)&lt;&gt;INT(INDIRECT(N123)),1,0),0)),"")</f>
        <v/>
      </c>
      <c r="V123" s="17">
        <f t="shared" ca="1" si="26"/>
        <v>0</v>
      </c>
      <c r="W123" s="17">
        <f t="shared" ca="1" si="27"/>
        <v>0</v>
      </c>
      <c r="X123" s="24" t="str">
        <f t="array" aca="1" ref="X123" ca="1">IF(AD123,IF(AG123&lt;&gt;"",AG123,IF(J123,MIN(INDIRECT( K123)),"")),"")</f>
        <v/>
      </c>
      <c r="Y123" s="17" t="str">
        <f t="array" aca="1" ref="Y123" ca="1">IF(AD123,IF(AH123&lt;&gt;"",AH123,IF(J123,MAX(INDIRECT( K123)),"")),"")</f>
        <v/>
      </c>
      <c r="Z123" s="17" t="b">
        <f t="shared" ca="1" si="28"/>
        <v>0</v>
      </c>
      <c r="AC123" s="17" t="b">
        <f t="shared" ca="1" si="29"/>
        <v>0</v>
      </c>
      <c r="AD123" s="14" t="b">
        <f t="shared" ca="1" si="30"/>
        <v>1</v>
      </c>
      <c r="AE123" s="15" t="b">
        <f t="shared" ca="1" si="31"/>
        <v>0</v>
      </c>
      <c r="AF123" s="16"/>
      <c r="AG123" s="16"/>
      <c r="AH123" s="16"/>
      <c r="AI123" s="16"/>
      <c r="AJ123" s="16"/>
      <c r="AK123" s="16"/>
      <c r="AL123" s="16"/>
      <c r="AM123" s="16"/>
    </row>
    <row r="124" spans="2:39">
      <c r="B124" s="14">
        <f t="shared" si="20"/>
        <v>122</v>
      </c>
      <c r="C124" s="14" t="str">
        <f t="shared" ca="1" si="21"/>
        <v>I</v>
      </c>
      <c r="D124" s="14" t="str">
        <f t="shared" ca="1" si="22"/>
        <v>q_42i</v>
      </c>
      <c r="E124" s="14" t="str">
        <f t="shared" ca="1" si="19"/>
        <v>Other family member 2</v>
      </c>
      <c r="F124" s="14">
        <f t="shared" ca="1" si="32"/>
        <v>0</v>
      </c>
      <c r="G124" s="14" t="str">
        <f t="shared" ca="1" si="23"/>
        <v>q_42i</v>
      </c>
      <c r="H124" s="14">
        <f ca="1">IF(G124&lt;&gt;"",IFERROR( IsVariableNameLegal(G124),0),0)+IF(COUNTIF(INDIRECT(wew!$C$13),G124)&gt;1,10,0)</f>
        <v>0</v>
      </c>
      <c r="I124" s="14">
        <f ca="1">IF(E124&lt;&gt;"",IF(LEN(E124)&gt;150,1,0)+IF(COUNTIF(INDIRECT(wew!$C$15),E124)&gt;1,10,0),0)</f>
        <v>10</v>
      </c>
      <c r="J124" s="14" t="b">
        <f t="shared" ca="1" si="24"/>
        <v>0</v>
      </c>
      <c r="K124" s="14" t="str">
        <f ca="1">ADDRESS(3,(B124+1)*2-1,4,,"[" &amp; wew!$G$7 &amp; "]" &amp; _sheetname_labels) &amp; ":" &amp; ADDRESS(2+ster!$B$20,(B124+1)*2-1,4)</f>
        <v>'[dane surowe2c.xlsm]labels'!IK3:IK36</v>
      </c>
      <c r="L124" s="14" t="str">
        <f ca="1">IF(F124&gt;0,ADDRESS(3,(B124+1)*2-1,4,,"[" &amp; wew!$G$7 &amp; "]" &amp; _sheetname_labels) &amp; ":" &amp; ADDRESS(2+F124,(B124+1)*2-1,4),"")</f>
        <v/>
      </c>
      <c r="M124" s="14" t="str">
        <f ca="1">IF(F124&gt;0,ADDRESS(3,(B124+1)*2,4,,"["&amp;wew!$G$7&amp;"]"&amp;_sheetname_labels)&amp;":"&amp;ADDRESS(2+F124,(B124+1)*2,4),"")</f>
        <v/>
      </c>
      <c r="N124" s="14" t="str">
        <f ca="1">ADDRESS(3,B124+1,4,,"[" &amp; wew!$G$7 &amp; "]" &amp;_sheetname_dataframe) &amp; ":" &amp; ADDRESS(2+ster!$C$14,B124+1,4)</f>
        <v>'[dane surowe2c.xlsm]data_frame'!DS3:DS35</v>
      </c>
      <c r="O124" s="14">
        <f t="shared" ca="1" si="25"/>
        <v>0</v>
      </c>
      <c r="P124" s="14" t="str">
        <f ca="1">IF(AND($AD124,$S124=1),IF(wew!$B$3,MIN(INDIRECT($N124)),"&lt;włącz podświetlanie wartości&gt;"),"—")</f>
        <v>—</v>
      </c>
      <c r="Q124" s="14" t="str">
        <f ca="1">IF(AND($AD124,$S124=1),IF(wew!$B$3,MAX(INDIRECT($N124)),"&lt;włącz podświetlanie wartości&gt;"),"—")</f>
        <v>—</v>
      </c>
      <c r="R124" s="14">
        <f ca="1">IF(AD124,ster!$C$14- (COUNTIF( INDIRECT(N124),"" )+ COUNT(INDIRECT(N124)) +COUNTIF( INDIRECT(N124),"NA" )),"")</f>
        <v>0</v>
      </c>
      <c r="S124" s="12">
        <f ca="1">IF(AD124,IF(COUNTA(INDIRECT(N124))=0,0, 1-(ster!$C$14- COUNT(INDIRECT(N124)) -COUNTIF( INDIRECT(N124),"" )) /COUNTA(INDIRECT(N124))),"")</f>
        <v>0</v>
      </c>
      <c r="T124" s="17" t="str">
        <f t="array" aca="1" ref="T124" ca="1">IF(L124&lt;&gt;"",SUM(IF(INDIRECT(L124)&lt;&gt;INT(INDIRECT(L124)),1,0)),"")</f>
        <v/>
      </c>
      <c r="U124" s="17" t="str">
        <f t="array" aca="1" ref="U124" ca="1">IF(S124=1,SUM(IF(ISNUMBER(INDIRECT(N124)),IF(INDIRECT(N124)&lt;&gt;INT(INDIRECT(N124)),1,0),0)),"")</f>
        <v/>
      </c>
      <c r="V124" s="17">
        <f t="shared" ca="1" si="26"/>
        <v>0</v>
      </c>
      <c r="W124" s="17">
        <f t="shared" ca="1" si="27"/>
        <v>0</v>
      </c>
      <c r="X124" s="24" t="str">
        <f t="array" aca="1" ref="X124" ca="1">IF(AD124,IF(AG124&lt;&gt;"",AG124,IF(J124,MIN(INDIRECT( K124)),"")),"")</f>
        <v/>
      </c>
      <c r="Y124" s="17" t="str">
        <f t="array" aca="1" ref="Y124" ca="1">IF(AD124,IF(AH124&lt;&gt;"",AH124,IF(J124,MAX(INDIRECT( K124)),"")),"")</f>
        <v/>
      </c>
      <c r="Z124" s="17" t="b">
        <f t="shared" ca="1" si="28"/>
        <v>0</v>
      </c>
      <c r="AC124" s="17" t="b">
        <f t="shared" ca="1" si="29"/>
        <v>0</v>
      </c>
      <c r="AD124" s="14" t="b">
        <f t="shared" ca="1" si="30"/>
        <v>1</v>
      </c>
      <c r="AE124" s="15" t="b">
        <f t="shared" ca="1" si="31"/>
        <v>0</v>
      </c>
      <c r="AF124" s="16"/>
      <c r="AG124" s="16"/>
      <c r="AH124" s="16"/>
      <c r="AI124" s="16"/>
      <c r="AJ124" s="16"/>
      <c r="AK124" s="16"/>
      <c r="AL124" s="16"/>
      <c r="AM124" s="16"/>
    </row>
    <row r="125" spans="2:39">
      <c r="B125" s="14">
        <f t="shared" si="20"/>
        <v>123</v>
      </c>
      <c r="C125" s="14" t="str">
        <f t="shared" ca="1" si="21"/>
        <v>I</v>
      </c>
      <c r="D125" s="14" t="str">
        <f t="shared" ca="1" si="22"/>
        <v>q_42j</v>
      </c>
      <c r="E125" s="14" t="str">
        <f t="shared" ca="1" si="19"/>
        <v>Other family member 3</v>
      </c>
      <c r="F125" s="14">
        <f t="shared" ca="1" si="32"/>
        <v>0</v>
      </c>
      <c r="G125" s="14" t="str">
        <f t="shared" ca="1" si="23"/>
        <v>q_42j</v>
      </c>
      <c r="H125" s="14">
        <f ca="1">IF(G125&lt;&gt;"",IFERROR( IsVariableNameLegal(G125),0),0)+IF(COUNTIF(INDIRECT(wew!$C$13),G125)&gt;1,10,0)</f>
        <v>0</v>
      </c>
      <c r="I125" s="14">
        <f ca="1">IF(E125&lt;&gt;"",IF(LEN(E125)&gt;150,1,0)+IF(COUNTIF(INDIRECT(wew!$C$15),E125)&gt;1,10,0),0)</f>
        <v>10</v>
      </c>
      <c r="J125" s="14" t="b">
        <f t="shared" ca="1" si="24"/>
        <v>0</v>
      </c>
      <c r="K125" s="14" t="str">
        <f ca="1">ADDRESS(3,(B125+1)*2-1,4,,"[" &amp; wew!$G$7 &amp; "]" &amp; _sheetname_labels) &amp; ":" &amp; ADDRESS(2+ster!$B$20,(B125+1)*2-1,4)</f>
        <v>'[dane surowe2c.xlsm]labels'!IM3:IM36</v>
      </c>
      <c r="L125" s="14" t="str">
        <f ca="1">IF(F125&gt;0,ADDRESS(3,(B125+1)*2-1,4,,"[" &amp; wew!$G$7 &amp; "]" &amp; _sheetname_labels) &amp; ":" &amp; ADDRESS(2+F125,(B125+1)*2-1,4),"")</f>
        <v/>
      </c>
      <c r="M125" s="14" t="str">
        <f ca="1">IF(F125&gt;0,ADDRESS(3,(B125+1)*2,4,,"["&amp;wew!$G$7&amp;"]"&amp;_sheetname_labels)&amp;":"&amp;ADDRESS(2+F125,(B125+1)*2,4),"")</f>
        <v/>
      </c>
      <c r="N125" s="14" t="str">
        <f ca="1">ADDRESS(3,B125+1,4,,"[" &amp; wew!$G$7 &amp; "]" &amp;_sheetname_dataframe) &amp; ":" &amp; ADDRESS(2+ster!$C$14,B125+1,4)</f>
        <v>'[dane surowe2c.xlsm]data_frame'!DT3:DT35</v>
      </c>
      <c r="O125" s="14">
        <f t="shared" ca="1" si="25"/>
        <v>0</v>
      </c>
      <c r="P125" s="14" t="str">
        <f ca="1">IF(AND($AD125,$S125=1),IF(wew!$B$3,MIN(INDIRECT($N125)),"&lt;włącz podświetlanie wartości&gt;"),"—")</f>
        <v>—</v>
      </c>
      <c r="Q125" s="14" t="str">
        <f ca="1">IF(AND($AD125,$S125=1),IF(wew!$B$3,MAX(INDIRECT($N125)),"&lt;włącz podświetlanie wartości&gt;"),"—")</f>
        <v>—</v>
      </c>
      <c r="R125" s="14">
        <f ca="1">IF(AD125,ster!$C$14- (COUNTIF( INDIRECT(N125),"" )+ COUNT(INDIRECT(N125)) +COUNTIF( INDIRECT(N125),"NA" )),"")</f>
        <v>0</v>
      </c>
      <c r="S125" s="12">
        <f ca="1">IF(AD125,IF(COUNTA(INDIRECT(N125))=0,0, 1-(ster!$C$14- COUNT(INDIRECT(N125)) -COUNTIF( INDIRECT(N125),"" )) /COUNTA(INDIRECT(N125))),"")</f>
        <v>0</v>
      </c>
      <c r="T125" s="17" t="str">
        <f t="array" aca="1" ref="T125" ca="1">IF(L125&lt;&gt;"",SUM(IF(INDIRECT(L125)&lt;&gt;INT(INDIRECT(L125)),1,0)),"")</f>
        <v/>
      </c>
      <c r="U125" s="17" t="str">
        <f t="array" aca="1" ref="U125" ca="1">IF(S125=1,SUM(IF(ISNUMBER(INDIRECT(N125)),IF(INDIRECT(N125)&lt;&gt;INT(INDIRECT(N125)),1,0),0)),"")</f>
        <v/>
      </c>
      <c r="V125" s="17">
        <f t="shared" ca="1" si="26"/>
        <v>0</v>
      </c>
      <c r="W125" s="17">
        <f t="shared" ca="1" si="27"/>
        <v>0</v>
      </c>
      <c r="X125" s="24" t="str">
        <f t="array" aca="1" ref="X125" ca="1">IF(AD125,IF(AG125&lt;&gt;"",AG125,IF(J125,MIN(INDIRECT( K125)),"")),"")</f>
        <v/>
      </c>
      <c r="Y125" s="17" t="str">
        <f t="array" aca="1" ref="Y125" ca="1">IF(AD125,IF(AH125&lt;&gt;"",AH125,IF(J125,MAX(INDIRECT( K125)),"")),"")</f>
        <v/>
      </c>
      <c r="Z125" s="17" t="b">
        <f t="shared" ca="1" si="28"/>
        <v>0</v>
      </c>
      <c r="AC125" s="17" t="b">
        <f t="shared" ca="1" si="29"/>
        <v>0</v>
      </c>
      <c r="AD125" s="14" t="b">
        <f t="shared" ca="1" si="30"/>
        <v>1</v>
      </c>
      <c r="AE125" s="15" t="b">
        <f t="shared" ca="1" si="31"/>
        <v>0</v>
      </c>
      <c r="AF125" s="16"/>
      <c r="AG125" s="16"/>
      <c r="AH125" s="16"/>
      <c r="AI125" s="16"/>
      <c r="AJ125" s="16"/>
      <c r="AK125" s="16"/>
      <c r="AL125" s="16"/>
      <c r="AM125" s="16"/>
    </row>
    <row r="126" spans="2:39">
      <c r="B126" s="14">
        <f t="shared" si="20"/>
        <v>124</v>
      </c>
      <c r="C126" s="14" t="str">
        <f t="shared" ca="1" si="21"/>
        <v>S</v>
      </c>
      <c r="D126" s="14" t="str">
        <f t="shared" ca="1" si="22"/>
        <v>q_43a</v>
      </c>
      <c r="E126" s="14" t="str">
        <f t="shared" ca="1" si="19"/>
        <v>Other severe disease 1 of mother</v>
      </c>
      <c r="F126" s="14">
        <f t="shared" ca="1" si="32"/>
        <v>0</v>
      </c>
      <c r="G126" s="14" t="str">
        <f t="shared" ca="1" si="23"/>
        <v>q_43a</v>
      </c>
      <c r="H126" s="14">
        <f ca="1">IF(G126&lt;&gt;"",IFERROR( IsVariableNameLegal(G126),0),0)+IF(COUNTIF(INDIRECT(wew!$C$13),G126)&gt;1,10,0)</f>
        <v>0</v>
      </c>
      <c r="I126" s="14">
        <f ca="1">IF(E126&lt;&gt;"",IF(LEN(E126)&gt;150,1,0)+IF(COUNTIF(INDIRECT(wew!$C$15),E126)&gt;1,10,0),0)</f>
        <v>0</v>
      </c>
      <c r="J126" s="14" t="b">
        <f t="shared" ca="1" si="24"/>
        <v>0</v>
      </c>
      <c r="K126" s="14" t="str">
        <f ca="1">ADDRESS(3,(B126+1)*2-1,4,,"[" &amp; wew!$G$7 &amp; "]" &amp; _sheetname_labels) &amp; ":" &amp; ADDRESS(2+ster!$B$20,(B126+1)*2-1,4)</f>
        <v>'[dane surowe2c.xlsm]labels'!IO3:IO36</v>
      </c>
      <c r="L126" s="14" t="str">
        <f ca="1">IF(F126&gt;0,ADDRESS(3,(B126+1)*2-1,4,,"[" &amp; wew!$G$7 &amp; "]" &amp; _sheetname_labels) &amp; ":" &amp; ADDRESS(2+F126,(B126+1)*2-1,4),"")</f>
        <v/>
      </c>
      <c r="M126" s="14" t="str">
        <f ca="1">IF(F126&gt;0,ADDRESS(3,(B126+1)*2,4,,"["&amp;wew!$G$7&amp;"]"&amp;_sheetname_labels)&amp;":"&amp;ADDRESS(2+F126,(B126+1)*2,4),"")</f>
        <v/>
      </c>
      <c r="N126" s="14" t="str">
        <f ca="1">ADDRESS(3,B126+1,4,,"[" &amp; wew!$G$7 &amp; "]" &amp;_sheetname_dataframe) &amp; ":" &amp; ADDRESS(2+ster!$C$14,B126+1,4)</f>
        <v>'[dane surowe2c.xlsm]data_frame'!DU3:DU35</v>
      </c>
      <c r="O126" s="14">
        <f t="shared" ca="1" si="25"/>
        <v>0</v>
      </c>
      <c r="P126" s="14" t="str">
        <f ca="1">IF(AND($AD126,$S126=1),IF(wew!$B$3,MIN(INDIRECT($N126)),"&lt;włącz podświetlanie wartości&gt;"),"—")</f>
        <v>—</v>
      </c>
      <c r="Q126" s="14" t="str">
        <f ca="1">IF(AND($AD126,$S126=1),IF(wew!$B$3,MAX(INDIRECT($N126)),"&lt;włącz podświetlanie wartości&gt;"),"—")</f>
        <v>—</v>
      </c>
      <c r="R126" s="14">
        <f ca="1">IF(AD126,ster!$C$14- (COUNTIF( INDIRECT(N126),"" )+ COUNT(INDIRECT(N126)) +COUNTIF( INDIRECT(N126),"NA" )),"")</f>
        <v>13</v>
      </c>
      <c r="S126" s="12">
        <f ca="1">IF(AD126,IF(COUNTA(INDIRECT(N126))=0,0, 1-(ster!$C$14- COUNT(INDIRECT(N126)) -COUNTIF( INDIRECT(N126),"" )) /COUNTA(INDIRECT(N126))),"")</f>
        <v>0</v>
      </c>
      <c r="T126" s="17" t="str">
        <f t="array" aca="1" ref="T126" ca="1">IF(L126&lt;&gt;"",SUM(IF(INDIRECT(L126)&lt;&gt;INT(INDIRECT(L126)),1,0)),"")</f>
        <v/>
      </c>
      <c r="U126" s="17" t="str">
        <f t="array" aca="1" ref="U126" ca="1">IF(S126=1,SUM(IF(ISNUMBER(INDIRECT(N126)),IF(INDIRECT(N126)&lt;&gt;INT(INDIRECT(N126)),1,0),0)),"")</f>
        <v/>
      </c>
      <c r="V126" s="17">
        <f t="shared" ca="1" si="26"/>
        <v>0</v>
      </c>
      <c r="W126" s="17">
        <f t="shared" ca="1" si="27"/>
        <v>0</v>
      </c>
      <c r="X126" s="24" t="str">
        <f t="array" aca="1" ref="X126" ca="1">IF(AD126,IF(AG126&lt;&gt;"",AG126,IF(J126,MIN(INDIRECT( K126)),"")),"")</f>
        <v/>
      </c>
      <c r="Y126" s="17" t="str">
        <f t="array" aca="1" ref="Y126" ca="1">IF(AD126,IF(AH126&lt;&gt;"",AH126,IF(J126,MAX(INDIRECT( K126)),"")),"")</f>
        <v/>
      </c>
      <c r="Z126" s="17" t="b">
        <f t="shared" ca="1" si="28"/>
        <v>0</v>
      </c>
      <c r="AC126" s="17" t="b">
        <f t="shared" ca="1" si="29"/>
        <v>1</v>
      </c>
      <c r="AD126" s="14" t="b">
        <f t="shared" ca="1" si="30"/>
        <v>1</v>
      </c>
      <c r="AE126" s="15" t="b">
        <f t="shared" ca="1" si="31"/>
        <v>0</v>
      </c>
      <c r="AF126" s="16"/>
      <c r="AG126" s="16"/>
      <c r="AH126" s="16"/>
      <c r="AI126" s="16"/>
      <c r="AJ126" s="16"/>
      <c r="AK126" s="16"/>
      <c r="AL126" s="16"/>
      <c r="AM126" s="16"/>
    </row>
    <row r="127" spans="2:39">
      <c r="B127" s="14">
        <f t="shared" si="20"/>
        <v>125</v>
      </c>
      <c r="C127" s="14" t="str">
        <f t="shared" ca="1" si="21"/>
        <v>I</v>
      </c>
      <c r="D127" s="14" t="str">
        <f t="shared" ca="1" si="22"/>
        <v>q_43b</v>
      </c>
      <c r="E127" s="14" t="str">
        <f t="shared" ca="1" si="19"/>
        <v>Other severe disease 2 of mother</v>
      </c>
      <c r="F127" s="14">
        <f t="shared" ca="1" si="32"/>
        <v>0</v>
      </c>
      <c r="G127" s="14" t="str">
        <f t="shared" ca="1" si="23"/>
        <v>q_43b</v>
      </c>
      <c r="H127" s="14">
        <f ca="1">IF(G127&lt;&gt;"",IFERROR( IsVariableNameLegal(G127),0),0)+IF(COUNTIF(INDIRECT(wew!$C$13),G127)&gt;1,10,0)</f>
        <v>0</v>
      </c>
      <c r="I127" s="14">
        <f ca="1">IF(E127&lt;&gt;"",IF(LEN(E127)&gt;150,1,0)+IF(COUNTIF(INDIRECT(wew!$C$15),E127)&gt;1,10,0),0)</f>
        <v>0</v>
      </c>
      <c r="J127" s="14" t="b">
        <f t="shared" ca="1" si="24"/>
        <v>0</v>
      </c>
      <c r="K127" s="14" t="str">
        <f ca="1">ADDRESS(3,(B127+1)*2-1,4,,"[" &amp; wew!$G$7 &amp; "]" &amp; _sheetname_labels) &amp; ":" &amp; ADDRESS(2+ster!$B$20,(B127+1)*2-1,4)</f>
        <v>'[dane surowe2c.xlsm]labels'!IQ3:IQ36</v>
      </c>
      <c r="L127" s="14" t="str">
        <f ca="1">IF(F127&gt;0,ADDRESS(3,(B127+1)*2-1,4,,"[" &amp; wew!$G$7 &amp; "]" &amp; _sheetname_labels) &amp; ":" &amp; ADDRESS(2+F127,(B127+1)*2-1,4),"")</f>
        <v/>
      </c>
      <c r="M127" s="14" t="str">
        <f ca="1">IF(F127&gt;0,ADDRESS(3,(B127+1)*2,4,,"["&amp;wew!$G$7&amp;"]"&amp;_sheetname_labels)&amp;":"&amp;ADDRESS(2+F127,(B127+1)*2,4),"")</f>
        <v/>
      </c>
      <c r="N127" s="14" t="str">
        <f ca="1">ADDRESS(3,B127+1,4,,"[" &amp; wew!$G$7 &amp; "]" &amp;_sheetname_dataframe) &amp; ":" &amp; ADDRESS(2+ster!$C$14,B127+1,4)</f>
        <v>'[dane surowe2c.xlsm]data_frame'!DV3:DV35</v>
      </c>
      <c r="O127" s="14">
        <f t="shared" ca="1" si="25"/>
        <v>0</v>
      </c>
      <c r="P127" s="14" t="str">
        <f ca="1">IF(AND($AD127,$S127=1),IF(wew!$B$3,MIN(INDIRECT($N127)),"&lt;włącz podświetlanie wartości&gt;"),"—")</f>
        <v>—</v>
      </c>
      <c r="Q127" s="14" t="str">
        <f ca="1">IF(AND($AD127,$S127=1),IF(wew!$B$3,MAX(INDIRECT($N127)),"&lt;włącz podświetlanie wartości&gt;"),"—")</f>
        <v>—</v>
      </c>
      <c r="R127" s="14">
        <f ca="1">IF(AD127,ster!$C$14- (COUNTIF( INDIRECT(N127),"" )+ COUNT(INDIRECT(N127)) +COUNTIF( INDIRECT(N127),"NA" )),"")</f>
        <v>0</v>
      </c>
      <c r="S127" s="12">
        <f ca="1">IF(AD127,IF(COUNTA(INDIRECT(N127))=0,0, 1-(ster!$C$14- COUNT(INDIRECT(N127)) -COUNTIF( INDIRECT(N127),"" )) /COUNTA(INDIRECT(N127))),"")</f>
        <v>0</v>
      </c>
      <c r="T127" s="17" t="str">
        <f t="array" aca="1" ref="T127" ca="1">IF(L127&lt;&gt;"",SUM(IF(INDIRECT(L127)&lt;&gt;INT(INDIRECT(L127)),1,0)),"")</f>
        <v/>
      </c>
      <c r="U127" s="17" t="str">
        <f t="array" aca="1" ref="U127" ca="1">IF(S127=1,SUM(IF(ISNUMBER(INDIRECT(N127)),IF(INDIRECT(N127)&lt;&gt;INT(INDIRECT(N127)),1,0),0)),"")</f>
        <v/>
      </c>
      <c r="V127" s="17">
        <f t="shared" ca="1" si="26"/>
        <v>0</v>
      </c>
      <c r="W127" s="17">
        <f t="shared" ca="1" si="27"/>
        <v>0</v>
      </c>
      <c r="X127" s="24" t="str">
        <f t="array" aca="1" ref="X127" ca="1">IF(AD127,IF(AG127&lt;&gt;"",AG127,IF(J127,MIN(INDIRECT( K127)),"")),"")</f>
        <v/>
      </c>
      <c r="Y127" s="17" t="str">
        <f t="array" aca="1" ref="Y127" ca="1">IF(AD127,IF(AH127&lt;&gt;"",AH127,IF(J127,MAX(INDIRECT( K127)),"")),"")</f>
        <v/>
      </c>
      <c r="Z127" s="17" t="b">
        <f t="shared" ca="1" si="28"/>
        <v>0</v>
      </c>
      <c r="AC127" s="17" t="b">
        <f t="shared" ca="1" si="29"/>
        <v>0</v>
      </c>
      <c r="AD127" s="14" t="b">
        <f t="shared" ca="1" si="30"/>
        <v>1</v>
      </c>
      <c r="AE127" s="15" t="b">
        <f t="shared" ca="1" si="31"/>
        <v>0</v>
      </c>
      <c r="AF127" s="16"/>
      <c r="AG127" s="16"/>
      <c r="AH127" s="16"/>
      <c r="AI127" s="16"/>
      <c r="AJ127" s="16"/>
      <c r="AK127" s="16"/>
      <c r="AL127" s="16"/>
      <c r="AM127" s="16"/>
    </row>
    <row r="128" spans="2:39">
      <c r="B128" s="14">
        <f t="shared" si="20"/>
        <v>126</v>
      </c>
      <c r="C128" s="14" t="str">
        <f t="shared" ca="1" si="21"/>
        <v>I</v>
      </c>
      <c r="D128" s="14" t="str">
        <f t="shared" ca="1" si="22"/>
        <v>q_43c</v>
      </c>
      <c r="E128" s="14" t="str">
        <f t="shared" ca="1" si="19"/>
        <v>Other severe disease 3 of mother</v>
      </c>
      <c r="F128" s="14">
        <f t="shared" ca="1" si="32"/>
        <v>0</v>
      </c>
      <c r="G128" s="14" t="str">
        <f t="shared" ca="1" si="23"/>
        <v>q_43c</v>
      </c>
      <c r="H128" s="14">
        <f ca="1">IF(G128&lt;&gt;"",IFERROR( IsVariableNameLegal(G128),0),0)+IF(COUNTIF(INDIRECT(wew!$C$13),G128)&gt;1,10,0)</f>
        <v>0</v>
      </c>
      <c r="I128" s="14">
        <f ca="1">IF(E128&lt;&gt;"",IF(LEN(E128)&gt;150,1,0)+IF(COUNTIF(INDIRECT(wew!$C$15),E128)&gt;1,10,0),0)</f>
        <v>0</v>
      </c>
      <c r="J128" s="14" t="b">
        <f t="shared" ca="1" si="24"/>
        <v>0</v>
      </c>
      <c r="K128" s="14" t="str">
        <f ca="1">ADDRESS(3,(B128+1)*2-1,4,,"[" &amp; wew!$G$7 &amp; "]" &amp; _sheetname_labels) &amp; ":" &amp; ADDRESS(2+ster!$B$20,(B128+1)*2-1,4)</f>
        <v>'[dane surowe2c.xlsm]labels'!IS3:IS36</v>
      </c>
      <c r="L128" s="14" t="str">
        <f ca="1">IF(F128&gt;0,ADDRESS(3,(B128+1)*2-1,4,,"[" &amp; wew!$G$7 &amp; "]" &amp; _sheetname_labels) &amp; ":" &amp; ADDRESS(2+F128,(B128+1)*2-1,4),"")</f>
        <v/>
      </c>
      <c r="M128" s="14" t="str">
        <f ca="1">IF(F128&gt;0,ADDRESS(3,(B128+1)*2,4,,"["&amp;wew!$G$7&amp;"]"&amp;_sheetname_labels)&amp;":"&amp;ADDRESS(2+F128,(B128+1)*2,4),"")</f>
        <v/>
      </c>
      <c r="N128" s="14" t="str">
        <f ca="1">ADDRESS(3,B128+1,4,,"[" &amp; wew!$G$7 &amp; "]" &amp;_sheetname_dataframe) &amp; ":" &amp; ADDRESS(2+ster!$C$14,B128+1,4)</f>
        <v>'[dane surowe2c.xlsm]data_frame'!DW3:DW35</v>
      </c>
      <c r="O128" s="14">
        <f t="shared" ca="1" si="25"/>
        <v>0</v>
      </c>
      <c r="P128" s="14" t="str">
        <f ca="1">IF(AND($AD128,$S128=1),IF(wew!$B$3,MIN(INDIRECT($N128)),"&lt;włącz podświetlanie wartości&gt;"),"—")</f>
        <v>—</v>
      </c>
      <c r="Q128" s="14" t="str">
        <f ca="1">IF(AND($AD128,$S128=1),IF(wew!$B$3,MAX(INDIRECT($N128)),"&lt;włącz podświetlanie wartości&gt;"),"—")</f>
        <v>—</v>
      </c>
      <c r="R128" s="14">
        <f ca="1">IF(AD128,ster!$C$14- (COUNTIF( INDIRECT(N128),"" )+ COUNT(INDIRECT(N128)) +COUNTIF( INDIRECT(N128),"NA" )),"")</f>
        <v>0</v>
      </c>
      <c r="S128" s="12">
        <f ca="1">IF(AD128,IF(COUNTA(INDIRECT(N128))=0,0, 1-(ster!$C$14- COUNT(INDIRECT(N128)) -COUNTIF( INDIRECT(N128),"" )) /COUNTA(INDIRECT(N128))),"")</f>
        <v>0</v>
      </c>
      <c r="T128" s="17" t="str">
        <f t="array" aca="1" ref="T128" ca="1">IF(L128&lt;&gt;"",SUM(IF(INDIRECT(L128)&lt;&gt;INT(INDIRECT(L128)),1,0)),"")</f>
        <v/>
      </c>
      <c r="U128" s="17" t="str">
        <f t="array" aca="1" ref="U128" ca="1">IF(S128=1,SUM(IF(ISNUMBER(INDIRECT(N128)),IF(INDIRECT(N128)&lt;&gt;INT(INDIRECT(N128)),1,0),0)),"")</f>
        <v/>
      </c>
      <c r="V128" s="17">
        <f t="shared" ca="1" si="26"/>
        <v>0</v>
      </c>
      <c r="W128" s="17">
        <f t="shared" ca="1" si="27"/>
        <v>0</v>
      </c>
      <c r="X128" s="24" t="str">
        <f t="array" aca="1" ref="X128" ca="1">IF(AD128,IF(AG128&lt;&gt;"",AG128,IF(J128,MIN(INDIRECT( K128)),"")),"")</f>
        <v/>
      </c>
      <c r="Y128" s="17" t="str">
        <f t="array" aca="1" ref="Y128" ca="1">IF(AD128,IF(AH128&lt;&gt;"",AH128,IF(J128,MAX(INDIRECT( K128)),"")),"")</f>
        <v/>
      </c>
      <c r="Z128" s="17" t="b">
        <f t="shared" ca="1" si="28"/>
        <v>0</v>
      </c>
      <c r="AC128" s="17" t="b">
        <f t="shared" ca="1" si="29"/>
        <v>0</v>
      </c>
      <c r="AD128" s="14" t="b">
        <f t="shared" ca="1" si="30"/>
        <v>1</v>
      </c>
      <c r="AE128" s="15" t="b">
        <f t="shared" ca="1" si="31"/>
        <v>0</v>
      </c>
      <c r="AF128" s="16"/>
      <c r="AG128" s="16"/>
      <c r="AH128" s="16"/>
      <c r="AI128" s="16"/>
      <c r="AJ128" s="16"/>
      <c r="AK128" s="16"/>
      <c r="AL128" s="16"/>
      <c r="AM128" s="16"/>
    </row>
    <row r="129" spans="2:39">
      <c r="B129" s="14">
        <f t="shared" si="20"/>
        <v>127</v>
      </c>
      <c r="C129" s="14" t="str">
        <f t="shared" ca="1" si="21"/>
        <v>S</v>
      </c>
      <c r="D129" s="14" t="str">
        <f t="shared" ca="1" si="22"/>
        <v>q_43d</v>
      </c>
      <c r="E129" s="14" t="str">
        <f t="shared" ca="1" si="19"/>
        <v>Other severe disease 1 of father</v>
      </c>
      <c r="F129" s="14">
        <f t="shared" ca="1" si="32"/>
        <v>0</v>
      </c>
      <c r="G129" s="14" t="str">
        <f t="shared" ca="1" si="23"/>
        <v>q_43d</v>
      </c>
      <c r="H129" s="14">
        <f ca="1">IF(G129&lt;&gt;"",IFERROR( IsVariableNameLegal(G129),0),0)+IF(COUNTIF(INDIRECT(wew!$C$13),G129)&gt;1,10,0)</f>
        <v>0</v>
      </c>
      <c r="I129" s="14">
        <f ca="1">IF(E129&lt;&gt;"",IF(LEN(E129)&gt;150,1,0)+IF(COUNTIF(INDIRECT(wew!$C$15),E129)&gt;1,10,0),0)</f>
        <v>0</v>
      </c>
      <c r="J129" s="14" t="b">
        <f t="shared" ca="1" si="24"/>
        <v>0</v>
      </c>
      <c r="K129" s="14" t="str">
        <f ca="1">ADDRESS(3,(B129+1)*2-1,4,,"[" &amp; wew!$G$7 &amp; "]" &amp; _sheetname_labels) &amp; ":" &amp; ADDRESS(2+ster!$B$20,(B129+1)*2-1,4)</f>
        <v>'[dane surowe2c.xlsm]labels'!IU3:IU36</v>
      </c>
      <c r="L129" s="14" t="str">
        <f ca="1">IF(F129&gt;0,ADDRESS(3,(B129+1)*2-1,4,,"[" &amp; wew!$G$7 &amp; "]" &amp; _sheetname_labels) &amp; ":" &amp; ADDRESS(2+F129,(B129+1)*2-1,4),"")</f>
        <v/>
      </c>
      <c r="M129" s="14" t="str">
        <f ca="1">IF(F129&gt;0,ADDRESS(3,(B129+1)*2,4,,"["&amp;wew!$G$7&amp;"]"&amp;_sheetname_labels)&amp;":"&amp;ADDRESS(2+F129,(B129+1)*2,4),"")</f>
        <v/>
      </c>
      <c r="N129" s="14" t="str">
        <f ca="1">ADDRESS(3,B129+1,4,,"[" &amp; wew!$G$7 &amp; "]" &amp;_sheetname_dataframe) &amp; ":" &amp; ADDRESS(2+ster!$C$14,B129+1,4)</f>
        <v>'[dane surowe2c.xlsm]data_frame'!DX3:DX35</v>
      </c>
      <c r="O129" s="14">
        <f t="shared" ca="1" si="25"/>
        <v>0</v>
      </c>
      <c r="P129" s="14" t="str">
        <f ca="1">IF(AND($AD129,$S129=1),IF(wew!$B$3,MIN(INDIRECT($N129)),"&lt;włącz podświetlanie wartości&gt;"),"—")</f>
        <v>—</v>
      </c>
      <c r="Q129" s="14" t="str">
        <f ca="1">IF(AND($AD129,$S129=1),IF(wew!$B$3,MAX(INDIRECT($N129)),"&lt;włącz podświetlanie wartości&gt;"),"—")</f>
        <v>—</v>
      </c>
      <c r="R129" s="14">
        <f ca="1">IF(AD129,ster!$C$14- (COUNTIF( INDIRECT(N129),"" )+ COUNT(INDIRECT(N129)) +COUNTIF( INDIRECT(N129),"NA" )),"")</f>
        <v>18</v>
      </c>
      <c r="S129" s="12">
        <f ca="1">IF(AD129,IF(COUNTA(INDIRECT(N129))=0,0, 1-(ster!$C$14- COUNT(INDIRECT(N129)) -COUNTIF( INDIRECT(N129),"" )) /COUNTA(INDIRECT(N129))),"")</f>
        <v>0</v>
      </c>
      <c r="T129" s="17" t="str">
        <f t="array" aca="1" ref="T129" ca="1">IF(L129&lt;&gt;"",SUM(IF(INDIRECT(L129)&lt;&gt;INT(INDIRECT(L129)),1,0)),"")</f>
        <v/>
      </c>
      <c r="U129" s="17" t="str">
        <f t="array" aca="1" ref="U129" ca="1">IF(S129=1,SUM(IF(ISNUMBER(INDIRECT(N129)),IF(INDIRECT(N129)&lt;&gt;INT(INDIRECT(N129)),1,0),0)),"")</f>
        <v/>
      </c>
      <c r="V129" s="17">
        <f t="shared" ca="1" si="26"/>
        <v>0</v>
      </c>
      <c r="W129" s="17">
        <f t="shared" ca="1" si="27"/>
        <v>0</v>
      </c>
      <c r="X129" s="24" t="str">
        <f t="array" aca="1" ref="X129" ca="1">IF(AD129,IF(AG129&lt;&gt;"",AG129,IF(J129,MIN(INDIRECT( K129)),"")),"")</f>
        <v/>
      </c>
      <c r="Y129" s="17" t="str">
        <f t="array" aca="1" ref="Y129" ca="1">IF(AD129,IF(AH129&lt;&gt;"",AH129,IF(J129,MAX(INDIRECT( K129)),"")),"")</f>
        <v/>
      </c>
      <c r="Z129" s="17" t="b">
        <f t="shared" ca="1" si="28"/>
        <v>0</v>
      </c>
      <c r="AC129" s="17" t="b">
        <f t="shared" ca="1" si="29"/>
        <v>1</v>
      </c>
      <c r="AD129" s="14" t="b">
        <f t="shared" ca="1" si="30"/>
        <v>1</v>
      </c>
      <c r="AE129" s="15" t="b">
        <f t="shared" ca="1" si="31"/>
        <v>0</v>
      </c>
      <c r="AF129" s="16"/>
      <c r="AG129" s="16"/>
      <c r="AH129" s="16"/>
      <c r="AI129" s="16"/>
      <c r="AJ129" s="16"/>
      <c r="AK129" s="16"/>
      <c r="AL129" s="16"/>
      <c r="AM129" s="16"/>
    </row>
    <row r="130" spans="2:39">
      <c r="B130" s="14">
        <f t="shared" si="20"/>
        <v>128</v>
      </c>
      <c r="C130" s="14" t="str">
        <f t="shared" ca="1" si="21"/>
        <v>I</v>
      </c>
      <c r="D130" s="14" t="str">
        <f t="shared" ca="1" si="22"/>
        <v>q_43e</v>
      </c>
      <c r="E130" s="14" t="str">
        <f t="shared" ref="E130:E193" ca="1" si="33">IF(AD130,IF(INDIRECT(ADDRESS(1,ROW(A129),,,_sheetname_dataframe))="","",INDIRECT(ADDRESS(1,ROW(A129),,,_sheetname_dataframe))),"")</f>
        <v>Other severe disease 2 of father</v>
      </c>
      <c r="F130" s="14">
        <f t="shared" ca="1" si="32"/>
        <v>0</v>
      </c>
      <c r="G130" s="14" t="str">
        <f t="shared" ca="1" si="23"/>
        <v>q_43e</v>
      </c>
      <c r="H130" s="14">
        <f ca="1">IF(G130&lt;&gt;"",IFERROR( IsVariableNameLegal(G130),0),0)+IF(COUNTIF(INDIRECT(wew!$C$13),G130)&gt;1,10,0)</f>
        <v>0</v>
      </c>
      <c r="I130" s="14">
        <f ca="1">IF(E130&lt;&gt;"",IF(LEN(E130)&gt;150,1,0)+IF(COUNTIF(INDIRECT(wew!$C$15),E130)&gt;1,10,0),0)</f>
        <v>0</v>
      </c>
      <c r="J130" s="14" t="b">
        <f t="shared" ca="1" si="24"/>
        <v>0</v>
      </c>
      <c r="K130" s="14" t="str">
        <f ca="1">ADDRESS(3,(B130+1)*2-1,4,,"[" &amp; wew!$G$7 &amp; "]" &amp; _sheetname_labels) &amp; ":" &amp; ADDRESS(2+ster!$B$20,(B130+1)*2-1,4)</f>
        <v>'[dane surowe2c.xlsm]labels'!IW3:IW36</v>
      </c>
      <c r="L130" s="14" t="str">
        <f ca="1">IF(F130&gt;0,ADDRESS(3,(B130+1)*2-1,4,,"[" &amp; wew!$G$7 &amp; "]" &amp; _sheetname_labels) &amp; ":" &amp; ADDRESS(2+F130,(B130+1)*2-1,4),"")</f>
        <v/>
      </c>
      <c r="M130" s="14" t="str">
        <f ca="1">IF(F130&gt;0,ADDRESS(3,(B130+1)*2,4,,"["&amp;wew!$G$7&amp;"]"&amp;_sheetname_labels)&amp;":"&amp;ADDRESS(2+F130,(B130+1)*2,4),"")</f>
        <v/>
      </c>
      <c r="N130" s="14" t="str">
        <f ca="1">ADDRESS(3,B130+1,4,,"[" &amp; wew!$G$7 &amp; "]" &amp;_sheetname_dataframe) &amp; ":" &amp; ADDRESS(2+ster!$C$14,B130+1,4)</f>
        <v>'[dane surowe2c.xlsm]data_frame'!DY3:DY35</v>
      </c>
      <c r="O130" s="14">
        <f t="shared" ca="1" si="25"/>
        <v>0</v>
      </c>
      <c r="P130" s="14" t="str">
        <f ca="1">IF(AND($AD130,$S130=1),IF(wew!$B$3,MIN(INDIRECT($N130)),"&lt;włącz podświetlanie wartości&gt;"),"—")</f>
        <v>—</v>
      </c>
      <c r="Q130" s="14" t="str">
        <f ca="1">IF(AND($AD130,$S130=1),IF(wew!$B$3,MAX(INDIRECT($N130)),"&lt;włącz podświetlanie wartości&gt;"),"—")</f>
        <v>—</v>
      </c>
      <c r="R130" s="14">
        <f ca="1">IF(AD130,ster!$C$14- (COUNTIF( INDIRECT(N130),"" )+ COUNT(INDIRECT(N130)) +COUNTIF( INDIRECT(N130),"NA" )),"")</f>
        <v>0</v>
      </c>
      <c r="S130" s="12">
        <f ca="1">IF(AD130,IF(COUNTA(INDIRECT(N130))=0,0, 1-(ster!$C$14- COUNT(INDIRECT(N130)) -COUNTIF( INDIRECT(N130),"" )) /COUNTA(INDIRECT(N130))),"")</f>
        <v>0</v>
      </c>
      <c r="T130" s="17" t="str">
        <f t="array" aca="1" ref="T130" ca="1">IF(L130&lt;&gt;"",SUM(IF(INDIRECT(L130)&lt;&gt;INT(INDIRECT(L130)),1,0)),"")</f>
        <v/>
      </c>
      <c r="U130" s="17" t="str">
        <f t="array" aca="1" ref="U130" ca="1">IF(S130=1,SUM(IF(ISNUMBER(INDIRECT(N130)),IF(INDIRECT(N130)&lt;&gt;INT(INDIRECT(N130)),1,0),0)),"")</f>
        <v/>
      </c>
      <c r="V130" s="17">
        <f t="shared" ca="1" si="26"/>
        <v>0</v>
      </c>
      <c r="W130" s="17">
        <f t="shared" ca="1" si="27"/>
        <v>0</v>
      </c>
      <c r="X130" s="24" t="str">
        <f t="array" aca="1" ref="X130" ca="1">IF(AD130,IF(AG130&lt;&gt;"",AG130,IF(J130,MIN(INDIRECT( K130)),"")),"")</f>
        <v/>
      </c>
      <c r="Y130" s="17" t="str">
        <f t="array" aca="1" ref="Y130" ca="1">IF(AD130,IF(AH130&lt;&gt;"",AH130,IF(J130,MAX(INDIRECT( K130)),"")),"")</f>
        <v/>
      </c>
      <c r="Z130" s="17" t="b">
        <f t="shared" ca="1" si="28"/>
        <v>0</v>
      </c>
      <c r="AC130" s="17" t="b">
        <f t="shared" ca="1" si="29"/>
        <v>0</v>
      </c>
      <c r="AD130" s="14" t="b">
        <f t="shared" ca="1" si="30"/>
        <v>1</v>
      </c>
      <c r="AE130" s="15" t="b">
        <f t="shared" ca="1" si="31"/>
        <v>0</v>
      </c>
      <c r="AF130" s="16"/>
      <c r="AG130" s="16"/>
      <c r="AH130" s="16"/>
      <c r="AI130" s="16"/>
      <c r="AJ130" s="16"/>
      <c r="AK130" s="16"/>
      <c r="AL130" s="16"/>
      <c r="AM130" s="16"/>
    </row>
    <row r="131" spans="2:39">
      <c r="B131" s="14">
        <f t="shared" ref="B131:B194" si="34">ROW(A131)-2</f>
        <v>129</v>
      </c>
      <c r="C131" s="14" t="str">
        <f t="shared" ref="C131:C194" ca="1" si="35">IF(OR(E131="",ROW(E131)=2),"",IF(R131&gt;0,"S",IF(J131,IF(F131=2,"D","N"),"I")))</f>
        <v>I</v>
      </c>
      <c r="D131" s="14" t="str">
        <f t="shared" ref="D131:D194" ca="1" si="36">IFERROR(CHOOSE(H131+1,G131,"Nazwa musi zaczynać się od litery:" &amp; G131, "Nazwa nie może kończyć się kropką","Nazwa nie może kończyć się podkreśleniem","Nazwa nie może być dłuższa od 64 znaków","?","Ta nazwa jest zarezerwowana i nie może być użyta"),G131)</f>
        <v>q_43f</v>
      </c>
      <c r="E131" s="14" t="str">
        <f t="shared" ca="1" si="33"/>
        <v>Other severe disease 3 of father</v>
      </c>
      <c r="F131" s="14">
        <f t="shared" ca="1" si="32"/>
        <v>0</v>
      </c>
      <c r="G131" s="14" t="str">
        <f t="shared" ref="G131:G194" ca="1" si="37">IF(AD131,INDIRECT(ADDRESS(2,ROW(A130),,,_sheetname_dataframe)),"")</f>
        <v>q_43f</v>
      </c>
      <c r="H131" s="14">
        <f ca="1">IF(G131&lt;&gt;"",IFERROR( IsVariableNameLegal(G131),0),0)+IF(COUNTIF(INDIRECT(wew!$C$13),G131)&gt;1,10,0)</f>
        <v>0</v>
      </c>
      <c r="I131" s="14">
        <f ca="1">IF(E131&lt;&gt;"",IF(LEN(E131)&gt;150,1,0)+IF(COUNTIF(INDIRECT(wew!$C$15),E131)&gt;1,10,0),0)</f>
        <v>0</v>
      </c>
      <c r="J131" s="14" t="b">
        <f t="shared" ref="J131:J194" ca="1" si="38">F131&gt;0</f>
        <v>0</v>
      </c>
      <c r="K131" s="14" t="str">
        <f ca="1">ADDRESS(3,(B131+1)*2-1,4,,"[" &amp; wew!$G$7 &amp; "]" &amp; _sheetname_labels) &amp; ":" &amp; ADDRESS(2+ster!$B$20,(B131+1)*2-1,4)</f>
        <v>'[dane surowe2c.xlsm]labels'!IY3:IY36</v>
      </c>
      <c r="L131" s="14" t="str">
        <f ca="1">IF(F131&gt;0,ADDRESS(3,(B131+1)*2-1,4,,"[" &amp; wew!$G$7 &amp; "]" &amp; _sheetname_labels) &amp; ":" &amp; ADDRESS(2+F131,(B131+1)*2-1,4),"")</f>
        <v/>
      </c>
      <c r="M131" s="14" t="str">
        <f ca="1">IF(F131&gt;0,ADDRESS(3,(B131+1)*2,4,,"["&amp;wew!$G$7&amp;"]"&amp;_sheetname_labels)&amp;":"&amp;ADDRESS(2+F131,(B131+1)*2,4),"")</f>
        <v/>
      </c>
      <c r="N131" s="14" t="str">
        <f ca="1">ADDRESS(3,B131+1,4,,"[" &amp; wew!$G$7 &amp; "]" &amp;_sheetname_dataframe) &amp; ":" &amp; ADDRESS(2+ster!$C$14,B131+1,4)</f>
        <v>'[dane surowe2c.xlsm]data_frame'!DZ3:DZ35</v>
      </c>
      <c r="O131" s="14">
        <f t="shared" ref="O131:O194" ca="1" si="39">IF(AD131,COUNT(INDIRECT(N131)),"")</f>
        <v>0</v>
      </c>
      <c r="P131" s="14" t="str">
        <f ca="1">IF(AND($AD131,$S131=1),IF(wew!$B$3,MIN(INDIRECT($N131)),"&lt;włącz podświetlanie wartości&gt;"),"—")</f>
        <v>—</v>
      </c>
      <c r="Q131" s="14" t="str">
        <f ca="1">IF(AND($AD131,$S131=1),IF(wew!$B$3,MAX(INDIRECT($N131)),"&lt;włącz podświetlanie wartości&gt;"),"—")</f>
        <v>—</v>
      </c>
      <c r="R131" s="14">
        <f ca="1">IF(AD131,ster!$C$14- (COUNTIF( INDIRECT(N131),"" )+ COUNT(INDIRECT(N131)) +COUNTIF( INDIRECT(N131),"NA" )),"")</f>
        <v>0</v>
      </c>
      <c r="S131" s="12">
        <f ca="1">IF(AD131,IF(COUNTA(INDIRECT(N131))=0,0, 1-(ster!$C$14- COUNT(INDIRECT(N131)) -COUNTIF( INDIRECT(N131),"" )) /COUNTA(INDIRECT(N131))),"")</f>
        <v>0</v>
      </c>
      <c r="T131" s="17" t="str">
        <f t="array" aca="1" ref="T131" ca="1">IF(L131&lt;&gt;"",SUM(IF(INDIRECT(L131)&lt;&gt;INT(INDIRECT(L131)),1,0)),"")</f>
        <v/>
      </c>
      <c r="U131" s="17" t="str">
        <f t="array" aca="1" ref="U131" ca="1">IF(S131=1,SUM(IF(ISNUMBER(INDIRECT(N131)),IF(INDIRECT(N131)&lt;&gt;INT(INDIRECT(N131)),1,0),0)),"")</f>
        <v/>
      </c>
      <c r="V131" s="17">
        <f t="shared" ref="V131:V194" ca="1" si="40">IF(U131&lt;&gt;"",IF(U131=0,1,IF(U131/O131&lt;0.05,2,3)),0)</f>
        <v>0</v>
      </c>
      <c r="W131" s="17">
        <f t="shared" ref="W131:W194" ca="1" si="41">IF(COUNTA(INDIRECT(N131))=0,0, IF(AND(X131&lt;&gt;"",P131&lt;X131),1,IF(AND(Y131&lt;&gt;"",Q131&gt;Y131),1,IF(AND(Z131,U131&gt;0),2,0))))</f>
        <v>0</v>
      </c>
      <c r="X131" s="24" t="str">
        <f t="array" aca="1" ref="X131" ca="1">IF(AD131,IF(AG131&lt;&gt;"",AG131,IF(J131,MIN(INDIRECT( K131)),"")),"")</f>
        <v/>
      </c>
      <c r="Y131" s="17" t="str">
        <f t="array" aca="1" ref="Y131" ca="1">IF(AD131,IF(AH131&lt;&gt;"",AH131,IF(J131,MAX(INDIRECT( K131)),"")),"")</f>
        <v/>
      </c>
      <c r="Z131" s="17" t="b">
        <f t="shared" ref="Z131:Z194" ca="1" si="42">IF(AD131,IF(AI131&lt;&gt;"",AI131,T131=0),FALSE)</f>
        <v>0</v>
      </c>
      <c r="AC131" s="17" t="b">
        <f t="shared" ref="AC131:AC194" ca="1" si="43">IF(AD131,C131="S","")</f>
        <v>0</v>
      </c>
      <c r="AD131" s="14" t="b">
        <f t="shared" ref="AD131:AD194" ca="1" si="44">INDIRECT(ADDRESS(2,ROW(A130),,,_sheetname_dataframe))&lt;&gt;""</f>
        <v>1</v>
      </c>
      <c r="AE131" s="15" t="b">
        <f t="shared" ref="AE131:AE194" ca="1" si="45">J131</f>
        <v>0</v>
      </c>
      <c r="AF131" s="16"/>
      <c r="AG131" s="16"/>
      <c r="AH131" s="16"/>
      <c r="AI131" s="16"/>
      <c r="AJ131" s="16"/>
      <c r="AK131" s="16"/>
      <c r="AL131" s="16"/>
      <c r="AM131" s="16"/>
    </row>
    <row r="132" spans="2:39">
      <c r="B132" s="14">
        <f t="shared" si="34"/>
        <v>130</v>
      </c>
      <c r="C132" s="14" t="str">
        <f t="shared" ca="1" si="35"/>
        <v>S</v>
      </c>
      <c r="D132" s="14" t="str">
        <f t="shared" ca="1" si="36"/>
        <v>q_43g</v>
      </c>
      <c r="E132" s="14" t="str">
        <f t="shared" ca="1" si="33"/>
        <v>Other severe disease 1 of other family members</v>
      </c>
      <c r="F132" s="14">
        <f t="shared" ca="1" si="32"/>
        <v>0</v>
      </c>
      <c r="G132" s="14" t="str">
        <f t="shared" ca="1" si="37"/>
        <v>q_43g</v>
      </c>
      <c r="H132" s="14">
        <f ca="1">IF(G132&lt;&gt;"",IFERROR( IsVariableNameLegal(G132),0),0)+IF(COUNTIF(INDIRECT(wew!$C$13),G132)&gt;1,10,0)</f>
        <v>0</v>
      </c>
      <c r="I132" s="14">
        <f ca="1">IF(E132&lt;&gt;"",IF(LEN(E132)&gt;150,1,0)+IF(COUNTIF(INDIRECT(wew!$C$15),E132)&gt;1,10,0),0)</f>
        <v>0</v>
      </c>
      <c r="J132" s="14" t="b">
        <f t="shared" ca="1" si="38"/>
        <v>0</v>
      </c>
      <c r="K132" s="14" t="str">
        <f ca="1">ADDRESS(3,(B132+1)*2-1,4,,"[" &amp; wew!$G$7 &amp; "]" &amp; _sheetname_labels) &amp; ":" &amp; ADDRESS(2+ster!$B$20,(B132+1)*2-1,4)</f>
        <v>'[dane surowe2c.xlsm]labels'!JA3:JA36</v>
      </c>
      <c r="L132" s="14" t="str">
        <f ca="1">IF(F132&gt;0,ADDRESS(3,(B132+1)*2-1,4,,"[" &amp; wew!$G$7 &amp; "]" &amp; _sheetname_labels) &amp; ":" &amp; ADDRESS(2+F132,(B132+1)*2-1,4),"")</f>
        <v/>
      </c>
      <c r="M132" s="14" t="str">
        <f ca="1">IF(F132&gt;0,ADDRESS(3,(B132+1)*2,4,,"["&amp;wew!$G$7&amp;"]"&amp;_sheetname_labels)&amp;":"&amp;ADDRESS(2+F132,(B132+1)*2,4),"")</f>
        <v/>
      </c>
      <c r="N132" s="14" t="str">
        <f ca="1">ADDRESS(3,B132+1,4,,"[" &amp; wew!$G$7 &amp; "]" &amp;_sheetname_dataframe) &amp; ":" &amp; ADDRESS(2+ster!$C$14,B132+1,4)</f>
        <v>'[dane surowe2c.xlsm]data_frame'!EA3:EA35</v>
      </c>
      <c r="O132" s="14">
        <f t="shared" ca="1" si="39"/>
        <v>0</v>
      </c>
      <c r="P132" s="14" t="str">
        <f ca="1">IF(AND($AD132,$S132=1),IF(wew!$B$3,MIN(INDIRECT($N132)),"&lt;włącz podświetlanie wartości&gt;"),"—")</f>
        <v>—</v>
      </c>
      <c r="Q132" s="14" t="str">
        <f ca="1">IF(AND($AD132,$S132=1),IF(wew!$B$3,MAX(INDIRECT($N132)),"&lt;włącz podświetlanie wartości&gt;"),"—")</f>
        <v>—</v>
      </c>
      <c r="R132" s="14">
        <f ca="1">IF(AD132,ster!$C$14- (COUNTIF( INDIRECT(N132),"" )+ COUNT(INDIRECT(N132)) +COUNTIF( INDIRECT(N132),"NA" )),"")</f>
        <v>4</v>
      </c>
      <c r="S132" s="12">
        <f ca="1">IF(AD132,IF(COUNTA(INDIRECT(N132))=0,0, 1-(ster!$C$14- COUNT(INDIRECT(N132)) -COUNTIF( INDIRECT(N132),"" )) /COUNTA(INDIRECT(N132))),"")</f>
        <v>0</v>
      </c>
      <c r="T132" s="17" t="str">
        <f t="array" aca="1" ref="T132" ca="1">IF(L132&lt;&gt;"",SUM(IF(INDIRECT(L132)&lt;&gt;INT(INDIRECT(L132)),1,0)),"")</f>
        <v/>
      </c>
      <c r="U132" s="17" t="str">
        <f t="array" aca="1" ref="U132" ca="1">IF(S132=1,SUM(IF(ISNUMBER(INDIRECT(N132)),IF(INDIRECT(N132)&lt;&gt;INT(INDIRECT(N132)),1,0),0)),"")</f>
        <v/>
      </c>
      <c r="V132" s="17">
        <f t="shared" ca="1" si="40"/>
        <v>0</v>
      </c>
      <c r="W132" s="17">
        <f t="shared" ca="1" si="41"/>
        <v>0</v>
      </c>
      <c r="X132" s="24" t="str">
        <f t="array" aca="1" ref="X132" ca="1">IF(AD132,IF(AG132&lt;&gt;"",AG132,IF(J132,MIN(INDIRECT( K132)),"")),"")</f>
        <v/>
      </c>
      <c r="Y132" s="17" t="str">
        <f t="array" aca="1" ref="Y132" ca="1">IF(AD132,IF(AH132&lt;&gt;"",AH132,IF(J132,MAX(INDIRECT( K132)),"")),"")</f>
        <v/>
      </c>
      <c r="Z132" s="17" t="b">
        <f t="shared" ca="1" si="42"/>
        <v>0</v>
      </c>
      <c r="AC132" s="17" t="b">
        <f t="shared" ca="1" si="43"/>
        <v>1</v>
      </c>
      <c r="AD132" s="14" t="b">
        <f t="shared" ca="1" si="44"/>
        <v>1</v>
      </c>
      <c r="AE132" s="15" t="b">
        <f t="shared" ca="1" si="45"/>
        <v>0</v>
      </c>
      <c r="AF132" s="16"/>
      <c r="AG132" s="16"/>
      <c r="AH132" s="16"/>
      <c r="AI132" s="16"/>
      <c r="AJ132" s="16"/>
      <c r="AK132" s="16"/>
      <c r="AL132" s="16"/>
      <c r="AM132" s="16"/>
    </row>
    <row r="133" spans="2:39">
      <c r="B133" s="14">
        <f t="shared" si="34"/>
        <v>131</v>
      </c>
      <c r="C133" s="14" t="str">
        <f t="shared" ca="1" si="35"/>
        <v>S</v>
      </c>
      <c r="D133" s="14" t="str">
        <f t="shared" ca="1" si="36"/>
        <v>q_43h</v>
      </c>
      <c r="E133" s="14" t="str">
        <f t="shared" ca="1" si="33"/>
        <v>Other severe disease 2 of other family members</v>
      </c>
      <c r="F133" s="14">
        <f t="shared" ca="1" si="32"/>
        <v>0</v>
      </c>
      <c r="G133" s="14" t="str">
        <f t="shared" ca="1" si="37"/>
        <v>q_43h</v>
      </c>
      <c r="H133" s="14">
        <f ca="1">IF(G133&lt;&gt;"",IFERROR( IsVariableNameLegal(G133),0),0)+IF(COUNTIF(INDIRECT(wew!$C$13),G133)&gt;1,10,0)</f>
        <v>0</v>
      </c>
      <c r="I133" s="14">
        <f ca="1">IF(E133&lt;&gt;"",IF(LEN(E133)&gt;150,1,0)+IF(COUNTIF(INDIRECT(wew!$C$15),E133)&gt;1,10,0),0)</f>
        <v>0</v>
      </c>
      <c r="J133" s="14" t="b">
        <f t="shared" ca="1" si="38"/>
        <v>0</v>
      </c>
      <c r="K133" s="14" t="str">
        <f ca="1">ADDRESS(3,(B133+1)*2-1,4,,"[" &amp; wew!$G$7 &amp; "]" &amp; _sheetname_labels) &amp; ":" &amp; ADDRESS(2+ster!$B$20,(B133+1)*2-1,4)</f>
        <v>'[dane surowe2c.xlsm]labels'!JC3:JC36</v>
      </c>
      <c r="L133" s="14" t="str">
        <f ca="1">IF(F133&gt;0,ADDRESS(3,(B133+1)*2-1,4,,"[" &amp; wew!$G$7 &amp; "]" &amp; _sheetname_labels) &amp; ":" &amp; ADDRESS(2+F133,(B133+1)*2-1,4),"")</f>
        <v/>
      </c>
      <c r="M133" s="14" t="str">
        <f ca="1">IF(F133&gt;0,ADDRESS(3,(B133+1)*2,4,,"["&amp;wew!$G$7&amp;"]"&amp;_sheetname_labels)&amp;":"&amp;ADDRESS(2+F133,(B133+1)*2,4),"")</f>
        <v/>
      </c>
      <c r="N133" s="14" t="str">
        <f ca="1">ADDRESS(3,B133+1,4,,"[" &amp; wew!$G$7 &amp; "]" &amp;_sheetname_dataframe) &amp; ":" &amp; ADDRESS(2+ster!$C$14,B133+1,4)</f>
        <v>'[dane surowe2c.xlsm]data_frame'!EB3:EB35</v>
      </c>
      <c r="O133" s="14">
        <f t="shared" ca="1" si="39"/>
        <v>0</v>
      </c>
      <c r="P133" s="14" t="str">
        <f ca="1">IF(AND($AD133,$S133=1),IF(wew!$B$3,MIN(INDIRECT($N133)),"&lt;włącz podświetlanie wartości&gt;"),"—")</f>
        <v>—</v>
      </c>
      <c r="Q133" s="14" t="str">
        <f ca="1">IF(AND($AD133,$S133=1),IF(wew!$B$3,MAX(INDIRECT($N133)),"&lt;włącz podświetlanie wartości&gt;"),"—")</f>
        <v>—</v>
      </c>
      <c r="R133" s="14">
        <f ca="1">IF(AD133,ster!$C$14- (COUNTIF( INDIRECT(N133),"" )+ COUNT(INDIRECT(N133)) +COUNTIF( INDIRECT(N133),"NA" )),"")</f>
        <v>1</v>
      </c>
      <c r="S133" s="12">
        <f ca="1">IF(AD133,IF(COUNTA(INDIRECT(N133))=0,0, 1-(ster!$C$14- COUNT(INDIRECT(N133)) -COUNTIF( INDIRECT(N133),"" )) /COUNTA(INDIRECT(N133))),"")</f>
        <v>0</v>
      </c>
      <c r="T133" s="17" t="str">
        <f t="array" aca="1" ref="T133" ca="1">IF(L133&lt;&gt;"",SUM(IF(INDIRECT(L133)&lt;&gt;INT(INDIRECT(L133)),1,0)),"")</f>
        <v/>
      </c>
      <c r="U133" s="17" t="str">
        <f t="array" aca="1" ref="U133" ca="1">IF(S133=1,SUM(IF(ISNUMBER(INDIRECT(N133)),IF(INDIRECT(N133)&lt;&gt;INT(INDIRECT(N133)),1,0),0)),"")</f>
        <v/>
      </c>
      <c r="V133" s="17">
        <f t="shared" ca="1" si="40"/>
        <v>0</v>
      </c>
      <c r="W133" s="17">
        <f t="shared" ca="1" si="41"/>
        <v>0</v>
      </c>
      <c r="X133" s="24" t="str">
        <f t="array" aca="1" ref="X133" ca="1">IF(AD133,IF(AG133&lt;&gt;"",AG133,IF(J133,MIN(INDIRECT( K133)),"")),"")</f>
        <v/>
      </c>
      <c r="Y133" s="17" t="str">
        <f t="array" aca="1" ref="Y133" ca="1">IF(AD133,IF(AH133&lt;&gt;"",AH133,IF(J133,MAX(INDIRECT( K133)),"")),"")</f>
        <v/>
      </c>
      <c r="Z133" s="17" t="b">
        <f t="shared" ca="1" si="42"/>
        <v>0</v>
      </c>
      <c r="AC133" s="17" t="b">
        <f t="shared" ca="1" si="43"/>
        <v>1</v>
      </c>
      <c r="AD133" s="14" t="b">
        <f t="shared" ca="1" si="44"/>
        <v>1</v>
      </c>
      <c r="AE133" s="15" t="b">
        <f t="shared" ca="1" si="45"/>
        <v>0</v>
      </c>
      <c r="AF133" s="16"/>
      <c r="AG133" s="16"/>
      <c r="AH133" s="16"/>
      <c r="AI133" s="16"/>
      <c r="AJ133" s="16"/>
      <c r="AK133" s="16"/>
      <c r="AL133" s="16"/>
      <c r="AM133" s="16"/>
    </row>
    <row r="134" spans="2:39">
      <c r="B134" s="14">
        <f t="shared" si="34"/>
        <v>132</v>
      </c>
      <c r="C134" s="14" t="str">
        <f t="shared" ca="1" si="35"/>
        <v>I</v>
      </c>
      <c r="D134" s="14" t="str">
        <f t="shared" ca="1" si="36"/>
        <v>q_43i</v>
      </c>
      <c r="E134" s="14" t="str">
        <f t="shared" ca="1" si="33"/>
        <v>Other severe disease 3 of other family members</v>
      </c>
      <c r="F134" s="14">
        <f t="shared" ca="1" si="32"/>
        <v>0</v>
      </c>
      <c r="G134" s="14" t="str">
        <f t="shared" ca="1" si="37"/>
        <v>q_43i</v>
      </c>
      <c r="H134" s="14">
        <f ca="1">IF(G134&lt;&gt;"",IFERROR( IsVariableNameLegal(G134),0),0)+IF(COUNTIF(INDIRECT(wew!$C$13),G134)&gt;1,10,0)</f>
        <v>0</v>
      </c>
      <c r="I134" s="14">
        <f ca="1">IF(E134&lt;&gt;"",IF(LEN(E134)&gt;150,1,0)+IF(COUNTIF(INDIRECT(wew!$C$15),E134)&gt;1,10,0),0)</f>
        <v>0</v>
      </c>
      <c r="J134" s="14" t="b">
        <f t="shared" ca="1" si="38"/>
        <v>0</v>
      </c>
      <c r="K134" s="14" t="str">
        <f ca="1">ADDRESS(3,(B134+1)*2-1,4,,"[" &amp; wew!$G$7 &amp; "]" &amp; _sheetname_labels) &amp; ":" &amp; ADDRESS(2+ster!$B$20,(B134+1)*2-1,4)</f>
        <v>'[dane surowe2c.xlsm]labels'!JE3:JE36</v>
      </c>
      <c r="L134" s="14" t="str">
        <f ca="1">IF(F134&gt;0,ADDRESS(3,(B134+1)*2-1,4,,"[" &amp; wew!$G$7 &amp; "]" &amp; _sheetname_labels) &amp; ":" &amp; ADDRESS(2+F134,(B134+1)*2-1,4),"")</f>
        <v/>
      </c>
      <c r="M134" s="14" t="str">
        <f ca="1">IF(F134&gt;0,ADDRESS(3,(B134+1)*2,4,,"["&amp;wew!$G$7&amp;"]"&amp;_sheetname_labels)&amp;":"&amp;ADDRESS(2+F134,(B134+1)*2,4),"")</f>
        <v/>
      </c>
      <c r="N134" s="14" t="str">
        <f ca="1">ADDRESS(3,B134+1,4,,"[" &amp; wew!$G$7 &amp; "]" &amp;_sheetname_dataframe) &amp; ":" &amp; ADDRESS(2+ster!$C$14,B134+1,4)</f>
        <v>'[dane surowe2c.xlsm]data_frame'!EC3:EC35</v>
      </c>
      <c r="O134" s="14">
        <f t="shared" ca="1" si="39"/>
        <v>0</v>
      </c>
      <c r="P134" s="14" t="str">
        <f ca="1">IF(AND($AD134,$S134=1),IF(wew!$B$3,MIN(INDIRECT($N134)),"&lt;włącz podświetlanie wartości&gt;"),"—")</f>
        <v>—</v>
      </c>
      <c r="Q134" s="14" t="str">
        <f ca="1">IF(AND($AD134,$S134=1),IF(wew!$B$3,MAX(INDIRECT($N134)),"&lt;włącz podświetlanie wartości&gt;"),"—")</f>
        <v>—</v>
      </c>
      <c r="R134" s="14">
        <f ca="1">IF(AD134,ster!$C$14- (COUNTIF( INDIRECT(N134),"" )+ COUNT(INDIRECT(N134)) +COUNTIF( INDIRECT(N134),"NA" )),"")</f>
        <v>0</v>
      </c>
      <c r="S134" s="12">
        <f ca="1">IF(AD134,IF(COUNTA(INDIRECT(N134))=0,0, 1-(ster!$C$14- COUNT(INDIRECT(N134)) -COUNTIF( INDIRECT(N134),"" )) /COUNTA(INDIRECT(N134))),"")</f>
        <v>0</v>
      </c>
      <c r="T134" s="17" t="str">
        <f t="array" aca="1" ref="T134" ca="1">IF(L134&lt;&gt;"",SUM(IF(INDIRECT(L134)&lt;&gt;INT(INDIRECT(L134)),1,0)),"")</f>
        <v/>
      </c>
      <c r="U134" s="17" t="str">
        <f t="array" aca="1" ref="U134" ca="1">IF(S134=1,SUM(IF(ISNUMBER(INDIRECT(N134)),IF(INDIRECT(N134)&lt;&gt;INT(INDIRECT(N134)),1,0),0)),"")</f>
        <v/>
      </c>
      <c r="V134" s="17">
        <f t="shared" ca="1" si="40"/>
        <v>0</v>
      </c>
      <c r="W134" s="17">
        <f t="shared" ca="1" si="41"/>
        <v>0</v>
      </c>
      <c r="X134" s="24" t="str">
        <f t="array" aca="1" ref="X134" ca="1">IF(AD134,IF(AG134&lt;&gt;"",AG134,IF(J134,MIN(INDIRECT( K134)),"")),"")</f>
        <v/>
      </c>
      <c r="Y134" s="17" t="str">
        <f t="array" aca="1" ref="Y134" ca="1">IF(AD134,IF(AH134&lt;&gt;"",AH134,IF(J134,MAX(INDIRECT( K134)),"")),"")</f>
        <v/>
      </c>
      <c r="Z134" s="17" t="b">
        <f t="shared" ca="1" si="42"/>
        <v>0</v>
      </c>
      <c r="AC134" s="17" t="b">
        <f t="shared" ca="1" si="43"/>
        <v>0</v>
      </c>
      <c r="AD134" s="14" t="b">
        <f t="shared" ca="1" si="44"/>
        <v>1</v>
      </c>
      <c r="AE134" s="15" t="b">
        <f t="shared" ca="1" si="45"/>
        <v>0</v>
      </c>
      <c r="AF134" s="16"/>
      <c r="AG134" s="16"/>
      <c r="AH134" s="16"/>
      <c r="AI134" s="16"/>
      <c r="AJ134" s="16"/>
      <c r="AK134" s="16"/>
      <c r="AL134" s="16"/>
      <c r="AM134" s="16"/>
    </row>
    <row r="135" spans="2:39">
      <c r="B135" s="14">
        <f t="shared" si="34"/>
        <v>133</v>
      </c>
      <c r="C135" s="14" t="str">
        <f t="shared" ca="1" si="35"/>
        <v>I</v>
      </c>
      <c r="D135" s="14" t="str">
        <f t="shared" ca="1" si="36"/>
        <v>q_43j</v>
      </c>
      <c r="E135" s="14" t="str">
        <f t="shared" ca="1" si="33"/>
        <v>Other severe disease 4 of other family members</v>
      </c>
      <c r="F135" s="14">
        <f t="shared" ca="1" si="32"/>
        <v>0</v>
      </c>
      <c r="G135" s="14" t="str">
        <f t="shared" ca="1" si="37"/>
        <v>q_43j</v>
      </c>
      <c r="H135" s="14">
        <f ca="1">IF(G135&lt;&gt;"",IFERROR( IsVariableNameLegal(G135),0),0)+IF(COUNTIF(INDIRECT(wew!$C$13),G135)&gt;1,10,0)</f>
        <v>0</v>
      </c>
      <c r="I135" s="14">
        <f ca="1">IF(E135&lt;&gt;"",IF(LEN(E135)&gt;150,1,0)+IF(COUNTIF(INDIRECT(wew!$C$15),E135)&gt;1,10,0),0)</f>
        <v>0</v>
      </c>
      <c r="J135" s="14" t="b">
        <f t="shared" ca="1" si="38"/>
        <v>0</v>
      </c>
      <c r="K135" s="14" t="str">
        <f ca="1">ADDRESS(3,(B135+1)*2-1,4,,"[" &amp; wew!$G$7 &amp; "]" &amp; _sheetname_labels) &amp; ":" &amp; ADDRESS(2+ster!$B$20,(B135+1)*2-1,4)</f>
        <v>'[dane surowe2c.xlsm]labels'!JG3:JG36</v>
      </c>
      <c r="L135" s="14" t="str">
        <f ca="1">IF(F135&gt;0,ADDRESS(3,(B135+1)*2-1,4,,"[" &amp; wew!$G$7 &amp; "]" &amp; _sheetname_labels) &amp; ":" &amp; ADDRESS(2+F135,(B135+1)*2-1,4),"")</f>
        <v/>
      </c>
      <c r="M135" s="14" t="str">
        <f ca="1">IF(F135&gt;0,ADDRESS(3,(B135+1)*2,4,,"["&amp;wew!$G$7&amp;"]"&amp;_sheetname_labels)&amp;":"&amp;ADDRESS(2+F135,(B135+1)*2,4),"")</f>
        <v/>
      </c>
      <c r="N135" s="14" t="str">
        <f ca="1">ADDRESS(3,B135+1,4,,"[" &amp; wew!$G$7 &amp; "]" &amp;_sheetname_dataframe) &amp; ":" &amp; ADDRESS(2+ster!$C$14,B135+1,4)</f>
        <v>'[dane surowe2c.xlsm]data_frame'!ED3:ED35</v>
      </c>
      <c r="O135" s="14">
        <f t="shared" ca="1" si="39"/>
        <v>0</v>
      </c>
      <c r="P135" s="14" t="str">
        <f ca="1">IF(AND($AD135,$S135=1),IF(wew!$B$3,MIN(INDIRECT($N135)),"&lt;włącz podświetlanie wartości&gt;"),"—")</f>
        <v>—</v>
      </c>
      <c r="Q135" s="14" t="str">
        <f ca="1">IF(AND($AD135,$S135=1),IF(wew!$B$3,MAX(INDIRECT($N135)),"&lt;włącz podświetlanie wartości&gt;"),"—")</f>
        <v>—</v>
      </c>
      <c r="R135" s="14">
        <f ca="1">IF(AD135,ster!$C$14- (COUNTIF( INDIRECT(N135),"" )+ COUNT(INDIRECT(N135)) +COUNTIF( INDIRECT(N135),"NA" )),"")</f>
        <v>0</v>
      </c>
      <c r="S135" s="12">
        <f ca="1">IF(AD135,IF(COUNTA(INDIRECT(N135))=0,0, 1-(ster!$C$14- COUNT(INDIRECT(N135)) -COUNTIF( INDIRECT(N135),"" )) /COUNTA(INDIRECT(N135))),"")</f>
        <v>0</v>
      </c>
      <c r="T135" s="17" t="str">
        <f t="array" aca="1" ref="T135" ca="1">IF(L135&lt;&gt;"",SUM(IF(INDIRECT(L135)&lt;&gt;INT(INDIRECT(L135)),1,0)),"")</f>
        <v/>
      </c>
      <c r="U135" s="17" t="str">
        <f t="array" aca="1" ref="U135" ca="1">IF(S135=1,SUM(IF(ISNUMBER(INDIRECT(N135)),IF(INDIRECT(N135)&lt;&gt;INT(INDIRECT(N135)),1,0),0)),"")</f>
        <v/>
      </c>
      <c r="V135" s="17">
        <f t="shared" ca="1" si="40"/>
        <v>0</v>
      </c>
      <c r="W135" s="17">
        <f t="shared" ca="1" si="41"/>
        <v>0</v>
      </c>
      <c r="X135" s="24" t="str">
        <f t="array" aca="1" ref="X135" ca="1">IF(AD135,IF(AG135&lt;&gt;"",AG135,IF(J135,MIN(INDIRECT( K135)),"")),"")</f>
        <v/>
      </c>
      <c r="Y135" s="17" t="str">
        <f t="array" aca="1" ref="Y135" ca="1">IF(AD135,IF(AH135&lt;&gt;"",AH135,IF(J135,MAX(INDIRECT( K135)),"")),"")</f>
        <v/>
      </c>
      <c r="Z135" s="17" t="b">
        <f t="shared" ca="1" si="42"/>
        <v>0</v>
      </c>
      <c r="AC135" s="17" t="b">
        <f t="shared" ca="1" si="43"/>
        <v>0</v>
      </c>
      <c r="AD135" s="14" t="b">
        <f t="shared" ca="1" si="44"/>
        <v>1</v>
      </c>
      <c r="AE135" s="15" t="b">
        <f t="shared" ca="1" si="45"/>
        <v>0</v>
      </c>
      <c r="AF135" s="16"/>
      <c r="AG135" s="16"/>
      <c r="AH135" s="16"/>
      <c r="AI135" s="16"/>
      <c r="AJ135" s="16"/>
      <c r="AK135" s="16"/>
      <c r="AL135" s="16"/>
      <c r="AM135" s="16"/>
    </row>
    <row r="136" spans="2:39">
      <c r="B136" s="14">
        <f t="shared" si="34"/>
        <v>134</v>
      </c>
      <c r="C136" s="14" t="str">
        <f t="shared" ca="1" si="35"/>
        <v>I</v>
      </c>
      <c r="D136" s="14" t="str">
        <f t="shared" ca="1" si="36"/>
        <v>q_43k</v>
      </c>
      <c r="E136" s="14" t="str">
        <f t="shared" ca="1" si="33"/>
        <v>Other severe disease 5 of other family members</v>
      </c>
      <c r="F136" s="14">
        <f t="shared" ca="1" si="32"/>
        <v>0</v>
      </c>
      <c r="G136" s="14" t="str">
        <f t="shared" ca="1" si="37"/>
        <v>q_43k</v>
      </c>
      <c r="H136" s="14">
        <f ca="1">IF(G136&lt;&gt;"",IFERROR( IsVariableNameLegal(G136),0),0)+IF(COUNTIF(INDIRECT(wew!$C$13),G136)&gt;1,10,0)</f>
        <v>0</v>
      </c>
      <c r="I136" s="14">
        <f ca="1">IF(E136&lt;&gt;"",IF(LEN(E136)&gt;150,1,0)+IF(COUNTIF(INDIRECT(wew!$C$15),E136)&gt;1,10,0),0)</f>
        <v>0</v>
      </c>
      <c r="J136" s="14" t="b">
        <f t="shared" ca="1" si="38"/>
        <v>0</v>
      </c>
      <c r="K136" s="14" t="str">
        <f ca="1">ADDRESS(3,(B136+1)*2-1,4,,"[" &amp; wew!$G$7 &amp; "]" &amp; _sheetname_labels) &amp; ":" &amp; ADDRESS(2+ster!$B$20,(B136+1)*2-1,4)</f>
        <v>'[dane surowe2c.xlsm]labels'!JI3:JI36</v>
      </c>
      <c r="L136" s="14" t="str">
        <f ca="1">IF(F136&gt;0,ADDRESS(3,(B136+1)*2-1,4,,"[" &amp; wew!$G$7 &amp; "]" &amp; _sheetname_labels) &amp; ":" &amp; ADDRESS(2+F136,(B136+1)*2-1,4),"")</f>
        <v/>
      </c>
      <c r="M136" s="14" t="str">
        <f ca="1">IF(F136&gt;0,ADDRESS(3,(B136+1)*2,4,,"["&amp;wew!$G$7&amp;"]"&amp;_sheetname_labels)&amp;":"&amp;ADDRESS(2+F136,(B136+1)*2,4),"")</f>
        <v/>
      </c>
      <c r="N136" s="14" t="str">
        <f ca="1">ADDRESS(3,B136+1,4,,"[" &amp; wew!$G$7 &amp; "]" &amp;_sheetname_dataframe) &amp; ":" &amp; ADDRESS(2+ster!$C$14,B136+1,4)</f>
        <v>'[dane surowe2c.xlsm]data_frame'!EE3:EE35</v>
      </c>
      <c r="O136" s="14">
        <f t="shared" ca="1" si="39"/>
        <v>0</v>
      </c>
      <c r="P136" s="14" t="str">
        <f ca="1">IF(AND($AD136,$S136=1),IF(wew!$B$3,MIN(INDIRECT($N136)),"&lt;włącz podświetlanie wartości&gt;"),"—")</f>
        <v>—</v>
      </c>
      <c r="Q136" s="14" t="str">
        <f ca="1">IF(AND($AD136,$S136=1),IF(wew!$B$3,MAX(INDIRECT($N136)),"&lt;włącz podświetlanie wartości&gt;"),"—")</f>
        <v>—</v>
      </c>
      <c r="R136" s="14">
        <f ca="1">IF(AD136,ster!$C$14- (COUNTIF( INDIRECT(N136),"" )+ COUNT(INDIRECT(N136)) +COUNTIF( INDIRECT(N136),"NA" )),"")</f>
        <v>0</v>
      </c>
      <c r="S136" s="12">
        <f ca="1">IF(AD136,IF(COUNTA(INDIRECT(N136))=0,0, 1-(ster!$C$14- COUNT(INDIRECT(N136)) -COUNTIF( INDIRECT(N136),"" )) /COUNTA(INDIRECT(N136))),"")</f>
        <v>0</v>
      </c>
      <c r="T136" s="17" t="str">
        <f t="array" aca="1" ref="T136" ca="1">IF(L136&lt;&gt;"",SUM(IF(INDIRECT(L136)&lt;&gt;INT(INDIRECT(L136)),1,0)),"")</f>
        <v/>
      </c>
      <c r="U136" s="17" t="str">
        <f t="array" aca="1" ref="U136" ca="1">IF(S136=1,SUM(IF(ISNUMBER(INDIRECT(N136)),IF(INDIRECT(N136)&lt;&gt;INT(INDIRECT(N136)),1,0),0)),"")</f>
        <v/>
      </c>
      <c r="V136" s="17">
        <f t="shared" ca="1" si="40"/>
        <v>0</v>
      </c>
      <c r="W136" s="17">
        <f t="shared" ca="1" si="41"/>
        <v>0</v>
      </c>
      <c r="X136" s="24" t="str">
        <f t="array" aca="1" ref="X136" ca="1">IF(AD136,IF(AG136&lt;&gt;"",AG136,IF(J136,MIN(INDIRECT( K136)),"")),"")</f>
        <v/>
      </c>
      <c r="Y136" s="17" t="str">
        <f t="array" aca="1" ref="Y136" ca="1">IF(AD136,IF(AH136&lt;&gt;"",AH136,IF(J136,MAX(INDIRECT( K136)),"")),"")</f>
        <v/>
      </c>
      <c r="Z136" s="17" t="b">
        <f t="shared" ca="1" si="42"/>
        <v>0</v>
      </c>
      <c r="AC136" s="17" t="b">
        <f t="shared" ca="1" si="43"/>
        <v>0</v>
      </c>
      <c r="AD136" s="14" t="b">
        <f t="shared" ca="1" si="44"/>
        <v>1</v>
      </c>
      <c r="AE136" s="15" t="b">
        <f t="shared" ca="1" si="45"/>
        <v>0</v>
      </c>
      <c r="AF136" s="16"/>
      <c r="AG136" s="16"/>
      <c r="AH136" s="16"/>
      <c r="AI136" s="16"/>
      <c r="AJ136" s="16"/>
      <c r="AK136" s="16"/>
      <c r="AL136" s="16"/>
      <c r="AM136" s="16"/>
    </row>
    <row r="137" spans="2:39">
      <c r="B137" s="14">
        <f t="shared" si="34"/>
        <v>135</v>
      </c>
      <c r="C137" s="14" t="str">
        <f t="shared" ca="1" si="35"/>
        <v>I</v>
      </c>
      <c r="D137" s="14" t="str">
        <f t="shared" ca="1" si="36"/>
        <v>q_43l</v>
      </c>
      <c r="E137" s="14" t="str">
        <f t="shared" ca="1" si="33"/>
        <v>Other severe disease 6 of other family members</v>
      </c>
      <c r="F137" s="14">
        <f t="shared" ca="1" si="32"/>
        <v>0</v>
      </c>
      <c r="G137" s="14" t="str">
        <f t="shared" ca="1" si="37"/>
        <v>q_43l</v>
      </c>
      <c r="H137" s="14">
        <f ca="1">IF(G137&lt;&gt;"",IFERROR( IsVariableNameLegal(G137),0),0)+IF(COUNTIF(INDIRECT(wew!$C$13),G137)&gt;1,10,0)</f>
        <v>0</v>
      </c>
      <c r="I137" s="14">
        <f ca="1">IF(E137&lt;&gt;"",IF(LEN(E137)&gt;150,1,0)+IF(COUNTIF(INDIRECT(wew!$C$15),E137)&gt;1,10,0),0)</f>
        <v>0</v>
      </c>
      <c r="J137" s="14" t="b">
        <f t="shared" ca="1" si="38"/>
        <v>0</v>
      </c>
      <c r="K137" s="14" t="str">
        <f ca="1">ADDRESS(3,(B137+1)*2-1,4,,"[" &amp; wew!$G$7 &amp; "]" &amp; _sheetname_labels) &amp; ":" &amp; ADDRESS(2+ster!$B$20,(B137+1)*2-1,4)</f>
        <v>'[dane surowe2c.xlsm]labels'!JK3:JK36</v>
      </c>
      <c r="L137" s="14" t="str">
        <f ca="1">IF(F137&gt;0,ADDRESS(3,(B137+1)*2-1,4,,"[" &amp; wew!$G$7 &amp; "]" &amp; _sheetname_labels) &amp; ":" &amp; ADDRESS(2+F137,(B137+1)*2-1,4),"")</f>
        <v/>
      </c>
      <c r="M137" s="14" t="str">
        <f ca="1">IF(F137&gt;0,ADDRESS(3,(B137+1)*2,4,,"["&amp;wew!$G$7&amp;"]"&amp;_sheetname_labels)&amp;":"&amp;ADDRESS(2+F137,(B137+1)*2,4),"")</f>
        <v/>
      </c>
      <c r="N137" s="14" t="str">
        <f ca="1">ADDRESS(3,B137+1,4,,"[" &amp; wew!$G$7 &amp; "]" &amp;_sheetname_dataframe) &amp; ":" &amp; ADDRESS(2+ster!$C$14,B137+1,4)</f>
        <v>'[dane surowe2c.xlsm]data_frame'!EF3:EF35</v>
      </c>
      <c r="O137" s="14">
        <f t="shared" ca="1" si="39"/>
        <v>0</v>
      </c>
      <c r="P137" s="14" t="str">
        <f ca="1">IF(AND($AD137,$S137=1),IF(wew!$B$3,MIN(INDIRECT($N137)),"&lt;włącz podświetlanie wartości&gt;"),"—")</f>
        <v>—</v>
      </c>
      <c r="Q137" s="14" t="str">
        <f ca="1">IF(AND($AD137,$S137=1),IF(wew!$B$3,MAX(INDIRECT($N137)),"&lt;włącz podświetlanie wartości&gt;"),"—")</f>
        <v>—</v>
      </c>
      <c r="R137" s="14">
        <f ca="1">IF(AD137,ster!$C$14- (COUNTIF( INDIRECT(N137),"" )+ COUNT(INDIRECT(N137)) +COUNTIF( INDIRECT(N137),"NA" )),"")</f>
        <v>0</v>
      </c>
      <c r="S137" s="12">
        <f ca="1">IF(AD137,IF(COUNTA(INDIRECT(N137))=0,0, 1-(ster!$C$14- COUNT(INDIRECT(N137)) -COUNTIF( INDIRECT(N137),"" )) /COUNTA(INDIRECT(N137))),"")</f>
        <v>0</v>
      </c>
      <c r="T137" s="17" t="str">
        <f t="array" aca="1" ref="T137" ca="1">IF(L137&lt;&gt;"",SUM(IF(INDIRECT(L137)&lt;&gt;INT(INDIRECT(L137)),1,0)),"")</f>
        <v/>
      </c>
      <c r="U137" s="17" t="str">
        <f t="array" aca="1" ref="U137" ca="1">IF(S137=1,SUM(IF(ISNUMBER(INDIRECT(N137)),IF(INDIRECT(N137)&lt;&gt;INT(INDIRECT(N137)),1,0),0)),"")</f>
        <v/>
      </c>
      <c r="V137" s="17">
        <f t="shared" ca="1" si="40"/>
        <v>0</v>
      </c>
      <c r="W137" s="17">
        <f t="shared" ca="1" si="41"/>
        <v>0</v>
      </c>
      <c r="X137" s="24" t="str">
        <f t="array" aca="1" ref="X137" ca="1">IF(AD137,IF(AG137&lt;&gt;"",AG137,IF(J137,MIN(INDIRECT( K137)),"")),"")</f>
        <v/>
      </c>
      <c r="Y137" s="17" t="str">
        <f t="array" aca="1" ref="Y137" ca="1">IF(AD137,IF(AH137&lt;&gt;"",AH137,IF(J137,MAX(INDIRECT( K137)),"")),"")</f>
        <v/>
      </c>
      <c r="Z137" s="17" t="b">
        <f t="shared" ca="1" si="42"/>
        <v>0</v>
      </c>
      <c r="AC137" s="17" t="b">
        <f t="shared" ca="1" si="43"/>
        <v>0</v>
      </c>
      <c r="AD137" s="14" t="b">
        <f t="shared" ca="1" si="44"/>
        <v>1</v>
      </c>
      <c r="AE137" s="15" t="b">
        <f t="shared" ca="1" si="45"/>
        <v>0</v>
      </c>
      <c r="AF137" s="16"/>
      <c r="AG137" s="16"/>
      <c r="AH137" s="16"/>
      <c r="AI137" s="16"/>
      <c r="AJ137" s="16"/>
      <c r="AK137" s="16"/>
      <c r="AL137" s="16"/>
      <c r="AM137" s="16"/>
    </row>
    <row r="138" spans="2:39">
      <c r="B138" s="14">
        <f t="shared" si="34"/>
        <v>136</v>
      </c>
      <c r="C138" s="14" t="str">
        <f t="shared" ca="1" si="35"/>
        <v>D</v>
      </c>
      <c r="D138" s="14" t="str">
        <f t="shared" ca="1" si="36"/>
        <v>q_44.1a</v>
      </c>
      <c r="E138" s="14" t="str">
        <f t="shared" ca="1" si="33"/>
        <v>Mother alive</v>
      </c>
      <c r="F138" s="14">
        <f t="shared" ca="1" si="32"/>
        <v>2</v>
      </c>
      <c r="G138" s="14" t="str">
        <f t="shared" ca="1" si="37"/>
        <v>q_44.1a</v>
      </c>
      <c r="H138" s="14">
        <f ca="1">IF(G138&lt;&gt;"",IFERROR( IsVariableNameLegal(G138),0),0)+IF(COUNTIF(INDIRECT(wew!$C$13),G138)&gt;1,10,0)</f>
        <v>0</v>
      </c>
      <c r="I138" s="14">
        <f ca="1">IF(E138&lt;&gt;"",IF(LEN(E138)&gt;150,1,0)+IF(COUNTIF(INDIRECT(wew!$C$15),E138)&gt;1,10,0),0)</f>
        <v>0</v>
      </c>
      <c r="J138" s="14" t="b">
        <f t="shared" ca="1" si="38"/>
        <v>1</v>
      </c>
      <c r="K138" s="14" t="str">
        <f ca="1">ADDRESS(3,(B138+1)*2-1,4,,"[" &amp; wew!$G$7 &amp; "]" &amp; _sheetname_labels) &amp; ":" &amp; ADDRESS(2+ster!$B$20,(B138+1)*2-1,4)</f>
        <v>'[dane surowe2c.xlsm]labels'!JM3:JM36</v>
      </c>
      <c r="L138" s="14" t="str">
        <f ca="1">IF(F138&gt;0,ADDRESS(3,(B138+1)*2-1,4,,"[" &amp; wew!$G$7 &amp; "]" &amp; _sheetname_labels) &amp; ":" &amp; ADDRESS(2+F138,(B138+1)*2-1,4),"")</f>
        <v>'[dane surowe2c.xlsm]labels'!JM3:JM4</v>
      </c>
      <c r="M138" s="14" t="str">
        <f ca="1">IF(F138&gt;0,ADDRESS(3,(B138+1)*2,4,,"["&amp;wew!$G$7&amp;"]"&amp;_sheetname_labels)&amp;":"&amp;ADDRESS(2+F138,(B138+1)*2,4),"")</f>
        <v>'[dane surowe2c.xlsm]labels'!JN3:JN4</v>
      </c>
      <c r="N138" s="14" t="str">
        <f ca="1">ADDRESS(3,B138+1,4,,"[" &amp; wew!$G$7 &amp; "]" &amp;_sheetname_dataframe) &amp; ":" &amp; ADDRESS(2+ster!$C$14,B138+1,4)</f>
        <v>'[dane surowe2c.xlsm]data_frame'!EG3:EG35</v>
      </c>
      <c r="O138" s="14">
        <f t="shared" ca="1" si="39"/>
        <v>32</v>
      </c>
      <c r="P138" s="14">
        <f ca="1">IF(AND($AD138,$S138=1),IF(wew!$B$3,MIN(INDIRECT($N138)),"&lt;włącz podświetlanie wartości&gt;"),"—")</f>
        <v>1</v>
      </c>
      <c r="Q138" s="14">
        <f ca="1">IF(AND($AD138,$S138=1),IF(wew!$B$3,MAX(INDIRECT($N138)),"&lt;włącz podświetlanie wartości&gt;"),"—")</f>
        <v>2</v>
      </c>
      <c r="R138" s="14">
        <f ca="1">IF(AD138,ster!$C$14- (COUNTIF( INDIRECT(N138),"" )+ COUNT(INDIRECT(N138)) +COUNTIF( INDIRECT(N138),"NA" )),"")</f>
        <v>0</v>
      </c>
      <c r="S138" s="12">
        <f ca="1">IF(AD138,IF(COUNTA(INDIRECT(N138))=0,0, 1-(ster!$C$14- COUNT(INDIRECT(N138)) -COUNTIF( INDIRECT(N138),"" )) /COUNTA(INDIRECT(N138))),"")</f>
        <v>1</v>
      </c>
      <c r="T138" s="17">
        <f t="array" aca="1" ref="T138" ca="1">IF(L138&lt;&gt;"",SUM(IF(INDIRECT(L138)&lt;&gt;INT(INDIRECT(L138)),1,0)),"")</f>
        <v>0</v>
      </c>
      <c r="U138" s="17">
        <f t="array" aca="1" ref="U138" ca="1">IF(S138=1,SUM(IF(ISNUMBER(INDIRECT(N138)),IF(INDIRECT(N138)&lt;&gt;INT(INDIRECT(N138)),1,0),0)),"")</f>
        <v>0</v>
      </c>
      <c r="V138" s="17">
        <f t="shared" ca="1" si="40"/>
        <v>1</v>
      </c>
      <c r="W138" s="17">
        <f t="shared" ca="1" si="41"/>
        <v>0</v>
      </c>
      <c r="X138" s="24">
        <f t="array" aca="1" ref="X138" ca="1">IF(AD138,IF(AG138&lt;&gt;"",AG138,IF(J138,MIN(INDIRECT( K138)),"")),"")</f>
        <v>1</v>
      </c>
      <c r="Y138" s="17">
        <f t="array" aca="1" ref="Y138" ca="1">IF(AD138,IF(AH138&lt;&gt;"",AH138,IF(J138,MAX(INDIRECT( K138)),"")),"")</f>
        <v>2</v>
      </c>
      <c r="Z138" s="17" t="b">
        <f t="shared" ca="1" si="42"/>
        <v>1</v>
      </c>
      <c r="AC138" s="17" t="b">
        <f t="shared" ca="1" si="43"/>
        <v>0</v>
      </c>
      <c r="AD138" s="14" t="b">
        <f t="shared" ca="1" si="44"/>
        <v>1</v>
      </c>
      <c r="AE138" s="15" t="b">
        <f t="shared" ca="1" si="45"/>
        <v>1</v>
      </c>
      <c r="AF138" s="16"/>
      <c r="AG138" s="16"/>
      <c r="AH138" s="16"/>
      <c r="AI138" s="16"/>
      <c r="AJ138" s="16"/>
      <c r="AK138" s="16"/>
      <c r="AL138" s="16"/>
      <c r="AM138" s="16"/>
    </row>
    <row r="139" spans="2:39">
      <c r="B139" s="14">
        <f t="shared" si="34"/>
        <v>137</v>
      </c>
      <c r="C139" s="14" t="str">
        <f t="shared" ca="1" si="35"/>
        <v>S</v>
      </c>
      <c r="D139" s="14" t="str">
        <f t="shared" ca="1" si="36"/>
        <v>q_44.1b</v>
      </c>
      <c r="E139" s="14" t="str">
        <f t="shared" ca="1" si="33"/>
        <v>Mother's cause of death</v>
      </c>
      <c r="F139" s="14">
        <f t="shared" ca="1" si="32"/>
        <v>0</v>
      </c>
      <c r="G139" s="14" t="str">
        <f t="shared" ca="1" si="37"/>
        <v>q_44.1b</v>
      </c>
      <c r="H139" s="14">
        <f ca="1">IF(G139&lt;&gt;"",IFERROR( IsVariableNameLegal(G139),0),0)+IF(COUNTIF(INDIRECT(wew!$C$13),G139)&gt;1,10,0)</f>
        <v>0</v>
      </c>
      <c r="I139" s="14">
        <f ca="1">IF(E139&lt;&gt;"",IF(LEN(E139)&gt;150,1,0)+IF(COUNTIF(INDIRECT(wew!$C$15),E139)&gt;1,10,0),0)</f>
        <v>0</v>
      </c>
      <c r="J139" s="14" t="b">
        <f t="shared" ca="1" si="38"/>
        <v>0</v>
      </c>
      <c r="K139" s="14" t="str">
        <f ca="1">ADDRESS(3,(B139+1)*2-1,4,,"[" &amp; wew!$G$7 &amp; "]" &amp; _sheetname_labels) &amp; ":" &amp; ADDRESS(2+ster!$B$20,(B139+1)*2-1,4)</f>
        <v>'[dane surowe2c.xlsm]labels'!JO3:JO36</v>
      </c>
      <c r="L139" s="14" t="str">
        <f ca="1">IF(F139&gt;0,ADDRESS(3,(B139+1)*2-1,4,,"[" &amp; wew!$G$7 &amp; "]" &amp; _sheetname_labels) &amp; ":" &amp; ADDRESS(2+F139,(B139+1)*2-1,4),"")</f>
        <v/>
      </c>
      <c r="M139" s="14" t="str">
        <f ca="1">IF(F139&gt;0,ADDRESS(3,(B139+1)*2,4,,"["&amp;wew!$G$7&amp;"]"&amp;_sheetname_labels)&amp;":"&amp;ADDRESS(2+F139,(B139+1)*2,4),"")</f>
        <v/>
      </c>
      <c r="N139" s="14" t="str">
        <f ca="1">ADDRESS(3,B139+1,4,,"[" &amp; wew!$G$7 &amp; "]" &amp;_sheetname_dataframe) &amp; ":" &amp; ADDRESS(2+ster!$C$14,B139+1,4)</f>
        <v>'[dane surowe2c.xlsm]data_frame'!EH3:EH35</v>
      </c>
      <c r="O139" s="14">
        <f t="shared" ca="1" si="39"/>
        <v>0</v>
      </c>
      <c r="P139" s="14" t="str">
        <f ca="1">IF(AND($AD139,$S139=1),IF(wew!$B$3,MIN(INDIRECT($N139)),"&lt;włącz podświetlanie wartości&gt;"),"—")</f>
        <v>—</v>
      </c>
      <c r="Q139" s="14" t="str">
        <f ca="1">IF(AND($AD139,$S139=1),IF(wew!$B$3,MAX(INDIRECT($N139)),"&lt;włącz podświetlanie wartości&gt;"),"—")</f>
        <v>—</v>
      </c>
      <c r="R139" s="14">
        <f ca="1">IF(AD139,ster!$C$14- (COUNTIF( INDIRECT(N139),"" )+ COUNT(INDIRECT(N139)) +COUNTIF( INDIRECT(N139),"NA" )),"")</f>
        <v>21</v>
      </c>
      <c r="S139" s="12">
        <f ca="1">IF(AD139,IF(COUNTA(INDIRECT(N139))=0,0, 1-(ster!$C$14- COUNT(INDIRECT(N139)) -COUNTIF( INDIRECT(N139),"" )) /COUNTA(INDIRECT(N139))),"")</f>
        <v>0</v>
      </c>
      <c r="T139" s="17" t="str">
        <f t="array" aca="1" ref="T139" ca="1">IF(L139&lt;&gt;"",SUM(IF(INDIRECT(L139)&lt;&gt;INT(INDIRECT(L139)),1,0)),"")</f>
        <v/>
      </c>
      <c r="U139" s="17" t="str">
        <f t="array" aca="1" ref="U139" ca="1">IF(S139=1,SUM(IF(ISNUMBER(INDIRECT(N139)),IF(INDIRECT(N139)&lt;&gt;INT(INDIRECT(N139)),1,0),0)),"")</f>
        <v/>
      </c>
      <c r="V139" s="17">
        <f t="shared" ca="1" si="40"/>
        <v>0</v>
      </c>
      <c r="W139" s="17">
        <f t="shared" ca="1" si="41"/>
        <v>0</v>
      </c>
      <c r="X139" s="24" t="str">
        <f t="array" aca="1" ref="X139" ca="1">IF(AD139,IF(AG139&lt;&gt;"",AG139,IF(J139,MIN(INDIRECT( K139)),"")),"")</f>
        <v/>
      </c>
      <c r="Y139" s="17" t="str">
        <f t="array" aca="1" ref="Y139" ca="1">IF(AD139,IF(AH139&lt;&gt;"",AH139,IF(J139,MAX(INDIRECT( K139)),"")),"")</f>
        <v/>
      </c>
      <c r="Z139" s="17" t="b">
        <f t="shared" ca="1" si="42"/>
        <v>0</v>
      </c>
      <c r="AC139" s="17" t="b">
        <f t="shared" ca="1" si="43"/>
        <v>1</v>
      </c>
      <c r="AD139" s="14" t="b">
        <f t="shared" ca="1" si="44"/>
        <v>1</v>
      </c>
      <c r="AE139" s="15" t="b">
        <f t="shared" ca="1" si="45"/>
        <v>0</v>
      </c>
      <c r="AF139" s="16"/>
      <c r="AG139" s="16"/>
      <c r="AH139" s="16"/>
      <c r="AI139" s="16"/>
      <c r="AJ139" s="16"/>
      <c r="AK139" s="16"/>
      <c r="AL139" s="16"/>
      <c r="AM139" s="16"/>
    </row>
    <row r="140" spans="2:39">
      <c r="B140" s="14">
        <f t="shared" si="34"/>
        <v>138</v>
      </c>
      <c r="C140" s="14" t="str">
        <f t="shared" ca="1" si="35"/>
        <v>I</v>
      </c>
      <c r="D140" s="14" t="str">
        <f t="shared" ca="1" si="36"/>
        <v>q_44.1c</v>
      </c>
      <c r="E140" s="14" t="str">
        <f t="shared" ca="1" si="33"/>
        <v>Mother's age at death</v>
      </c>
      <c r="F140" s="14">
        <f t="shared" ca="1" si="32"/>
        <v>0</v>
      </c>
      <c r="G140" s="14" t="str">
        <f t="shared" ca="1" si="37"/>
        <v>q_44.1c</v>
      </c>
      <c r="H140" s="14">
        <f ca="1">IF(G140&lt;&gt;"",IFERROR( IsVariableNameLegal(G140),0),0)+IF(COUNTIF(INDIRECT(wew!$C$13),G140)&gt;1,10,0)</f>
        <v>0</v>
      </c>
      <c r="I140" s="14">
        <f ca="1">IF(E140&lt;&gt;"",IF(LEN(E140)&gt;150,1,0)+IF(COUNTIF(INDIRECT(wew!$C$15),E140)&gt;1,10,0),0)</f>
        <v>0</v>
      </c>
      <c r="J140" s="14" t="b">
        <f t="shared" ca="1" si="38"/>
        <v>0</v>
      </c>
      <c r="K140" s="14" t="str">
        <f ca="1">ADDRESS(3,(B140+1)*2-1,4,,"[" &amp; wew!$G$7 &amp; "]" &amp; _sheetname_labels) &amp; ":" &amp; ADDRESS(2+ster!$B$20,(B140+1)*2-1,4)</f>
        <v>'[dane surowe2c.xlsm]labels'!JQ3:JQ36</v>
      </c>
      <c r="L140" s="14" t="str">
        <f ca="1">IF(F140&gt;0,ADDRESS(3,(B140+1)*2-1,4,,"[" &amp; wew!$G$7 &amp; "]" &amp; _sheetname_labels) &amp; ":" &amp; ADDRESS(2+F140,(B140+1)*2-1,4),"")</f>
        <v/>
      </c>
      <c r="M140" s="14" t="str">
        <f ca="1">IF(F140&gt;0,ADDRESS(3,(B140+1)*2,4,,"["&amp;wew!$G$7&amp;"]"&amp;_sheetname_labels)&amp;":"&amp;ADDRESS(2+F140,(B140+1)*2,4),"")</f>
        <v/>
      </c>
      <c r="N140" s="14" t="str">
        <f ca="1">ADDRESS(3,B140+1,4,,"[" &amp; wew!$G$7 &amp; "]" &amp;_sheetname_dataframe) &amp; ":" &amp; ADDRESS(2+ster!$C$14,B140+1,4)</f>
        <v>'[dane surowe2c.xlsm]data_frame'!EI3:EI35</v>
      </c>
      <c r="O140" s="14">
        <f t="shared" ca="1" si="39"/>
        <v>21</v>
      </c>
      <c r="P140" s="14">
        <f ca="1">IF(AND($AD140,$S140=1),IF(wew!$B$3,MIN(INDIRECT($N140)),"&lt;włącz podświetlanie wartości&gt;"),"—")</f>
        <v>30</v>
      </c>
      <c r="Q140" s="14">
        <f ca="1">IF(AND($AD140,$S140=1),IF(wew!$B$3,MAX(INDIRECT($N140)),"&lt;włącz podświetlanie wartości&gt;"),"—")</f>
        <v>98</v>
      </c>
      <c r="R140" s="14">
        <f ca="1">IF(AD140,ster!$C$14- (COUNTIF( INDIRECT(N140),"" )+ COUNT(INDIRECT(N140)) +COUNTIF( INDIRECT(N140),"NA" )),"")</f>
        <v>0</v>
      </c>
      <c r="S140" s="12">
        <f ca="1">IF(AD140,IF(COUNTA(INDIRECT(N140))=0,0, 1-(ster!$C$14- COUNT(INDIRECT(N140)) -COUNTIF( INDIRECT(N140),"" )) /COUNTA(INDIRECT(N140))),"")</f>
        <v>1</v>
      </c>
      <c r="T140" s="17" t="str">
        <f t="array" aca="1" ref="T140" ca="1">IF(L140&lt;&gt;"",SUM(IF(INDIRECT(L140)&lt;&gt;INT(INDIRECT(L140)),1,0)),"")</f>
        <v/>
      </c>
      <c r="U140" s="17">
        <f t="array" aca="1" ref="U140" ca="1">IF(S140=1,SUM(IF(ISNUMBER(INDIRECT(N140)),IF(INDIRECT(N140)&lt;&gt;INT(INDIRECT(N140)),1,0),0)),"")</f>
        <v>0</v>
      </c>
      <c r="V140" s="17">
        <f t="shared" ca="1" si="40"/>
        <v>1</v>
      </c>
      <c r="W140" s="17">
        <f t="shared" ca="1" si="41"/>
        <v>0</v>
      </c>
      <c r="X140" s="24" t="str">
        <f t="array" aca="1" ref="X140" ca="1">IF(AD140,IF(AG140&lt;&gt;"",AG140,IF(J140,MIN(INDIRECT( K140)),"")),"")</f>
        <v/>
      </c>
      <c r="Y140" s="17" t="str">
        <f t="array" aca="1" ref="Y140" ca="1">IF(AD140,IF(AH140&lt;&gt;"",AH140,IF(J140,MAX(INDIRECT( K140)),"")),"")</f>
        <v/>
      </c>
      <c r="Z140" s="17" t="b">
        <f t="shared" ca="1" si="42"/>
        <v>0</v>
      </c>
      <c r="AC140" s="17" t="b">
        <f t="shared" ca="1" si="43"/>
        <v>0</v>
      </c>
      <c r="AD140" s="14" t="b">
        <f t="shared" ca="1" si="44"/>
        <v>1</v>
      </c>
      <c r="AE140" s="15" t="b">
        <f t="shared" ca="1" si="45"/>
        <v>0</v>
      </c>
      <c r="AF140" s="16"/>
      <c r="AG140" s="16"/>
      <c r="AH140" s="16"/>
      <c r="AI140" s="16"/>
      <c r="AJ140" s="16"/>
      <c r="AK140" s="16"/>
      <c r="AL140" s="16"/>
      <c r="AM140" s="16"/>
    </row>
    <row r="141" spans="2:39">
      <c r="B141" s="14">
        <f t="shared" si="34"/>
        <v>139</v>
      </c>
      <c r="C141" s="14" t="str">
        <f t="shared" ca="1" si="35"/>
        <v>D</v>
      </c>
      <c r="D141" s="14" t="str">
        <f t="shared" ca="1" si="36"/>
        <v>q_44.2a</v>
      </c>
      <c r="E141" s="14" t="str">
        <f t="shared" ca="1" si="33"/>
        <v>Father alive</v>
      </c>
      <c r="F141" s="14">
        <f t="shared" ca="1" si="32"/>
        <v>2</v>
      </c>
      <c r="G141" s="14" t="str">
        <f t="shared" ca="1" si="37"/>
        <v>q_44.2a</v>
      </c>
      <c r="H141" s="14">
        <f ca="1">IF(G141&lt;&gt;"",IFERROR( IsVariableNameLegal(G141),0),0)+IF(COUNTIF(INDIRECT(wew!$C$13),G141)&gt;1,10,0)</f>
        <v>0</v>
      </c>
      <c r="I141" s="14">
        <f ca="1">IF(E141&lt;&gt;"",IF(LEN(E141)&gt;150,1,0)+IF(COUNTIF(INDIRECT(wew!$C$15),E141)&gt;1,10,0),0)</f>
        <v>0</v>
      </c>
      <c r="J141" s="14" t="b">
        <f t="shared" ca="1" si="38"/>
        <v>1</v>
      </c>
      <c r="K141" s="14" t="str">
        <f ca="1">ADDRESS(3,(B141+1)*2-1,4,,"[" &amp; wew!$G$7 &amp; "]" &amp; _sheetname_labels) &amp; ":" &amp; ADDRESS(2+ster!$B$20,(B141+1)*2-1,4)</f>
        <v>'[dane surowe2c.xlsm]labels'!JS3:JS36</v>
      </c>
      <c r="L141" s="14" t="str">
        <f ca="1">IF(F141&gt;0,ADDRESS(3,(B141+1)*2-1,4,,"[" &amp; wew!$G$7 &amp; "]" &amp; _sheetname_labels) &amp; ":" &amp; ADDRESS(2+F141,(B141+1)*2-1,4),"")</f>
        <v>'[dane surowe2c.xlsm]labels'!JS3:JS4</v>
      </c>
      <c r="M141" s="14" t="str">
        <f ca="1">IF(F141&gt;0,ADDRESS(3,(B141+1)*2,4,,"["&amp;wew!$G$7&amp;"]"&amp;_sheetname_labels)&amp;":"&amp;ADDRESS(2+F141,(B141+1)*2,4),"")</f>
        <v>'[dane surowe2c.xlsm]labels'!JT3:JT4</v>
      </c>
      <c r="N141" s="14" t="str">
        <f ca="1">ADDRESS(3,B141+1,4,,"[" &amp; wew!$G$7 &amp; "]" &amp;_sheetname_dataframe) &amp; ":" &amp; ADDRESS(2+ster!$C$14,B141+1,4)</f>
        <v>'[dane surowe2c.xlsm]data_frame'!EJ3:EJ35</v>
      </c>
      <c r="O141" s="14">
        <f t="shared" ca="1" si="39"/>
        <v>32</v>
      </c>
      <c r="P141" s="14">
        <f ca="1">IF(AND($AD141,$S141=1),IF(wew!$B$3,MIN(INDIRECT($N141)),"&lt;włącz podświetlanie wartości&gt;"),"—")</f>
        <v>1</v>
      </c>
      <c r="Q141" s="14">
        <f ca="1">IF(AND($AD141,$S141=1),IF(wew!$B$3,MAX(INDIRECT($N141)),"&lt;włącz podświetlanie wartości&gt;"),"—")</f>
        <v>2</v>
      </c>
      <c r="R141" s="14">
        <f ca="1">IF(AD141,ster!$C$14- (COUNTIF( INDIRECT(N141),"" )+ COUNT(INDIRECT(N141)) +COUNTIF( INDIRECT(N141),"NA" )),"")</f>
        <v>0</v>
      </c>
      <c r="S141" s="12">
        <f ca="1">IF(AD141,IF(COUNTA(INDIRECT(N141))=0,0, 1-(ster!$C$14- COUNT(INDIRECT(N141)) -COUNTIF( INDIRECT(N141),"" )) /COUNTA(INDIRECT(N141))),"")</f>
        <v>1</v>
      </c>
      <c r="T141" s="17">
        <f t="array" aca="1" ref="T141" ca="1">IF(L141&lt;&gt;"",SUM(IF(INDIRECT(L141)&lt;&gt;INT(INDIRECT(L141)),1,0)),"")</f>
        <v>0</v>
      </c>
      <c r="U141" s="17">
        <f t="array" aca="1" ref="U141" ca="1">IF(S141=1,SUM(IF(ISNUMBER(INDIRECT(N141)),IF(INDIRECT(N141)&lt;&gt;INT(INDIRECT(N141)),1,0),0)),"")</f>
        <v>0</v>
      </c>
      <c r="V141" s="17">
        <f t="shared" ca="1" si="40"/>
        <v>1</v>
      </c>
      <c r="W141" s="17">
        <f t="shared" ca="1" si="41"/>
        <v>0</v>
      </c>
      <c r="X141" s="24">
        <f t="array" aca="1" ref="X141" ca="1">IF(AD141,IF(AG141&lt;&gt;"",AG141,IF(J141,MIN(INDIRECT( K141)),"")),"")</f>
        <v>1</v>
      </c>
      <c r="Y141" s="17">
        <f t="array" aca="1" ref="Y141" ca="1">IF(AD141,IF(AH141&lt;&gt;"",AH141,IF(J141,MAX(INDIRECT( K141)),"")),"")</f>
        <v>2</v>
      </c>
      <c r="Z141" s="17" t="b">
        <f t="shared" ca="1" si="42"/>
        <v>1</v>
      </c>
      <c r="AC141" s="17" t="b">
        <f t="shared" ca="1" si="43"/>
        <v>0</v>
      </c>
      <c r="AD141" s="14" t="b">
        <f t="shared" ca="1" si="44"/>
        <v>1</v>
      </c>
      <c r="AE141" s="15" t="b">
        <f t="shared" ca="1" si="45"/>
        <v>1</v>
      </c>
      <c r="AF141" s="16"/>
      <c r="AG141" s="16"/>
      <c r="AH141" s="16"/>
      <c r="AI141" s="16"/>
      <c r="AJ141" s="16"/>
      <c r="AK141" s="16"/>
      <c r="AL141" s="16"/>
      <c r="AM141" s="16"/>
    </row>
    <row r="142" spans="2:39">
      <c r="B142" s="14">
        <f t="shared" si="34"/>
        <v>140</v>
      </c>
      <c r="C142" s="14" t="str">
        <f t="shared" ca="1" si="35"/>
        <v>S</v>
      </c>
      <c r="D142" s="14" t="str">
        <f t="shared" ca="1" si="36"/>
        <v>q_44.2b</v>
      </c>
      <c r="E142" s="14" t="str">
        <f t="shared" ca="1" si="33"/>
        <v>Father's cause of death</v>
      </c>
      <c r="F142" s="14">
        <f t="shared" ca="1" si="32"/>
        <v>0</v>
      </c>
      <c r="G142" s="14" t="str">
        <f t="shared" ca="1" si="37"/>
        <v>q_44.2b</v>
      </c>
      <c r="H142" s="14">
        <f ca="1">IF(G142&lt;&gt;"",IFERROR( IsVariableNameLegal(G142),0),0)+IF(COUNTIF(INDIRECT(wew!$C$13),G142)&gt;1,10,0)</f>
        <v>0</v>
      </c>
      <c r="I142" s="14">
        <f ca="1">IF(E142&lt;&gt;"",IF(LEN(E142)&gt;150,1,0)+IF(COUNTIF(INDIRECT(wew!$C$15),E142)&gt;1,10,0),0)</f>
        <v>0</v>
      </c>
      <c r="J142" s="14" t="b">
        <f t="shared" ca="1" si="38"/>
        <v>0</v>
      </c>
      <c r="K142" s="14" t="str">
        <f ca="1">ADDRESS(3,(B142+1)*2-1,4,,"[" &amp; wew!$G$7 &amp; "]" &amp; _sheetname_labels) &amp; ":" &amp; ADDRESS(2+ster!$B$20,(B142+1)*2-1,4)</f>
        <v>'[dane surowe2c.xlsm]labels'!JU3:JU36</v>
      </c>
      <c r="L142" s="14" t="str">
        <f ca="1">IF(F142&gt;0,ADDRESS(3,(B142+1)*2-1,4,,"[" &amp; wew!$G$7 &amp; "]" &amp; _sheetname_labels) &amp; ":" &amp; ADDRESS(2+F142,(B142+1)*2-1,4),"")</f>
        <v/>
      </c>
      <c r="M142" s="14" t="str">
        <f ca="1">IF(F142&gt;0,ADDRESS(3,(B142+1)*2,4,,"["&amp;wew!$G$7&amp;"]"&amp;_sheetname_labels)&amp;":"&amp;ADDRESS(2+F142,(B142+1)*2,4),"")</f>
        <v/>
      </c>
      <c r="N142" s="14" t="str">
        <f ca="1">ADDRESS(3,B142+1,4,,"[" &amp; wew!$G$7 &amp; "]" &amp;_sheetname_dataframe) &amp; ":" &amp; ADDRESS(2+ster!$C$14,B142+1,4)</f>
        <v>'[dane surowe2c.xlsm]data_frame'!EK3:EK35</v>
      </c>
      <c r="O142" s="14">
        <f t="shared" ca="1" si="39"/>
        <v>0</v>
      </c>
      <c r="P142" s="14" t="str">
        <f ca="1">IF(AND($AD142,$S142=1),IF(wew!$B$3,MIN(INDIRECT($N142)),"&lt;włącz podświetlanie wartości&gt;"),"—")</f>
        <v>—</v>
      </c>
      <c r="Q142" s="14" t="str">
        <f ca="1">IF(AND($AD142,$S142=1),IF(wew!$B$3,MAX(INDIRECT($N142)),"&lt;włącz podświetlanie wartości&gt;"),"—")</f>
        <v>—</v>
      </c>
      <c r="R142" s="14">
        <f ca="1">IF(AD142,ster!$C$14- (COUNTIF( INDIRECT(N142),"" )+ COUNT(INDIRECT(N142)) +COUNTIF( INDIRECT(N142),"NA" )),"")</f>
        <v>25</v>
      </c>
      <c r="S142" s="12">
        <f ca="1">IF(AD142,IF(COUNTA(INDIRECT(N142))=0,0, 1-(ster!$C$14- COUNT(INDIRECT(N142)) -COUNTIF( INDIRECT(N142),"" )) /COUNTA(INDIRECT(N142))),"")</f>
        <v>0</v>
      </c>
      <c r="T142" s="17" t="str">
        <f t="array" aca="1" ref="T142" ca="1">IF(L142&lt;&gt;"",SUM(IF(INDIRECT(L142)&lt;&gt;INT(INDIRECT(L142)),1,0)),"")</f>
        <v/>
      </c>
      <c r="U142" s="17" t="str">
        <f t="array" aca="1" ref="U142" ca="1">IF(S142=1,SUM(IF(ISNUMBER(INDIRECT(N142)),IF(INDIRECT(N142)&lt;&gt;INT(INDIRECT(N142)),1,0),0)),"")</f>
        <v/>
      </c>
      <c r="V142" s="17">
        <f t="shared" ca="1" si="40"/>
        <v>0</v>
      </c>
      <c r="W142" s="17">
        <f t="shared" ca="1" si="41"/>
        <v>0</v>
      </c>
      <c r="X142" s="24" t="str">
        <f t="array" aca="1" ref="X142" ca="1">IF(AD142,IF(AG142&lt;&gt;"",AG142,IF(J142,MIN(INDIRECT( K142)),"")),"")</f>
        <v/>
      </c>
      <c r="Y142" s="17" t="str">
        <f t="array" aca="1" ref="Y142" ca="1">IF(AD142,IF(AH142&lt;&gt;"",AH142,IF(J142,MAX(INDIRECT( K142)),"")),"")</f>
        <v/>
      </c>
      <c r="Z142" s="17" t="b">
        <f t="shared" ca="1" si="42"/>
        <v>0</v>
      </c>
      <c r="AC142" s="17" t="b">
        <f t="shared" ca="1" si="43"/>
        <v>1</v>
      </c>
      <c r="AD142" s="14" t="b">
        <f t="shared" ca="1" si="44"/>
        <v>1</v>
      </c>
      <c r="AE142" s="15" t="b">
        <f t="shared" ca="1" si="45"/>
        <v>0</v>
      </c>
      <c r="AF142" s="16"/>
      <c r="AG142" s="16"/>
      <c r="AH142" s="16"/>
      <c r="AI142" s="16"/>
      <c r="AJ142" s="16"/>
      <c r="AK142" s="16"/>
      <c r="AL142" s="16"/>
      <c r="AM142" s="16"/>
    </row>
    <row r="143" spans="2:39">
      <c r="B143" s="14">
        <f t="shared" si="34"/>
        <v>141</v>
      </c>
      <c r="C143" s="14" t="str">
        <f t="shared" ca="1" si="35"/>
        <v>I</v>
      </c>
      <c r="D143" s="14" t="str">
        <f t="shared" ca="1" si="36"/>
        <v>q_44.2c</v>
      </c>
      <c r="E143" s="14" t="str">
        <f t="shared" ca="1" si="33"/>
        <v>Father's age at death</v>
      </c>
      <c r="F143" s="14">
        <f t="shared" ca="1" si="32"/>
        <v>0</v>
      </c>
      <c r="G143" s="14" t="str">
        <f t="shared" ca="1" si="37"/>
        <v>q_44.2c</v>
      </c>
      <c r="H143" s="14">
        <f ca="1">IF(G143&lt;&gt;"",IFERROR( IsVariableNameLegal(G143),0),0)+IF(COUNTIF(INDIRECT(wew!$C$13),G143)&gt;1,10,0)</f>
        <v>0</v>
      </c>
      <c r="I143" s="14">
        <f ca="1">IF(E143&lt;&gt;"",IF(LEN(E143)&gt;150,1,0)+IF(COUNTIF(INDIRECT(wew!$C$15),E143)&gt;1,10,0),0)</f>
        <v>0</v>
      </c>
      <c r="J143" s="14" t="b">
        <f t="shared" ca="1" si="38"/>
        <v>0</v>
      </c>
      <c r="K143" s="14" t="str">
        <f ca="1">ADDRESS(3,(B143+1)*2-1,4,,"[" &amp; wew!$G$7 &amp; "]" &amp; _sheetname_labels) &amp; ":" &amp; ADDRESS(2+ster!$B$20,(B143+1)*2-1,4)</f>
        <v>'[dane surowe2c.xlsm]labels'!JW3:JW36</v>
      </c>
      <c r="L143" s="14" t="str">
        <f ca="1">IF(F143&gt;0,ADDRESS(3,(B143+1)*2-1,4,,"[" &amp; wew!$G$7 &amp; "]" &amp; _sheetname_labels) &amp; ":" &amp; ADDRESS(2+F143,(B143+1)*2-1,4),"")</f>
        <v/>
      </c>
      <c r="M143" s="14" t="str">
        <f ca="1">IF(F143&gt;0,ADDRESS(3,(B143+1)*2,4,,"["&amp;wew!$G$7&amp;"]"&amp;_sheetname_labels)&amp;":"&amp;ADDRESS(2+F143,(B143+1)*2,4),"")</f>
        <v/>
      </c>
      <c r="N143" s="14" t="str">
        <f ca="1">ADDRESS(3,B143+1,4,,"[" &amp; wew!$G$7 &amp; "]" &amp;_sheetname_dataframe) &amp; ":" &amp; ADDRESS(2+ster!$C$14,B143+1,4)</f>
        <v>'[dane surowe2c.xlsm]data_frame'!EL3:EL35</v>
      </c>
      <c r="O143" s="14">
        <f t="shared" ca="1" si="39"/>
        <v>27</v>
      </c>
      <c r="P143" s="14">
        <f ca="1">IF(AND($AD143,$S143=1),IF(wew!$B$3,MIN(INDIRECT($N143)),"&lt;włącz podświetlanie wartości&gt;"),"—")</f>
        <v>60</v>
      </c>
      <c r="Q143" s="14">
        <f ca="1">IF(AND($AD143,$S143=1),IF(wew!$B$3,MAX(INDIRECT($N143)),"&lt;włącz podświetlanie wartości&gt;"),"—")</f>
        <v>86</v>
      </c>
      <c r="R143" s="14">
        <f ca="1">IF(AD143,ster!$C$14- (COUNTIF( INDIRECT(N143),"" )+ COUNT(INDIRECT(N143)) +COUNTIF( INDIRECT(N143),"NA" )),"")</f>
        <v>0</v>
      </c>
      <c r="S143" s="12">
        <f ca="1">IF(AD143,IF(COUNTA(INDIRECT(N143))=0,0, 1-(ster!$C$14- COUNT(INDIRECT(N143)) -COUNTIF( INDIRECT(N143),"" )) /COUNTA(INDIRECT(N143))),"")</f>
        <v>1</v>
      </c>
      <c r="T143" s="17" t="str">
        <f t="array" aca="1" ref="T143" ca="1">IF(L143&lt;&gt;"",SUM(IF(INDIRECT(L143)&lt;&gt;INT(INDIRECT(L143)),1,0)),"")</f>
        <v/>
      </c>
      <c r="U143" s="17">
        <f t="array" aca="1" ref="U143" ca="1">IF(S143=1,SUM(IF(ISNUMBER(INDIRECT(N143)),IF(INDIRECT(N143)&lt;&gt;INT(INDIRECT(N143)),1,0),0)),"")</f>
        <v>0</v>
      </c>
      <c r="V143" s="17">
        <f t="shared" ca="1" si="40"/>
        <v>1</v>
      </c>
      <c r="W143" s="17">
        <f t="shared" ca="1" si="41"/>
        <v>0</v>
      </c>
      <c r="X143" s="24" t="str">
        <f t="array" aca="1" ref="X143" ca="1">IF(AD143,IF(AG143&lt;&gt;"",AG143,IF(J143,MIN(INDIRECT( K143)),"")),"")</f>
        <v/>
      </c>
      <c r="Y143" s="17" t="str">
        <f t="array" aca="1" ref="Y143" ca="1">IF(AD143,IF(AH143&lt;&gt;"",AH143,IF(J143,MAX(INDIRECT( K143)),"")),"")</f>
        <v/>
      </c>
      <c r="Z143" s="17" t="b">
        <f t="shared" ca="1" si="42"/>
        <v>0</v>
      </c>
      <c r="AC143" s="17" t="b">
        <f t="shared" ca="1" si="43"/>
        <v>0</v>
      </c>
      <c r="AD143" s="14" t="b">
        <f t="shared" ca="1" si="44"/>
        <v>1</v>
      </c>
      <c r="AE143" s="15" t="b">
        <f t="shared" ca="1" si="45"/>
        <v>0</v>
      </c>
      <c r="AF143" s="16"/>
      <c r="AG143" s="16"/>
      <c r="AH143" s="16"/>
      <c r="AI143" s="16"/>
      <c r="AJ143" s="16"/>
      <c r="AK143" s="16"/>
      <c r="AL143" s="16"/>
      <c r="AM143" s="16"/>
    </row>
    <row r="144" spans="2:39">
      <c r="B144" s="14">
        <f t="shared" si="34"/>
        <v>142</v>
      </c>
      <c r="C144" s="14" t="str">
        <f t="shared" ca="1" si="35"/>
        <v>S</v>
      </c>
      <c r="D144" s="14" t="str">
        <f t="shared" ca="1" si="36"/>
        <v>q_44.3a</v>
      </c>
      <c r="E144" s="14" t="str">
        <f t="shared" ca="1" si="33"/>
        <v>Other family member 1, who died</v>
      </c>
      <c r="F144" s="14">
        <f t="shared" ca="1" si="32"/>
        <v>0</v>
      </c>
      <c r="G144" s="14" t="str">
        <f t="shared" ca="1" si="37"/>
        <v>q_44.3a</v>
      </c>
      <c r="H144" s="14">
        <f ca="1">IF(G144&lt;&gt;"",IFERROR( IsVariableNameLegal(G144),0),0)+IF(COUNTIF(INDIRECT(wew!$C$13),G144)&gt;1,10,0)</f>
        <v>0</v>
      </c>
      <c r="I144" s="14">
        <f ca="1">IF(E144&lt;&gt;"",IF(LEN(E144)&gt;150,1,0)+IF(COUNTIF(INDIRECT(wew!$C$15),E144)&gt;1,10,0),0)</f>
        <v>0</v>
      </c>
      <c r="J144" s="14" t="b">
        <f t="shared" ca="1" si="38"/>
        <v>0</v>
      </c>
      <c r="K144" s="14" t="str">
        <f ca="1">ADDRESS(3,(B144+1)*2-1,4,,"[" &amp; wew!$G$7 &amp; "]" &amp; _sheetname_labels) &amp; ":" &amp; ADDRESS(2+ster!$B$20,(B144+1)*2-1,4)</f>
        <v>'[dane surowe2c.xlsm]labels'!JY3:JY36</v>
      </c>
      <c r="L144" s="14" t="str">
        <f ca="1">IF(F144&gt;0,ADDRESS(3,(B144+1)*2-1,4,,"[" &amp; wew!$G$7 &amp; "]" &amp; _sheetname_labels) &amp; ":" &amp; ADDRESS(2+F144,(B144+1)*2-1,4),"")</f>
        <v/>
      </c>
      <c r="M144" s="14" t="str">
        <f ca="1">IF(F144&gt;0,ADDRESS(3,(B144+1)*2,4,,"["&amp;wew!$G$7&amp;"]"&amp;_sheetname_labels)&amp;":"&amp;ADDRESS(2+F144,(B144+1)*2,4),"")</f>
        <v/>
      </c>
      <c r="N144" s="14" t="str">
        <f ca="1">ADDRESS(3,B144+1,4,,"[" &amp; wew!$G$7 &amp; "]" &amp;_sheetname_dataframe) &amp; ":" &amp; ADDRESS(2+ster!$C$14,B144+1,4)</f>
        <v>'[dane surowe2c.xlsm]data_frame'!EM3:EM35</v>
      </c>
      <c r="O144" s="14">
        <f t="shared" ca="1" si="39"/>
        <v>0</v>
      </c>
      <c r="P144" s="14" t="str">
        <f ca="1">IF(AND($AD144,$S144=1),IF(wew!$B$3,MIN(INDIRECT($N144)),"&lt;włącz podświetlanie wartości&gt;"),"—")</f>
        <v>—</v>
      </c>
      <c r="Q144" s="14" t="str">
        <f ca="1">IF(AND($AD144,$S144=1),IF(wew!$B$3,MAX(INDIRECT($N144)),"&lt;włącz podświetlanie wartości&gt;"),"—")</f>
        <v>—</v>
      </c>
      <c r="R144" s="14">
        <f ca="1">IF(AD144,ster!$C$14- (COUNTIF( INDIRECT(N144),"" )+ COUNT(INDIRECT(N144)) +COUNTIF( INDIRECT(N144),"NA" )),"")</f>
        <v>2</v>
      </c>
      <c r="S144" s="12">
        <f ca="1">IF(AD144,IF(COUNTA(INDIRECT(N144))=0,0, 1-(ster!$C$14- COUNT(INDIRECT(N144)) -COUNTIF( INDIRECT(N144),"" )) /COUNTA(INDIRECT(N144))),"")</f>
        <v>0</v>
      </c>
      <c r="T144" s="17" t="str">
        <f t="array" aca="1" ref="T144" ca="1">IF(L144&lt;&gt;"",SUM(IF(INDIRECT(L144)&lt;&gt;INT(INDIRECT(L144)),1,0)),"")</f>
        <v/>
      </c>
      <c r="U144" s="17" t="str">
        <f t="array" aca="1" ref="U144" ca="1">IF(S144=1,SUM(IF(ISNUMBER(INDIRECT(N144)),IF(INDIRECT(N144)&lt;&gt;INT(INDIRECT(N144)),1,0),0)),"")</f>
        <v/>
      </c>
      <c r="V144" s="17">
        <f t="shared" ca="1" si="40"/>
        <v>0</v>
      </c>
      <c r="W144" s="17">
        <f t="shared" ca="1" si="41"/>
        <v>0</v>
      </c>
      <c r="X144" s="24" t="str">
        <f t="array" aca="1" ref="X144" ca="1">IF(AD144,IF(AG144&lt;&gt;"",AG144,IF(J144,MIN(INDIRECT( K144)),"")),"")</f>
        <v/>
      </c>
      <c r="Y144" s="17" t="str">
        <f t="array" aca="1" ref="Y144" ca="1">IF(AD144,IF(AH144&lt;&gt;"",AH144,IF(J144,MAX(INDIRECT( K144)),"")),"")</f>
        <v/>
      </c>
      <c r="Z144" s="17" t="b">
        <f t="shared" ca="1" si="42"/>
        <v>0</v>
      </c>
      <c r="AC144" s="17" t="b">
        <f t="shared" ca="1" si="43"/>
        <v>1</v>
      </c>
      <c r="AD144" s="14" t="b">
        <f t="shared" ca="1" si="44"/>
        <v>1</v>
      </c>
      <c r="AE144" s="15" t="b">
        <f t="shared" ca="1" si="45"/>
        <v>0</v>
      </c>
      <c r="AF144" s="16"/>
      <c r="AG144" s="16"/>
      <c r="AH144" s="16"/>
      <c r="AI144" s="16"/>
      <c r="AJ144" s="16"/>
      <c r="AK144" s="16"/>
      <c r="AL144" s="16"/>
      <c r="AM144" s="16"/>
    </row>
    <row r="145" spans="2:39">
      <c r="B145" s="14">
        <f t="shared" si="34"/>
        <v>143</v>
      </c>
      <c r="C145" s="14" t="str">
        <f t="shared" ca="1" si="35"/>
        <v>S</v>
      </c>
      <c r="D145" s="14" t="str">
        <f t="shared" ca="1" si="36"/>
        <v>q_44.3b</v>
      </c>
      <c r="E145" s="14" t="str">
        <f t="shared" ca="1" si="33"/>
        <v>Family member 1 cause of death</v>
      </c>
      <c r="F145" s="14">
        <f t="shared" ca="1" si="32"/>
        <v>0</v>
      </c>
      <c r="G145" s="14" t="str">
        <f t="shared" ca="1" si="37"/>
        <v>q_44.3b</v>
      </c>
      <c r="H145" s="14">
        <f ca="1">IF(G145&lt;&gt;"",IFERROR( IsVariableNameLegal(G145),0),0)+IF(COUNTIF(INDIRECT(wew!$C$13),G145)&gt;1,10,0)</f>
        <v>0</v>
      </c>
      <c r="I145" s="14">
        <f ca="1">IF(E145&lt;&gt;"",IF(LEN(E145)&gt;150,1,0)+IF(COUNTIF(INDIRECT(wew!$C$15),E145)&gt;1,10,0),0)</f>
        <v>0</v>
      </c>
      <c r="J145" s="14" t="b">
        <f t="shared" ca="1" si="38"/>
        <v>0</v>
      </c>
      <c r="K145" s="14" t="str">
        <f ca="1">ADDRESS(3,(B145+1)*2-1,4,,"[" &amp; wew!$G$7 &amp; "]" &amp; _sheetname_labels) &amp; ":" &amp; ADDRESS(2+ster!$B$20,(B145+1)*2-1,4)</f>
        <v>'[dane surowe2c.xlsm]labels'!KA3:KA36</v>
      </c>
      <c r="L145" s="14" t="str">
        <f ca="1">IF(F145&gt;0,ADDRESS(3,(B145+1)*2-1,4,,"[" &amp; wew!$G$7 &amp; "]" &amp; _sheetname_labels) &amp; ":" &amp; ADDRESS(2+F145,(B145+1)*2-1,4),"")</f>
        <v/>
      </c>
      <c r="M145" s="14" t="str">
        <f ca="1">IF(F145&gt;0,ADDRESS(3,(B145+1)*2,4,,"["&amp;wew!$G$7&amp;"]"&amp;_sheetname_labels)&amp;":"&amp;ADDRESS(2+F145,(B145+1)*2,4),"")</f>
        <v/>
      </c>
      <c r="N145" s="14" t="str">
        <f ca="1">ADDRESS(3,B145+1,4,,"[" &amp; wew!$G$7 &amp; "]" &amp;_sheetname_dataframe) &amp; ":" &amp; ADDRESS(2+ster!$C$14,B145+1,4)</f>
        <v>'[dane surowe2c.xlsm]data_frame'!EN3:EN35</v>
      </c>
      <c r="O145" s="14">
        <f t="shared" ca="1" si="39"/>
        <v>0</v>
      </c>
      <c r="P145" s="14" t="str">
        <f ca="1">IF(AND($AD145,$S145=1),IF(wew!$B$3,MIN(INDIRECT($N145)),"&lt;włącz podświetlanie wartości&gt;"),"—")</f>
        <v>—</v>
      </c>
      <c r="Q145" s="14" t="str">
        <f ca="1">IF(AND($AD145,$S145=1),IF(wew!$B$3,MAX(INDIRECT($N145)),"&lt;włącz podświetlanie wartości&gt;"),"—")</f>
        <v>—</v>
      </c>
      <c r="R145" s="14">
        <f ca="1">IF(AD145,ster!$C$14- (COUNTIF( INDIRECT(N145),"" )+ COUNT(INDIRECT(N145)) +COUNTIF( INDIRECT(N145),"NA" )),"")</f>
        <v>2</v>
      </c>
      <c r="S145" s="12">
        <f ca="1">IF(AD145,IF(COUNTA(INDIRECT(N145))=0,0, 1-(ster!$C$14- COUNT(INDIRECT(N145)) -COUNTIF( INDIRECT(N145),"" )) /COUNTA(INDIRECT(N145))),"")</f>
        <v>0</v>
      </c>
      <c r="T145" s="17" t="str">
        <f t="array" aca="1" ref="T145" ca="1">IF(L145&lt;&gt;"",SUM(IF(INDIRECT(L145)&lt;&gt;INT(INDIRECT(L145)),1,0)),"")</f>
        <v/>
      </c>
      <c r="U145" s="17" t="str">
        <f t="array" aca="1" ref="U145" ca="1">IF(S145=1,SUM(IF(ISNUMBER(INDIRECT(N145)),IF(INDIRECT(N145)&lt;&gt;INT(INDIRECT(N145)),1,0),0)),"")</f>
        <v/>
      </c>
      <c r="V145" s="17">
        <f t="shared" ca="1" si="40"/>
        <v>0</v>
      </c>
      <c r="W145" s="17">
        <f t="shared" ca="1" si="41"/>
        <v>0</v>
      </c>
      <c r="X145" s="24" t="str">
        <f t="array" aca="1" ref="X145" ca="1">IF(AD145,IF(AG145&lt;&gt;"",AG145,IF(J145,MIN(INDIRECT( K145)),"")),"")</f>
        <v/>
      </c>
      <c r="Y145" s="17" t="str">
        <f t="array" aca="1" ref="Y145" ca="1">IF(AD145,IF(AH145&lt;&gt;"",AH145,IF(J145,MAX(INDIRECT( K145)),"")),"")</f>
        <v/>
      </c>
      <c r="Z145" s="17" t="b">
        <f t="shared" ca="1" si="42"/>
        <v>0</v>
      </c>
      <c r="AC145" s="17" t="b">
        <f t="shared" ca="1" si="43"/>
        <v>1</v>
      </c>
      <c r="AD145" s="14" t="b">
        <f t="shared" ca="1" si="44"/>
        <v>1</v>
      </c>
      <c r="AE145" s="15" t="b">
        <f t="shared" ca="1" si="45"/>
        <v>0</v>
      </c>
      <c r="AF145" s="16"/>
      <c r="AG145" s="16"/>
      <c r="AH145" s="16"/>
      <c r="AI145" s="16"/>
      <c r="AJ145" s="16"/>
      <c r="AK145" s="16"/>
      <c r="AL145" s="16"/>
      <c r="AM145" s="16"/>
    </row>
    <row r="146" spans="2:39">
      <c r="B146" s="14">
        <f t="shared" si="34"/>
        <v>144</v>
      </c>
      <c r="C146" s="14" t="str">
        <f t="shared" ca="1" si="35"/>
        <v>I</v>
      </c>
      <c r="D146" s="14" t="str">
        <f t="shared" ca="1" si="36"/>
        <v>q_44.3c</v>
      </c>
      <c r="E146" s="14" t="str">
        <f t="shared" ca="1" si="33"/>
        <v>Family member 1 age at death</v>
      </c>
      <c r="F146" s="14">
        <f t="shared" ca="1" si="32"/>
        <v>0</v>
      </c>
      <c r="G146" s="14" t="str">
        <f t="shared" ca="1" si="37"/>
        <v>q_44.3c</v>
      </c>
      <c r="H146" s="14">
        <f ca="1">IF(G146&lt;&gt;"",IFERROR( IsVariableNameLegal(G146),0),0)+IF(COUNTIF(INDIRECT(wew!$C$13),G146)&gt;1,10,0)</f>
        <v>0</v>
      </c>
      <c r="I146" s="14">
        <f ca="1">IF(E146&lt;&gt;"",IF(LEN(E146)&gt;150,1,0)+IF(COUNTIF(INDIRECT(wew!$C$15),E146)&gt;1,10,0),0)</f>
        <v>0</v>
      </c>
      <c r="J146" s="14" t="b">
        <f t="shared" ca="1" si="38"/>
        <v>0</v>
      </c>
      <c r="K146" s="14" t="str">
        <f ca="1">ADDRESS(3,(B146+1)*2-1,4,,"[" &amp; wew!$G$7 &amp; "]" &amp; _sheetname_labels) &amp; ":" &amp; ADDRESS(2+ster!$B$20,(B146+1)*2-1,4)</f>
        <v>'[dane surowe2c.xlsm]labels'!KC3:KC36</v>
      </c>
      <c r="L146" s="14" t="str">
        <f ca="1">IF(F146&gt;0,ADDRESS(3,(B146+1)*2-1,4,,"[" &amp; wew!$G$7 &amp; "]" &amp; _sheetname_labels) &amp; ":" &amp; ADDRESS(2+F146,(B146+1)*2-1,4),"")</f>
        <v/>
      </c>
      <c r="M146" s="14" t="str">
        <f ca="1">IF(F146&gt;0,ADDRESS(3,(B146+1)*2,4,,"["&amp;wew!$G$7&amp;"]"&amp;_sheetname_labels)&amp;":"&amp;ADDRESS(2+F146,(B146+1)*2,4),"")</f>
        <v/>
      </c>
      <c r="N146" s="14" t="str">
        <f ca="1">ADDRESS(3,B146+1,4,,"[" &amp; wew!$G$7 &amp; "]" &amp;_sheetname_dataframe) &amp; ":" &amp; ADDRESS(2+ster!$C$14,B146+1,4)</f>
        <v>'[dane surowe2c.xlsm]data_frame'!EO3:EO35</v>
      </c>
      <c r="O146" s="14">
        <f t="shared" ca="1" si="39"/>
        <v>1</v>
      </c>
      <c r="P146" s="14">
        <f ca="1">IF(AND($AD146,$S146=1),IF(wew!$B$3,MIN(INDIRECT($N146)),"&lt;włącz podświetlanie wartości&gt;"),"—")</f>
        <v>75</v>
      </c>
      <c r="Q146" s="14">
        <f ca="1">IF(AND($AD146,$S146=1),IF(wew!$B$3,MAX(INDIRECT($N146)),"&lt;włącz podświetlanie wartości&gt;"),"—")</f>
        <v>75</v>
      </c>
      <c r="R146" s="14">
        <f ca="1">IF(AD146,ster!$C$14- (COUNTIF( INDIRECT(N146),"" )+ COUNT(INDIRECT(N146)) +COUNTIF( INDIRECT(N146),"NA" )),"")</f>
        <v>0</v>
      </c>
      <c r="S146" s="12">
        <f ca="1">IF(AD146,IF(COUNTA(INDIRECT(N146))=0,0, 1-(ster!$C$14- COUNT(INDIRECT(N146)) -COUNTIF( INDIRECT(N146),"" )) /COUNTA(INDIRECT(N146))),"")</f>
        <v>1</v>
      </c>
      <c r="T146" s="17" t="str">
        <f t="array" aca="1" ref="T146" ca="1">IF(L146&lt;&gt;"",SUM(IF(INDIRECT(L146)&lt;&gt;INT(INDIRECT(L146)),1,0)),"")</f>
        <v/>
      </c>
      <c r="U146" s="17">
        <f t="array" aca="1" ref="U146" ca="1">IF(S146=1,SUM(IF(ISNUMBER(INDIRECT(N146)),IF(INDIRECT(N146)&lt;&gt;INT(INDIRECT(N146)),1,0),0)),"")</f>
        <v>0</v>
      </c>
      <c r="V146" s="17">
        <f t="shared" ca="1" si="40"/>
        <v>1</v>
      </c>
      <c r="W146" s="17">
        <f t="shared" ca="1" si="41"/>
        <v>0</v>
      </c>
      <c r="X146" s="24" t="str">
        <f t="array" aca="1" ref="X146" ca="1">IF(AD146,IF(AG146&lt;&gt;"",AG146,IF(J146,MIN(INDIRECT( K146)),"")),"")</f>
        <v/>
      </c>
      <c r="Y146" s="17" t="str">
        <f t="array" aca="1" ref="Y146" ca="1">IF(AD146,IF(AH146&lt;&gt;"",AH146,IF(J146,MAX(INDIRECT( K146)),"")),"")</f>
        <v/>
      </c>
      <c r="Z146" s="17" t="b">
        <f t="shared" ca="1" si="42"/>
        <v>0</v>
      </c>
      <c r="AC146" s="17" t="b">
        <f t="shared" ca="1" si="43"/>
        <v>0</v>
      </c>
      <c r="AD146" s="14" t="b">
        <f t="shared" ca="1" si="44"/>
        <v>1</v>
      </c>
      <c r="AE146" s="15" t="b">
        <f t="shared" ca="1" si="45"/>
        <v>0</v>
      </c>
      <c r="AF146" s="16"/>
      <c r="AG146" s="16"/>
      <c r="AH146" s="16"/>
      <c r="AI146" s="16"/>
      <c r="AJ146" s="16"/>
      <c r="AK146" s="16"/>
      <c r="AL146" s="16"/>
      <c r="AM146" s="16"/>
    </row>
    <row r="147" spans="2:39">
      <c r="B147" s="14">
        <f t="shared" si="34"/>
        <v>145</v>
      </c>
      <c r="C147" s="14" t="str">
        <f t="shared" ca="1" si="35"/>
        <v>S</v>
      </c>
      <c r="D147" s="14" t="str">
        <f t="shared" ca="1" si="36"/>
        <v>q_44.4a</v>
      </c>
      <c r="E147" s="14" t="str">
        <f t="shared" ca="1" si="33"/>
        <v>Other family member 2, who died</v>
      </c>
      <c r="F147" s="14">
        <f t="shared" ca="1" si="32"/>
        <v>0</v>
      </c>
      <c r="G147" s="14" t="str">
        <f t="shared" ca="1" si="37"/>
        <v>q_44.4a</v>
      </c>
      <c r="H147" s="14">
        <f ca="1">IF(G147&lt;&gt;"",IFERROR( IsVariableNameLegal(G147),0),0)+IF(COUNTIF(INDIRECT(wew!$C$13),G147)&gt;1,10,0)</f>
        <v>0</v>
      </c>
      <c r="I147" s="14">
        <f ca="1">IF(E147&lt;&gt;"",IF(LEN(E147)&gt;150,1,0)+IF(COUNTIF(INDIRECT(wew!$C$15),E147)&gt;1,10,0),0)</f>
        <v>0</v>
      </c>
      <c r="J147" s="14" t="b">
        <f t="shared" ca="1" si="38"/>
        <v>0</v>
      </c>
      <c r="K147" s="14" t="str">
        <f ca="1">ADDRESS(3,(B147+1)*2-1,4,,"[" &amp; wew!$G$7 &amp; "]" &amp; _sheetname_labels) &amp; ":" &amp; ADDRESS(2+ster!$B$20,(B147+1)*2-1,4)</f>
        <v>'[dane surowe2c.xlsm]labels'!KE3:KE36</v>
      </c>
      <c r="L147" s="14" t="str">
        <f ca="1">IF(F147&gt;0,ADDRESS(3,(B147+1)*2-1,4,,"[" &amp; wew!$G$7 &amp; "]" &amp; _sheetname_labels) &amp; ":" &amp; ADDRESS(2+F147,(B147+1)*2-1,4),"")</f>
        <v/>
      </c>
      <c r="M147" s="14" t="str">
        <f ca="1">IF(F147&gt;0,ADDRESS(3,(B147+1)*2,4,,"["&amp;wew!$G$7&amp;"]"&amp;_sheetname_labels)&amp;":"&amp;ADDRESS(2+F147,(B147+1)*2,4),"")</f>
        <v/>
      </c>
      <c r="N147" s="14" t="str">
        <f ca="1">ADDRESS(3,B147+1,4,,"[" &amp; wew!$G$7 &amp; "]" &amp;_sheetname_dataframe) &amp; ":" &amp; ADDRESS(2+ster!$C$14,B147+1,4)</f>
        <v>'[dane surowe2c.xlsm]data_frame'!EP3:EP35</v>
      </c>
      <c r="O147" s="14">
        <f t="shared" ca="1" si="39"/>
        <v>0</v>
      </c>
      <c r="P147" s="14" t="str">
        <f ca="1">IF(AND($AD147,$S147=1),IF(wew!$B$3,MIN(INDIRECT($N147)),"&lt;włącz podświetlanie wartości&gt;"),"—")</f>
        <v>—</v>
      </c>
      <c r="Q147" s="14" t="str">
        <f ca="1">IF(AND($AD147,$S147=1),IF(wew!$B$3,MAX(INDIRECT($N147)),"&lt;włącz podświetlanie wartości&gt;"),"—")</f>
        <v>—</v>
      </c>
      <c r="R147" s="14">
        <f ca="1">IF(AD147,ster!$C$14- (COUNTIF( INDIRECT(N147),"" )+ COUNT(INDIRECT(N147)) +COUNTIF( INDIRECT(N147),"NA" )),"")</f>
        <v>1</v>
      </c>
      <c r="S147" s="12">
        <f ca="1">IF(AD147,IF(COUNTA(INDIRECT(N147))=0,0, 1-(ster!$C$14- COUNT(INDIRECT(N147)) -COUNTIF( INDIRECT(N147),"" )) /COUNTA(INDIRECT(N147))),"")</f>
        <v>0</v>
      </c>
      <c r="T147" s="17" t="str">
        <f t="array" aca="1" ref="T147" ca="1">IF(L147&lt;&gt;"",SUM(IF(INDIRECT(L147)&lt;&gt;INT(INDIRECT(L147)),1,0)),"")</f>
        <v/>
      </c>
      <c r="U147" s="17" t="str">
        <f t="array" aca="1" ref="U147" ca="1">IF(S147=1,SUM(IF(ISNUMBER(INDIRECT(N147)),IF(INDIRECT(N147)&lt;&gt;INT(INDIRECT(N147)),1,0),0)),"")</f>
        <v/>
      </c>
      <c r="V147" s="17">
        <f t="shared" ca="1" si="40"/>
        <v>0</v>
      </c>
      <c r="W147" s="17">
        <f t="shared" ca="1" si="41"/>
        <v>0</v>
      </c>
      <c r="X147" s="24" t="str">
        <f t="array" aca="1" ref="X147" ca="1">IF(AD147,IF(AG147&lt;&gt;"",AG147,IF(J147,MIN(INDIRECT( K147)),"")),"")</f>
        <v/>
      </c>
      <c r="Y147" s="17" t="str">
        <f t="array" aca="1" ref="Y147" ca="1">IF(AD147,IF(AH147&lt;&gt;"",AH147,IF(J147,MAX(INDIRECT( K147)),"")),"")</f>
        <v/>
      </c>
      <c r="Z147" s="17" t="b">
        <f t="shared" ca="1" si="42"/>
        <v>0</v>
      </c>
      <c r="AC147" s="17" t="b">
        <f t="shared" ca="1" si="43"/>
        <v>1</v>
      </c>
      <c r="AD147" s="14" t="b">
        <f t="shared" ca="1" si="44"/>
        <v>1</v>
      </c>
      <c r="AE147" s="15" t="b">
        <f t="shared" ca="1" si="45"/>
        <v>0</v>
      </c>
      <c r="AF147" s="16"/>
      <c r="AG147" s="16"/>
      <c r="AH147" s="16"/>
      <c r="AI147" s="16"/>
      <c r="AJ147" s="16"/>
      <c r="AK147" s="16"/>
      <c r="AL147" s="16"/>
      <c r="AM147" s="16"/>
    </row>
    <row r="148" spans="2:39">
      <c r="B148" s="14">
        <f t="shared" si="34"/>
        <v>146</v>
      </c>
      <c r="C148" s="14" t="str">
        <f t="shared" ca="1" si="35"/>
        <v>S</v>
      </c>
      <c r="D148" s="14" t="str">
        <f t="shared" ca="1" si="36"/>
        <v>q_44.4b</v>
      </c>
      <c r="E148" s="14" t="str">
        <f t="shared" ca="1" si="33"/>
        <v>Family member 2 cause of death</v>
      </c>
      <c r="F148" s="14">
        <f t="shared" ca="1" si="32"/>
        <v>0</v>
      </c>
      <c r="G148" s="14" t="str">
        <f t="shared" ca="1" si="37"/>
        <v>q_44.4b</v>
      </c>
      <c r="H148" s="14">
        <f ca="1">IF(G148&lt;&gt;"",IFERROR( IsVariableNameLegal(G148),0),0)+IF(COUNTIF(INDIRECT(wew!$C$13),G148)&gt;1,10,0)</f>
        <v>0</v>
      </c>
      <c r="I148" s="14">
        <f ca="1">IF(E148&lt;&gt;"",IF(LEN(E148)&gt;150,1,0)+IF(COUNTIF(INDIRECT(wew!$C$15),E148)&gt;1,10,0),0)</f>
        <v>0</v>
      </c>
      <c r="J148" s="14" t="b">
        <f t="shared" ca="1" si="38"/>
        <v>0</v>
      </c>
      <c r="K148" s="14" t="str">
        <f ca="1">ADDRESS(3,(B148+1)*2-1,4,,"[" &amp; wew!$G$7 &amp; "]" &amp; _sheetname_labels) &amp; ":" &amp; ADDRESS(2+ster!$B$20,(B148+1)*2-1,4)</f>
        <v>'[dane surowe2c.xlsm]labels'!KG3:KG36</v>
      </c>
      <c r="L148" s="14" t="str">
        <f ca="1">IF(F148&gt;0,ADDRESS(3,(B148+1)*2-1,4,,"[" &amp; wew!$G$7 &amp; "]" &amp; _sheetname_labels) &amp; ":" &amp; ADDRESS(2+F148,(B148+1)*2-1,4),"")</f>
        <v/>
      </c>
      <c r="M148" s="14" t="str">
        <f ca="1">IF(F148&gt;0,ADDRESS(3,(B148+1)*2,4,,"["&amp;wew!$G$7&amp;"]"&amp;_sheetname_labels)&amp;":"&amp;ADDRESS(2+F148,(B148+1)*2,4),"")</f>
        <v/>
      </c>
      <c r="N148" s="14" t="str">
        <f ca="1">ADDRESS(3,B148+1,4,,"[" &amp; wew!$G$7 &amp; "]" &amp;_sheetname_dataframe) &amp; ":" &amp; ADDRESS(2+ster!$C$14,B148+1,4)</f>
        <v>'[dane surowe2c.xlsm]data_frame'!EQ3:EQ35</v>
      </c>
      <c r="O148" s="14">
        <f t="shared" ca="1" si="39"/>
        <v>0</v>
      </c>
      <c r="P148" s="14" t="str">
        <f ca="1">IF(AND($AD148,$S148=1),IF(wew!$B$3,MIN(INDIRECT($N148)),"&lt;włącz podświetlanie wartości&gt;"),"—")</f>
        <v>—</v>
      </c>
      <c r="Q148" s="14" t="str">
        <f ca="1">IF(AND($AD148,$S148=1),IF(wew!$B$3,MAX(INDIRECT($N148)),"&lt;włącz podświetlanie wartości&gt;"),"—")</f>
        <v>—</v>
      </c>
      <c r="R148" s="14">
        <f ca="1">IF(AD148,ster!$C$14- (COUNTIF( INDIRECT(N148),"" )+ COUNT(INDIRECT(N148)) +COUNTIF( INDIRECT(N148),"NA" )),"")</f>
        <v>1</v>
      </c>
      <c r="S148" s="12">
        <f ca="1">IF(AD148,IF(COUNTA(INDIRECT(N148))=0,0, 1-(ster!$C$14- COUNT(INDIRECT(N148)) -COUNTIF( INDIRECT(N148),"" )) /COUNTA(INDIRECT(N148))),"")</f>
        <v>0</v>
      </c>
      <c r="T148" s="17" t="str">
        <f t="array" aca="1" ref="T148" ca="1">IF(L148&lt;&gt;"",SUM(IF(INDIRECT(L148)&lt;&gt;INT(INDIRECT(L148)),1,0)),"")</f>
        <v/>
      </c>
      <c r="U148" s="17" t="str">
        <f t="array" aca="1" ref="U148" ca="1">IF(S148=1,SUM(IF(ISNUMBER(INDIRECT(N148)),IF(INDIRECT(N148)&lt;&gt;INT(INDIRECT(N148)),1,0),0)),"")</f>
        <v/>
      </c>
      <c r="V148" s="17">
        <f t="shared" ca="1" si="40"/>
        <v>0</v>
      </c>
      <c r="W148" s="17">
        <f t="shared" ca="1" si="41"/>
        <v>0</v>
      </c>
      <c r="X148" s="24" t="str">
        <f t="array" aca="1" ref="X148" ca="1">IF(AD148,IF(AG148&lt;&gt;"",AG148,IF(J148,MIN(INDIRECT( K148)),"")),"")</f>
        <v/>
      </c>
      <c r="Y148" s="17" t="str">
        <f t="array" aca="1" ref="Y148" ca="1">IF(AD148,IF(AH148&lt;&gt;"",AH148,IF(J148,MAX(INDIRECT( K148)),"")),"")</f>
        <v/>
      </c>
      <c r="Z148" s="17" t="b">
        <f t="shared" ca="1" si="42"/>
        <v>0</v>
      </c>
      <c r="AC148" s="17" t="b">
        <f t="shared" ca="1" si="43"/>
        <v>1</v>
      </c>
      <c r="AD148" s="14" t="b">
        <f t="shared" ca="1" si="44"/>
        <v>1</v>
      </c>
      <c r="AE148" s="15" t="b">
        <f t="shared" ca="1" si="45"/>
        <v>0</v>
      </c>
      <c r="AF148" s="16"/>
      <c r="AG148" s="16"/>
      <c r="AH148" s="16"/>
      <c r="AI148" s="16"/>
      <c r="AJ148" s="16"/>
      <c r="AK148" s="16"/>
      <c r="AL148" s="16"/>
      <c r="AM148" s="16"/>
    </row>
    <row r="149" spans="2:39">
      <c r="B149" s="14">
        <f t="shared" si="34"/>
        <v>147</v>
      </c>
      <c r="C149" s="14" t="str">
        <f t="shared" ca="1" si="35"/>
        <v>I</v>
      </c>
      <c r="D149" s="14" t="str">
        <f t="shared" ca="1" si="36"/>
        <v>q_44.4c</v>
      </c>
      <c r="E149" s="14" t="str">
        <f t="shared" ca="1" si="33"/>
        <v>Family member 2 age at death</v>
      </c>
      <c r="F149" s="14">
        <f t="shared" ca="1" si="32"/>
        <v>0</v>
      </c>
      <c r="G149" s="14" t="str">
        <f t="shared" ca="1" si="37"/>
        <v>q_44.4c</v>
      </c>
      <c r="H149" s="14">
        <f ca="1">IF(G149&lt;&gt;"",IFERROR( IsVariableNameLegal(G149),0),0)+IF(COUNTIF(INDIRECT(wew!$C$13),G149)&gt;1,10,0)</f>
        <v>0</v>
      </c>
      <c r="I149" s="14">
        <f ca="1">IF(E149&lt;&gt;"",IF(LEN(E149)&gt;150,1,0)+IF(COUNTIF(INDIRECT(wew!$C$15),E149)&gt;1,10,0),0)</f>
        <v>0</v>
      </c>
      <c r="J149" s="14" t="b">
        <f t="shared" ca="1" si="38"/>
        <v>0</v>
      </c>
      <c r="K149" s="14" t="str">
        <f ca="1">ADDRESS(3,(B149+1)*2-1,4,,"[" &amp; wew!$G$7 &amp; "]" &amp; _sheetname_labels) &amp; ":" &amp; ADDRESS(2+ster!$B$20,(B149+1)*2-1,4)</f>
        <v>'[dane surowe2c.xlsm]labels'!KI3:KI36</v>
      </c>
      <c r="L149" s="14" t="str">
        <f ca="1">IF(F149&gt;0,ADDRESS(3,(B149+1)*2-1,4,,"[" &amp; wew!$G$7 &amp; "]" &amp; _sheetname_labels) &amp; ":" &amp; ADDRESS(2+F149,(B149+1)*2-1,4),"")</f>
        <v/>
      </c>
      <c r="M149" s="14" t="str">
        <f ca="1">IF(F149&gt;0,ADDRESS(3,(B149+1)*2,4,,"["&amp;wew!$G$7&amp;"]"&amp;_sheetname_labels)&amp;":"&amp;ADDRESS(2+F149,(B149+1)*2,4),"")</f>
        <v/>
      </c>
      <c r="N149" s="14" t="str">
        <f ca="1">ADDRESS(3,B149+1,4,,"[" &amp; wew!$G$7 &amp; "]" &amp;_sheetname_dataframe) &amp; ":" &amp; ADDRESS(2+ster!$C$14,B149+1,4)</f>
        <v>'[dane surowe2c.xlsm]data_frame'!ER3:ER35</v>
      </c>
      <c r="O149" s="14">
        <f t="shared" ca="1" si="39"/>
        <v>1</v>
      </c>
      <c r="P149" s="14">
        <f ca="1">IF(AND($AD149,$S149=1),IF(wew!$B$3,MIN(INDIRECT($N149)),"&lt;włącz podświetlanie wartości&gt;"),"—")</f>
        <v>84</v>
      </c>
      <c r="Q149" s="14">
        <f ca="1">IF(AND($AD149,$S149=1),IF(wew!$B$3,MAX(INDIRECT($N149)),"&lt;włącz podświetlanie wartości&gt;"),"—")</f>
        <v>84</v>
      </c>
      <c r="R149" s="14">
        <f ca="1">IF(AD149,ster!$C$14- (COUNTIF( INDIRECT(N149),"" )+ COUNT(INDIRECT(N149)) +COUNTIF( INDIRECT(N149),"NA" )),"")</f>
        <v>0</v>
      </c>
      <c r="S149" s="12">
        <f ca="1">IF(AD149,IF(COUNTA(INDIRECT(N149))=0,0, 1-(ster!$C$14- COUNT(INDIRECT(N149)) -COUNTIF( INDIRECT(N149),"" )) /COUNTA(INDIRECT(N149))),"")</f>
        <v>1</v>
      </c>
      <c r="T149" s="17" t="str">
        <f t="array" aca="1" ref="T149" ca="1">IF(L149&lt;&gt;"",SUM(IF(INDIRECT(L149)&lt;&gt;INT(INDIRECT(L149)),1,0)),"")</f>
        <v/>
      </c>
      <c r="U149" s="17">
        <f t="array" aca="1" ref="U149" ca="1">IF(S149=1,SUM(IF(ISNUMBER(INDIRECT(N149)),IF(INDIRECT(N149)&lt;&gt;INT(INDIRECT(N149)),1,0),0)),"")</f>
        <v>0</v>
      </c>
      <c r="V149" s="17">
        <f t="shared" ca="1" si="40"/>
        <v>1</v>
      </c>
      <c r="W149" s="17">
        <f t="shared" ca="1" si="41"/>
        <v>0</v>
      </c>
      <c r="X149" s="24" t="str">
        <f t="array" aca="1" ref="X149" ca="1">IF(AD149,IF(AG149&lt;&gt;"",AG149,IF(J149,MIN(INDIRECT( K149)),"")),"")</f>
        <v/>
      </c>
      <c r="Y149" s="17" t="str">
        <f t="array" aca="1" ref="Y149" ca="1">IF(AD149,IF(AH149&lt;&gt;"",AH149,IF(J149,MAX(INDIRECT( K149)),"")),"")</f>
        <v/>
      </c>
      <c r="Z149" s="17" t="b">
        <f t="shared" ca="1" si="42"/>
        <v>0</v>
      </c>
      <c r="AC149" s="17" t="b">
        <f t="shared" ca="1" si="43"/>
        <v>0</v>
      </c>
      <c r="AD149" s="14" t="b">
        <f t="shared" ca="1" si="44"/>
        <v>1</v>
      </c>
      <c r="AE149" s="15" t="b">
        <f t="shared" ca="1" si="45"/>
        <v>0</v>
      </c>
      <c r="AF149" s="16"/>
      <c r="AG149" s="16"/>
      <c r="AH149" s="16"/>
      <c r="AI149" s="16"/>
      <c r="AJ149" s="16"/>
      <c r="AK149" s="16"/>
      <c r="AL149" s="16"/>
      <c r="AM149" s="16"/>
    </row>
    <row r="150" spans="2:39">
      <c r="B150" s="14">
        <f t="shared" si="34"/>
        <v>148</v>
      </c>
      <c r="C150" s="14" t="str">
        <f t="shared" ca="1" si="35"/>
        <v>I</v>
      </c>
      <c r="D150" s="14" t="str">
        <f t="shared" ca="1" si="36"/>
        <v>q_44.5a</v>
      </c>
      <c r="E150" s="14" t="str">
        <f t="shared" ca="1" si="33"/>
        <v>Other family member 3, who died</v>
      </c>
      <c r="F150" s="14">
        <f t="shared" ca="1" si="32"/>
        <v>0</v>
      </c>
      <c r="G150" s="14" t="str">
        <f t="shared" ca="1" si="37"/>
        <v>q_44.5a</v>
      </c>
      <c r="H150" s="14">
        <f ca="1">IF(G150&lt;&gt;"",IFERROR( IsVariableNameLegal(G150),0),0)+IF(COUNTIF(INDIRECT(wew!$C$13),G150)&gt;1,10,0)</f>
        <v>0</v>
      </c>
      <c r="I150" s="14">
        <f ca="1">IF(E150&lt;&gt;"",IF(LEN(E150)&gt;150,1,0)+IF(COUNTIF(INDIRECT(wew!$C$15),E150)&gt;1,10,0),0)</f>
        <v>0</v>
      </c>
      <c r="J150" s="14" t="b">
        <f t="shared" ca="1" si="38"/>
        <v>0</v>
      </c>
      <c r="K150" s="14" t="str">
        <f ca="1">ADDRESS(3,(B150+1)*2-1,4,,"[" &amp; wew!$G$7 &amp; "]" &amp; _sheetname_labels) &amp; ":" &amp; ADDRESS(2+ster!$B$20,(B150+1)*2-1,4)</f>
        <v>'[dane surowe2c.xlsm]labels'!KK3:KK36</v>
      </c>
      <c r="L150" s="14" t="str">
        <f ca="1">IF(F150&gt;0,ADDRESS(3,(B150+1)*2-1,4,,"[" &amp; wew!$G$7 &amp; "]" &amp; _sheetname_labels) &amp; ":" &amp; ADDRESS(2+F150,(B150+1)*2-1,4),"")</f>
        <v/>
      </c>
      <c r="M150" s="14" t="str">
        <f ca="1">IF(F150&gt;0,ADDRESS(3,(B150+1)*2,4,,"["&amp;wew!$G$7&amp;"]"&amp;_sheetname_labels)&amp;":"&amp;ADDRESS(2+F150,(B150+1)*2,4),"")</f>
        <v/>
      </c>
      <c r="N150" s="14" t="str">
        <f ca="1">ADDRESS(3,B150+1,4,,"[" &amp; wew!$G$7 &amp; "]" &amp;_sheetname_dataframe) &amp; ":" &amp; ADDRESS(2+ster!$C$14,B150+1,4)</f>
        <v>'[dane surowe2c.xlsm]data_frame'!ES3:ES35</v>
      </c>
      <c r="O150" s="14">
        <f t="shared" ca="1" si="39"/>
        <v>0</v>
      </c>
      <c r="P150" s="14" t="str">
        <f ca="1">IF(AND($AD150,$S150=1),IF(wew!$B$3,MIN(INDIRECT($N150)),"&lt;włącz podświetlanie wartości&gt;"),"—")</f>
        <v>—</v>
      </c>
      <c r="Q150" s="14" t="str">
        <f ca="1">IF(AND($AD150,$S150=1),IF(wew!$B$3,MAX(INDIRECT($N150)),"&lt;włącz podświetlanie wartości&gt;"),"—")</f>
        <v>—</v>
      </c>
      <c r="R150" s="14">
        <f ca="1">IF(AD150,ster!$C$14- (COUNTIF( INDIRECT(N150),"" )+ COUNT(INDIRECT(N150)) +COUNTIF( INDIRECT(N150),"NA" )),"")</f>
        <v>0</v>
      </c>
      <c r="S150" s="12">
        <f ca="1">IF(AD150,IF(COUNTA(INDIRECT(N150))=0,0, 1-(ster!$C$14- COUNT(INDIRECT(N150)) -COUNTIF( INDIRECT(N150),"" )) /COUNTA(INDIRECT(N150))),"")</f>
        <v>0</v>
      </c>
      <c r="T150" s="17" t="str">
        <f t="array" aca="1" ref="T150" ca="1">IF(L150&lt;&gt;"",SUM(IF(INDIRECT(L150)&lt;&gt;INT(INDIRECT(L150)),1,0)),"")</f>
        <v/>
      </c>
      <c r="U150" s="17" t="str">
        <f t="array" aca="1" ref="U150" ca="1">IF(S150=1,SUM(IF(ISNUMBER(INDIRECT(N150)),IF(INDIRECT(N150)&lt;&gt;INT(INDIRECT(N150)),1,0),0)),"")</f>
        <v/>
      </c>
      <c r="V150" s="17">
        <f t="shared" ca="1" si="40"/>
        <v>0</v>
      </c>
      <c r="W150" s="17">
        <f t="shared" ca="1" si="41"/>
        <v>0</v>
      </c>
      <c r="X150" s="24" t="str">
        <f t="array" aca="1" ref="X150" ca="1">IF(AD150,IF(AG150&lt;&gt;"",AG150,IF(J150,MIN(INDIRECT( K150)),"")),"")</f>
        <v/>
      </c>
      <c r="Y150" s="17" t="str">
        <f t="array" aca="1" ref="Y150" ca="1">IF(AD150,IF(AH150&lt;&gt;"",AH150,IF(J150,MAX(INDIRECT( K150)),"")),"")</f>
        <v/>
      </c>
      <c r="Z150" s="17" t="b">
        <f t="shared" ca="1" si="42"/>
        <v>0</v>
      </c>
      <c r="AC150" s="17" t="b">
        <f t="shared" ca="1" si="43"/>
        <v>0</v>
      </c>
      <c r="AD150" s="14" t="b">
        <f t="shared" ca="1" si="44"/>
        <v>1</v>
      </c>
      <c r="AE150" s="15" t="b">
        <f t="shared" ca="1" si="45"/>
        <v>0</v>
      </c>
      <c r="AF150" s="16"/>
      <c r="AG150" s="16"/>
      <c r="AH150" s="16"/>
      <c r="AI150" s="16"/>
      <c r="AJ150" s="16"/>
      <c r="AK150" s="16"/>
      <c r="AL150" s="16"/>
      <c r="AM150" s="16"/>
    </row>
    <row r="151" spans="2:39">
      <c r="B151" s="14">
        <f t="shared" si="34"/>
        <v>149</v>
      </c>
      <c r="C151" s="14" t="str">
        <f t="shared" ca="1" si="35"/>
        <v>I</v>
      </c>
      <c r="D151" s="14" t="str">
        <f t="shared" ca="1" si="36"/>
        <v>q_44.5b</v>
      </c>
      <c r="E151" s="14" t="str">
        <f t="shared" ca="1" si="33"/>
        <v>Family member 3 cause of death</v>
      </c>
      <c r="F151" s="14">
        <f t="shared" ca="1" si="32"/>
        <v>0</v>
      </c>
      <c r="G151" s="14" t="str">
        <f t="shared" ca="1" si="37"/>
        <v>q_44.5b</v>
      </c>
      <c r="H151" s="14">
        <f ca="1">IF(G151&lt;&gt;"",IFERROR( IsVariableNameLegal(G151),0),0)+IF(COUNTIF(INDIRECT(wew!$C$13),G151)&gt;1,10,0)</f>
        <v>0</v>
      </c>
      <c r="I151" s="14">
        <f ca="1">IF(E151&lt;&gt;"",IF(LEN(E151)&gt;150,1,0)+IF(COUNTIF(INDIRECT(wew!$C$15),E151)&gt;1,10,0),0)</f>
        <v>0</v>
      </c>
      <c r="J151" s="14" t="b">
        <f t="shared" ca="1" si="38"/>
        <v>0</v>
      </c>
      <c r="K151" s="14" t="str">
        <f ca="1">ADDRESS(3,(B151+1)*2-1,4,,"[" &amp; wew!$G$7 &amp; "]" &amp; _sheetname_labels) &amp; ":" &amp; ADDRESS(2+ster!$B$20,(B151+1)*2-1,4)</f>
        <v>'[dane surowe2c.xlsm]labels'!KM3:KM36</v>
      </c>
      <c r="L151" s="14" t="str">
        <f ca="1">IF(F151&gt;0,ADDRESS(3,(B151+1)*2-1,4,,"[" &amp; wew!$G$7 &amp; "]" &amp; _sheetname_labels) &amp; ":" &amp; ADDRESS(2+F151,(B151+1)*2-1,4),"")</f>
        <v/>
      </c>
      <c r="M151" s="14" t="str">
        <f ca="1">IF(F151&gt;0,ADDRESS(3,(B151+1)*2,4,,"["&amp;wew!$G$7&amp;"]"&amp;_sheetname_labels)&amp;":"&amp;ADDRESS(2+F151,(B151+1)*2,4),"")</f>
        <v/>
      </c>
      <c r="N151" s="14" t="str">
        <f ca="1">ADDRESS(3,B151+1,4,,"[" &amp; wew!$G$7 &amp; "]" &amp;_sheetname_dataframe) &amp; ":" &amp; ADDRESS(2+ster!$C$14,B151+1,4)</f>
        <v>'[dane surowe2c.xlsm]data_frame'!ET3:ET35</v>
      </c>
      <c r="O151" s="14">
        <f t="shared" ca="1" si="39"/>
        <v>0</v>
      </c>
      <c r="P151" s="14" t="str">
        <f ca="1">IF(AND($AD151,$S151=1),IF(wew!$B$3,MIN(INDIRECT($N151)),"&lt;włącz podświetlanie wartości&gt;"),"—")</f>
        <v>—</v>
      </c>
      <c r="Q151" s="14" t="str">
        <f ca="1">IF(AND($AD151,$S151=1),IF(wew!$B$3,MAX(INDIRECT($N151)),"&lt;włącz podświetlanie wartości&gt;"),"—")</f>
        <v>—</v>
      </c>
      <c r="R151" s="14">
        <f ca="1">IF(AD151,ster!$C$14- (COUNTIF( INDIRECT(N151),"" )+ COUNT(INDIRECT(N151)) +COUNTIF( INDIRECT(N151),"NA" )),"")</f>
        <v>0</v>
      </c>
      <c r="S151" s="12">
        <f ca="1">IF(AD151,IF(COUNTA(INDIRECT(N151))=0,0, 1-(ster!$C$14- COUNT(INDIRECT(N151)) -COUNTIF( INDIRECT(N151),"" )) /COUNTA(INDIRECT(N151))),"")</f>
        <v>0</v>
      </c>
      <c r="T151" s="17" t="str">
        <f t="array" aca="1" ref="T151" ca="1">IF(L151&lt;&gt;"",SUM(IF(INDIRECT(L151)&lt;&gt;INT(INDIRECT(L151)),1,0)),"")</f>
        <v/>
      </c>
      <c r="U151" s="17" t="str">
        <f t="array" aca="1" ref="U151" ca="1">IF(S151=1,SUM(IF(ISNUMBER(INDIRECT(N151)),IF(INDIRECT(N151)&lt;&gt;INT(INDIRECT(N151)),1,0),0)),"")</f>
        <v/>
      </c>
      <c r="V151" s="17">
        <f t="shared" ca="1" si="40"/>
        <v>0</v>
      </c>
      <c r="W151" s="17">
        <f t="shared" ca="1" si="41"/>
        <v>0</v>
      </c>
      <c r="X151" s="24" t="str">
        <f t="array" aca="1" ref="X151" ca="1">IF(AD151,IF(AG151&lt;&gt;"",AG151,IF(J151,MIN(INDIRECT( K151)),"")),"")</f>
        <v/>
      </c>
      <c r="Y151" s="17" t="str">
        <f t="array" aca="1" ref="Y151" ca="1">IF(AD151,IF(AH151&lt;&gt;"",AH151,IF(J151,MAX(INDIRECT( K151)),"")),"")</f>
        <v/>
      </c>
      <c r="Z151" s="17" t="b">
        <f t="shared" ca="1" si="42"/>
        <v>0</v>
      </c>
      <c r="AC151" s="17" t="b">
        <f t="shared" ca="1" si="43"/>
        <v>0</v>
      </c>
      <c r="AD151" s="14" t="b">
        <f t="shared" ca="1" si="44"/>
        <v>1</v>
      </c>
      <c r="AE151" s="15" t="b">
        <f t="shared" ca="1" si="45"/>
        <v>0</v>
      </c>
      <c r="AF151" s="16"/>
      <c r="AG151" s="16"/>
      <c r="AH151" s="16"/>
      <c r="AI151" s="16"/>
      <c r="AJ151" s="16"/>
      <c r="AK151" s="16"/>
      <c r="AL151" s="16"/>
      <c r="AM151" s="16"/>
    </row>
    <row r="152" spans="2:39">
      <c r="B152" s="14">
        <f t="shared" si="34"/>
        <v>150</v>
      </c>
      <c r="C152" s="14" t="str">
        <f t="shared" ca="1" si="35"/>
        <v>I</v>
      </c>
      <c r="D152" s="14" t="str">
        <f t="shared" ca="1" si="36"/>
        <v>q_44.5c</v>
      </c>
      <c r="E152" s="14" t="str">
        <f t="shared" ca="1" si="33"/>
        <v>Family member 3 age at death</v>
      </c>
      <c r="F152" s="14">
        <f t="shared" ca="1" si="32"/>
        <v>0</v>
      </c>
      <c r="G152" s="14" t="str">
        <f t="shared" ca="1" si="37"/>
        <v>q_44.5c</v>
      </c>
      <c r="H152" s="14">
        <f ca="1">IF(G152&lt;&gt;"",IFERROR( IsVariableNameLegal(G152),0),0)+IF(COUNTIF(INDIRECT(wew!$C$13),G152)&gt;1,10,0)</f>
        <v>0</v>
      </c>
      <c r="I152" s="14">
        <f ca="1">IF(E152&lt;&gt;"",IF(LEN(E152)&gt;150,1,0)+IF(COUNTIF(INDIRECT(wew!$C$15),E152)&gt;1,10,0),0)</f>
        <v>0</v>
      </c>
      <c r="J152" s="14" t="b">
        <f t="shared" ca="1" si="38"/>
        <v>0</v>
      </c>
      <c r="K152" s="14" t="str">
        <f ca="1">ADDRESS(3,(B152+1)*2-1,4,,"[" &amp; wew!$G$7 &amp; "]" &amp; _sheetname_labels) &amp; ":" &amp; ADDRESS(2+ster!$B$20,(B152+1)*2-1,4)</f>
        <v>'[dane surowe2c.xlsm]labels'!KO3:KO36</v>
      </c>
      <c r="L152" s="14" t="str">
        <f ca="1">IF(F152&gt;0,ADDRESS(3,(B152+1)*2-1,4,,"[" &amp; wew!$G$7 &amp; "]" &amp; _sheetname_labels) &amp; ":" &amp; ADDRESS(2+F152,(B152+1)*2-1,4),"")</f>
        <v/>
      </c>
      <c r="M152" s="14" t="str">
        <f ca="1">IF(F152&gt;0,ADDRESS(3,(B152+1)*2,4,,"["&amp;wew!$G$7&amp;"]"&amp;_sheetname_labels)&amp;":"&amp;ADDRESS(2+F152,(B152+1)*2,4),"")</f>
        <v/>
      </c>
      <c r="N152" s="14" t="str">
        <f ca="1">ADDRESS(3,B152+1,4,,"[" &amp; wew!$G$7 &amp; "]" &amp;_sheetname_dataframe) &amp; ":" &amp; ADDRESS(2+ster!$C$14,B152+1,4)</f>
        <v>'[dane surowe2c.xlsm]data_frame'!EU3:EU35</v>
      </c>
      <c r="O152" s="14">
        <f t="shared" ca="1" si="39"/>
        <v>0</v>
      </c>
      <c r="P152" s="14" t="str">
        <f ca="1">IF(AND($AD152,$S152=1),IF(wew!$B$3,MIN(INDIRECT($N152)),"&lt;włącz podświetlanie wartości&gt;"),"—")</f>
        <v>—</v>
      </c>
      <c r="Q152" s="14" t="str">
        <f ca="1">IF(AND($AD152,$S152=1),IF(wew!$B$3,MAX(INDIRECT($N152)),"&lt;włącz podświetlanie wartości&gt;"),"—")</f>
        <v>—</v>
      </c>
      <c r="R152" s="14">
        <f ca="1">IF(AD152,ster!$C$14- (COUNTIF( INDIRECT(N152),"" )+ COUNT(INDIRECT(N152)) +COUNTIF( INDIRECT(N152),"NA" )),"")</f>
        <v>0</v>
      </c>
      <c r="S152" s="12">
        <f ca="1">IF(AD152,IF(COUNTA(INDIRECT(N152))=0,0, 1-(ster!$C$14- COUNT(INDIRECT(N152)) -COUNTIF( INDIRECT(N152),"" )) /COUNTA(INDIRECT(N152))),"")</f>
        <v>0</v>
      </c>
      <c r="T152" s="17" t="str">
        <f t="array" aca="1" ref="T152" ca="1">IF(L152&lt;&gt;"",SUM(IF(INDIRECT(L152)&lt;&gt;INT(INDIRECT(L152)),1,0)),"")</f>
        <v/>
      </c>
      <c r="U152" s="17" t="str">
        <f t="array" aca="1" ref="U152" ca="1">IF(S152=1,SUM(IF(ISNUMBER(INDIRECT(N152)),IF(INDIRECT(N152)&lt;&gt;INT(INDIRECT(N152)),1,0),0)),"")</f>
        <v/>
      </c>
      <c r="V152" s="17">
        <f t="shared" ca="1" si="40"/>
        <v>0</v>
      </c>
      <c r="W152" s="17">
        <f t="shared" ca="1" si="41"/>
        <v>0</v>
      </c>
      <c r="X152" s="24" t="str">
        <f t="array" aca="1" ref="X152" ca="1">IF(AD152,IF(AG152&lt;&gt;"",AG152,IF(J152,MIN(INDIRECT( K152)),"")),"")</f>
        <v/>
      </c>
      <c r="Y152" s="17" t="str">
        <f t="array" aca="1" ref="Y152" ca="1">IF(AD152,IF(AH152&lt;&gt;"",AH152,IF(J152,MAX(INDIRECT( K152)),"")),"")</f>
        <v/>
      </c>
      <c r="Z152" s="17" t="b">
        <f t="shared" ca="1" si="42"/>
        <v>0</v>
      </c>
      <c r="AC152" s="17" t="b">
        <f t="shared" ca="1" si="43"/>
        <v>0</v>
      </c>
      <c r="AD152" s="14" t="b">
        <f t="shared" ca="1" si="44"/>
        <v>1</v>
      </c>
      <c r="AE152" s="15" t="b">
        <f t="shared" ca="1" si="45"/>
        <v>0</v>
      </c>
      <c r="AF152" s="16"/>
      <c r="AG152" s="16"/>
      <c r="AH152" s="16"/>
      <c r="AI152" s="16"/>
      <c r="AJ152" s="16"/>
      <c r="AK152" s="16"/>
      <c r="AL152" s="16"/>
      <c r="AM152" s="16"/>
    </row>
    <row r="153" spans="2:39">
      <c r="B153" s="14">
        <f t="shared" si="34"/>
        <v>151</v>
      </c>
      <c r="C153" s="14" t="str">
        <f t="shared" ca="1" si="35"/>
        <v>I</v>
      </c>
      <c r="D153" s="14" t="str">
        <f t="shared" ca="1" si="36"/>
        <v>q_44.6a</v>
      </c>
      <c r="E153" s="14" t="str">
        <f t="shared" ca="1" si="33"/>
        <v>Other family member 4, who died</v>
      </c>
      <c r="F153" s="14">
        <f t="shared" ca="1" si="32"/>
        <v>0</v>
      </c>
      <c r="G153" s="14" t="str">
        <f t="shared" ca="1" si="37"/>
        <v>q_44.6a</v>
      </c>
      <c r="H153" s="14">
        <f ca="1">IF(G153&lt;&gt;"",IFERROR( IsVariableNameLegal(G153),0),0)+IF(COUNTIF(INDIRECT(wew!$C$13),G153)&gt;1,10,0)</f>
        <v>0</v>
      </c>
      <c r="I153" s="14">
        <f ca="1">IF(E153&lt;&gt;"",IF(LEN(E153)&gt;150,1,0)+IF(COUNTIF(INDIRECT(wew!$C$15),E153)&gt;1,10,0),0)</f>
        <v>0</v>
      </c>
      <c r="J153" s="14" t="b">
        <f t="shared" ca="1" si="38"/>
        <v>0</v>
      </c>
      <c r="K153" s="14" t="str">
        <f ca="1">ADDRESS(3,(B153+1)*2-1,4,,"[" &amp; wew!$G$7 &amp; "]" &amp; _sheetname_labels) &amp; ":" &amp; ADDRESS(2+ster!$B$20,(B153+1)*2-1,4)</f>
        <v>'[dane surowe2c.xlsm]labels'!KQ3:KQ36</v>
      </c>
      <c r="L153" s="14" t="str">
        <f ca="1">IF(F153&gt;0,ADDRESS(3,(B153+1)*2-1,4,,"[" &amp; wew!$G$7 &amp; "]" &amp; _sheetname_labels) &amp; ":" &amp; ADDRESS(2+F153,(B153+1)*2-1,4),"")</f>
        <v/>
      </c>
      <c r="M153" s="14" t="str">
        <f ca="1">IF(F153&gt;0,ADDRESS(3,(B153+1)*2,4,,"["&amp;wew!$G$7&amp;"]"&amp;_sheetname_labels)&amp;":"&amp;ADDRESS(2+F153,(B153+1)*2,4),"")</f>
        <v/>
      </c>
      <c r="N153" s="14" t="str">
        <f ca="1">ADDRESS(3,B153+1,4,,"[" &amp; wew!$G$7 &amp; "]" &amp;_sheetname_dataframe) &amp; ":" &amp; ADDRESS(2+ster!$C$14,B153+1,4)</f>
        <v>'[dane surowe2c.xlsm]data_frame'!EV3:EV35</v>
      </c>
      <c r="O153" s="14">
        <f t="shared" ca="1" si="39"/>
        <v>0</v>
      </c>
      <c r="P153" s="14" t="str">
        <f ca="1">IF(AND($AD153,$S153=1),IF(wew!$B$3,MIN(INDIRECT($N153)),"&lt;włącz podświetlanie wartości&gt;"),"—")</f>
        <v>—</v>
      </c>
      <c r="Q153" s="14" t="str">
        <f ca="1">IF(AND($AD153,$S153=1),IF(wew!$B$3,MAX(INDIRECT($N153)),"&lt;włącz podświetlanie wartości&gt;"),"—")</f>
        <v>—</v>
      </c>
      <c r="R153" s="14">
        <f ca="1">IF(AD153,ster!$C$14- (COUNTIF( INDIRECT(N153),"" )+ COUNT(INDIRECT(N153)) +COUNTIF( INDIRECT(N153),"NA" )),"")</f>
        <v>0</v>
      </c>
      <c r="S153" s="12">
        <f ca="1">IF(AD153,IF(COUNTA(INDIRECT(N153))=0,0, 1-(ster!$C$14- COUNT(INDIRECT(N153)) -COUNTIF( INDIRECT(N153),"" )) /COUNTA(INDIRECT(N153))),"")</f>
        <v>0</v>
      </c>
      <c r="T153" s="17" t="str">
        <f t="array" aca="1" ref="T153" ca="1">IF(L153&lt;&gt;"",SUM(IF(INDIRECT(L153)&lt;&gt;INT(INDIRECT(L153)),1,0)),"")</f>
        <v/>
      </c>
      <c r="U153" s="17" t="str">
        <f t="array" aca="1" ref="U153" ca="1">IF(S153=1,SUM(IF(ISNUMBER(INDIRECT(N153)),IF(INDIRECT(N153)&lt;&gt;INT(INDIRECT(N153)),1,0),0)),"")</f>
        <v/>
      </c>
      <c r="V153" s="17">
        <f t="shared" ca="1" si="40"/>
        <v>0</v>
      </c>
      <c r="W153" s="17">
        <f t="shared" ca="1" si="41"/>
        <v>0</v>
      </c>
      <c r="X153" s="24" t="str">
        <f t="array" aca="1" ref="X153" ca="1">IF(AD153,IF(AG153&lt;&gt;"",AG153,IF(J153,MIN(INDIRECT( K153)),"")),"")</f>
        <v/>
      </c>
      <c r="Y153" s="17" t="str">
        <f t="array" aca="1" ref="Y153" ca="1">IF(AD153,IF(AH153&lt;&gt;"",AH153,IF(J153,MAX(INDIRECT( K153)),"")),"")</f>
        <v/>
      </c>
      <c r="Z153" s="17" t="b">
        <f t="shared" ca="1" si="42"/>
        <v>0</v>
      </c>
      <c r="AC153" s="17" t="b">
        <f t="shared" ca="1" si="43"/>
        <v>0</v>
      </c>
      <c r="AD153" s="14" t="b">
        <f t="shared" ca="1" si="44"/>
        <v>1</v>
      </c>
      <c r="AE153" s="15" t="b">
        <f t="shared" ca="1" si="45"/>
        <v>0</v>
      </c>
      <c r="AF153" s="16"/>
      <c r="AG153" s="16"/>
      <c r="AH153" s="16"/>
      <c r="AI153" s="16"/>
      <c r="AJ153" s="16"/>
      <c r="AK153" s="16"/>
      <c r="AL153" s="16"/>
      <c r="AM153" s="16"/>
    </row>
    <row r="154" spans="2:39">
      <c r="B154" s="14">
        <f t="shared" si="34"/>
        <v>152</v>
      </c>
      <c r="C154" s="14" t="str">
        <f t="shared" ca="1" si="35"/>
        <v>I</v>
      </c>
      <c r="D154" s="14" t="str">
        <f t="shared" ca="1" si="36"/>
        <v>q_44.6b</v>
      </c>
      <c r="E154" s="14" t="str">
        <f t="shared" ca="1" si="33"/>
        <v>Family member 4 cause of death</v>
      </c>
      <c r="F154" s="14">
        <f t="shared" ca="1" si="32"/>
        <v>0</v>
      </c>
      <c r="G154" s="14" t="str">
        <f t="shared" ca="1" si="37"/>
        <v>q_44.6b</v>
      </c>
      <c r="H154" s="14">
        <f ca="1">IF(G154&lt;&gt;"",IFERROR( IsVariableNameLegal(G154),0),0)+IF(COUNTIF(INDIRECT(wew!$C$13),G154)&gt;1,10,0)</f>
        <v>0</v>
      </c>
      <c r="I154" s="14">
        <f ca="1">IF(E154&lt;&gt;"",IF(LEN(E154)&gt;150,1,0)+IF(COUNTIF(INDIRECT(wew!$C$15),E154)&gt;1,10,0),0)</f>
        <v>0</v>
      </c>
      <c r="J154" s="14" t="b">
        <f t="shared" ca="1" si="38"/>
        <v>0</v>
      </c>
      <c r="K154" s="14" t="str">
        <f ca="1">ADDRESS(3,(B154+1)*2-1,4,,"[" &amp; wew!$G$7 &amp; "]" &amp; _sheetname_labels) &amp; ":" &amp; ADDRESS(2+ster!$B$20,(B154+1)*2-1,4)</f>
        <v>'[dane surowe2c.xlsm]labels'!KS3:KS36</v>
      </c>
      <c r="L154" s="14" t="str">
        <f ca="1">IF(F154&gt;0,ADDRESS(3,(B154+1)*2-1,4,,"[" &amp; wew!$G$7 &amp; "]" &amp; _sheetname_labels) &amp; ":" &amp; ADDRESS(2+F154,(B154+1)*2-1,4),"")</f>
        <v/>
      </c>
      <c r="M154" s="14" t="str">
        <f ca="1">IF(F154&gt;0,ADDRESS(3,(B154+1)*2,4,,"["&amp;wew!$G$7&amp;"]"&amp;_sheetname_labels)&amp;":"&amp;ADDRESS(2+F154,(B154+1)*2,4),"")</f>
        <v/>
      </c>
      <c r="N154" s="14" t="str">
        <f ca="1">ADDRESS(3,B154+1,4,,"[" &amp; wew!$G$7 &amp; "]" &amp;_sheetname_dataframe) &amp; ":" &amp; ADDRESS(2+ster!$C$14,B154+1,4)</f>
        <v>'[dane surowe2c.xlsm]data_frame'!EW3:EW35</v>
      </c>
      <c r="O154" s="14">
        <f t="shared" ca="1" si="39"/>
        <v>0</v>
      </c>
      <c r="P154" s="14" t="str">
        <f ca="1">IF(AND($AD154,$S154=1),IF(wew!$B$3,MIN(INDIRECT($N154)),"&lt;włącz podświetlanie wartości&gt;"),"—")</f>
        <v>—</v>
      </c>
      <c r="Q154" s="14" t="str">
        <f ca="1">IF(AND($AD154,$S154=1),IF(wew!$B$3,MAX(INDIRECT($N154)),"&lt;włącz podświetlanie wartości&gt;"),"—")</f>
        <v>—</v>
      </c>
      <c r="R154" s="14">
        <f ca="1">IF(AD154,ster!$C$14- (COUNTIF( INDIRECT(N154),"" )+ COUNT(INDIRECT(N154)) +COUNTIF( INDIRECT(N154),"NA" )),"")</f>
        <v>0</v>
      </c>
      <c r="S154" s="12">
        <f ca="1">IF(AD154,IF(COUNTA(INDIRECT(N154))=0,0, 1-(ster!$C$14- COUNT(INDIRECT(N154)) -COUNTIF( INDIRECT(N154),"" )) /COUNTA(INDIRECT(N154))),"")</f>
        <v>0</v>
      </c>
      <c r="T154" s="17" t="str">
        <f t="array" aca="1" ref="T154" ca="1">IF(L154&lt;&gt;"",SUM(IF(INDIRECT(L154)&lt;&gt;INT(INDIRECT(L154)),1,0)),"")</f>
        <v/>
      </c>
      <c r="U154" s="17" t="str">
        <f t="array" aca="1" ref="U154" ca="1">IF(S154=1,SUM(IF(ISNUMBER(INDIRECT(N154)),IF(INDIRECT(N154)&lt;&gt;INT(INDIRECT(N154)),1,0),0)),"")</f>
        <v/>
      </c>
      <c r="V154" s="17">
        <f t="shared" ca="1" si="40"/>
        <v>0</v>
      </c>
      <c r="W154" s="17">
        <f t="shared" ca="1" si="41"/>
        <v>0</v>
      </c>
      <c r="X154" s="24" t="str">
        <f t="array" aca="1" ref="X154" ca="1">IF(AD154,IF(AG154&lt;&gt;"",AG154,IF(J154,MIN(INDIRECT( K154)),"")),"")</f>
        <v/>
      </c>
      <c r="Y154" s="17" t="str">
        <f t="array" aca="1" ref="Y154" ca="1">IF(AD154,IF(AH154&lt;&gt;"",AH154,IF(J154,MAX(INDIRECT( K154)),"")),"")</f>
        <v/>
      </c>
      <c r="Z154" s="17" t="b">
        <f t="shared" ca="1" si="42"/>
        <v>0</v>
      </c>
      <c r="AC154" s="17" t="b">
        <f t="shared" ca="1" si="43"/>
        <v>0</v>
      </c>
      <c r="AD154" s="14" t="b">
        <f t="shared" ca="1" si="44"/>
        <v>1</v>
      </c>
      <c r="AE154" s="15" t="b">
        <f t="shared" ca="1" si="45"/>
        <v>0</v>
      </c>
      <c r="AF154" s="16"/>
      <c r="AG154" s="16"/>
      <c r="AH154" s="16"/>
      <c r="AI154" s="16"/>
      <c r="AJ154" s="16"/>
      <c r="AK154" s="16"/>
      <c r="AL154" s="16"/>
      <c r="AM154" s="16"/>
    </row>
    <row r="155" spans="2:39">
      <c r="B155" s="14">
        <f t="shared" si="34"/>
        <v>153</v>
      </c>
      <c r="C155" s="14" t="str">
        <f t="shared" ca="1" si="35"/>
        <v>I</v>
      </c>
      <c r="D155" s="14" t="str">
        <f t="shared" ca="1" si="36"/>
        <v>q_44.6c</v>
      </c>
      <c r="E155" s="14" t="str">
        <f t="shared" ca="1" si="33"/>
        <v>Family member 4 age at death</v>
      </c>
      <c r="F155" s="14">
        <f t="shared" ca="1" si="32"/>
        <v>0</v>
      </c>
      <c r="G155" s="14" t="str">
        <f t="shared" ca="1" si="37"/>
        <v>q_44.6c</v>
      </c>
      <c r="H155" s="14">
        <f ca="1">IF(G155&lt;&gt;"",IFERROR( IsVariableNameLegal(G155),0),0)+IF(COUNTIF(INDIRECT(wew!$C$13),G155)&gt;1,10,0)</f>
        <v>0</v>
      </c>
      <c r="I155" s="14">
        <f ca="1">IF(E155&lt;&gt;"",IF(LEN(E155)&gt;150,1,0)+IF(COUNTIF(INDIRECT(wew!$C$15),E155)&gt;1,10,0),0)</f>
        <v>0</v>
      </c>
      <c r="J155" s="14" t="b">
        <f t="shared" ca="1" si="38"/>
        <v>0</v>
      </c>
      <c r="K155" s="14" t="str">
        <f ca="1">ADDRESS(3,(B155+1)*2-1,4,,"[" &amp; wew!$G$7 &amp; "]" &amp; _sheetname_labels) &amp; ":" &amp; ADDRESS(2+ster!$B$20,(B155+1)*2-1,4)</f>
        <v>'[dane surowe2c.xlsm]labels'!KU3:KU36</v>
      </c>
      <c r="L155" s="14" t="str">
        <f ca="1">IF(F155&gt;0,ADDRESS(3,(B155+1)*2-1,4,,"[" &amp; wew!$G$7 &amp; "]" &amp; _sheetname_labels) &amp; ":" &amp; ADDRESS(2+F155,(B155+1)*2-1,4),"")</f>
        <v/>
      </c>
      <c r="M155" s="14" t="str">
        <f ca="1">IF(F155&gt;0,ADDRESS(3,(B155+1)*2,4,,"["&amp;wew!$G$7&amp;"]"&amp;_sheetname_labels)&amp;":"&amp;ADDRESS(2+F155,(B155+1)*2,4),"")</f>
        <v/>
      </c>
      <c r="N155" s="14" t="str">
        <f ca="1">ADDRESS(3,B155+1,4,,"[" &amp; wew!$G$7 &amp; "]" &amp;_sheetname_dataframe) &amp; ":" &amp; ADDRESS(2+ster!$C$14,B155+1,4)</f>
        <v>'[dane surowe2c.xlsm]data_frame'!EX3:EX35</v>
      </c>
      <c r="O155" s="14">
        <f t="shared" ca="1" si="39"/>
        <v>0</v>
      </c>
      <c r="P155" s="14" t="str">
        <f ca="1">IF(AND($AD155,$S155=1),IF(wew!$B$3,MIN(INDIRECT($N155)),"&lt;włącz podświetlanie wartości&gt;"),"—")</f>
        <v>—</v>
      </c>
      <c r="Q155" s="14" t="str">
        <f ca="1">IF(AND($AD155,$S155=1),IF(wew!$B$3,MAX(INDIRECT($N155)),"&lt;włącz podświetlanie wartości&gt;"),"—")</f>
        <v>—</v>
      </c>
      <c r="R155" s="14">
        <f ca="1">IF(AD155,ster!$C$14- (COUNTIF( INDIRECT(N155),"" )+ COUNT(INDIRECT(N155)) +COUNTIF( INDIRECT(N155),"NA" )),"")</f>
        <v>0</v>
      </c>
      <c r="S155" s="12">
        <f ca="1">IF(AD155,IF(COUNTA(INDIRECT(N155))=0,0, 1-(ster!$C$14- COUNT(INDIRECT(N155)) -COUNTIF( INDIRECT(N155),"" )) /COUNTA(INDIRECT(N155))),"")</f>
        <v>0</v>
      </c>
      <c r="T155" s="17" t="str">
        <f t="array" aca="1" ref="T155" ca="1">IF(L155&lt;&gt;"",SUM(IF(INDIRECT(L155)&lt;&gt;INT(INDIRECT(L155)),1,0)),"")</f>
        <v/>
      </c>
      <c r="U155" s="17" t="str">
        <f t="array" aca="1" ref="U155" ca="1">IF(S155=1,SUM(IF(ISNUMBER(INDIRECT(N155)),IF(INDIRECT(N155)&lt;&gt;INT(INDIRECT(N155)),1,0),0)),"")</f>
        <v/>
      </c>
      <c r="V155" s="17">
        <f t="shared" ca="1" si="40"/>
        <v>0</v>
      </c>
      <c r="W155" s="17">
        <f t="shared" ca="1" si="41"/>
        <v>0</v>
      </c>
      <c r="X155" s="24" t="str">
        <f t="array" aca="1" ref="X155" ca="1">IF(AD155,IF(AG155&lt;&gt;"",AG155,IF(J155,MIN(INDIRECT( K155)),"")),"")</f>
        <v/>
      </c>
      <c r="Y155" s="17" t="str">
        <f t="array" aca="1" ref="Y155" ca="1">IF(AD155,IF(AH155&lt;&gt;"",AH155,IF(J155,MAX(INDIRECT( K155)),"")),"")</f>
        <v/>
      </c>
      <c r="Z155" s="17" t="b">
        <f t="shared" ca="1" si="42"/>
        <v>0</v>
      </c>
      <c r="AC155" s="17" t="b">
        <f t="shared" ca="1" si="43"/>
        <v>0</v>
      </c>
      <c r="AD155" s="14" t="b">
        <f t="shared" ca="1" si="44"/>
        <v>1</v>
      </c>
      <c r="AE155" s="15" t="b">
        <f t="shared" ca="1" si="45"/>
        <v>0</v>
      </c>
      <c r="AF155" s="16"/>
      <c r="AG155" s="16"/>
      <c r="AH155" s="16"/>
      <c r="AI155" s="16"/>
      <c r="AJ155" s="16"/>
      <c r="AK155" s="16"/>
      <c r="AL155" s="16"/>
      <c r="AM155" s="16"/>
    </row>
    <row r="156" spans="2:39">
      <c r="B156" s="14">
        <f t="shared" si="34"/>
        <v>154</v>
      </c>
      <c r="C156" s="14" t="str">
        <f t="shared" ca="1" si="35"/>
        <v>I</v>
      </c>
      <c r="D156" s="14" t="str">
        <f t="shared" ca="1" si="36"/>
        <v>q_44.7a</v>
      </c>
      <c r="E156" s="14" t="str">
        <f t="shared" ca="1" si="33"/>
        <v>Other family member 5, who died</v>
      </c>
      <c r="F156" s="14">
        <f t="shared" ca="1" si="32"/>
        <v>0</v>
      </c>
      <c r="G156" s="14" t="str">
        <f t="shared" ca="1" si="37"/>
        <v>q_44.7a</v>
      </c>
      <c r="H156" s="14">
        <f ca="1">IF(G156&lt;&gt;"",IFERROR( IsVariableNameLegal(G156),0),0)+IF(COUNTIF(INDIRECT(wew!$C$13),G156)&gt;1,10,0)</f>
        <v>0</v>
      </c>
      <c r="I156" s="14">
        <f ca="1">IF(E156&lt;&gt;"",IF(LEN(E156)&gt;150,1,0)+IF(COUNTIF(INDIRECT(wew!$C$15),E156)&gt;1,10,0),0)</f>
        <v>0</v>
      </c>
      <c r="J156" s="14" t="b">
        <f t="shared" ca="1" si="38"/>
        <v>0</v>
      </c>
      <c r="K156" s="14" t="str">
        <f ca="1">ADDRESS(3,(B156+1)*2-1,4,,"[" &amp; wew!$G$7 &amp; "]" &amp; _sheetname_labels) &amp; ":" &amp; ADDRESS(2+ster!$B$20,(B156+1)*2-1,4)</f>
        <v>'[dane surowe2c.xlsm]labels'!KW3:KW36</v>
      </c>
      <c r="L156" s="14" t="str">
        <f ca="1">IF(F156&gt;0,ADDRESS(3,(B156+1)*2-1,4,,"[" &amp; wew!$G$7 &amp; "]" &amp; _sheetname_labels) &amp; ":" &amp; ADDRESS(2+F156,(B156+1)*2-1,4),"")</f>
        <v/>
      </c>
      <c r="M156" s="14" t="str">
        <f ca="1">IF(F156&gt;0,ADDRESS(3,(B156+1)*2,4,,"["&amp;wew!$G$7&amp;"]"&amp;_sheetname_labels)&amp;":"&amp;ADDRESS(2+F156,(B156+1)*2,4),"")</f>
        <v/>
      </c>
      <c r="N156" s="14" t="str">
        <f ca="1">ADDRESS(3,B156+1,4,,"[" &amp; wew!$G$7 &amp; "]" &amp;_sheetname_dataframe) &amp; ":" &amp; ADDRESS(2+ster!$C$14,B156+1,4)</f>
        <v>'[dane surowe2c.xlsm]data_frame'!EY3:EY35</v>
      </c>
      <c r="O156" s="14">
        <f t="shared" ca="1" si="39"/>
        <v>0</v>
      </c>
      <c r="P156" s="14" t="str">
        <f ca="1">IF(AND($AD156,$S156=1),IF(wew!$B$3,MIN(INDIRECT($N156)),"&lt;włącz podświetlanie wartości&gt;"),"—")</f>
        <v>—</v>
      </c>
      <c r="Q156" s="14" t="str">
        <f ca="1">IF(AND($AD156,$S156=1),IF(wew!$B$3,MAX(INDIRECT($N156)),"&lt;włącz podświetlanie wartości&gt;"),"—")</f>
        <v>—</v>
      </c>
      <c r="R156" s="14">
        <f ca="1">IF(AD156,ster!$C$14- (COUNTIF( INDIRECT(N156),"" )+ COUNT(INDIRECT(N156)) +COUNTIF( INDIRECT(N156),"NA" )),"")</f>
        <v>0</v>
      </c>
      <c r="S156" s="12">
        <f ca="1">IF(AD156,IF(COUNTA(INDIRECT(N156))=0,0, 1-(ster!$C$14- COUNT(INDIRECT(N156)) -COUNTIF( INDIRECT(N156),"" )) /COUNTA(INDIRECT(N156))),"")</f>
        <v>0</v>
      </c>
      <c r="T156" s="17" t="str">
        <f t="array" aca="1" ref="T156" ca="1">IF(L156&lt;&gt;"",SUM(IF(INDIRECT(L156)&lt;&gt;INT(INDIRECT(L156)),1,0)),"")</f>
        <v/>
      </c>
      <c r="U156" s="17" t="str">
        <f t="array" aca="1" ref="U156" ca="1">IF(S156=1,SUM(IF(ISNUMBER(INDIRECT(N156)),IF(INDIRECT(N156)&lt;&gt;INT(INDIRECT(N156)),1,0),0)),"")</f>
        <v/>
      </c>
      <c r="V156" s="17">
        <f t="shared" ca="1" si="40"/>
        <v>0</v>
      </c>
      <c r="W156" s="17">
        <f t="shared" ca="1" si="41"/>
        <v>0</v>
      </c>
      <c r="X156" s="24" t="str">
        <f t="array" aca="1" ref="X156" ca="1">IF(AD156,IF(AG156&lt;&gt;"",AG156,IF(J156,MIN(INDIRECT( K156)),"")),"")</f>
        <v/>
      </c>
      <c r="Y156" s="17" t="str">
        <f t="array" aca="1" ref="Y156" ca="1">IF(AD156,IF(AH156&lt;&gt;"",AH156,IF(J156,MAX(INDIRECT( K156)),"")),"")</f>
        <v/>
      </c>
      <c r="Z156" s="17" t="b">
        <f t="shared" ca="1" si="42"/>
        <v>0</v>
      </c>
      <c r="AC156" s="17" t="b">
        <f t="shared" ca="1" si="43"/>
        <v>0</v>
      </c>
      <c r="AD156" s="14" t="b">
        <f t="shared" ca="1" si="44"/>
        <v>1</v>
      </c>
      <c r="AE156" s="15" t="b">
        <f t="shared" ca="1" si="45"/>
        <v>0</v>
      </c>
      <c r="AF156" s="16"/>
      <c r="AG156" s="16"/>
      <c r="AH156" s="16"/>
      <c r="AI156" s="16"/>
      <c r="AJ156" s="16"/>
      <c r="AK156" s="16"/>
      <c r="AL156" s="16"/>
      <c r="AM156" s="16"/>
    </row>
    <row r="157" spans="2:39">
      <c r="B157" s="14">
        <f t="shared" si="34"/>
        <v>155</v>
      </c>
      <c r="C157" s="14" t="str">
        <f t="shared" ca="1" si="35"/>
        <v>I</v>
      </c>
      <c r="D157" s="14" t="str">
        <f t="shared" ca="1" si="36"/>
        <v>q_44.7b</v>
      </c>
      <c r="E157" s="14" t="str">
        <f t="shared" ca="1" si="33"/>
        <v>Family member 5 cause of death</v>
      </c>
      <c r="F157" s="14">
        <f t="shared" ca="1" si="32"/>
        <v>0</v>
      </c>
      <c r="G157" s="14" t="str">
        <f t="shared" ca="1" si="37"/>
        <v>q_44.7b</v>
      </c>
      <c r="H157" s="14">
        <f ca="1">IF(G157&lt;&gt;"",IFERROR( IsVariableNameLegal(G157),0),0)+IF(COUNTIF(INDIRECT(wew!$C$13),G157)&gt;1,10,0)</f>
        <v>0</v>
      </c>
      <c r="I157" s="14">
        <f ca="1">IF(E157&lt;&gt;"",IF(LEN(E157)&gt;150,1,0)+IF(COUNTIF(INDIRECT(wew!$C$15),E157)&gt;1,10,0),0)</f>
        <v>0</v>
      </c>
      <c r="J157" s="14" t="b">
        <f t="shared" ca="1" si="38"/>
        <v>0</v>
      </c>
      <c r="K157" s="14" t="str">
        <f ca="1">ADDRESS(3,(B157+1)*2-1,4,,"[" &amp; wew!$G$7 &amp; "]" &amp; _sheetname_labels) &amp; ":" &amp; ADDRESS(2+ster!$B$20,(B157+1)*2-1,4)</f>
        <v>'[dane surowe2c.xlsm]labels'!KY3:KY36</v>
      </c>
      <c r="L157" s="14" t="str">
        <f ca="1">IF(F157&gt;0,ADDRESS(3,(B157+1)*2-1,4,,"[" &amp; wew!$G$7 &amp; "]" &amp; _sheetname_labels) &amp; ":" &amp; ADDRESS(2+F157,(B157+1)*2-1,4),"")</f>
        <v/>
      </c>
      <c r="M157" s="14" t="str">
        <f ca="1">IF(F157&gt;0,ADDRESS(3,(B157+1)*2,4,,"["&amp;wew!$G$7&amp;"]"&amp;_sheetname_labels)&amp;":"&amp;ADDRESS(2+F157,(B157+1)*2,4),"")</f>
        <v/>
      </c>
      <c r="N157" s="14" t="str">
        <f ca="1">ADDRESS(3,B157+1,4,,"[" &amp; wew!$G$7 &amp; "]" &amp;_sheetname_dataframe) &amp; ":" &amp; ADDRESS(2+ster!$C$14,B157+1,4)</f>
        <v>'[dane surowe2c.xlsm]data_frame'!EZ3:EZ35</v>
      </c>
      <c r="O157" s="14">
        <f t="shared" ca="1" si="39"/>
        <v>0</v>
      </c>
      <c r="P157" s="14" t="str">
        <f ca="1">IF(AND($AD157,$S157=1),IF(wew!$B$3,MIN(INDIRECT($N157)),"&lt;włącz podświetlanie wartości&gt;"),"—")</f>
        <v>—</v>
      </c>
      <c r="Q157" s="14" t="str">
        <f ca="1">IF(AND($AD157,$S157=1),IF(wew!$B$3,MAX(INDIRECT($N157)),"&lt;włącz podświetlanie wartości&gt;"),"—")</f>
        <v>—</v>
      </c>
      <c r="R157" s="14">
        <f ca="1">IF(AD157,ster!$C$14- (COUNTIF( INDIRECT(N157),"" )+ COUNT(INDIRECT(N157)) +COUNTIF( INDIRECT(N157),"NA" )),"")</f>
        <v>0</v>
      </c>
      <c r="S157" s="12">
        <f ca="1">IF(AD157,IF(COUNTA(INDIRECT(N157))=0,0, 1-(ster!$C$14- COUNT(INDIRECT(N157)) -COUNTIF( INDIRECT(N157),"" )) /COUNTA(INDIRECT(N157))),"")</f>
        <v>0</v>
      </c>
      <c r="T157" s="17" t="str">
        <f t="array" aca="1" ref="T157" ca="1">IF(L157&lt;&gt;"",SUM(IF(INDIRECT(L157)&lt;&gt;INT(INDIRECT(L157)),1,0)),"")</f>
        <v/>
      </c>
      <c r="U157" s="17" t="str">
        <f t="array" aca="1" ref="U157" ca="1">IF(S157=1,SUM(IF(ISNUMBER(INDIRECT(N157)),IF(INDIRECT(N157)&lt;&gt;INT(INDIRECT(N157)),1,0),0)),"")</f>
        <v/>
      </c>
      <c r="V157" s="17">
        <f t="shared" ca="1" si="40"/>
        <v>0</v>
      </c>
      <c r="W157" s="17">
        <f t="shared" ca="1" si="41"/>
        <v>0</v>
      </c>
      <c r="X157" s="24" t="str">
        <f t="array" aca="1" ref="X157" ca="1">IF(AD157,IF(AG157&lt;&gt;"",AG157,IF(J157,MIN(INDIRECT( K157)),"")),"")</f>
        <v/>
      </c>
      <c r="Y157" s="17" t="str">
        <f t="array" aca="1" ref="Y157" ca="1">IF(AD157,IF(AH157&lt;&gt;"",AH157,IF(J157,MAX(INDIRECT( K157)),"")),"")</f>
        <v/>
      </c>
      <c r="Z157" s="17" t="b">
        <f t="shared" ca="1" si="42"/>
        <v>0</v>
      </c>
      <c r="AC157" s="17" t="b">
        <f t="shared" ca="1" si="43"/>
        <v>0</v>
      </c>
      <c r="AD157" s="14" t="b">
        <f t="shared" ca="1" si="44"/>
        <v>1</v>
      </c>
      <c r="AE157" s="15" t="b">
        <f t="shared" ca="1" si="45"/>
        <v>0</v>
      </c>
      <c r="AF157" s="16"/>
      <c r="AG157" s="16"/>
      <c r="AH157" s="16"/>
      <c r="AI157" s="16"/>
      <c r="AJ157" s="16"/>
      <c r="AK157" s="16"/>
      <c r="AL157" s="16"/>
      <c r="AM157" s="16"/>
    </row>
    <row r="158" spans="2:39">
      <c r="B158" s="14">
        <f t="shared" si="34"/>
        <v>156</v>
      </c>
      <c r="C158" s="14" t="str">
        <f t="shared" ca="1" si="35"/>
        <v>I</v>
      </c>
      <c r="D158" s="14" t="str">
        <f t="shared" ca="1" si="36"/>
        <v>q_44.7c</v>
      </c>
      <c r="E158" s="14" t="str">
        <f t="shared" ca="1" si="33"/>
        <v>Family member 5 age at death</v>
      </c>
      <c r="F158" s="14">
        <f t="shared" ca="1" si="32"/>
        <v>0</v>
      </c>
      <c r="G158" s="14" t="str">
        <f t="shared" ca="1" si="37"/>
        <v>q_44.7c</v>
      </c>
      <c r="H158" s="14">
        <f ca="1">IF(G158&lt;&gt;"",IFERROR( IsVariableNameLegal(G158),0),0)+IF(COUNTIF(INDIRECT(wew!$C$13),G158)&gt;1,10,0)</f>
        <v>0</v>
      </c>
      <c r="I158" s="14">
        <f ca="1">IF(E158&lt;&gt;"",IF(LEN(E158)&gt;150,1,0)+IF(COUNTIF(INDIRECT(wew!$C$15),E158)&gt;1,10,0),0)</f>
        <v>0</v>
      </c>
      <c r="J158" s="14" t="b">
        <f t="shared" ca="1" si="38"/>
        <v>0</v>
      </c>
      <c r="K158" s="14" t="str">
        <f ca="1">ADDRESS(3,(B158+1)*2-1,4,,"[" &amp; wew!$G$7 &amp; "]" &amp; _sheetname_labels) &amp; ":" &amp; ADDRESS(2+ster!$B$20,(B158+1)*2-1,4)</f>
        <v>'[dane surowe2c.xlsm]labels'!LA3:LA36</v>
      </c>
      <c r="L158" s="14" t="str">
        <f ca="1">IF(F158&gt;0,ADDRESS(3,(B158+1)*2-1,4,,"[" &amp; wew!$G$7 &amp; "]" &amp; _sheetname_labels) &amp; ":" &amp; ADDRESS(2+F158,(B158+1)*2-1,4),"")</f>
        <v/>
      </c>
      <c r="M158" s="14" t="str">
        <f ca="1">IF(F158&gt;0,ADDRESS(3,(B158+1)*2,4,,"["&amp;wew!$G$7&amp;"]"&amp;_sheetname_labels)&amp;":"&amp;ADDRESS(2+F158,(B158+1)*2,4),"")</f>
        <v/>
      </c>
      <c r="N158" s="14" t="str">
        <f ca="1">ADDRESS(3,B158+1,4,,"[" &amp; wew!$G$7 &amp; "]" &amp;_sheetname_dataframe) &amp; ":" &amp; ADDRESS(2+ster!$C$14,B158+1,4)</f>
        <v>'[dane surowe2c.xlsm]data_frame'!FA3:FA35</v>
      </c>
      <c r="O158" s="14">
        <f t="shared" ca="1" si="39"/>
        <v>0</v>
      </c>
      <c r="P158" s="14" t="str">
        <f ca="1">IF(AND($AD158,$S158=1),IF(wew!$B$3,MIN(INDIRECT($N158)),"&lt;włącz podświetlanie wartości&gt;"),"—")</f>
        <v>—</v>
      </c>
      <c r="Q158" s="14" t="str">
        <f ca="1">IF(AND($AD158,$S158=1),IF(wew!$B$3,MAX(INDIRECT($N158)),"&lt;włącz podświetlanie wartości&gt;"),"—")</f>
        <v>—</v>
      </c>
      <c r="R158" s="14">
        <f ca="1">IF(AD158,ster!$C$14- (COUNTIF( INDIRECT(N158),"" )+ COUNT(INDIRECT(N158)) +COUNTIF( INDIRECT(N158),"NA" )),"")</f>
        <v>0</v>
      </c>
      <c r="S158" s="12">
        <f ca="1">IF(AD158,IF(COUNTA(INDIRECT(N158))=0,0, 1-(ster!$C$14- COUNT(INDIRECT(N158)) -COUNTIF( INDIRECT(N158),"" )) /COUNTA(INDIRECT(N158))),"")</f>
        <v>0</v>
      </c>
      <c r="T158" s="17" t="str">
        <f t="array" aca="1" ref="T158" ca="1">IF(L158&lt;&gt;"",SUM(IF(INDIRECT(L158)&lt;&gt;INT(INDIRECT(L158)),1,0)),"")</f>
        <v/>
      </c>
      <c r="U158" s="17" t="str">
        <f t="array" aca="1" ref="U158" ca="1">IF(S158=1,SUM(IF(ISNUMBER(INDIRECT(N158)),IF(INDIRECT(N158)&lt;&gt;INT(INDIRECT(N158)),1,0),0)),"")</f>
        <v/>
      </c>
      <c r="V158" s="17">
        <f t="shared" ca="1" si="40"/>
        <v>0</v>
      </c>
      <c r="W158" s="17">
        <f t="shared" ca="1" si="41"/>
        <v>0</v>
      </c>
      <c r="X158" s="24" t="str">
        <f t="array" aca="1" ref="X158" ca="1">IF(AD158,IF(AG158&lt;&gt;"",AG158,IF(J158,MIN(INDIRECT( K158)),"")),"")</f>
        <v/>
      </c>
      <c r="Y158" s="17" t="str">
        <f t="array" aca="1" ref="Y158" ca="1">IF(AD158,IF(AH158&lt;&gt;"",AH158,IF(J158,MAX(INDIRECT( K158)),"")),"")</f>
        <v/>
      </c>
      <c r="Z158" s="17" t="b">
        <f t="shared" ca="1" si="42"/>
        <v>0</v>
      </c>
      <c r="AC158" s="17" t="b">
        <f t="shared" ca="1" si="43"/>
        <v>0</v>
      </c>
      <c r="AD158" s="14" t="b">
        <f t="shared" ca="1" si="44"/>
        <v>1</v>
      </c>
      <c r="AE158" s="15" t="b">
        <f t="shared" ca="1" si="45"/>
        <v>0</v>
      </c>
      <c r="AF158" s="16"/>
      <c r="AG158" s="16"/>
      <c r="AH158" s="16"/>
      <c r="AI158" s="16"/>
      <c r="AJ158" s="16"/>
      <c r="AK158" s="16"/>
      <c r="AL158" s="16"/>
      <c r="AM158" s="16"/>
    </row>
    <row r="159" spans="2:39">
      <c r="B159" s="14">
        <f t="shared" si="34"/>
        <v>157</v>
      </c>
      <c r="C159" s="14" t="str">
        <f t="shared" ca="1" si="35"/>
        <v>I</v>
      </c>
      <c r="D159" s="14" t="str">
        <f t="shared" ca="1" si="36"/>
        <v>q_44.8a</v>
      </c>
      <c r="E159" s="14" t="str">
        <f t="shared" ca="1" si="33"/>
        <v>Other family member 6, who died</v>
      </c>
      <c r="F159" s="14">
        <f t="shared" ca="1" si="32"/>
        <v>0</v>
      </c>
      <c r="G159" s="14" t="str">
        <f t="shared" ca="1" si="37"/>
        <v>q_44.8a</v>
      </c>
      <c r="H159" s="14">
        <f ca="1">IF(G159&lt;&gt;"",IFERROR( IsVariableNameLegal(G159),0),0)+IF(COUNTIF(INDIRECT(wew!$C$13),G159)&gt;1,10,0)</f>
        <v>0</v>
      </c>
      <c r="I159" s="14">
        <f ca="1">IF(E159&lt;&gt;"",IF(LEN(E159)&gt;150,1,0)+IF(COUNTIF(INDIRECT(wew!$C$15),E159)&gt;1,10,0),0)</f>
        <v>0</v>
      </c>
      <c r="J159" s="14" t="b">
        <f t="shared" ca="1" si="38"/>
        <v>0</v>
      </c>
      <c r="K159" s="14" t="str">
        <f ca="1">ADDRESS(3,(B159+1)*2-1,4,,"[" &amp; wew!$G$7 &amp; "]" &amp; _sheetname_labels) &amp; ":" &amp; ADDRESS(2+ster!$B$20,(B159+1)*2-1,4)</f>
        <v>'[dane surowe2c.xlsm]labels'!LC3:LC36</v>
      </c>
      <c r="L159" s="14" t="str">
        <f ca="1">IF(F159&gt;0,ADDRESS(3,(B159+1)*2-1,4,,"[" &amp; wew!$G$7 &amp; "]" &amp; _sheetname_labels) &amp; ":" &amp; ADDRESS(2+F159,(B159+1)*2-1,4),"")</f>
        <v/>
      </c>
      <c r="M159" s="14" t="str">
        <f ca="1">IF(F159&gt;0,ADDRESS(3,(B159+1)*2,4,,"["&amp;wew!$G$7&amp;"]"&amp;_sheetname_labels)&amp;":"&amp;ADDRESS(2+F159,(B159+1)*2,4),"")</f>
        <v/>
      </c>
      <c r="N159" s="14" t="str">
        <f ca="1">ADDRESS(3,B159+1,4,,"[" &amp; wew!$G$7 &amp; "]" &amp;_sheetname_dataframe) &amp; ":" &amp; ADDRESS(2+ster!$C$14,B159+1,4)</f>
        <v>'[dane surowe2c.xlsm]data_frame'!FB3:FB35</v>
      </c>
      <c r="O159" s="14">
        <f t="shared" ca="1" si="39"/>
        <v>0</v>
      </c>
      <c r="P159" s="14" t="str">
        <f ca="1">IF(AND($AD159,$S159=1),IF(wew!$B$3,MIN(INDIRECT($N159)),"&lt;włącz podświetlanie wartości&gt;"),"—")</f>
        <v>—</v>
      </c>
      <c r="Q159" s="14" t="str">
        <f ca="1">IF(AND($AD159,$S159=1),IF(wew!$B$3,MAX(INDIRECT($N159)),"&lt;włącz podświetlanie wartości&gt;"),"—")</f>
        <v>—</v>
      </c>
      <c r="R159" s="14">
        <f ca="1">IF(AD159,ster!$C$14- (COUNTIF( INDIRECT(N159),"" )+ COUNT(INDIRECT(N159)) +COUNTIF( INDIRECT(N159),"NA" )),"")</f>
        <v>0</v>
      </c>
      <c r="S159" s="12">
        <f ca="1">IF(AD159,IF(COUNTA(INDIRECT(N159))=0,0, 1-(ster!$C$14- COUNT(INDIRECT(N159)) -COUNTIF( INDIRECT(N159),"" )) /COUNTA(INDIRECT(N159))),"")</f>
        <v>0</v>
      </c>
      <c r="T159" s="17" t="str">
        <f t="array" aca="1" ref="T159" ca="1">IF(L159&lt;&gt;"",SUM(IF(INDIRECT(L159)&lt;&gt;INT(INDIRECT(L159)),1,0)),"")</f>
        <v/>
      </c>
      <c r="U159" s="17" t="str">
        <f t="array" aca="1" ref="U159" ca="1">IF(S159=1,SUM(IF(ISNUMBER(INDIRECT(N159)),IF(INDIRECT(N159)&lt;&gt;INT(INDIRECT(N159)),1,0),0)),"")</f>
        <v/>
      </c>
      <c r="V159" s="17">
        <f t="shared" ca="1" si="40"/>
        <v>0</v>
      </c>
      <c r="W159" s="17">
        <f t="shared" ca="1" si="41"/>
        <v>0</v>
      </c>
      <c r="X159" s="24" t="str">
        <f t="array" aca="1" ref="X159" ca="1">IF(AD159,IF(AG159&lt;&gt;"",AG159,IF(J159,MIN(INDIRECT( K159)),"")),"")</f>
        <v/>
      </c>
      <c r="Y159" s="17" t="str">
        <f t="array" aca="1" ref="Y159" ca="1">IF(AD159,IF(AH159&lt;&gt;"",AH159,IF(J159,MAX(INDIRECT( K159)),"")),"")</f>
        <v/>
      </c>
      <c r="Z159" s="17" t="b">
        <f t="shared" ca="1" si="42"/>
        <v>0</v>
      </c>
      <c r="AC159" s="17" t="b">
        <f t="shared" ca="1" si="43"/>
        <v>0</v>
      </c>
      <c r="AD159" s="14" t="b">
        <f t="shared" ca="1" si="44"/>
        <v>1</v>
      </c>
      <c r="AE159" s="15" t="b">
        <f t="shared" ca="1" si="45"/>
        <v>0</v>
      </c>
      <c r="AF159" s="16"/>
      <c r="AG159" s="16"/>
      <c r="AH159" s="16"/>
      <c r="AI159" s="16"/>
      <c r="AJ159" s="16"/>
      <c r="AK159" s="16"/>
      <c r="AL159" s="16"/>
      <c r="AM159" s="16"/>
    </row>
    <row r="160" spans="2:39">
      <c r="B160" s="14">
        <f t="shared" si="34"/>
        <v>158</v>
      </c>
      <c r="C160" s="14" t="str">
        <f t="shared" ca="1" si="35"/>
        <v>I</v>
      </c>
      <c r="D160" s="14" t="str">
        <f t="shared" ca="1" si="36"/>
        <v>q_44.8b</v>
      </c>
      <c r="E160" s="14" t="str">
        <f t="shared" ca="1" si="33"/>
        <v>Family member 6 cause of death</v>
      </c>
      <c r="F160" s="14">
        <f t="shared" ca="1" si="32"/>
        <v>0</v>
      </c>
      <c r="G160" s="14" t="str">
        <f t="shared" ca="1" si="37"/>
        <v>q_44.8b</v>
      </c>
      <c r="H160" s="14">
        <f ca="1">IF(G160&lt;&gt;"",IFERROR( IsVariableNameLegal(G160),0),0)+IF(COUNTIF(INDIRECT(wew!$C$13),G160)&gt;1,10,0)</f>
        <v>0</v>
      </c>
      <c r="I160" s="14">
        <f ca="1">IF(E160&lt;&gt;"",IF(LEN(E160)&gt;150,1,0)+IF(COUNTIF(INDIRECT(wew!$C$15),E160)&gt;1,10,0),0)</f>
        <v>0</v>
      </c>
      <c r="J160" s="14" t="b">
        <f t="shared" ca="1" si="38"/>
        <v>0</v>
      </c>
      <c r="K160" s="14" t="str">
        <f ca="1">ADDRESS(3,(B160+1)*2-1,4,,"[" &amp; wew!$G$7 &amp; "]" &amp; _sheetname_labels) &amp; ":" &amp; ADDRESS(2+ster!$B$20,(B160+1)*2-1,4)</f>
        <v>'[dane surowe2c.xlsm]labels'!LE3:LE36</v>
      </c>
      <c r="L160" s="14" t="str">
        <f ca="1">IF(F160&gt;0,ADDRESS(3,(B160+1)*2-1,4,,"[" &amp; wew!$G$7 &amp; "]" &amp; _sheetname_labels) &amp; ":" &amp; ADDRESS(2+F160,(B160+1)*2-1,4),"")</f>
        <v/>
      </c>
      <c r="M160" s="14" t="str">
        <f ca="1">IF(F160&gt;0,ADDRESS(3,(B160+1)*2,4,,"["&amp;wew!$G$7&amp;"]"&amp;_sheetname_labels)&amp;":"&amp;ADDRESS(2+F160,(B160+1)*2,4),"")</f>
        <v/>
      </c>
      <c r="N160" s="14" t="str">
        <f ca="1">ADDRESS(3,B160+1,4,,"[" &amp; wew!$G$7 &amp; "]" &amp;_sheetname_dataframe) &amp; ":" &amp; ADDRESS(2+ster!$C$14,B160+1,4)</f>
        <v>'[dane surowe2c.xlsm]data_frame'!FC3:FC35</v>
      </c>
      <c r="O160" s="14">
        <f t="shared" ca="1" si="39"/>
        <v>0</v>
      </c>
      <c r="P160" s="14" t="str">
        <f ca="1">IF(AND($AD160,$S160=1),IF(wew!$B$3,MIN(INDIRECT($N160)),"&lt;włącz podświetlanie wartości&gt;"),"—")</f>
        <v>—</v>
      </c>
      <c r="Q160" s="14" t="str">
        <f ca="1">IF(AND($AD160,$S160=1),IF(wew!$B$3,MAX(INDIRECT($N160)),"&lt;włącz podświetlanie wartości&gt;"),"—")</f>
        <v>—</v>
      </c>
      <c r="R160" s="14">
        <f ca="1">IF(AD160,ster!$C$14- (COUNTIF( INDIRECT(N160),"" )+ COUNT(INDIRECT(N160)) +COUNTIF( INDIRECT(N160),"NA" )),"")</f>
        <v>0</v>
      </c>
      <c r="S160" s="12">
        <f ca="1">IF(AD160,IF(COUNTA(INDIRECT(N160))=0,0, 1-(ster!$C$14- COUNT(INDIRECT(N160)) -COUNTIF( INDIRECT(N160),"" )) /COUNTA(INDIRECT(N160))),"")</f>
        <v>0</v>
      </c>
      <c r="T160" s="17" t="str">
        <f t="array" aca="1" ref="T160" ca="1">IF(L160&lt;&gt;"",SUM(IF(INDIRECT(L160)&lt;&gt;INT(INDIRECT(L160)),1,0)),"")</f>
        <v/>
      </c>
      <c r="U160" s="17" t="str">
        <f t="array" aca="1" ref="U160" ca="1">IF(S160=1,SUM(IF(ISNUMBER(INDIRECT(N160)),IF(INDIRECT(N160)&lt;&gt;INT(INDIRECT(N160)),1,0),0)),"")</f>
        <v/>
      </c>
      <c r="V160" s="17">
        <f t="shared" ca="1" si="40"/>
        <v>0</v>
      </c>
      <c r="W160" s="17">
        <f t="shared" ca="1" si="41"/>
        <v>0</v>
      </c>
      <c r="X160" s="24" t="str">
        <f t="array" aca="1" ref="X160" ca="1">IF(AD160,IF(AG160&lt;&gt;"",AG160,IF(J160,MIN(INDIRECT( K160)),"")),"")</f>
        <v/>
      </c>
      <c r="Y160" s="17" t="str">
        <f t="array" aca="1" ref="Y160" ca="1">IF(AD160,IF(AH160&lt;&gt;"",AH160,IF(J160,MAX(INDIRECT( K160)),"")),"")</f>
        <v/>
      </c>
      <c r="Z160" s="17" t="b">
        <f t="shared" ca="1" si="42"/>
        <v>0</v>
      </c>
      <c r="AC160" s="17" t="b">
        <f t="shared" ca="1" si="43"/>
        <v>0</v>
      </c>
      <c r="AD160" s="14" t="b">
        <f t="shared" ca="1" si="44"/>
        <v>1</v>
      </c>
      <c r="AE160" s="15" t="b">
        <f t="shared" ca="1" si="45"/>
        <v>0</v>
      </c>
      <c r="AF160" s="16"/>
      <c r="AG160" s="16"/>
      <c r="AH160" s="16"/>
      <c r="AI160" s="16"/>
      <c r="AJ160" s="16"/>
      <c r="AK160" s="16"/>
      <c r="AL160" s="16"/>
      <c r="AM160" s="16"/>
    </row>
    <row r="161" spans="2:39">
      <c r="B161" s="14">
        <f t="shared" si="34"/>
        <v>159</v>
      </c>
      <c r="C161" s="14" t="str">
        <f t="shared" ca="1" si="35"/>
        <v>I</v>
      </c>
      <c r="D161" s="14" t="str">
        <f t="shared" ca="1" si="36"/>
        <v>q_44.8c</v>
      </c>
      <c r="E161" s="14" t="str">
        <f t="shared" ca="1" si="33"/>
        <v>Family member 6 age at death</v>
      </c>
      <c r="F161" s="14">
        <f t="shared" ca="1" si="32"/>
        <v>0</v>
      </c>
      <c r="G161" s="14" t="str">
        <f t="shared" ca="1" si="37"/>
        <v>q_44.8c</v>
      </c>
      <c r="H161" s="14">
        <f ca="1">IF(G161&lt;&gt;"",IFERROR( IsVariableNameLegal(G161),0),0)+IF(COUNTIF(INDIRECT(wew!$C$13),G161)&gt;1,10,0)</f>
        <v>0</v>
      </c>
      <c r="I161" s="14">
        <f ca="1">IF(E161&lt;&gt;"",IF(LEN(E161)&gt;150,1,0)+IF(COUNTIF(INDIRECT(wew!$C$15),E161)&gt;1,10,0),0)</f>
        <v>0</v>
      </c>
      <c r="J161" s="14" t="b">
        <f t="shared" ca="1" si="38"/>
        <v>0</v>
      </c>
      <c r="K161" s="14" t="str">
        <f ca="1">ADDRESS(3,(B161+1)*2-1,4,,"[" &amp; wew!$G$7 &amp; "]" &amp; _sheetname_labels) &amp; ":" &amp; ADDRESS(2+ster!$B$20,(B161+1)*2-1,4)</f>
        <v>'[dane surowe2c.xlsm]labels'!LG3:LG36</v>
      </c>
      <c r="L161" s="14" t="str">
        <f ca="1">IF(F161&gt;0,ADDRESS(3,(B161+1)*2-1,4,,"[" &amp; wew!$G$7 &amp; "]" &amp; _sheetname_labels) &amp; ":" &amp; ADDRESS(2+F161,(B161+1)*2-1,4),"")</f>
        <v/>
      </c>
      <c r="M161" s="14" t="str">
        <f ca="1">IF(F161&gt;0,ADDRESS(3,(B161+1)*2,4,,"["&amp;wew!$G$7&amp;"]"&amp;_sheetname_labels)&amp;":"&amp;ADDRESS(2+F161,(B161+1)*2,4),"")</f>
        <v/>
      </c>
      <c r="N161" s="14" t="str">
        <f ca="1">ADDRESS(3,B161+1,4,,"[" &amp; wew!$G$7 &amp; "]" &amp;_sheetname_dataframe) &amp; ":" &amp; ADDRESS(2+ster!$C$14,B161+1,4)</f>
        <v>'[dane surowe2c.xlsm]data_frame'!FD3:FD35</v>
      </c>
      <c r="O161" s="14">
        <f t="shared" ca="1" si="39"/>
        <v>0</v>
      </c>
      <c r="P161" s="14" t="str">
        <f ca="1">IF(AND($AD161,$S161=1),IF(wew!$B$3,MIN(INDIRECT($N161)),"&lt;włącz podświetlanie wartości&gt;"),"—")</f>
        <v>—</v>
      </c>
      <c r="Q161" s="14" t="str">
        <f ca="1">IF(AND($AD161,$S161=1),IF(wew!$B$3,MAX(INDIRECT($N161)),"&lt;włącz podświetlanie wartości&gt;"),"—")</f>
        <v>—</v>
      </c>
      <c r="R161" s="14">
        <f ca="1">IF(AD161,ster!$C$14- (COUNTIF( INDIRECT(N161),"" )+ COUNT(INDIRECT(N161)) +COUNTIF( INDIRECT(N161),"NA" )),"")</f>
        <v>0</v>
      </c>
      <c r="S161" s="12">
        <f ca="1">IF(AD161,IF(COUNTA(INDIRECT(N161))=0,0, 1-(ster!$C$14- COUNT(INDIRECT(N161)) -COUNTIF( INDIRECT(N161),"" )) /COUNTA(INDIRECT(N161))),"")</f>
        <v>0</v>
      </c>
      <c r="T161" s="17" t="str">
        <f t="array" aca="1" ref="T161" ca="1">IF(L161&lt;&gt;"",SUM(IF(INDIRECT(L161)&lt;&gt;INT(INDIRECT(L161)),1,0)),"")</f>
        <v/>
      </c>
      <c r="U161" s="17" t="str">
        <f t="array" aca="1" ref="U161" ca="1">IF(S161=1,SUM(IF(ISNUMBER(INDIRECT(N161)),IF(INDIRECT(N161)&lt;&gt;INT(INDIRECT(N161)),1,0),0)),"")</f>
        <v/>
      </c>
      <c r="V161" s="17">
        <f t="shared" ca="1" si="40"/>
        <v>0</v>
      </c>
      <c r="W161" s="17">
        <f t="shared" ca="1" si="41"/>
        <v>0</v>
      </c>
      <c r="X161" s="24" t="str">
        <f t="array" aca="1" ref="X161" ca="1">IF(AD161,IF(AG161&lt;&gt;"",AG161,IF(J161,MIN(INDIRECT( K161)),"")),"")</f>
        <v/>
      </c>
      <c r="Y161" s="17" t="str">
        <f t="array" aca="1" ref="Y161" ca="1">IF(AD161,IF(AH161&lt;&gt;"",AH161,IF(J161,MAX(INDIRECT( K161)),"")),"")</f>
        <v/>
      </c>
      <c r="Z161" s="17" t="b">
        <f t="shared" ca="1" si="42"/>
        <v>0</v>
      </c>
      <c r="AC161" s="17" t="b">
        <f t="shared" ca="1" si="43"/>
        <v>0</v>
      </c>
      <c r="AD161" s="14" t="b">
        <f t="shared" ca="1" si="44"/>
        <v>1</v>
      </c>
      <c r="AE161" s="15" t="b">
        <f t="shared" ca="1" si="45"/>
        <v>0</v>
      </c>
      <c r="AF161" s="16"/>
      <c r="AG161" s="16"/>
      <c r="AH161" s="16"/>
      <c r="AI161" s="16"/>
      <c r="AJ161" s="16"/>
      <c r="AK161" s="16"/>
      <c r="AL161" s="16"/>
      <c r="AM161" s="16"/>
    </row>
    <row r="162" spans="2:39">
      <c r="B162" s="14">
        <f t="shared" si="34"/>
        <v>160</v>
      </c>
      <c r="C162" s="14" t="str">
        <f t="shared" ca="1" si="35"/>
        <v>I</v>
      </c>
      <c r="D162" s="14" t="str">
        <f t="shared" ca="1" si="36"/>
        <v>q_44.9a</v>
      </c>
      <c r="E162" s="14" t="str">
        <f t="shared" ca="1" si="33"/>
        <v>Other family member 7, who died</v>
      </c>
      <c r="F162" s="14">
        <f t="shared" ca="1" si="32"/>
        <v>0</v>
      </c>
      <c r="G162" s="14" t="str">
        <f t="shared" ca="1" si="37"/>
        <v>q_44.9a</v>
      </c>
      <c r="H162" s="14">
        <f ca="1">IF(G162&lt;&gt;"",IFERROR( IsVariableNameLegal(G162),0),0)+IF(COUNTIF(INDIRECT(wew!$C$13),G162)&gt;1,10,0)</f>
        <v>0</v>
      </c>
      <c r="I162" s="14">
        <f ca="1">IF(E162&lt;&gt;"",IF(LEN(E162)&gt;150,1,0)+IF(COUNTIF(INDIRECT(wew!$C$15),E162)&gt;1,10,0),0)</f>
        <v>0</v>
      </c>
      <c r="J162" s="14" t="b">
        <f t="shared" ca="1" si="38"/>
        <v>0</v>
      </c>
      <c r="K162" s="14" t="str">
        <f ca="1">ADDRESS(3,(B162+1)*2-1,4,,"[" &amp; wew!$G$7 &amp; "]" &amp; _sheetname_labels) &amp; ":" &amp; ADDRESS(2+ster!$B$20,(B162+1)*2-1,4)</f>
        <v>'[dane surowe2c.xlsm]labels'!LI3:LI36</v>
      </c>
      <c r="L162" s="14" t="str">
        <f ca="1">IF(F162&gt;0,ADDRESS(3,(B162+1)*2-1,4,,"[" &amp; wew!$G$7 &amp; "]" &amp; _sheetname_labels) &amp; ":" &amp; ADDRESS(2+F162,(B162+1)*2-1,4),"")</f>
        <v/>
      </c>
      <c r="M162" s="14" t="str">
        <f ca="1">IF(F162&gt;0,ADDRESS(3,(B162+1)*2,4,,"["&amp;wew!$G$7&amp;"]"&amp;_sheetname_labels)&amp;":"&amp;ADDRESS(2+F162,(B162+1)*2,4),"")</f>
        <v/>
      </c>
      <c r="N162" s="14" t="str">
        <f ca="1">ADDRESS(3,B162+1,4,,"[" &amp; wew!$G$7 &amp; "]" &amp;_sheetname_dataframe) &amp; ":" &amp; ADDRESS(2+ster!$C$14,B162+1,4)</f>
        <v>'[dane surowe2c.xlsm]data_frame'!FE3:FE35</v>
      </c>
      <c r="O162" s="14">
        <f t="shared" ca="1" si="39"/>
        <v>0</v>
      </c>
      <c r="P162" s="14" t="str">
        <f ca="1">IF(AND($AD162,$S162=1),IF(wew!$B$3,MIN(INDIRECT($N162)),"&lt;włącz podświetlanie wartości&gt;"),"—")</f>
        <v>—</v>
      </c>
      <c r="Q162" s="14" t="str">
        <f ca="1">IF(AND($AD162,$S162=1),IF(wew!$B$3,MAX(INDIRECT($N162)),"&lt;włącz podświetlanie wartości&gt;"),"—")</f>
        <v>—</v>
      </c>
      <c r="R162" s="14">
        <f ca="1">IF(AD162,ster!$C$14- (COUNTIF( INDIRECT(N162),"" )+ COUNT(INDIRECT(N162)) +COUNTIF( INDIRECT(N162),"NA" )),"")</f>
        <v>0</v>
      </c>
      <c r="S162" s="12">
        <f ca="1">IF(AD162,IF(COUNTA(INDIRECT(N162))=0,0, 1-(ster!$C$14- COUNT(INDIRECT(N162)) -COUNTIF( INDIRECT(N162),"" )) /COUNTA(INDIRECT(N162))),"")</f>
        <v>0</v>
      </c>
      <c r="T162" s="17" t="str">
        <f t="array" aca="1" ref="T162" ca="1">IF(L162&lt;&gt;"",SUM(IF(INDIRECT(L162)&lt;&gt;INT(INDIRECT(L162)),1,0)),"")</f>
        <v/>
      </c>
      <c r="U162" s="17" t="str">
        <f t="array" aca="1" ref="U162" ca="1">IF(S162=1,SUM(IF(ISNUMBER(INDIRECT(N162)),IF(INDIRECT(N162)&lt;&gt;INT(INDIRECT(N162)),1,0),0)),"")</f>
        <v/>
      </c>
      <c r="V162" s="17">
        <f t="shared" ca="1" si="40"/>
        <v>0</v>
      </c>
      <c r="W162" s="17">
        <f t="shared" ca="1" si="41"/>
        <v>0</v>
      </c>
      <c r="X162" s="24" t="str">
        <f t="array" aca="1" ref="X162" ca="1">IF(AD162,IF(AG162&lt;&gt;"",AG162,IF(J162,MIN(INDIRECT( K162)),"")),"")</f>
        <v/>
      </c>
      <c r="Y162" s="17" t="str">
        <f t="array" aca="1" ref="Y162" ca="1">IF(AD162,IF(AH162&lt;&gt;"",AH162,IF(J162,MAX(INDIRECT( K162)),"")),"")</f>
        <v/>
      </c>
      <c r="Z162" s="17" t="b">
        <f t="shared" ca="1" si="42"/>
        <v>0</v>
      </c>
      <c r="AC162" s="17" t="b">
        <f t="shared" ca="1" si="43"/>
        <v>0</v>
      </c>
      <c r="AD162" s="14" t="b">
        <f t="shared" ca="1" si="44"/>
        <v>1</v>
      </c>
      <c r="AE162" s="15" t="b">
        <f t="shared" ca="1" si="45"/>
        <v>0</v>
      </c>
      <c r="AF162" s="16"/>
      <c r="AG162" s="16"/>
      <c r="AH162" s="16"/>
      <c r="AI162" s="16"/>
      <c r="AJ162" s="16"/>
      <c r="AK162" s="16"/>
      <c r="AL162" s="16"/>
      <c r="AM162" s="16"/>
    </row>
    <row r="163" spans="2:39">
      <c r="B163" s="14">
        <f t="shared" si="34"/>
        <v>161</v>
      </c>
      <c r="C163" s="14" t="str">
        <f t="shared" ca="1" si="35"/>
        <v>I</v>
      </c>
      <c r="D163" s="14" t="str">
        <f t="shared" ca="1" si="36"/>
        <v>q_44.9b</v>
      </c>
      <c r="E163" s="14" t="str">
        <f t="shared" ca="1" si="33"/>
        <v>Family member 7 cause of death</v>
      </c>
      <c r="F163" s="14">
        <f t="shared" ref="F163:F226" ca="1" si="46">IF(AD163,COUNT(INDIRECT(K163)),0)</f>
        <v>0</v>
      </c>
      <c r="G163" s="14" t="str">
        <f t="shared" ca="1" si="37"/>
        <v>q_44.9b</v>
      </c>
      <c r="H163" s="14">
        <f ca="1">IF(G163&lt;&gt;"",IFERROR( IsVariableNameLegal(G163),0),0)+IF(COUNTIF(INDIRECT(wew!$C$13),G163)&gt;1,10,0)</f>
        <v>0</v>
      </c>
      <c r="I163" s="14">
        <f ca="1">IF(E163&lt;&gt;"",IF(LEN(E163)&gt;150,1,0)+IF(COUNTIF(INDIRECT(wew!$C$15),E163)&gt;1,10,0),0)</f>
        <v>0</v>
      </c>
      <c r="J163" s="14" t="b">
        <f t="shared" ca="1" si="38"/>
        <v>0</v>
      </c>
      <c r="K163" s="14" t="str">
        <f ca="1">ADDRESS(3,(B163+1)*2-1,4,,"[" &amp; wew!$G$7 &amp; "]" &amp; _sheetname_labels) &amp; ":" &amp; ADDRESS(2+ster!$B$20,(B163+1)*2-1,4)</f>
        <v>'[dane surowe2c.xlsm]labels'!LK3:LK36</v>
      </c>
      <c r="L163" s="14" t="str">
        <f ca="1">IF(F163&gt;0,ADDRESS(3,(B163+1)*2-1,4,,"[" &amp; wew!$G$7 &amp; "]" &amp; _sheetname_labels) &amp; ":" &amp; ADDRESS(2+F163,(B163+1)*2-1,4),"")</f>
        <v/>
      </c>
      <c r="M163" s="14" t="str">
        <f ca="1">IF(F163&gt;0,ADDRESS(3,(B163+1)*2,4,,"["&amp;wew!$G$7&amp;"]"&amp;_sheetname_labels)&amp;":"&amp;ADDRESS(2+F163,(B163+1)*2,4),"")</f>
        <v/>
      </c>
      <c r="N163" s="14" t="str">
        <f ca="1">ADDRESS(3,B163+1,4,,"[" &amp; wew!$G$7 &amp; "]" &amp;_sheetname_dataframe) &amp; ":" &amp; ADDRESS(2+ster!$C$14,B163+1,4)</f>
        <v>'[dane surowe2c.xlsm]data_frame'!FF3:FF35</v>
      </c>
      <c r="O163" s="14">
        <f t="shared" ca="1" si="39"/>
        <v>0</v>
      </c>
      <c r="P163" s="14" t="str">
        <f ca="1">IF(AND($AD163,$S163=1),IF(wew!$B$3,MIN(INDIRECT($N163)),"&lt;włącz podświetlanie wartości&gt;"),"—")</f>
        <v>—</v>
      </c>
      <c r="Q163" s="14" t="str">
        <f ca="1">IF(AND($AD163,$S163=1),IF(wew!$B$3,MAX(INDIRECT($N163)),"&lt;włącz podświetlanie wartości&gt;"),"—")</f>
        <v>—</v>
      </c>
      <c r="R163" s="14">
        <f ca="1">IF(AD163,ster!$C$14- (COUNTIF( INDIRECT(N163),"" )+ COUNT(INDIRECT(N163)) +COUNTIF( INDIRECT(N163),"NA" )),"")</f>
        <v>0</v>
      </c>
      <c r="S163" s="12">
        <f ca="1">IF(AD163,IF(COUNTA(INDIRECT(N163))=0,0, 1-(ster!$C$14- COUNT(INDIRECT(N163)) -COUNTIF( INDIRECT(N163),"" )) /COUNTA(INDIRECT(N163))),"")</f>
        <v>0</v>
      </c>
      <c r="T163" s="17" t="str">
        <f t="array" aca="1" ref="T163" ca="1">IF(L163&lt;&gt;"",SUM(IF(INDIRECT(L163)&lt;&gt;INT(INDIRECT(L163)),1,0)),"")</f>
        <v/>
      </c>
      <c r="U163" s="17" t="str">
        <f t="array" aca="1" ref="U163" ca="1">IF(S163=1,SUM(IF(ISNUMBER(INDIRECT(N163)),IF(INDIRECT(N163)&lt;&gt;INT(INDIRECT(N163)),1,0),0)),"")</f>
        <v/>
      </c>
      <c r="V163" s="17">
        <f t="shared" ca="1" si="40"/>
        <v>0</v>
      </c>
      <c r="W163" s="17">
        <f t="shared" ca="1" si="41"/>
        <v>0</v>
      </c>
      <c r="X163" s="24" t="str">
        <f t="array" aca="1" ref="X163" ca="1">IF(AD163,IF(AG163&lt;&gt;"",AG163,IF(J163,MIN(INDIRECT( K163)),"")),"")</f>
        <v/>
      </c>
      <c r="Y163" s="17" t="str">
        <f t="array" aca="1" ref="Y163" ca="1">IF(AD163,IF(AH163&lt;&gt;"",AH163,IF(J163,MAX(INDIRECT( K163)),"")),"")</f>
        <v/>
      </c>
      <c r="Z163" s="17" t="b">
        <f t="shared" ca="1" si="42"/>
        <v>0</v>
      </c>
      <c r="AC163" s="17" t="b">
        <f t="shared" ca="1" si="43"/>
        <v>0</v>
      </c>
      <c r="AD163" s="14" t="b">
        <f t="shared" ca="1" si="44"/>
        <v>1</v>
      </c>
      <c r="AE163" s="15" t="b">
        <f t="shared" ca="1" si="45"/>
        <v>0</v>
      </c>
      <c r="AF163" s="16"/>
      <c r="AG163" s="16"/>
      <c r="AH163" s="16"/>
      <c r="AI163" s="16"/>
      <c r="AJ163" s="16"/>
      <c r="AK163" s="16"/>
      <c r="AL163" s="16"/>
      <c r="AM163" s="16"/>
    </row>
    <row r="164" spans="2:39">
      <c r="B164" s="14">
        <f t="shared" si="34"/>
        <v>162</v>
      </c>
      <c r="C164" s="14" t="str">
        <f t="shared" ca="1" si="35"/>
        <v>I</v>
      </c>
      <c r="D164" s="14" t="str">
        <f t="shared" ca="1" si="36"/>
        <v>q_44.9c</v>
      </c>
      <c r="E164" s="14" t="str">
        <f t="shared" ca="1" si="33"/>
        <v>Family member 7 age at death</v>
      </c>
      <c r="F164" s="14">
        <f t="shared" ca="1" si="46"/>
        <v>0</v>
      </c>
      <c r="G164" s="14" t="str">
        <f t="shared" ca="1" si="37"/>
        <v>q_44.9c</v>
      </c>
      <c r="H164" s="14">
        <f ca="1">IF(G164&lt;&gt;"",IFERROR( IsVariableNameLegal(G164),0),0)+IF(COUNTIF(INDIRECT(wew!$C$13),G164)&gt;1,10,0)</f>
        <v>0</v>
      </c>
      <c r="I164" s="14">
        <f ca="1">IF(E164&lt;&gt;"",IF(LEN(E164)&gt;150,1,0)+IF(COUNTIF(INDIRECT(wew!$C$15),E164)&gt;1,10,0),0)</f>
        <v>0</v>
      </c>
      <c r="J164" s="14" t="b">
        <f t="shared" ca="1" si="38"/>
        <v>0</v>
      </c>
      <c r="K164" s="14" t="str">
        <f ca="1">ADDRESS(3,(B164+1)*2-1,4,,"[" &amp; wew!$G$7 &amp; "]" &amp; _sheetname_labels) &amp; ":" &amp; ADDRESS(2+ster!$B$20,(B164+1)*2-1,4)</f>
        <v>'[dane surowe2c.xlsm]labels'!LM3:LM36</v>
      </c>
      <c r="L164" s="14" t="str">
        <f ca="1">IF(F164&gt;0,ADDRESS(3,(B164+1)*2-1,4,,"[" &amp; wew!$G$7 &amp; "]" &amp; _sheetname_labels) &amp; ":" &amp; ADDRESS(2+F164,(B164+1)*2-1,4),"")</f>
        <v/>
      </c>
      <c r="M164" s="14" t="str">
        <f ca="1">IF(F164&gt;0,ADDRESS(3,(B164+1)*2,4,,"["&amp;wew!$G$7&amp;"]"&amp;_sheetname_labels)&amp;":"&amp;ADDRESS(2+F164,(B164+1)*2,4),"")</f>
        <v/>
      </c>
      <c r="N164" s="14" t="str">
        <f ca="1">ADDRESS(3,B164+1,4,,"[" &amp; wew!$G$7 &amp; "]" &amp;_sheetname_dataframe) &amp; ":" &amp; ADDRESS(2+ster!$C$14,B164+1,4)</f>
        <v>'[dane surowe2c.xlsm]data_frame'!FG3:FG35</v>
      </c>
      <c r="O164" s="14">
        <f t="shared" ca="1" si="39"/>
        <v>0</v>
      </c>
      <c r="P164" s="14" t="str">
        <f ca="1">IF(AND($AD164,$S164=1),IF(wew!$B$3,MIN(INDIRECT($N164)),"&lt;włącz podświetlanie wartości&gt;"),"—")</f>
        <v>—</v>
      </c>
      <c r="Q164" s="14" t="str">
        <f ca="1">IF(AND($AD164,$S164=1),IF(wew!$B$3,MAX(INDIRECT($N164)),"&lt;włącz podświetlanie wartości&gt;"),"—")</f>
        <v>—</v>
      </c>
      <c r="R164" s="14">
        <f ca="1">IF(AD164,ster!$C$14- (COUNTIF( INDIRECT(N164),"" )+ COUNT(INDIRECT(N164)) +COUNTIF( INDIRECT(N164),"NA" )),"")</f>
        <v>0</v>
      </c>
      <c r="S164" s="12">
        <f ca="1">IF(AD164,IF(COUNTA(INDIRECT(N164))=0,0, 1-(ster!$C$14- COUNT(INDIRECT(N164)) -COUNTIF( INDIRECT(N164),"" )) /COUNTA(INDIRECT(N164))),"")</f>
        <v>0</v>
      </c>
      <c r="T164" s="17" t="str">
        <f t="array" aca="1" ref="T164" ca="1">IF(L164&lt;&gt;"",SUM(IF(INDIRECT(L164)&lt;&gt;INT(INDIRECT(L164)),1,0)),"")</f>
        <v/>
      </c>
      <c r="U164" s="17" t="str">
        <f t="array" aca="1" ref="U164" ca="1">IF(S164=1,SUM(IF(ISNUMBER(INDIRECT(N164)),IF(INDIRECT(N164)&lt;&gt;INT(INDIRECT(N164)),1,0),0)),"")</f>
        <v/>
      </c>
      <c r="V164" s="17">
        <f t="shared" ca="1" si="40"/>
        <v>0</v>
      </c>
      <c r="W164" s="17">
        <f t="shared" ca="1" si="41"/>
        <v>0</v>
      </c>
      <c r="X164" s="24" t="str">
        <f t="array" aca="1" ref="X164" ca="1">IF(AD164,IF(AG164&lt;&gt;"",AG164,IF(J164,MIN(INDIRECT( K164)),"")),"")</f>
        <v/>
      </c>
      <c r="Y164" s="17" t="str">
        <f t="array" aca="1" ref="Y164" ca="1">IF(AD164,IF(AH164&lt;&gt;"",AH164,IF(J164,MAX(INDIRECT( K164)),"")),"")</f>
        <v/>
      </c>
      <c r="Z164" s="17" t="b">
        <f t="shared" ca="1" si="42"/>
        <v>0</v>
      </c>
      <c r="AC164" s="17" t="b">
        <f t="shared" ca="1" si="43"/>
        <v>0</v>
      </c>
      <c r="AD164" s="14" t="b">
        <f t="shared" ca="1" si="44"/>
        <v>1</v>
      </c>
      <c r="AE164" s="15" t="b">
        <f t="shared" ca="1" si="45"/>
        <v>0</v>
      </c>
      <c r="AF164" s="16"/>
      <c r="AG164" s="16"/>
      <c r="AH164" s="16"/>
      <c r="AI164" s="16"/>
      <c r="AJ164" s="16"/>
      <c r="AK164" s="16"/>
      <c r="AL164" s="16"/>
      <c r="AM164" s="16"/>
    </row>
    <row r="165" spans="2:39">
      <c r="B165" s="14">
        <f t="shared" si="34"/>
        <v>163</v>
      </c>
      <c r="C165" s="14" t="str">
        <f t="shared" ca="1" si="35"/>
        <v>S</v>
      </c>
      <c r="D165" s="14" t="str">
        <f t="shared" ca="1" si="36"/>
        <v>q_45</v>
      </c>
      <c r="E165" s="14" t="str">
        <f t="shared" ca="1" si="33"/>
        <v>Mother´s number of siblings and birth order</v>
      </c>
      <c r="F165" s="14">
        <f t="shared" ca="1" si="46"/>
        <v>0</v>
      </c>
      <c r="G165" s="14" t="str">
        <f t="shared" ca="1" si="37"/>
        <v>q_45</v>
      </c>
      <c r="H165" s="14">
        <f ca="1">IF(G165&lt;&gt;"",IFERROR( IsVariableNameLegal(G165),0),0)+IF(COUNTIF(INDIRECT(wew!$C$13),G165)&gt;1,10,0)</f>
        <v>0</v>
      </c>
      <c r="I165" s="14">
        <f ca="1">IF(E165&lt;&gt;"",IF(LEN(E165)&gt;150,1,0)+IF(COUNTIF(INDIRECT(wew!$C$15),E165)&gt;1,10,0),0)</f>
        <v>0</v>
      </c>
      <c r="J165" s="14" t="b">
        <f t="shared" ca="1" si="38"/>
        <v>0</v>
      </c>
      <c r="K165" s="14" t="str">
        <f ca="1">ADDRESS(3,(B165+1)*2-1,4,,"[" &amp; wew!$G$7 &amp; "]" &amp; _sheetname_labels) &amp; ":" &amp; ADDRESS(2+ster!$B$20,(B165+1)*2-1,4)</f>
        <v>'[dane surowe2c.xlsm]labels'!LO3:LO36</v>
      </c>
      <c r="L165" s="14" t="str">
        <f ca="1">IF(F165&gt;0,ADDRESS(3,(B165+1)*2-1,4,,"[" &amp; wew!$G$7 &amp; "]" &amp; _sheetname_labels) &amp; ":" &amp; ADDRESS(2+F165,(B165+1)*2-1,4),"")</f>
        <v/>
      </c>
      <c r="M165" s="14" t="str">
        <f ca="1">IF(F165&gt;0,ADDRESS(3,(B165+1)*2,4,,"["&amp;wew!$G$7&amp;"]"&amp;_sheetname_labels)&amp;":"&amp;ADDRESS(2+F165,(B165+1)*2,4),"")</f>
        <v/>
      </c>
      <c r="N165" s="14" t="str">
        <f ca="1">ADDRESS(3,B165+1,4,,"[" &amp; wew!$G$7 &amp; "]" &amp;_sheetname_dataframe) &amp; ":" &amp; ADDRESS(2+ster!$C$14,B165+1,4)</f>
        <v>'[dane surowe2c.xlsm]data_frame'!FH3:FH35</v>
      </c>
      <c r="O165" s="14">
        <f t="shared" ca="1" si="39"/>
        <v>0</v>
      </c>
      <c r="P165" s="14" t="str">
        <f ca="1">IF(AND($AD165,$S165=1),IF(wew!$B$3,MIN(INDIRECT($N165)),"&lt;włącz podświetlanie wartości&gt;"),"—")</f>
        <v>—</v>
      </c>
      <c r="Q165" s="14" t="str">
        <f ca="1">IF(AND($AD165,$S165=1),IF(wew!$B$3,MAX(INDIRECT($N165)),"&lt;włącz podświetlanie wartości&gt;"),"—")</f>
        <v>—</v>
      </c>
      <c r="R165" s="14">
        <f ca="1">IF(AD165,ster!$C$14- (COUNTIF( INDIRECT(N165),"" )+ COUNT(INDIRECT(N165)) +COUNTIF( INDIRECT(N165),"NA" )),"")</f>
        <v>30</v>
      </c>
      <c r="S165" s="12">
        <f ca="1">IF(AD165,IF(COUNTA(INDIRECT(N165))=0,0, 1-(ster!$C$14- COUNT(INDIRECT(N165)) -COUNTIF( INDIRECT(N165),"" )) /COUNTA(INDIRECT(N165))),"")</f>
        <v>0</v>
      </c>
      <c r="T165" s="17" t="str">
        <f t="array" aca="1" ref="T165" ca="1">IF(L165&lt;&gt;"",SUM(IF(INDIRECT(L165)&lt;&gt;INT(INDIRECT(L165)),1,0)),"")</f>
        <v/>
      </c>
      <c r="U165" s="17" t="str">
        <f t="array" aca="1" ref="U165" ca="1">IF(S165=1,SUM(IF(ISNUMBER(INDIRECT(N165)),IF(INDIRECT(N165)&lt;&gt;INT(INDIRECT(N165)),1,0),0)),"")</f>
        <v/>
      </c>
      <c r="V165" s="17">
        <f t="shared" ca="1" si="40"/>
        <v>0</v>
      </c>
      <c r="W165" s="17">
        <f t="shared" ca="1" si="41"/>
        <v>0</v>
      </c>
      <c r="X165" s="24" t="str">
        <f t="array" aca="1" ref="X165" ca="1">IF(AD165,IF(AG165&lt;&gt;"",AG165,IF(J165,MIN(INDIRECT( K165)),"")),"")</f>
        <v/>
      </c>
      <c r="Y165" s="17" t="str">
        <f t="array" aca="1" ref="Y165" ca="1">IF(AD165,IF(AH165&lt;&gt;"",AH165,IF(J165,MAX(INDIRECT( K165)),"")),"")</f>
        <v/>
      </c>
      <c r="Z165" s="17" t="b">
        <f t="shared" ca="1" si="42"/>
        <v>0</v>
      </c>
      <c r="AC165" s="17" t="b">
        <f t="shared" ca="1" si="43"/>
        <v>1</v>
      </c>
      <c r="AD165" s="14" t="b">
        <f t="shared" ca="1" si="44"/>
        <v>1</v>
      </c>
      <c r="AE165" s="15" t="b">
        <f t="shared" ca="1" si="45"/>
        <v>0</v>
      </c>
      <c r="AF165" s="16"/>
      <c r="AG165" s="16"/>
      <c r="AH165" s="16"/>
      <c r="AI165" s="16"/>
      <c r="AJ165" s="16"/>
      <c r="AK165" s="16"/>
      <c r="AL165" s="16"/>
      <c r="AM165" s="16"/>
    </row>
    <row r="166" spans="2:39">
      <c r="B166" s="14">
        <f t="shared" si="34"/>
        <v>164</v>
      </c>
      <c r="C166" s="14" t="str">
        <f t="shared" ca="1" si="35"/>
        <v>S</v>
      </c>
      <c r="D166" s="14" t="str">
        <f t="shared" ca="1" si="36"/>
        <v>q_46</v>
      </c>
      <c r="E166" s="14" t="str">
        <f t="shared" ca="1" si="33"/>
        <v>Father´s number of siblings and birth order</v>
      </c>
      <c r="F166" s="14">
        <f t="shared" ca="1" si="46"/>
        <v>0</v>
      </c>
      <c r="G166" s="14" t="str">
        <f t="shared" ca="1" si="37"/>
        <v>q_46</v>
      </c>
      <c r="H166" s="14">
        <f ca="1">IF(G166&lt;&gt;"",IFERROR( IsVariableNameLegal(G166),0),0)+IF(COUNTIF(INDIRECT(wew!$C$13),G166)&gt;1,10,0)</f>
        <v>0</v>
      </c>
      <c r="I166" s="14">
        <f ca="1">IF(E166&lt;&gt;"",IF(LEN(E166)&gt;150,1,0)+IF(COUNTIF(INDIRECT(wew!$C$15),E166)&gt;1,10,0),0)</f>
        <v>0</v>
      </c>
      <c r="J166" s="14" t="b">
        <f t="shared" ca="1" si="38"/>
        <v>0</v>
      </c>
      <c r="K166" s="14" t="str">
        <f ca="1">ADDRESS(3,(B166+1)*2-1,4,,"[" &amp; wew!$G$7 &amp; "]" &amp; _sheetname_labels) &amp; ":" &amp; ADDRESS(2+ster!$B$20,(B166+1)*2-1,4)</f>
        <v>'[dane surowe2c.xlsm]labels'!LQ3:LQ36</v>
      </c>
      <c r="L166" s="14" t="str">
        <f ca="1">IF(F166&gt;0,ADDRESS(3,(B166+1)*2-1,4,,"[" &amp; wew!$G$7 &amp; "]" &amp; _sheetname_labels) &amp; ":" &amp; ADDRESS(2+F166,(B166+1)*2-1,4),"")</f>
        <v/>
      </c>
      <c r="M166" s="14" t="str">
        <f ca="1">IF(F166&gt;0,ADDRESS(3,(B166+1)*2,4,,"["&amp;wew!$G$7&amp;"]"&amp;_sheetname_labels)&amp;":"&amp;ADDRESS(2+F166,(B166+1)*2,4),"")</f>
        <v/>
      </c>
      <c r="N166" s="14" t="str">
        <f ca="1">ADDRESS(3,B166+1,4,,"[" &amp; wew!$G$7 &amp; "]" &amp;_sheetname_dataframe) &amp; ":" &amp; ADDRESS(2+ster!$C$14,B166+1,4)</f>
        <v>'[dane surowe2c.xlsm]data_frame'!FI3:FI35</v>
      </c>
      <c r="O166" s="14">
        <f t="shared" ca="1" si="39"/>
        <v>0</v>
      </c>
      <c r="P166" s="14" t="str">
        <f ca="1">IF(AND($AD166,$S166=1),IF(wew!$B$3,MIN(INDIRECT($N166)),"&lt;włącz podświetlanie wartości&gt;"),"—")</f>
        <v>—</v>
      </c>
      <c r="Q166" s="14" t="str">
        <f ca="1">IF(AND($AD166,$S166=1),IF(wew!$B$3,MAX(INDIRECT($N166)),"&lt;włącz podświetlanie wartości&gt;"),"—")</f>
        <v>—</v>
      </c>
      <c r="R166" s="14">
        <f ca="1">IF(AD166,ster!$C$14- (COUNTIF( INDIRECT(N166),"" )+ COUNT(INDIRECT(N166)) +COUNTIF( INDIRECT(N166),"NA" )),"")</f>
        <v>29</v>
      </c>
      <c r="S166" s="12">
        <f ca="1">IF(AD166,IF(COUNTA(INDIRECT(N166))=0,0, 1-(ster!$C$14- COUNT(INDIRECT(N166)) -COUNTIF( INDIRECT(N166),"" )) /COUNTA(INDIRECT(N166))),"")</f>
        <v>0</v>
      </c>
      <c r="T166" s="17" t="str">
        <f t="array" aca="1" ref="T166" ca="1">IF(L166&lt;&gt;"",SUM(IF(INDIRECT(L166)&lt;&gt;INT(INDIRECT(L166)),1,0)),"")</f>
        <v/>
      </c>
      <c r="U166" s="17" t="str">
        <f t="array" aca="1" ref="U166" ca="1">IF(S166=1,SUM(IF(ISNUMBER(INDIRECT(N166)),IF(INDIRECT(N166)&lt;&gt;INT(INDIRECT(N166)),1,0),0)),"")</f>
        <v/>
      </c>
      <c r="V166" s="17">
        <f t="shared" ca="1" si="40"/>
        <v>0</v>
      </c>
      <c r="W166" s="17">
        <f t="shared" ca="1" si="41"/>
        <v>0</v>
      </c>
      <c r="X166" s="24" t="str">
        <f t="array" aca="1" ref="X166" ca="1">IF(AD166,IF(AG166&lt;&gt;"",AG166,IF(J166,MIN(INDIRECT( K166)),"")),"")</f>
        <v/>
      </c>
      <c r="Y166" s="17" t="str">
        <f t="array" aca="1" ref="Y166" ca="1">IF(AD166,IF(AH166&lt;&gt;"",AH166,IF(J166,MAX(INDIRECT( K166)),"")),"")</f>
        <v/>
      </c>
      <c r="Z166" s="17" t="b">
        <f t="shared" ca="1" si="42"/>
        <v>0</v>
      </c>
      <c r="AC166" s="17" t="b">
        <f t="shared" ca="1" si="43"/>
        <v>1</v>
      </c>
      <c r="AD166" s="14" t="b">
        <f t="shared" ca="1" si="44"/>
        <v>1</v>
      </c>
      <c r="AE166" s="15" t="b">
        <f t="shared" ca="1" si="45"/>
        <v>0</v>
      </c>
      <c r="AF166" s="16"/>
      <c r="AG166" s="16"/>
      <c r="AH166" s="16"/>
      <c r="AI166" s="16"/>
      <c r="AJ166" s="16"/>
      <c r="AK166" s="16"/>
      <c r="AL166" s="16"/>
      <c r="AM166" s="16"/>
    </row>
    <row r="167" spans="2:39">
      <c r="B167" s="14">
        <f t="shared" si="34"/>
        <v>165</v>
      </c>
      <c r="C167" s="14" t="str">
        <f t="shared" ca="1" si="35"/>
        <v>D</v>
      </c>
      <c r="D167" s="14" t="str">
        <f t="shared" ca="1" si="36"/>
        <v>q_47</v>
      </c>
      <c r="E167" s="14" t="str">
        <f t="shared" ca="1" si="33"/>
        <v>Consanguinity of parents</v>
      </c>
      <c r="F167" s="14">
        <f t="shared" ca="1" si="46"/>
        <v>2</v>
      </c>
      <c r="G167" s="14" t="str">
        <f t="shared" ca="1" si="37"/>
        <v>q_47</v>
      </c>
      <c r="H167" s="14">
        <f ca="1">IF(G167&lt;&gt;"",IFERROR( IsVariableNameLegal(G167),0),0)+IF(COUNTIF(INDIRECT(wew!$C$13),G167)&gt;1,10,0)</f>
        <v>0</v>
      </c>
      <c r="I167" s="14">
        <f ca="1">IF(E167&lt;&gt;"",IF(LEN(E167)&gt;150,1,0)+IF(COUNTIF(INDIRECT(wew!$C$15),E167)&gt;1,10,0),0)</f>
        <v>0</v>
      </c>
      <c r="J167" s="14" t="b">
        <f t="shared" ca="1" si="38"/>
        <v>1</v>
      </c>
      <c r="K167" s="14" t="str">
        <f ca="1">ADDRESS(3,(B167+1)*2-1,4,,"[" &amp; wew!$G$7 &amp; "]" &amp; _sheetname_labels) &amp; ":" &amp; ADDRESS(2+ster!$B$20,(B167+1)*2-1,4)</f>
        <v>'[dane surowe2c.xlsm]labels'!LS3:LS36</v>
      </c>
      <c r="L167" s="14" t="str">
        <f ca="1">IF(F167&gt;0,ADDRESS(3,(B167+1)*2-1,4,,"[" &amp; wew!$G$7 &amp; "]" &amp; _sheetname_labels) &amp; ":" &amp; ADDRESS(2+F167,(B167+1)*2-1,4),"")</f>
        <v>'[dane surowe2c.xlsm]labels'!LS3:LS4</v>
      </c>
      <c r="M167" s="14" t="str">
        <f ca="1">IF(F167&gt;0,ADDRESS(3,(B167+1)*2,4,,"["&amp;wew!$G$7&amp;"]"&amp;_sheetname_labels)&amp;":"&amp;ADDRESS(2+F167,(B167+1)*2,4),"")</f>
        <v>'[dane surowe2c.xlsm]labels'!LT3:LT4</v>
      </c>
      <c r="N167" s="14" t="str">
        <f ca="1">ADDRESS(3,B167+1,4,,"[" &amp; wew!$G$7 &amp; "]" &amp;_sheetname_dataframe) &amp; ":" &amp; ADDRESS(2+ster!$C$14,B167+1,4)</f>
        <v>'[dane surowe2c.xlsm]data_frame'!FJ3:FJ35</v>
      </c>
      <c r="O167" s="14">
        <f t="shared" ca="1" si="39"/>
        <v>32</v>
      </c>
      <c r="P167" s="14">
        <f ca="1">IF(AND($AD167,$S167=1),IF(wew!$B$3,MIN(INDIRECT($N167)),"&lt;włącz podświetlanie wartości&gt;"),"—")</f>
        <v>2</v>
      </c>
      <c r="Q167" s="14">
        <f ca="1">IF(AND($AD167,$S167=1),IF(wew!$B$3,MAX(INDIRECT($N167)),"&lt;włącz podświetlanie wartości&gt;"),"—")</f>
        <v>2</v>
      </c>
      <c r="R167" s="14">
        <f ca="1">IF(AD167,ster!$C$14- (COUNTIF( INDIRECT(N167),"" )+ COUNT(INDIRECT(N167)) +COUNTIF( INDIRECT(N167),"NA" )),"")</f>
        <v>0</v>
      </c>
      <c r="S167" s="12">
        <f ca="1">IF(AD167,IF(COUNTA(INDIRECT(N167))=0,0, 1-(ster!$C$14- COUNT(INDIRECT(N167)) -COUNTIF( INDIRECT(N167),"" )) /COUNTA(INDIRECT(N167))),"")</f>
        <v>1</v>
      </c>
      <c r="T167" s="17">
        <f t="array" aca="1" ref="T167" ca="1">IF(L167&lt;&gt;"",SUM(IF(INDIRECT(L167)&lt;&gt;INT(INDIRECT(L167)),1,0)),"")</f>
        <v>0</v>
      </c>
      <c r="U167" s="17">
        <f t="array" aca="1" ref="U167" ca="1">IF(S167=1,SUM(IF(ISNUMBER(INDIRECT(N167)),IF(INDIRECT(N167)&lt;&gt;INT(INDIRECT(N167)),1,0),0)),"")</f>
        <v>0</v>
      </c>
      <c r="V167" s="17">
        <f t="shared" ca="1" si="40"/>
        <v>1</v>
      </c>
      <c r="W167" s="17">
        <f t="shared" ca="1" si="41"/>
        <v>0</v>
      </c>
      <c r="X167" s="24">
        <f t="array" aca="1" ref="X167" ca="1">IF(AD167,IF(AG167&lt;&gt;"",AG167,IF(J167,MIN(INDIRECT( K167)),"")),"")</f>
        <v>1</v>
      </c>
      <c r="Y167" s="17">
        <f t="array" aca="1" ref="Y167" ca="1">IF(AD167,IF(AH167&lt;&gt;"",AH167,IF(J167,MAX(INDIRECT( K167)),"")),"")</f>
        <v>2</v>
      </c>
      <c r="Z167" s="17" t="b">
        <f t="shared" ca="1" si="42"/>
        <v>1</v>
      </c>
      <c r="AC167" s="17" t="b">
        <f t="shared" ca="1" si="43"/>
        <v>0</v>
      </c>
      <c r="AD167" s="14" t="b">
        <f t="shared" ca="1" si="44"/>
        <v>1</v>
      </c>
      <c r="AE167" s="15" t="b">
        <f t="shared" ca="1" si="45"/>
        <v>1</v>
      </c>
      <c r="AF167" s="16"/>
      <c r="AG167" s="16"/>
      <c r="AH167" s="16"/>
      <c r="AI167" s="16"/>
      <c r="AJ167" s="16"/>
      <c r="AK167" s="16"/>
      <c r="AL167" s="16"/>
      <c r="AM167" s="16"/>
    </row>
    <row r="168" spans="2:39">
      <c r="B168" s="14">
        <f t="shared" si="34"/>
        <v>166</v>
      </c>
      <c r="C168" s="14" t="str">
        <f t="shared" ca="1" si="35"/>
        <v>I</v>
      </c>
      <c r="D168" s="14" t="str">
        <f t="shared" ca="1" si="36"/>
        <v>q_48a</v>
      </c>
      <c r="E168" s="14" t="str">
        <f t="shared" ca="1" si="33"/>
        <v>Number of children</v>
      </c>
      <c r="F168" s="14">
        <f t="shared" ca="1" si="46"/>
        <v>0</v>
      </c>
      <c r="G168" s="14" t="str">
        <f t="shared" ca="1" si="37"/>
        <v>q_48a</v>
      </c>
      <c r="H168" s="14">
        <f ca="1">IF(G168&lt;&gt;"",IFERROR( IsVariableNameLegal(G168),0),0)+IF(COUNTIF(INDIRECT(wew!$C$13),G168)&gt;1,10,0)</f>
        <v>0</v>
      </c>
      <c r="I168" s="14">
        <f ca="1">IF(E168&lt;&gt;"",IF(LEN(E168)&gt;150,1,0)+IF(COUNTIF(INDIRECT(wew!$C$15),E168)&gt;1,10,0),0)</f>
        <v>0</v>
      </c>
      <c r="J168" s="14" t="b">
        <f t="shared" ca="1" si="38"/>
        <v>0</v>
      </c>
      <c r="K168" s="14" t="str">
        <f ca="1">ADDRESS(3,(B168+1)*2-1,4,,"[" &amp; wew!$G$7 &amp; "]" &amp; _sheetname_labels) &amp; ":" &amp; ADDRESS(2+ster!$B$20,(B168+1)*2-1,4)</f>
        <v>'[dane surowe2c.xlsm]labels'!LU3:LU36</v>
      </c>
      <c r="L168" s="14" t="str">
        <f ca="1">IF(F168&gt;0,ADDRESS(3,(B168+1)*2-1,4,,"[" &amp; wew!$G$7 &amp; "]" &amp; _sheetname_labels) &amp; ":" &amp; ADDRESS(2+F168,(B168+1)*2-1,4),"")</f>
        <v/>
      </c>
      <c r="M168" s="14" t="str">
        <f ca="1">IF(F168&gt;0,ADDRESS(3,(B168+1)*2,4,,"["&amp;wew!$G$7&amp;"]"&amp;_sheetname_labels)&amp;":"&amp;ADDRESS(2+F168,(B168+1)*2,4),"")</f>
        <v/>
      </c>
      <c r="N168" s="14" t="str">
        <f ca="1">ADDRESS(3,B168+1,4,,"[" &amp; wew!$G$7 &amp; "]" &amp;_sheetname_dataframe) &amp; ":" &amp; ADDRESS(2+ster!$C$14,B168+1,4)</f>
        <v>'[dane surowe2c.xlsm]data_frame'!FK3:FK35</v>
      </c>
      <c r="O168" s="14">
        <f t="shared" ca="1" si="39"/>
        <v>8</v>
      </c>
      <c r="P168" s="14">
        <f ca="1">IF(AND($AD168,$S168=1),IF(wew!$B$3,MIN(INDIRECT($N168)),"&lt;włącz podświetlanie wartości&gt;"),"—")</f>
        <v>0</v>
      </c>
      <c r="Q168" s="14">
        <f ca="1">IF(AND($AD168,$S168=1),IF(wew!$B$3,MAX(INDIRECT($N168)),"&lt;włącz podświetlanie wartości&gt;"),"—")</f>
        <v>2</v>
      </c>
      <c r="R168" s="14">
        <f ca="1">IF(AD168,ster!$C$14- (COUNTIF( INDIRECT(N168),"" )+ COUNT(INDIRECT(N168)) +COUNTIF( INDIRECT(N168),"NA" )),"")</f>
        <v>0</v>
      </c>
      <c r="S168" s="12">
        <f ca="1">IF(AD168,IF(COUNTA(INDIRECT(N168))=0,0, 1-(ster!$C$14- COUNT(INDIRECT(N168)) -COUNTIF( INDIRECT(N168),"" )) /COUNTA(INDIRECT(N168))),"")</f>
        <v>1</v>
      </c>
      <c r="T168" s="17" t="str">
        <f t="array" aca="1" ref="T168" ca="1">IF(L168&lt;&gt;"",SUM(IF(INDIRECT(L168)&lt;&gt;INT(INDIRECT(L168)),1,0)),"")</f>
        <v/>
      </c>
      <c r="U168" s="17">
        <f t="array" aca="1" ref="U168" ca="1">IF(S168=1,SUM(IF(ISNUMBER(INDIRECT(N168)),IF(INDIRECT(N168)&lt;&gt;INT(INDIRECT(N168)),1,0),0)),"")</f>
        <v>0</v>
      </c>
      <c r="V168" s="17">
        <f t="shared" ca="1" si="40"/>
        <v>1</v>
      </c>
      <c r="W168" s="17">
        <f t="shared" ca="1" si="41"/>
        <v>0</v>
      </c>
      <c r="X168" s="24" t="str">
        <f t="array" aca="1" ref="X168" ca="1">IF(AD168,IF(AG168&lt;&gt;"",AG168,IF(J168,MIN(INDIRECT( K168)),"")),"")</f>
        <v/>
      </c>
      <c r="Y168" s="17" t="str">
        <f t="array" aca="1" ref="Y168" ca="1">IF(AD168,IF(AH168&lt;&gt;"",AH168,IF(J168,MAX(INDIRECT( K168)),"")),"")</f>
        <v/>
      </c>
      <c r="Z168" s="17" t="b">
        <f t="shared" ca="1" si="42"/>
        <v>0</v>
      </c>
      <c r="AC168" s="17" t="b">
        <f t="shared" ca="1" si="43"/>
        <v>0</v>
      </c>
      <c r="AD168" s="14" t="b">
        <f t="shared" ca="1" si="44"/>
        <v>1</v>
      </c>
      <c r="AE168" s="15" t="b">
        <f t="shared" ca="1" si="45"/>
        <v>0</v>
      </c>
      <c r="AF168" s="16"/>
      <c r="AG168" s="16"/>
      <c r="AH168" s="16"/>
      <c r="AI168" s="16"/>
      <c r="AJ168" s="16"/>
      <c r="AK168" s="16"/>
      <c r="AL168" s="16"/>
      <c r="AM168" s="16"/>
    </row>
    <row r="169" spans="2:39">
      <c r="B169" s="14">
        <f t="shared" si="34"/>
        <v>167</v>
      </c>
      <c r="C169" s="14" t="str">
        <f t="shared" ca="1" si="35"/>
        <v>S</v>
      </c>
      <c r="D169" s="14" t="str">
        <f t="shared" ca="1" si="36"/>
        <v>q_48b</v>
      </c>
      <c r="E169" s="14" t="str">
        <f t="shared" ca="1" si="33"/>
        <v>Number of siblings and birth order</v>
      </c>
      <c r="F169" s="14">
        <f t="shared" ca="1" si="46"/>
        <v>0</v>
      </c>
      <c r="G169" s="14" t="str">
        <f t="shared" ca="1" si="37"/>
        <v>q_48b</v>
      </c>
      <c r="H169" s="14">
        <f ca="1">IF(G169&lt;&gt;"",IFERROR( IsVariableNameLegal(G169),0),0)+IF(COUNTIF(INDIRECT(wew!$C$13),G169)&gt;1,10,0)</f>
        <v>0</v>
      </c>
      <c r="I169" s="14">
        <f ca="1">IF(E169&lt;&gt;"",IF(LEN(E169)&gt;150,1,0)+IF(COUNTIF(INDIRECT(wew!$C$15),E169)&gt;1,10,0),0)</f>
        <v>0</v>
      </c>
      <c r="J169" s="14" t="b">
        <f t="shared" ca="1" si="38"/>
        <v>0</v>
      </c>
      <c r="K169" s="14" t="str">
        <f ca="1">ADDRESS(3,(B169+1)*2-1,4,,"[" &amp; wew!$G$7 &amp; "]" &amp; _sheetname_labels) &amp; ":" &amp; ADDRESS(2+ster!$B$20,(B169+1)*2-1,4)</f>
        <v>'[dane surowe2c.xlsm]labels'!LW3:LW36</v>
      </c>
      <c r="L169" s="14" t="str">
        <f ca="1">IF(F169&gt;0,ADDRESS(3,(B169+1)*2-1,4,,"[" &amp; wew!$G$7 &amp; "]" &amp; _sheetname_labels) &amp; ":" &amp; ADDRESS(2+F169,(B169+1)*2-1,4),"")</f>
        <v/>
      </c>
      <c r="M169" s="14" t="str">
        <f ca="1">IF(F169&gt;0,ADDRESS(3,(B169+1)*2,4,,"["&amp;wew!$G$7&amp;"]"&amp;_sheetname_labels)&amp;":"&amp;ADDRESS(2+F169,(B169+1)*2,4),"")</f>
        <v/>
      </c>
      <c r="N169" s="14" t="str">
        <f ca="1">ADDRESS(3,B169+1,4,,"[" &amp; wew!$G$7 &amp; "]" &amp;_sheetname_dataframe) &amp; ":" &amp; ADDRESS(2+ster!$C$14,B169+1,4)</f>
        <v>'[dane surowe2c.xlsm]data_frame'!FL3:FL35</v>
      </c>
      <c r="O169" s="14">
        <f t="shared" ca="1" si="39"/>
        <v>0</v>
      </c>
      <c r="P169" s="14" t="str">
        <f ca="1">IF(AND($AD169,$S169=1),IF(wew!$B$3,MIN(INDIRECT($N169)),"&lt;włącz podświetlanie wartości&gt;"),"—")</f>
        <v>—</v>
      </c>
      <c r="Q169" s="14" t="str">
        <f ca="1">IF(AND($AD169,$S169=1),IF(wew!$B$3,MAX(INDIRECT($N169)),"&lt;włącz podświetlanie wartości&gt;"),"—")</f>
        <v>—</v>
      </c>
      <c r="R169" s="14">
        <f ca="1">IF(AD169,ster!$C$14- (COUNTIF( INDIRECT(N169),"" )+ COUNT(INDIRECT(N169)) +COUNTIF( INDIRECT(N169),"NA" )),"")</f>
        <v>32</v>
      </c>
      <c r="S169" s="12">
        <f ca="1">IF(AD169,IF(COUNTA(INDIRECT(N169))=0,0, 1-(ster!$C$14- COUNT(INDIRECT(N169)) -COUNTIF( INDIRECT(N169),"" )) /COUNTA(INDIRECT(N169))),"")</f>
        <v>0</v>
      </c>
      <c r="T169" s="17" t="str">
        <f t="array" aca="1" ref="T169" ca="1">IF(L169&lt;&gt;"",SUM(IF(INDIRECT(L169)&lt;&gt;INT(INDIRECT(L169)),1,0)),"")</f>
        <v/>
      </c>
      <c r="U169" s="17" t="str">
        <f t="array" aca="1" ref="U169" ca="1">IF(S169=1,SUM(IF(ISNUMBER(INDIRECT(N169)),IF(INDIRECT(N169)&lt;&gt;INT(INDIRECT(N169)),1,0),0)),"")</f>
        <v/>
      </c>
      <c r="V169" s="17">
        <f t="shared" ca="1" si="40"/>
        <v>0</v>
      </c>
      <c r="W169" s="17">
        <f t="shared" ca="1" si="41"/>
        <v>0</v>
      </c>
      <c r="X169" s="24" t="str">
        <f t="array" aca="1" ref="X169" ca="1">IF(AD169,IF(AG169&lt;&gt;"",AG169,IF(J169,MIN(INDIRECT( K169)),"")),"")</f>
        <v/>
      </c>
      <c r="Y169" s="17" t="str">
        <f t="array" aca="1" ref="Y169" ca="1">IF(AD169,IF(AH169&lt;&gt;"",AH169,IF(J169,MAX(INDIRECT( K169)),"")),"")</f>
        <v/>
      </c>
      <c r="Z169" s="17" t="b">
        <f t="shared" ca="1" si="42"/>
        <v>0</v>
      </c>
      <c r="AC169" s="17" t="b">
        <f t="shared" ca="1" si="43"/>
        <v>1</v>
      </c>
      <c r="AD169" s="14" t="b">
        <f t="shared" ca="1" si="44"/>
        <v>1</v>
      </c>
      <c r="AE169" s="15" t="b">
        <f t="shared" ca="1" si="45"/>
        <v>0</v>
      </c>
      <c r="AF169" s="16"/>
      <c r="AG169" s="16"/>
      <c r="AH169" s="16"/>
      <c r="AI169" s="16"/>
      <c r="AJ169" s="16"/>
      <c r="AK169" s="16"/>
      <c r="AL169" s="16"/>
      <c r="AM169" s="16"/>
    </row>
    <row r="170" spans="2:39">
      <c r="B170" s="14">
        <f t="shared" si="34"/>
        <v>168</v>
      </c>
      <c r="C170" s="14" t="str">
        <f t="shared" ca="1" si="35"/>
        <v>D</v>
      </c>
      <c r="D170" s="14" t="str">
        <f t="shared" ca="1" si="36"/>
        <v>q_48c</v>
      </c>
      <c r="E170" s="14" t="str">
        <f t="shared" ca="1" si="33"/>
        <v>With a monozygous twin</v>
      </c>
      <c r="F170" s="14">
        <f t="shared" ca="1" si="46"/>
        <v>2</v>
      </c>
      <c r="G170" s="14" t="str">
        <f t="shared" ca="1" si="37"/>
        <v>q_48c</v>
      </c>
      <c r="H170" s="14">
        <f ca="1">IF(G170&lt;&gt;"",IFERROR( IsVariableNameLegal(G170),0),0)+IF(COUNTIF(INDIRECT(wew!$C$13),G170)&gt;1,10,0)</f>
        <v>0</v>
      </c>
      <c r="I170" s="14">
        <f ca="1">IF(E170&lt;&gt;"",IF(LEN(E170)&gt;150,1,0)+IF(COUNTIF(INDIRECT(wew!$C$15),E170)&gt;1,10,0),0)</f>
        <v>0</v>
      </c>
      <c r="J170" s="14" t="b">
        <f t="shared" ca="1" si="38"/>
        <v>1</v>
      </c>
      <c r="K170" s="14" t="str">
        <f ca="1">ADDRESS(3,(B170+1)*2-1,4,,"[" &amp; wew!$G$7 &amp; "]" &amp; _sheetname_labels) &amp; ":" &amp; ADDRESS(2+ster!$B$20,(B170+1)*2-1,4)</f>
        <v>'[dane surowe2c.xlsm]labels'!LY3:LY36</v>
      </c>
      <c r="L170" s="14" t="str">
        <f ca="1">IF(F170&gt;0,ADDRESS(3,(B170+1)*2-1,4,,"[" &amp; wew!$G$7 &amp; "]" &amp; _sheetname_labels) &amp; ":" &amp; ADDRESS(2+F170,(B170+1)*2-1,4),"")</f>
        <v>'[dane surowe2c.xlsm]labels'!LY3:LY4</v>
      </c>
      <c r="M170" s="14" t="str">
        <f ca="1">IF(F170&gt;0,ADDRESS(3,(B170+1)*2,4,,"["&amp;wew!$G$7&amp;"]"&amp;_sheetname_labels)&amp;":"&amp;ADDRESS(2+F170,(B170+1)*2,4),"")</f>
        <v>'[dane surowe2c.xlsm]labels'!LZ3:LZ4</v>
      </c>
      <c r="N170" s="14" t="str">
        <f ca="1">ADDRESS(3,B170+1,4,,"[" &amp; wew!$G$7 &amp; "]" &amp;_sheetname_dataframe) &amp; ":" &amp; ADDRESS(2+ster!$C$14,B170+1,4)</f>
        <v>'[dane surowe2c.xlsm]data_frame'!FM3:FM35</v>
      </c>
      <c r="O170" s="14">
        <f t="shared" ca="1" si="39"/>
        <v>32</v>
      </c>
      <c r="P170" s="14">
        <f ca="1">IF(AND($AD170,$S170=1),IF(wew!$B$3,MIN(INDIRECT($N170)),"&lt;włącz podświetlanie wartości&gt;"),"—")</f>
        <v>2</v>
      </c>
      <c r="Q170" s="14">
        <f ca="1">IF(AND($AD170,$S170=1),IF(wew!$B$3,MAX(INDIRECT($N170)),"&lt;włącz podświetlanie wartości&gt;"),"—")</f>
        <v>2</v>
      </c>
      <c r="R170" s="14">
        <f ca="1">IF(AD170,ster!$C$14- (COUNTIF( INDIRECT(N170),"" )+ COUNT(INDIRECT(N170)) +COUNTIF( INDIRECT(N170),"NA" )),"")</f>
        <v>0</v>
      </c>
      <c r="S170" s="12">
        <f ca="1">IF(AD170,IF(COUNTA(INDIRECT(N170))=0,0, 1-(ster!$C$14- COUNT(INDIRECT(N170)) -COUNTIF( INDIRECT(N170),"" )) /COUNTA(INDIRECT(N170))),"")</f>
        <v>1</v>
      </c>
      <c r="T170" s="17">
        <f t="array" aca="1" ref="T170" ca="1">IF(L170&lt;&gt;"",SUM(IF(INDIRECT(L170)&lt;&gt;INT(INDIRECT(L170)),1,0)),"")</f>
        <v>0</v>
      </c>
      <c r="U170" s="17">
        <f t="array" aca="1" ref="U170" ca="1">IF(S170=1,SUM(IF(ISNUMBER(INDIRECT(N170)),IF(INDIRECT(N170)&lt;&gt;INT(INDIRECT(N170)),1,0),0)),"")</f>
        <v>0</v>
      </c>
      <c r="V170" s="17">
        <f t="shared" ca="1" si="40"/>
        <v>1</v>
      </c>
      <c r="W170" s="17">
        <f t="shared" ca="1" si="41"/>
        <v>0</v>
      </c>
      <c r="X170" s="24">
        <f t="array" aca="1" ref="X170" ca="1">IF(AD170,IF(AG170&lt;&gt;"",AG170,IF(J170,MIN(INDIRECT( K170)),"")),"")</f>
        <v>1</v>
      </c>
      <c r="Y170" s="17">
        <f t="array" aca="1" ref="Y170" ca="1">IF(AD170,IF(AH170&lt;&gt;"",AH170,IF(J170,MAX(INDIRECT( K170)),"")),"")</f>
        <v>2</v>
      </c>
      <c r="Z170" s="17" t="b">
        <f t="shared" ca="1" si="42"/>
        <v>1</v>
      </c>
      <c r="AC170" s="17" t="b">
        <f t="shared" ca="1" si="43"/>
        <v>0</v>
      </c>
      <c r="AD170" s="14" t="b">
        <f t="shared" ca="1" si="44"/>
        <v>1</v>
      </c>
      <c r="AE170" s="15" t="b">
        <f t="shared" ca="1" si="45"/>
        <v>1</v>
      </c>
      <c r="AF170" s="16"/>
      <c r="AG170" s="16"/>
      <c r="AH170" s="16"/>
      <c r="AI170" s="16"/>
      <c r="AJ170" s="16"/>
      <c r="AK170" s="16"/>
      <c r="AL170" s="16"/>
      <c r="AM170" s="16"/>
    </row>
    <row r="171" spans="2:39">
      <c r="B171" s="14">
        <f t="shared" si="34"/>
        <v>169</v>
      </c>
      <c r="C171" s="14" t="str">
        <f t="shared" ca="1" si="35"/>
        <v>D</v>
      </c>
      <c r="D171" s="14" t="str">
        <f t="shared" ca="1" si="36"/>
        <v>q_48d</v>
      </c>
      <c r="E171" s="14" t="str">
        <f t="shared" ca="1" si="33"/>
        <v>With a dizygous twin</v>
      </c>
      <c r="F171" s="14">
        <f t="shared" ca="1" si="46"/>
        <v>2</v>
      </c>
      <c r="G171" s="14" t="str">
        <f t="shared" ca="1" si="37"/>
        <v>q_48d</v>
      </c>
      <c r="H171" s="14">
        <f ca="1">IF(G171&lt;&gt;"",IFERROR( IsVariableNameLegal(G171),0),0)+IF(COUNTIF(INDIRECT(wew!$C$13),G171)&gt;1,10,0)</f>
        <v>0</v>
      </c>
      <c r="I171" s="14">
        <f ca="1">IF(E171&lt;&gt;"",IF(LEN(E171)&gt;150,1,0)+IF(COUNTIF(INDIRECT(wew!$C$15),E171)&gt;1,10,0),0)</f>
        <v>0</v>
      </c>
      <c r="J171" s="14" t="b">
        <f t="shared" ca="1" si="38"/>
        <v>1</v>
      </c>
      <c r="K171" s="14" t="str">
        <f ca="1">ADDRESS(3,(B171+1)*2-1,4,,"[" &amp; wew!$G$7 &amp; "]" &amp; _sheetname_labels) &amp; ":" &amp; ADDRESS(2+ster!$B$20,(B171+1)*2-1,4)</f>
        <v>'[dane surowe2c.xlsm]labels'!MA3:MA36</v>
      </c>
      <c r="L171" s="14" t="str">
        <f ca="1">IF(F171&gt;0,ADDRESS(3,(B171+1)*2-1,4,,"[" &amp; wew!$G$7 &amp; "]" &amp; _sheetname_labels) &amp; ":" &amp; ADDRESS(2+F171,(B171+1)*2-1,4),"")</f>
        <v>'[dane surowe2c.xlsm]labels'!MA3:MA4</v>
      </c>
      <c r="M171" s="14" t="str">
        <f ca="1">IF(F171&gt;0,ADDRESS(3,(B171+1)*2,4,,"["&amp;wew!$G$7&amp;"]"&amp;_sheetname_labels)&amp;":"&amp;ADDRESS(2+F171,(B171+1)*2,4),"")</f>
        <v>'[dane surowe2c.xlsm]labels'!MB3:MB4</v>
      </c>
      <c r="N171" s="14" t="str">
        <f ca="1">ADDRESS(3,B171+1,4,,"[" &amp; wew!$G$7 &amp; "]" &amp;_sheetname_dataframe) &amp; ":" &amp; ADDRESS(2+ster!$C$14,B171+1,4)</f>
        <v>'[dane surowe2c.xlsm]data_frame'!FN3:FN35</v>
      </c>
      <c r="O171" s="14">
        <f t="shared" ca="1" si="39"/>
        <v>32</v>
      </c>
      <c r="P171" s="14">
        <f ca="1">IF(AND($AD171,$S171=1),IF(wew!$B$3,MIN(INDIRECT($N171)),"&lt;włącz podświetlanie wartości&gt;"),"—")</f>
        <v>2</v>
      </c>
      <c r="Q171" s="14">
        <f ca="1">IF(AND($AD171,$S171=1),IF(wew!$B$3,MAX(INDIRECT($N171)),"&lt;włącz podświetlanie wartości&gt;"),"—")</f>
        <v>2</v>
      </c>
      <c r="R171" s="14">
        <f ca="1">IF(AD171,ster!$C$14- (COUNTIF( INDIRECT(N171),"" )+ COUNT(INDIRECT(N171)) +COUNTIF( INDIRECT(N171),"NA" )),"")</f>
        <v>0</v>
      </c>
      <c r="S171" s="12">
        <f ca="1">IF(AD171,IF(COUNTA(INDIRECT(N171))=0,0, 1-(ster!$C$14- COUNT(INDIRECT(N171)) -COUNTIF( INDIRECT(N171),"" )) /COUNTA(INDIRECT(N171))),"")</f>
        <v>1</v>
      </c>
      <c r="T171" s="17">
        <f t="array" aca="1" ref="T171" ca="1">IF(L171&lt;&gt;"",SUM(IF(INDIRECT(L171)&lt;&gt;INT(INDIRECT(L171)),1,0)),"")</f>
        <v>0</v>
      </c>
      <c r="U171" s="17">
        <f t="array" aca="1" ref="U171" ca="1">IF(S171=1,SUM(IF(ISNUMBER(INDIRECT(N171)),IF(INDIRECT(N171)&lt;&gt;INT(INDIRECT(N171)),1,0),0)),"")</f>
        <v>0</v>
      </c>
      <c r="V171" s="17">
        <f t="shared" ca="1" si="40"/>
        <v>1</v>
      </c>
      <c r="W171" s="17">
        <f t="shared" ca="1" si="41"/>
        <v>0</v>
      </c>
      <c r="X171" s="24">
        <f t="array" aca="1" ref="X171" ca="1">IF(AD171,IF(AG171&lt;&gt;"",AG171,IF(J171,MIN(INDIRECT( K171)),"")),"")</f>
        <v>1</v>
      </c>
      <c r="Y171" s="17">
        <f t="array" aca="1" ref="Y171" ca="1">IF(AD171,IF(AH171&lt;&gt;"",AH171,IF(J171,MAX(INDIRECT( K171)),"")),"")</f>
        <v>2</v>
      </c>
      <c r="Z171" s="17" t="b">
        <f t="shared" ca="1" si="42"/>
        <v>1</v>
      </c>
      <c r="AC171" s="17" t="b">
        <f t="shared" ca="1" si="43"/>
        <v>0</v>
      </c>
      <c r="AD171" s="14" t="b">
        <f t="shared" ca="1" si="44"/>
        <v>1</v>
      </c>
      <c r="AE171" s="15" t="b">
        <f t="shared" ca="1" si="45"/>
        <v>1</v>
      </c>
      <c r="AF171" s="16"/>
      <c r="AG171" s="16"/>
      <c r="AH171" s="16"/>
      <c r="AI171" s="16"/>
      <c r="AJ171" s="16"/>
      <c r="AK171" s="16"/>
      <c r="AL171" s="16"/>
      <c r="AM171" s="16"/>
    </row>
    <row r="172" spans="2:39">
      <c r="B172" s="14">
        <f t="shared" si="34"/>
        <v>170</v>
      </c>
      <c r="C172" s="14" t="str">
        <f t="shared" ca="1" si="35"/>
        <v>D</v>
      </c>
      <c r="D172" s="14" t="str">
        <f t="shared" ca="1" si="36"/>
        <v>q_49</v>
      </c>
      <c r="E172" s="14" t="str">
        <f t="shared" ca="1" si="33"/>
        <v>Regular physical exercise</v>
      </c>
      <c r="F172" s="14">
        <f t="shared" ca="1" si="46"/>
        <v>2</v>
      </c>
      <c r="G172" s="14" t="str">
        <f t="shared" ca="1" si="37"/>
        <v>q_49</v>
      </c>
      <c r="H172" s="14">
        <f ca="1">IF(G172&lt;&gt;"",IFERROR( IsVariableNameLegal(G172),0),0)+IF(COUNTIF(INDIRECT(wew!$C$13),G172)&gt;1,10,0)</f>
        <v>0</v>
      </c>
      <c r="I172" s="14">
        <f ca="1">IF(E172&lt;&gt;"",IF(LEN(E172)&gt;150,1,0)+IF(COUNTIF(INDIRECT(wew!$C$15),E172)&gt;1,10,0),0)</f>
        <v>0</v>
      </c>
      <c r="J172" s="14" t="b">
        <f t="shared" ca="1" si="38"/>
        <v>1</v>
      </c>
      <c r="K172" s="14" t="str">
        <f ca="1">ADDRESS(3,(B172+1)*2-1,4,,"[" &amp; wew!$G$7 &amp; "]" &amp; _sheetname_labels) &amp; ":" &amp; ADDRESS(2+ster!$B$20,(B172+1)*2-1,4)</f>
        <v>'[dane surowe2c.xlsm]labels'!MC3:MC36</v>
      </c>
      <c r="L172" s="14" t="str">
        <f ca="1">IF(F172&gt;0,ADDRESS(3,(B172+1)*2-1,4,,"[" &amp; wew!$G$7 &amp; "]" &amp; _sheetname_labels) &amp; ":" &amp; ADDRESS(2+F172,(B172+1)*2-1,4),"")</f>
        <v>'[dane surowe2c.xlsm]labels'!MC3:MC4</v>
      </c>
      <c r="M172" s="14" t="str">
        <f ca="1">IF(F172&gt;0,ADDRESS(3,(B172+1)*2,4,,"["&amp;wew!$G$7&amp;"]"&amp;_sheetname_labels)&amp;":"&amp;ADDRESS(2+F172,(B172+1)*2,4),"")</f>
        <v>'[dane surowe2c.xlsm]labels'!MD3:MD4</v>
      </c>
      <c r="N172" s="14" t="str">
        <f ca="1">ADDRESS(3,B172+1,4,,"[" &amp; wew!$G$7 &amp; "]" &amp;_sheetname_dataframe) &amp; ":" &amp; ADDRESS(2+ster!$C$14,B172+1,4)</f>
        <v>'[dane surowe2c.xlsm]data_frame'!FO3:FO35</v>
      </c>
      <c r="O172" s="14">
        <f t="shared" ca="1" si="39"/>
        <v>32</v>
      </c>
      <c r="P172" s="14">
        <f ca="1">IF(AND($AD172,$S172=1),IF(wew!$B$3,MIN(INDIRECT($N172)),"&lt;włącz podświetlanie wartości&gt;"),"—")</f>
        <v>1</v>
      </c>
      <c r="Q172" s="14">
        <f ca="1">IF(AND($AD172,$S172=1),IF(wew!$B$3,MAX(INDIRECT($N172)),"&lt;włącz podświetlanie wartości&gt;"),"—")</f>
        <v>2</v>
      </c>
      <c r="R172" s="14">
        <f ca="1">IF(AD172,ster!$C$14- (COUNTIF( INDIRECT(N172),"" )+ COUNT(INDIRECT(N172)) +COUNTIF( INDIRECT(N172),"NA" )),"")</f>
        <v>0</v>
      </c>
      <c r="S172" s="12">
        <f ca="1">IF(AD172,IF(COUNTA(INDIRECT(N172))=0,0, 1-(ster!$C$14- COUNT(INDIRECT(N172)) -COUNTIF( INDIRECT(N172),"" )) /COUNTA(INDIRECT(N172))),"")</f>
        <v>1</v>
      </c>
      <c r="T172" s="17">
        <f t="array" aca="1" ref="T172" ca="1">IF(L172&lt;&gt;"",SUM(IF(INDIRECT(L172)&lt;&gt;INT(INDIRECT(L172)),1,0)),"")</f>
        <v>0</v>
      </c>
      <c r="U172" s="17">
        <f t="array" aca="1" ref="U172" ca="1">IF(S172=1,SUM(IF(ISNUMBER(INDIRECT(N172)),IF(INDIRECT(N172)&lt;&gt;INT(INDIRECT(N172)),1,0),0)),"")</f>
        <v>0</v>
      </c>
      <c r="V172" s="17">
        <f t="shared" ca="1" si="40"/>
        <v>1</v>
      </c>
      <c r="W172" s="17">
        <f t="shared" ca="1" si="41"/>
        <v>0</v>
      </c>
      <c r="X172" s="24">
        <f t="array" aca="1" ref="X172" ca="1">IF(AD172,IF(AG172&lt;&gt;"",AG172,IF(J172,MIN(INDIRECT( K172)),"")),"")</f>
        <v>1</v>
      </c>
      <c r="Y172" s="17">
        <f t="array" aca="1" ref="Y172" ca="1">IF(AD172,IF(AH172&lt;&gt;"",AH172,IF(J172,MAX(INDIRECT( K172)),"")),"")</f>
        <v>2</v>
      </c>
      <c r="Z172" s="17" t="b">
        <f t="shared" ca="1" si="42"/>
        <v>1</v>
      </c>
      <c r="AC172" s="17" t="b">
        <f t="shared" ca="1" si="43"/>
        <v>0</v>
      </c>
      <c r="AD172" s="14" t="b">
        <f t="shared" ca="1" si="44"/>
        <v>1</v>
      </c>
      <c r="AE172" s="15" t="b">
        <f t="shared" ca="1" si="45"/>
        <v>1</v>
      </c>
      <c r="AF172" s="16"/>
      <c r="AG172" s="16"/>
      <c r="AH172" s="16"/>
      <c r="AI172" s="16"/>
      <c r="AJ172" s="16"/>
      <c r="AK172" s="16"/>
      <c r="AL172" s="16"/>
      <c r="AM172" s="16"/>
    </row>
    <row r="173" spans="2:39">
      <c r="B173" s="14">
        <f t="shared" si="34"/>
        <v>171</v>
      </c>
      <c r="C173" s="14" t="str">
        <f t="shared" ca="1" si="35"/>
        <v>D</v>
      </c>
      <c r="D173" s="14" t="str">
        <f t="shared" ca="1" si="36"/>
        <v>q_50a.1</v>
      </c>
      <c r="E173" s="14" t="str">
        <f t="shared" ca="1" si="33"/>
        <v>Moderate Basketball activity</v>
      </c>
      <c r="F173" s="14">
        <f t="shared" ca="1" si="46"/>
        <v>2</v>
      </c>
      <c r="G173" s="14" t="str">
        <f t="shared" ca="1" si="37"/>
        <v>q_50a.1</v>
      </c>
      <c r="H173" s="14">
        <f ca="1">IF(G173&lt;&gt;"",IFERROR( IsVariableNameLegal(G173),0),0)+IF(COUNTIF(INDIRECT(wew!$C$13),G173)&gt;1,10,0)</f>
        <v>0</v>
      </c>
      <c r="I173" s="14">
        <f ca="1">IF(E173&lt;&gt;"",IF(LEN(E173)&gt;150,1,0)+IF(COUNTIF(INDIRECT(wew!$C$15),E173)&gt;1,10,0),0)</f>
        <v>0</v>
      </c>
      <c r="J173" s="14" t="b">
        <f t="shared" ca="1" si="38"/>
        <v>1</v>
      </c>
      <c r="K173" s="14" t="str">
        <f ca="1">ADDRESS(3,(B173+1)*2-1,4,,"[" &amp; wew!$G$7 &amp; "]" &amp; _sheetname_labels) &amp; ":" &amp; ADDRESS(2+ster!$B$20,(B173+1)*2-1,4)</f>
        <v>'[dane surowe2c.xlsm]labels'!ME3:ME36</v>
      </c>
      <c r="L173" s="14" t="str">
        <f ca="1">IF(F173&gt;0,ADDRESS(3,(B173+1)*2-1,4,,"[" &amp; wew!$G$7 &amp; "]" &amp; _sheetname_labels) &amp; ":" &amp; ADDRESS(2+F173,(B173+1)*2-1,4),"")</f>
        <v>'[dane surowe2c.xlsm]labels'!ME3:ME4</v>
      </c>
      <c r="M173" s="14" t="str">
        <f ca="1">IF(F173&gt;0,ADDRESS(3,(B173+1)*2,4,,"["&amp;wew!$G$7&amp;"]"&amp;_sheetname_labels)&amp;":"&amp;ADDRESS(2+F173,(B173+1)*2,4),"")</f>
        <v>'[dane surowe2c.xlsm]labels'!MF3:MF4</v>
      </c>
      <c r="N173" s="14" t="str">
        <f ca="1">ADDRESS(3,B173+1,4,,"[" &amp; wew!$G$7 &amp; "]" &amp;_sheetname_dataframe) &amp; ":" &amp; ADDRESS(2+ster!$C$14,B173+1,4)</f>
        <v>'[dane surowe2c.xlsm]data_frame'!FP3:FP35</v>
      </c>
      <c r="O173" s="14">
        <f t="shared" ca="1" si="39"/>
        <v>32</v>
      </c>
      <c r="P173" s="14">
        <f ca="1">IF(AND($AD173,$S173=1),IF(wew!$B$3,MIN(INDIRECT($N173)),"&lt;włącz podświetlanie wartości&gt;"),"—")</f>
        <v>1</v>
      </c>
      <c r="Q173" s="14">
        <f ca="1">IF(AND($AD173,$S173=1),IF(wew!$B$3,MAX(INDIRECT($N173)),"&lt;włącz podświetlanie wartości&gt;"),"—")</f>
        <v>2</v>
      </c>
      <c r="R173" s="14">
        <f ca="1">IF(AD173,ster!$C$14- (COUNTIF( INDIRECT(N173),"" )+ COUNT(INDIRECT(N173)) +COUNTIF( INDIRECT(N173),"NA" )),"")</f>
        <v>0</v>
      </c>
      <c r="S173" s="12">
        <f ca="1">IF(AD173,IF(COUNTA(INDIRECT(N173))=0,0, 1-(ster!$C$14- COUNT(INDIRECT(N173)) -COUNTIF( INDIRECT(N173),"" )) /COUNTA(INDIRECT(N173))),"")</f>
        <v>1</v>
      </c>
      <c r="T173" s="17">
        <f t="array" aca="1" ref="T173" ca="1">IF(L173&lt;&gt;"",SUM(IF(INDIRECT(L173)&lt;&gt;INT(INDIRECT(L173)),1,0)),"")</f>
        <v>0</v>
      </c>
      <c r="U173" s="17">
        <f t="array" aca="1" ref="U173" ca="1">IF(S173=1,SUM(IF(ISNUMBER(INDIRECT(N173)),IF(INDIRECT(N173)&lt;&gt;INT(INDIRECT(N173)),1,0),0)),"")</f>
        <v>0</v>
      </c>
      <c r="V173" s="17">
        <f t="shared" ca="1" si="40"/>
        <v>1</v>
      </c>
      <c r="W173" s="17">
        <f t="shared" ca="1" si="41"/>
        <v>0</v>
      </c>
      <c r="X173" s="24">
        <f t="array" aca="1" ref="X173" ca="1">IF(AD173,IF(AG173&lt;&gt;"",AG173,IF(J173,MIN(INDIRECT( K173)),"")),"")</f>
        <v>1</v>
      </c>
      <c r="Y173" s="17">
        <f t="array" aca="1" ref="Y173" ca="1">IF(AD173,IF(AH173&lt;&gt;"",AH173,IF(J173,MAX(INDIRECT( K173)),"")),"")</f>
        <v>2</v>
      </c>
      <c r="Z173" s="17" t="b">
        <f t="shared" ca="1" si="42"/>
        <v>1</v>
      </c>
      <c r="AC173" s="17" t="b">
        <f t="shared" ca="1" si="43"/>
        <v>0</v>
      </c>
      <c r="AD173" s="14" t="b">
        <f t="shared" ca="1" si="44"/>
        <v>1</v>
      </c>
      <c r="AE173" s="15" t="b">
        <f t="shared" ca="1" si="45"/>
        <v>1</v>
      </c>
      <c r="AF173" s="16"/>
      <c r="AG173" s="16"/>
      <c r="AH173" s="16"/>
      <c r="AI173" s="16"/>
      <c r="AJ173" s="16"/>
      <c r="AK173" s="16"/>
      <c r="AL173" s="16"/>
      <c r="AM173" s="16"/>
    </row>
    <row r="174" spans="2:39">
      <c r="B174" s="14">
        <f t="shared" si="34"/>
        <v>172</v>
      </c>
      <c r="C174" s="14" t="str">
        <f t="shared" ca="1" si="35"/>
        <v>I</v>
      </c>
      <c r="D174" s="14" t="str">
        <f t="shared" ca="1" si="36"/>
        <v>q_50a.2</v>
      </c>
      <c r="E174" s="14" t="str">
        <f t="shared" ca="1" si="33"/>
        <v>How long Basketball activity</v>
      </c>
      <c r="F174" s="14">
        <f t="shared" ca="1" si="46"/>
        <v>0</v>
      </c>
      <c r="G174" s="14" t="str">
        <f t="shared" ca="1" si="37"/>
        <v>q_50a.2</v>
      </c>
      <c r="H174" s="14">
        <f ca="1">IF(G174&lt;&gt;"",IFERROR( IsVariableNameLegal(G174),0),0)+IF(COUNTIF(INDIRECT(wew!$C$13),G174)&gt;1,10,0)</f>
        <v>0</v>
      </c>
      <c r="I174" s="14">
        <f ca="1">IF(E174&lt;&gt;"",IF(LEN(E174)&gt;150,1,0)+IF(COUNTIF(INDIRECT(wew!$C$15),E174)&gt;1,10,0),0)</f>
        <v>10</v>
      </c>
      <c r="J174" s="14" t="b">
        <f t="shared" ca="1" si="38"/>
        <v>0</v>
      </c>
      <c r="K174" s="14" t="str">
        <f ca="1">ADDRESS(3,(B174+1)*2-1,4,,"[" &amp; wew!$G$7 &amp; "]" &amp; _sheetname_labels) &amp; ":" &amp; ADDRESS(2+ster!$B$20,(B174+1)*2-1,4)</f>
        <v>'[dane surowe2c.xlsm]labels'!MG3:MG36</v>
      </c>
      <c r="L174" s="14" t="str">
        <f ca="1">IF(F174&gt;0,ADDRESS(3,(B174+1)*2-1,4,,"[" &amp; wew!$G$7 &amp; "]" &amp; _sheetname_labels) &amp; ":" &amp; ADDRESS(2+F174,(B174+1)*2-1,4),"")</f>
        <v/>
      </c>
      <c r="M174" s="14" t="str">
        <f ca="1">IF(F174&gt;0,ADDRESS(3,(B174+1)*2,4,,"["&amp;wew!$G$7&amp;"]"&amp;_sheetname_labels)&amp;":"&amp;ADDRESS(2+F174,(B174+1)*2,4),"")</f>
        <v/>
      </c>
      <c r="N174" s="14" t="str">
        <f ca="1">ADDRESS(3,B174+1,4,,"[" &amp; wew!$G$7 &amp; "]" &amp;_sheetname_dataframe) &amp; ":" &amp; ADDRESS(2+ster!$C$14,B174+1,4)</f>
        <v>'[dane surowe2c.xlsm]data_frame'!FQ3:FQ35</v>
      </c>
      <c r="O174" s="14">
        <f t="shared" ca="1" si="39"/>
        <v>1</v>
      </c>
      <c r="P174" s="14">
        <f ca="1">IF(AND($AD174,$S174=1),IF(wew!$B$3,MIN(INDIRECT($N174)),"&lt;włącz podświetlanie wartości&gt;"),"—")</f>
        <v>5</v>
      </c>
      <c r="Q174" s="14">
        <f ca="1">IF(AND($AD174,$S174=1),IF(wew!$B$3,MAX(INDIRECT($N174)),"&lt;włącz podświetlanie wartości&gt;"),"—")</f>
        <v>5</v>
      </c>
      <c r="R174" s="14">
        <f ca="1">IF(AD174,ster!$C$14- (COUNTIF( INDIRECT(N174),"" )+ COUNT(INDIRECT(N174)) +COUNTIF( INDIRECT(N174),"NA" )),"")</f>
        <v>0</v>
      </c>
      <c r="S174" s="12">
        <f ca="1">IF(AD174,IF(COUNTA(INDIRECT(N174))=0,0, 1-(ster!$C$14- COUNT(INDIRECT(N174)) -COUNTIF( INDIRECT(N174),"" )) /COUNTA(INDIRECT(N174))),"")</f>
        <v>1</v>
      </c>
      <c r="T174" s="17" t="str">
        <f t="array" aca="1" ref="T174" ca="1">IF(L174&lt;&gt;"",SUM(IF(INDIRECT(L174)&lt;&gt;INT(INDIRECT(L174)),1,0)),"")</f>
        <v/>
      </c>
      <c r="U174" s="17">
        <f t="array" aca="1" ref="U174" ca="1">IF(S174=1,SUM(IF(ISNUMBER(INDIRECT(N174)),IF(INDIRECT(N174)&lt;&gt;INT(INDIRECT(N174)),1,0),0)),"")</f>
        <v>0</v>
      </c>
      <c r="V174" s="17">
        <f t="shared" ca="1" si="40"/>
        <v>1</v>
      </c>
      <c r="W174" s="17">
        <f t="shared" ca="1" si="41"/>
        <v>0</v>
      </c>
      <c r="X174" s="24" t="str">
        <f t="array" aca="1" ref="X174" ca="1">IF(AD174,IF(AG174&lt;&gt;"",AG174,IF(J174,MIN(INDIRECT( K174)),"")),"")</f>
        <v/>
      </c>
      <c r="Y174" s="17" t="str">
        <f t="array" aca="1" ref="Y174" ca="1">IF(AD174,IF(AH174&lt;&gt;"",AH174,IF(J174,MAX(INDIRECT( K174)),"")),"")</f>
        <v/>
      </c>
      <c r="Z174" s="17" t="b">
        <f t="shared" ca="1" si="42"/>
        <v>0</v>
      </c>
      <c r="AC174" s="17" t="b">
        <f t="shared" ca="1" si="43"/>
        <v>0</v>
      </c>
      <c r="AD174" s="14" t="b">
        <f t="shared" ca="1" si="44"/>
        <v>1</v>
      </c>
      <c r="AE174" s="15" t="b">
        <f t="shared" ca="1" si="45"/>
        <v>0</v>
      </c>
      <c r="AF174" s="16"/>
      <c r="AG174" s="16"/>
      <c r="AH174" s="16"/>
      <c r="AI174" s="16"/>
      <c r="AJ174" s="16"/>
      <c r="AK174" s="16"/>
      <c r="AL174" s="16"/>
      <c r="AM174" s="16"/>
    </row>
    <row r="175" spans="2:39">
      <c r="B175" s="14">
        <f t="shared" si="34"/>
        <v>173</v>
      </c>
      <c r="C175" s="14" t="str">
        <f t="shared" ca="1" si="35"/>
        <v>D</v>
      </c>
      <c r="D175" s="14" t="str">
        <f t="shared" ca="1" si="36"/>
        <v>q_50b.1</v>
      </c>
      <c r="E175" s="14" t="str">
        <f t="shared" ca="1" si="33"/>
        <v>Moderate Boxing activity</v>
      </c>
      <c r="F175" s="14">
        <f t="shared" ca="1" si="46"/>
        <v>2</v>
      </c>
      <c r="G175" s="14" t="str">
        <f t="shared" ca="1" si="37"/>
        <v>q_50b.1</v>
      </c>
      <c r="H175" s="14">
        <f ca="1">IF(G175&lt;&gt;"",IFERROR( IsVariableNameLegal(G175),0),0)+IF(COUNTIF(INDIRECT(wew!$C$13),G175)&gt;1,10,0)</f>
        <v>0</v>
      </c>
      <c r="I175" s="14">
        <f ca="1">IF(E175&lt;&gt;"",IF(LEN(E175)&gt;150,1,0)+IF(COUNTIF(INDIRECT(wew!$C$15),E175)&gt;1,10,0),0)</f>
        <v>0</v>
      </c>
      <c r="J175" s="14" t="b">
        <f t="shared" ca="1" si="38"/>
        <v>1</v>
      </c>
      <c r="K175" s="14" t="str">
        <f ca="1">ADDRESS(3,(B175+1)*2-1,4,,"[" &amp; wew!$G$7 &amp; "]" &amp; _sheetname_labels) &amp; ":" &amp; ADDRESS(2+ster!$B$20,(B175+1)*2-1,4)</f>
        <v>'[dane surowe2c.xlsm]labels'!MI3:MI36</v>
      </c>
      <c r="L175" s="14" t="str">
        <f ca="1">IF(F175&gt;0,ADDRESS(3,(B175+1)*2-1,4,,"[" &amp; wew!$G$7 &amp; "]" &amp; _sheetname_labels) &amp; ":" &amp; ADDRESS(2+F175,(B175+1)*2-1,4),"")</f>
        <v>'[dane surowe2c.xlsm]labels'!MI3:MI4</v>
      </c>
      <c r="M175" s="14" t="str">
        <f ca="1">IF(F175&gt;0,ADDRESS(3,(B175+1)*2,4,,"["&amp;wew!$G$7&amp;"]"&amp;_sheetname_labels)&amp;":"&amp;ADDRESS(2+F175,(B175+1)*2,4),"")</f>
        <v>'[dane surowe2c.xlsm]labels'!MJ3:MJ4</v>
      </c>
      <c r="N175" s="14" t="str">
        <f ca="1">ADDRESS(3,B175+1,4,,"[" &amp; wew!$G$7 &amp; "]" &amp;_sheetname_dataframe) &amp; ":" &amp; ADDRESS(2+ster!$C$14,B175+1,4)</f>
        <v>'[dane surowe2c.xlsm]data_frame'!FR3:FR35</v>
      </c>
      <c r="O175" s="14">
        <f t="shared" ca="1" si="39"/>
        <v>32</v>
      </c>
      <c r="P175" s="14">
        <f ca="1">IF(AND($AD175,$S175=1),IF(wew!$B$3,MIN(INDIRECT($N175)),"&lt;włącz podświetlanie wartości&gt;"),"—")</f>
        <v>2</v>
      </c>
      <c r="Q175" s="14">
        <f ca="1">IF(AND($AD175,$S175=1),IF(wew!$B$3,MAX(INDIRECT($N175)),"&lt;włącz podświetlanie wartości&gt;"),"—")</f>
        <v>2</v>
      </c>
      <c r="R175" s="14">
        <f ca="1">IF(AD175,ster!$C$14- (COUNTIF( INDIRECT(N175),"" )+ COUNT(INDIRECT(N175)) +COUNTIF( INDIRECT(N175),"NA" )),"")</f>
        <v>0</v>
      </c>
      <c r="S175" s="12">
        <f ca="1">IF(AD175,IF(COUNTA(INDIRECT(N175))=0,0, 1-(ster!$C$14- COUNT(INDIRECT(N175)) -COUNTIF( INDIRECT(N175),"" )) /COUNTA(INDIRECT(N175))),"")</f>
        <v>1</v>
      </c>
      <c r="T175" s="17">
        <f t="array" aca="1" ref="T175" ca="1">IF(L175&lt;&gt;"",SUM(IF(INDIRECT(L175)&lt;&gt;INT(INDIRECT(L175)),1,0)),"")</f>
        <v>0</v>
      </c>
      <c r="U175" s="17">
        <f t="array" aca="1" ref="U175" ca="1">IF(S175=1,SUM(IF(ISNUMBER(INDIRECT(N175)),IF(INDIRECT(N175)&lt;&gt;INT(INDIRECT(N175)),1,0),0)),"")</f>
        <v>0</v>
      </c>
      <c r="V175" s="17">
        <f t="shared" ca="1" si="40"/>
        <v>1</v>
      </c>
      <c r="W175" s="17">
        <f t="shared" ca="1" si="41"/>
        <v>0</v>
      </c>
      <c r="X175" s="24">
        <f t="array" aca="1" ref="X175" ca="1">IF(AD175,IF(AG175&lt;&gt;"",AG175,IF(J175,MIN(INDIRECT( K175)),"")),"")</f>
        <v>1</v>
      </c>
      <c r="Y175" s="17">
        <f t="array" aca="1" ref="Y175" ca="1">IF(AD175,IF(AH175&lt;&gt;"",AH175,IF(J175,MAX(INDIRECT( K175)),"")),"")</f>
        <v>2</v>
      </c>
      <c r="Z175" s="17" t="b">
        <f t="shared" ca="1" si="42"/>
        <v>1</v>
      </c>
      <c r="AC175" s="17" t="b">
        <f t="shared" ca="1" si="43"/>
        <v>0</v>
      </c>
      <c r="AD175" s="14" t="b">
        <f t="shared" ca="1" si="44"/>
        <v>1</v>
      </c>
      <c r="AE175" s="15" t="b">
        <f t="shared" ca="1" si="45"/>
        <v>1</v>
      </c>
      <c r="AF175" s="16"/>
      <c r="AG175" s="16"/>
      <c r="AH175" s="16"/>
      <c r="AI175" s="16"/>
      <c r="AJ175" s="16"/>
      <c r="AK175" s="16"/>
      <c r="AL175" s="16"/>
      <c r="AM175" s="16"/>
    </row>
    <row r="176" spans="2:39">
      <c r="B176" s="14">
        <f t="shared" si="34"/>
        <v>174</v>
      </c>
      <c r="C176" s="14" t="str">
        <f t="shared" ca="1" si="35"/>
        <v>I</v>
      </c>
      <c r="D176" s="14" t="str">
        <f t="shared" ca="1" si="36"/>
        <v>q_50b.2</v>
      </c>
      <c r="E176" s="14" t="str">
        <f t="shared" ca="1" si="33"/>
        <v>How long Boxing activity</v>
      </c>
      <c r="F176" s="14">
        <f t="shared" ca="1" si="46"/>
        <v>0</v>
      </c>
      <c r="G176" s="14" t="str">
        <f t="shared" ca="1" si="37"/>
        <v>q_50b.2</v>
      </c>
      <c r="H176" s="14">
        <f ca="1">IF(G176&lt;&gt;"",IFERROR( IsVariableNameLegal(G176),0),0)+IF(COUNTIF(INDIRECT(wew!$C$13),G176)&gt;1,10,0)</f>
        <v>0</v>
      </c>
      <c r="I176" s="14">
        <f ca="1">IF(E176&lt;&gt;"",IF(LEN(E176)&gt;150,1,0)+IF(COUNTIF(INDIRECT(wew!$C$15),E176)&gt;1,10,0),0)</f>
        <v>10</v>
      </c>
      <c r="J176" s="14" t="b">
        <f t="shared" ca="1" si="38"/>
        <v>0</v>
      </c>
      <c r="K176" s="14" t="str">
        <f ca="1">ADDRESS(3,(B176+1)*2-1,4,,"[" &amp; wew!$G$7 &amp; "]" &amp; _sheetname_labels) &amp; ":" &amp; ADDRESS(2+ster!$B$20,(B176+1)*2-1,4)</f>
        <v>'[dane surowe2c.xlsm]labels'!MK3:MK36</v>
      </c>
      <c r="L176" s="14" t="str">
        <f ca="1">IF(F176&gt;0,ADDRESS(3,(B176+1)*2-1,4,,"[" &amp; wew!$G$7 &amp; "]" &amp; _sheetname_labels) &amp; ":" &amp; ADDRESS(2+F176,(B176+1)*2-1,4),"")</f>
        <v/>
      </c>
      <c r="M176" s="14" t="str">
        <f ca="1">IF(F176&gt;0,ADDRESS(3,(B176+1)*2,4,,"["&amp;wew!$G$7&amp;"]"&amp;_sheetname_labels)&amp;":"&amp;ADDRESS(2+F176,(B176+1)*2,4),"")</f>
        <v/>
      </c>
      <c r="N176" s="14" t="str">
        <f ca="1">ADDRESS(3,B176+1,4,,"[" &amp; wew!$G$7 &amp; "]" &amp;_sheetname_dataframe) &amp; ":" &amp; ADDRESS(2+ster!$C$14,B176+1,4)</f>
        <v>'[dane surowe2c.xlsm]data_frame'!FS3:FS35</v>
      </c>
      <c r="O176" s="14">
        <f t="shared" ca="1" si="39"/>
        <v>0</v>
      </c>
      <c r="P176" s="14" t="str">
        <f ca="1">IF(AND($AD176,$S176=1),IF(wew!$B$3,MIN(INDIRECT($N176)),"&lt;włącz podświetlanie wartości&gt;"),"—")</f>
        <v>—</v>
      </c>
      <c r="Q176" s="14" t="str">
        <f ca="1">IF(AND($AD176,$S176=1),IF(wew!$B$3,MAX(INDIRECT($N176)),"&lt;włącz podświetlanie wartości&gt;"),"—")</f>
        <v>—</v>
      </c>
      <c r="R176" s="14">
        <f ca="1">IF(AD176,ster!$C$14- (COUNTIF( INDIRECT(N176),"" )+ COUNT(INDIRECT(N176)) +COUNTIF( INDIRECT(N176),"NA" )),"")</f>
        <v>0</v>
      </c>
      <c r="S176" s="12">
        <f ca="1">IF(AD176,IF(COUNTA(INDIRECT(N176))=0,0, 1-(ster!$C$14- COUNT(INDIRECT(N176)) -COUNTIF( INDIRECT(N176),"" )) /COUNTA(INDIRECT(N176))),"")</f>
        <v>0</v>
      </c>
      <c r="T176" s="17" t="str">
        <f t="array" aca="1" ref="T176" ca="1">IF(L176&lt;&gt;"",SUM(IF(INDIRECT(L176)&lt;&gt;INT(INDIRECT(L176)),1,0)),"")</f>
        <v/>
      </c>
      <c r="U176" s="17" t="str">
        <f t="array" aca="1" ref="U176" ca="1">IF(S176=1,SUM(IF(ISNUMBER(INDIRECT(N176)),IF(INDIRECT(N176)&lt;&gt;INT(INDIRECT(N176)),1,0),0)),"")</f>
        <v/>
      </c>
      <c r="V176" s="17">
        <f t="shared" ca="1" si="40"/>
        <v>0</v>
      </c>
      <c r="W176" s="17">
        <f t="shared" ca="1" si="41"/>
        <v>0</v>
      </c>
      <c r="X176" s="24" t="str">
        <f t="array" aca="1" ref="X176" ca="1">IF(AD176,IF(AG176&lt;&gt;"",AG176,IF(J176,MIN(INDIRECT( K176)),"")),"")</f>
        <v/>
      </c>
      <c r="Y176" s="17" t="str">
        <f t="array" aca="1" ref="Y176" ca="1">IF(AD176,IF(AH176&lt;&gt;"",AH176,IF(J176,MAX(INDIRECT( K176)),"")),"")</f>
        <v/>
      </c>
      <c r="Z176" s="17" t="b">
        <f t="shared" ca="1" si="42"/>
        <v>0</v>
      </c>
      <c r="AC176" s="17" t="b">
        <f t="shared" ca="1" si="43"/>
        <v>0</v>
      </c>
      <c r="AD176" s="14" t="b">
        <f t="shared" ca="1" si="44"/>
        <v>1</v>
      </c>
      <c r="AE176" s="15" t="b">
        <f t="shared" ca="1" si="45"/>
        <v>0</v>
      </c>
      <c r="AF176" s="16"/>
      <c r="AG176" s="16"/>
      <c r="AH176" s="16"/>
      <c r="AI176" s="16"/>
      <c r="AJ176" s="16"/>
      <c r="AK176" s="16"/>
      <c r="AL176" s="16"/>
      <c r="AM176" s="16"/>
    </row>
    <row r="177" spans="2:39">
      <c r="B177" s="14">
        <f t="shared" si="34"/>
        <v>175</v>
      </c>
      <c r="C177" s="14" t="str">
        <f t="shared" ca="1" si="35"/>
        <v>D</v>
      </c>
      <c r="D177" s="14" t="str">
        <f t="shared" ca="1" si="36"/>
        <v>q_50c.1</v>
      </c>
      <c r="E177" s="14" t="str">
        <f t="shared" ca="1" si="33"/>
        <v>Moderate Climbing activity</v>
      </c>
      <c r="F177" s="14">
        <f t="shared" ca="1" si="46"/>
        <v>2</v>
      </c>
      <c r="G177" s="14" t="str">
        <f t="shared" ca="1" si="37"/>
        <v>q_50c.1</v>
      </c>
      <c r="H177" s="14">
        <f ca="1">IF(G177&lt;&gt;"",IFERROR( IsVariableNameLegal(G177),0),0)+IF(COUNTIF(INDIRECT(wew!$C$13),G177)&gt;1,10,0)</f>
        <v>0</v>
      </c>
      <c r="I177" s="14">
        <f ca="1">IF(E177&lt;&gt;"",IF(LEN(E177)&gt;150,1,0)+IF(COUNTIF(INDIRECT(wew!$C$15),E177)&gt;1,10,0),0)</f>
        <v>0</v>
      </c>
      <c r="J177" s="14" t="b">
        <f t="shared" ca="1" si="38"/>
        <v>1</v>
      </c>
      <c r="K177" s="14" t="str">
        <f ca="1">ADDRESS(3,(B177+1)*2-1,4,,"[" &amp; wew!$G$7 &amp; "]" &amp; _sheetname_labels) &amp; ":" &amp; ADDRESS(2+ster!$B$20,(B177+1)*2-1,4)</f>
        <v>'[dane surowe2c.xlsm]labels'!MM3:MM36</v>
      </c>
      <c r="L177" s="14" t="str">
        <f ca="1">IF(F177&gt;0,ADDRESS(3,(B177+1)*2-1,4,,"[" &amp; wew!$G$7 &amp; "]" &amp; _sheetname_labels) &amp; ":" &amp; ADDRESS(2+F177,(B177+1)*2-1,4),"")</f>
        <v>'[dane surowe2c.xlsm]labels'!MM3:MM4</v>
      </c>
      <c r="M177" s="14" t="str">
        <f ca="1">IF(F177&gt;0,ADDRESS(3,(B177+1)*2,4,,"["&amp;wew!$G$7&amp;"]"&amp;_sheetname_labels)&amp;":"&amp;ADDRESS(2+F177,(B177+1)*2,4),"")</f>
        <v>'[dane surowe2c.xlsm]labels'!MN3:MN4</v>
      </c>
      <c r="N177" s="14" t="str">
        <f ca="1">ADDRESS(3,B177+1,4,,"[" &amp; wew!$G$7 &amp; "]" &amp;_sheetname_dataframe) &amp; ":" &amp; ADDRESS(2+ster!$C$14,B177+1,4)</f>
        <v>'[dane surowe2c.xlsm]data_frame'!FT3:FT35</v>
      </c>
      <c r="O177" s="14">
        <f t="shared" ca="1" si="39"/>
        <v>32</v>
      </c>
      <c r="P177" s="14">
        <f ca="1">IF(AND($AD177,$S177=1),IF(wew!$B$3,MIN(INDIRECT($N177)),"&lt;włącz podświetlanie wartości&gt;"),"—")</f>
        <v>2</v>
      </c>
      <c r="Q177" s="14">
        <f ca="1">IF(AND($AD177,$S177=1),IF(wew!$B$3,MAX(INDIRECT($N177)),"&lt;włącz podświetlanie wartości&gt;"),"—")</f>
        <v>2</v>
      </c>
      <c r="R177" s="14">
        <f ca="1">IF(AD177,ster!$C$14- (COUNTIF( INDIRECT(N177),"" )+ COUNT(INDIRECT(N177)) +COUNTIF( INDIRECT(N177),"NA" )),"")</f>
        <v>0</v>
      </c>
      <c r="S177" s="12">
        <f ca="1">IF(AD177,IF(COUNTA(INDIRECT(N177))=0,0, 1-(ster!$C$14- COUNT(INDIRECT(N177)) -COUNTIF( INDIRECT(N177),"" )) /COUNTA(INDIRECT(N177))),"")</f>
        <v>1</v>
      </c>
      <c r="T177" s="17">
        <f t="array" aca="1" ref="T177" ca="1">IF(L177&lt;&gt;"",SUM(IF(INDIRECT(L177)&lt;&gt;INT(INDIRECT(L177)),1,0)),"")</f>
        <v>0</v>
      </c>
      <c r="U177" s="17">
        <f t="array" aca="1" ref="U177" ca="1">IF(S177=1,SUM(IF(ISNUMBER(INDIRECT(N177)),IF(INDIRECT(N177)&lt;&gt;INT(INDIRECT(N177)),1,0),0)),"")</f>
        <v>0</v>
      </c>
      <c r="V177" s="17">
        <f t="shared" ca="1" si="40"/>
        <v>1</v>
      </c>
      <c r="W177" s="17">
        <f t="shared" ca="1" si="41"/>
        <v>0</v>
      </c>
      <c r="X177" s="24">
        <f t="array" aca="1" ref="X177" ca="1">IF(AD177,IF(AG177&lt;&gt;"",AG177,IF(J177,MIN(INDIRECT( K177)),"")),"")</f>
        <v>1</v>
      </c>
      <c r="Y177" s="17">
        <f t="array" aca="1" ref="Y177" ca="1">IF(AD177,IF(AH177&lt;&gt;"",AH177,IF(J177,MAX(INDIRECT( K177)),"")),"")</f>
        <v>2</v>
      </c>
      <c r="Z177" s="17" t="b">
        <f t="shared" ca="1" si="42"/>
        <v>1</v>
      </c>
      <c r="AC177" s="17" t="b">
        <f t="shared" ca="1" si="43"/>
        <v>0</v>
      </c>
      <c r="AD177" s="14" t="b">
        <f t="shared" ca="1" si="44"/>
        <v>1</v>
      </c>
      <c r="AE177" s="15" t="b">
        <f t="shared" ca="1" si="45"/>
        <v>1</v>
      </c>
      <c r="AF177" s="16"/>
      <c r="AG177" s="16"/>
      <c r="AH177" s="16"/>
      <c r="AI177" s="16"/>
      <c r="AJ177" s="16"/>
      <c r="AK177" s="16"/>
      <c r="AL177" s="16"/>
      <c r="AM177" s="16"/>
    </row>
    <row r="178" spans="2:39">
      <c r="B178" s="14">
        <f t="shared" si="34"/>
        <v>176</v>
      </c>
      <c r="C178" s="14" t="str">
        <f t="shared" ca="1" si="35"/>
        <v>I</v>
      </c>
      <c r="D178" s="14" t="str">
        <f t="shared" ca="1" si="36"/>
        <v>q_50c.2</v>
      </c>
      <c r="E178" s="14" t="str">
        <f t="shared" ca="1" si="33"/>
        <v>How long Climbing activity</v>
      </c>
      <c r="F178" s="14">
        <f t="shared" ca="1" si="46"/>
        <v>0</v>
      </c>
      <c r="G178" s="14" t="str">
        <f t="shared" ca="1" si="37"/>
        <v>q_50c.2</v>
      </c>
      <c r="H178" s="14">
        <f ca="1">IF(G178&lt;&gt;"",IFERROR( IsVariableNameLegal(G178),0),0)+IF(COUNTIF(INDIRECT(wew!$C$13),G178)&gt;1,10,0)</f>
        <v>0</v>
      </c>
      <c r="I178" s="14">
        <f ca="1">IF(E178&lt;&gt;"",IF(LEN(E178)&gt;150,1,0)+IF(COUNTIF(INDIRECT(wew!$C$15),E178)&gt;1,10,0),0)</f>
        <v>10</v>
      </c>
      <c r="J178" s="14" t="b">
        <f t="shared" ca="1" si="38"/>
        <v>0</v>
      </c>
      <c r="K178" s="14" t="str">
        <f ca="1">ADDRESS(3,(B178+1)*2-1,4,,"[" &amp; wew!$G$7 &amp; "]" &amp; _sheetname_labels) &amp; ":" &amp; ADDRESS(2+ster!$B$20,(B178+1)*2-1,4)</f>
        <v>'[dane surowe2c.xlsm]labels'!MO3:MO36</v>
      </c>
      <c r="L178" s="14" t="str">
        <f ca="1">IF(F178&gt;0,ADDRESS(3,(B178+1)*2-1,4,,"[" &amp; wew!$G$7 &amp; "]" &amp; _sheetname_labels) &amp; ":" &amp; ADDRESS(2+F178,(B178+1)*2-1,4),"")</f>
        <v/>
      </c>
      <c r="M178" s="14" t="str">
        <f ca="1">IF(F178&gt;0,ADDRESS(3,(B178+1)*2,4,,"["&amp;wew!$G$7&amp;"]"&amp;_sheetname_labels)&amp;":"&amp;ADDRESS(2+F178,(B178+1)*2,4),"")</f>
        <v/>
      </c>
      <c r="N178" s="14" t="str">
        <f ca="1">ADDRESS(3,B178+1,4,,"[" &amp; wew!$G$7 &amp; "]" &amp;_sheetname_dataframe) &amp; ":" &amp; ADDRESS(2+ster!$C$14,B178+1,4)</f>
        <v>'[dane surowe2c.xlsm]data_frame'!FU3:FU35</v>
      </c>
      <c r="O178" s="14">
        <f t="shared" ca="1" si="39"/>
        <v>0</v>
      </c>
      <c r="P178" s="14" t="str">
        <f ca="1">IF(AND($AD178,$S178=1),IF(wew!$B$3,MIN(INDIRECT($N178)),"&lt;włącz podświetlanie wartości&gt;"),"—")</f>
        <v>—</v>
      </c>
      <c r="Q178" s="14" t="str">
        <f ca="1">IF(AND($AD178,$S178=1),IF(wew!$B$3,MAX(INDIRECT($N178)),"&lt;włącz podświetlanie wartości&gt;"),"—")</f>
        <v>—</v>
      </c>
      <c r="R178" s="14">
        <f ca="1">IF(AD178,ster!$C$14- (COUNTIF( INDIRECT(N178),"" )+ COUNT(INDIRECT(N178)) +COUNTIF( INDIRECT(N178),"NA" )),"")</f>
        <v>0</v>
      </c>
      <c r="S178" s="12">
        <f ca="1">IF(AD178,IF(COUNTA(INDIRECT(N178))=0,0, 1-(ster!$C$14- COUNT(INDIRECT(N178)) -COUNTIF( INDIRECT(N178),"" )) /COUNTA(INDIRECT(N178))),"")</f>
        <v>0</v>
      </c>
      <c r="T178" s="17" t="str">
        <f t="array" aca="1" ref="T178" ca="1">IF(L178&lt;&gt;"",SUM(IF(INDIRECT(L178)&lt;&gt;INT(INDIRECT(L178)),1,0)),"")</f>
        <v/>
      </c>
      <c r="U178" s="17" t="str">
        <f t="array" aca="1" ref="U178" ca="1">IF(S178=1,SUM(IF(ISNUMBER(INDIRECT(N178)),IF(INDIRECT(N178)&lt;&gt;INT(INDIRECT(N178)),1,0),0)),"")</f>
        <v/>
      </c>
      <c r="V178" s="17">
        <f t="shared" ca="1" si="40"/>
        <v>0</v>
      </c>
      <c r="W178" s="17">
        <f t="shared" ca="1" si="41"/>
        <v>0</v>
      </c>
      <c r="X178" s="24" t="str">
        <f t="array" aca="1" ref="X178" ca="1">IF(AD178,IF(AG178&lt;&gt;"",AG178,IF(J178,MIN(INDIRECT( K178)),"")),"")</f>
        <v/>
      </c>
      <c r="Y178" s="17" t="str">
        <f t="array" aca="1" ref="Y178" ca="1">IF(AD178,IF(AH178&lt;&gt;"",AH178,IF(J178,MAX(INDIRECT( K178)),"")),"")</f>
        <v/>
      </c>
      <c r="Z178" s="17" t="b">
        <f t="shared" ca="1" si="42"/>
        <v>0</v>
      </c>
      <c r="AC178" s="17" t="b">
        <f t="shared" ca="1" si="43"/>
        <v>0</v>
      </c>
      <c r="AD178" s="14" t="b">
        <f t="shared" ca="1" si="44"/>
        <v>1</v>
      </c>
      <c r="AE178" s="15" t="b">
        <f t="shared" ca="1" si="45"/>
        <v>0</v>
      </c>
      <c r="AF178" s="16"/>
      <c r="AG178" s="16"/>
      <c r="AH178" s="16"/>
      <c r="AI178" s="16"/>
      <c r="AJ178" s="16"/>
      <c r="AK178" s="16"/>
      <c r="AL178" s="16"/>
      <c r="AM178" s="16"/>
    </row>
    <row r="179" spans="2:39">
      <c r="B179" s="14">
        <f t="shared" si="34"/>
        <v>177</v>
      </c>
      <c r="C179" s="14" t="str">
        <f t="shared" ca="1" si="35"/>
        <v>D</v>
      </c>
      <c r="D179" s="14" t="str">
        <f t="shared" ca="1" si="36"/>
        <v>q_50d.1</v>
      </c>
      <c r="E179" s="14" t="str">
        <f t="shared" ca="1" si="33"/>
        <v>Moderate Cycling activity</v>
      </c>
      <c r="F179" s="14">
        <f t="shared" ca="1" si="46"/>
        <v>2</v>
      </c>
      <c r="G179" s="14" t="str">
        <f t="shared" ca="1" si="37"/>
        <v>q_50d.1</v>
      </c>
      <c r="H179" s="14">
        <f ca="1">IF(G179&lt;&gt;"",IFERROR( IsVariableNameLegal(G179),0),0)+IF(COUNTIF(INDIRECT(wew!$C$13),G179)&gt;1,10,0)</f>
        <v>0</v>
      </c>
      <c r="I179" s="14">
        <f ca="1">IF(E179&lt;&gt;"",IF(LEN(E179)&gt;150,1,0)+IF(COUNTIF(INDIRECT(wew!$C$15),E179)&gt;1,10,0),0)</f>
        <v>0</v>
      </c>
      <c r="J179" s="14" t="b">
        <f t="shared" ca="1" si="38"/>
        <v>1</v>
      </c>
      <c r="K179" s="14" t="str">
        <f ca="1">ADDRESS(3,(B179+1)*2-1,4,,"[" &amp; wew!$G$7 &amp; "]" &amp; _sheetname_labels) &amp; ":" &amp; ADDRESS(2+ster!$B$20,(B179+1)*2-1,4)</f>
        <v>'[dane surowe2c.xlsm]labels'!MQ3:MQ36</v>
      </c>
      <c r="L179" s="14" t="str">
        <f ca="1">IF(F179&gt;0,ADDRESS(3,(B179+1)*2-1,4,,"[" &amp; wew!$G$7 &amp; "]" &amp; _sheetname_labels) &amp; ":" &amp; ADDRESS(2+F179,(B179+1)*2-1,4),"")</f>
        <v>'[dane surowe2c.xlsm]labels'!MQ3:MQ4</v>
      </c>
      <c r="M179" s="14" t="str">
        <f ca="1">IF(F179&gt;0,ADDRESS(3,(B179+1)*2,4,,"["&amp;wew!$G$7&amp;"]"&amp;_sheetname_labels)&amp;":"&amp;ADDRESS(2+F179,(B179+1)*2,4),"")</f>
        <v>'[dane surowe2c.xlsm]labels'!MR3:MR4</v>
      </c>
      <c r="N179" s="14" t="str">
        <f ca="1">ADDRESS(3,B179+1,4,,"[" &amp; wew!$G$7 &amp; "]" &amp;_sheetname_dataframe) &amp; ":" &amp; ADDRESS(2+ster!$C$14,B179+1,4)</f>
        <v>'[dane surowe2c.xlsm]data_frame'!FV3:FV35</v>
      </c>
      <c r="O179" s="14">
        <f t="shared" ca="1" si="39"/>
        <v>32</v>
      </c>
      <c r="P179" s="14">
        <f ca="1">IF(AND($AD179,$S179=1),IF(wew!$B$3,MIN(INDIRECT($N179)),"&lt;włącz podświetlanie wartości&gt;"),"—")</f>
        <v>1</v>
      </c>
      <c r="Q179" s="14">
        <f ca="1">IF(AND($AD179,$S179=1),IF(wew!$B$3,MAX(INDIRECT($N179)),"&lt;włącz podświetlanie wartości&gt;"),"—")</f>
        <v>2</v>
      </c>
      <c r="R179" s="14">
        <f ca="1">IF(AD179,ster!$C$14- (COUNTIF( INDIRECT(N179),"" )+ COUNT(INDIRECT(N179)) +COUNTIF( INDIRECT(N179),"NA" )),"")</f>
        <v>0</v>
      </c>
      <c r="S179" s="12">
        <f ca="1">IF(AD179,IF(COUNTA(INDIRECT(N179))=0,0, 1-(ster!$C$14- COUNT(INDIRECT(N179)) -COUNTIF( INDIRECT(N179),"" )) /COUNTA(INDIRECT(N179))),"")</f>
        <v>1</v>
      </c>
      <c r="T179" s="17">
        <f t="array" aca="1" ref="T179" ca="1">IF(L179&lt;&gt;"",SUM(IF(INDIRECT(L179)&lt;&gt;INT(INDIRECT(L179)),1,0)),"")</f>
        <v>0</v>
      </c>
      <c r="U179" s="17">
        <f t="array" aca="1" ref="U179" ca="1">IF(S179=1,SUM(IF(ISNUMBER(INDIRECT(N179)),IF(INDIRECT(N179)&lt;&gt;INT(INDIRECT(N179)),1,0),0)),"")</f>
        <v>0</v>
      </c>
      <c r="V179" s="17">
        <f t="shared" ca="1" si="40"/>
        <v>1</v>
      </c>
      <c r="W179" s="17">
        <f t="shared" ca="1" si="41"/>
        <v>0</v>
      </c>
      <c r="X179" s="24">
        <f t="array" aca="1" ref="X179" ca="1">IF(AD179,IF(AG179&lt;&gt;"",AG179,IF(J179,MIN(INDIRECT( K179)),"")),"")</f>
        <v>1</v>
      </c>
      <c r="Y179" s="17">
        <f t="array" aca="1" ref="Y179" ca="1">IF(AD179,IF(AH179&lt;&gt;"",AH179,IF(J179,MAX(INDIRECT( K179)),"")),"")</f>
        <v>2</v>
      </c>
      <c r="Z179" s="17" t="b">
        <f t="shared" ca="1" si="42"/>
        <v>1</v>
      </c>
      <c r="AC179" s="17" t="b">
        <f t="shared" ca="1" si="43"/>
        <v>0</v>
      </c>
      <c r="AD179" s="14" t="b">
        <f t="shared" ca="1" si="44"/>
        <v>1</v>
      </c>
      <c r="AE179" s="15" t="b">
        <f t="shared" ca="1" si="45"/>
        <v>1</v>
      </c>
      <c r="AF179" s="16"/>
      <c r="AG179" s="16"/>
      <c r="AH179" s="16"/>
      <c r="AI179" s="16"/>
      <c r="AJ179" s="16"/>
      <c r="AK179" s="16"/>
      <c r="AL179" s="16"/>
      <c r="AM179" s="16"/>
    </row>
    <row r="180" spans="2:39">
      <c r="B180" s="14">
        <f t="shared" si="34"/>
        <v>178</v>
      </c>
      <c r="C180" s="14" t="str">
        <f t="shared" ca="1" si="35"/>
        <v>I</v>
      </c>
      <c r="D180" s="14" t="str">
        <f t="shared" ca="1" si="36"/>
        <v>q_50d.2</v>
      </c>
      <c r="E180" s="14" t="str">
        <f t="shared" ca="1" si="33"/>
        <v>How long Cycling activity</v>
      </c>
      <c r="F180" s="14">
        <f t="shared" ca="1" si="46"/>
        <v>0</v>
      </c>
      <c r="G180" s="14" t="str">
        <f t="shared" ca="1" si="37"/>
        <v>q_50d.2</v>
      </c>
      <c r="H180" s="14">
        <f ca="1">IF(G180&lt;&gt;"",IFERROR( IsVariableNameLegal(G180),0),0)+IF(COUNTIF(INDIRECT(wew!$C$13),G180)&gt;1,10,0)</f>
        <v>0</v>
      </c>
      <c r="I180" s="14">
        <f ca="1">IF(E180&lt;&gt;"",IF(LEN(E180)&gt;150,1,0)+IF(COUNTIF(INDIRECT(wew!$C$15),E180)&gt;1,10,0),0)</f>
        <v>10</v>
      </c>
      <c r="J180" s="14" t="b">
        <f t="shared" ca="1" si="38"/>
        <v>0</v>
      </c>
      <c r="K180" s="14" t="str">
        <f ca="1">ADDRESS(3,(B180+1)*2-1,4,,"[" &amp; wew!$G$7 &amp; "]" &amp; _sheetname_labels) &amp; ":" &amp; ADDRESS(2+ster!$B$20,(B180+1)*2-1,4)</f>
        <v>'[dane surowe2c.xlsm]labels'!MS3:MS36</v>
      </c>
      <c r="L180" s="14" t="str">
        <f ca="1">IF(F180&gt;0,ADDRESS(3,(B180+1)*2-1,4,,"[" &amp; wew!$G$7 &amp; "]" &amp; _sheetname_labels) &amp; ":" &amp; ADDRESS(2+F180,(B180+1)*2-1,4),"")</f>
        <v/>
      </c>
      <c r="M180" s="14" t="str">
        <f ca="1">IF(F180&gt;0,ADDRESS(3,(B180+1)*2,4,,"["&amp;wew!$G$7&amp;"]"&amp;_sheetname_labels)&amp;":"&amp;ADDRESS(2+F180,(B180+1)*2,4),"")</f>
        <v/>
      </c>
      <c r="N180" s="14" t="str">
        <f ca="1">ADDRESS(3,B180+1,4,,"[" &amp; wew!$G$7 &amp; "]" &amp;_sheetname_dataframe) &amp; ":" &amp; ADDRESS(2+ster!$C$14,B180+1,4)</f>
        <v>'[dane surowe2c.xlsm]data_frame'!FW3:FW35</v>
      </c>
      <c r="O180" s="14">
        <f t="shared" ca="1" si="39"/>
        <v>1</v>
      </c>
      <c r="P180" s="14">
        <f ca="1">IF(AND($AD180,$S180=1),IF(wew!$B$3,MIN(INDIRECT($N180)),"&lt;włącz podświetlanie wartości&gt;"),"—")</f>
        <v>6</v>
      </c>
      <c r="Q180" s="14">
        <f ca="1">IF(AND($AD180,$S180=1),IF(wew!$B$3,MAX(INDIRECT($N180)),"&lt;włącz podświetlanie wartości&gt;"),"—")</f>
        <v>6</v>
      </c>
      <c r="R180" s="14">
        <f ca="1">IF(AD180,ster!$C$14- (COUNTIF( INDIRECT(N180),"" )+ COUNT(INDIRECT(N180)) +COUNTIF( INDIRECT(N180),"NA" )),"")</f>
        <v>0</v>
      </c>
      <c r="S180" s="12">
        <f ca="1">IF(AD180,IF(COUNTA(INDIRECT(N180))=0,0, 1-(ster!$C$14- COUNT(INDIRECT(N180)) -COUNTIF( INDIRECT(N180),"" )) /COUNTA(INDIRECT(N180))),"")</f>
        <v>1</v>
      </c>
      <c r="T180" s="17" t="str">
        <f t="array" aca="1" ref="T180" ca="1">IF(L180&lt;&gt;"",SUM(IF(INDIRECT(L180)&lt;&gt;INT(INDIRECT(L180)),1,0)),"")</f>
        <v/>
      </c>
      <c r="U180" s="17">
        <f t="array" aca="1" ref="U180" ca="1">IF(S180=1,SUM(IF(ISNUMBER(INDIRECT(N180)),IF(INDIRECT(N180)&lt;&gt;INT(INDIRECT(N180)),1,0),0)),"")</f>
        <v>0</v>
      </c>
      <c r="V180" s="17">
        <f t="shared" ca="1" si="40"/>
        <v>1</v>
      </c>
      <c r="W180" s="17">
        <f t="shared" ca="1" si="41"/>
        <v>0</v>
      </c>
      <c r="X180" s="24" t="str">
        <f t="array" aca="1" ref="X180" ca="1">IF(AD180,IF(AG180&lt;&gt;"",AG180,IF(J180,MIN(INDIRECT( K180)),"")),"")</f>
        <v/>
      </c>
      <c r="Y180" s="17" t="str">
        <f t="array" aca="1" ref="Y180" ca="1">IF(AD180,IF(AH180&lt;&gt;"",AH180,IF(J180,MAX(INDIRECT( K180)),"")),"")</f>
        <v/>
      </c>
      <c r="Z180" s="17" t="b">
        <f t="shared" ca="1" si="42"/>
        <v>0</v>
      </c>
      <c r="AC180" s="17" t="b">
        <f t="shared" ca="1" si="43"/>
        <v>0</v>
      </c>
      <c r="AD180" s="14" t="b">
        <f t="shared" ca="1" si="44"/>
        <v>1</v>
      </c>
      <c r="AE180" s="15" t="b">
        <f t="shared" ca="1" si="45"/>
        <v>0</v>
      </c>
      <c r="AF180" s="16"/>
      <c r="AG180" s="16"/>
      <c r="AH180" s="16"/>
      <c r="AI180" s="16"/>
      <c r="AJ180" s="16"/>
      <c r="AK180" s="16"/>
      <c r="AL180" s="16"/>
      <c r="AM180" s="16"/>
    </row>
    <row r="181" spans="2:39">
      <c r="B181" s="14">
        <f t="shared" si="34"/>
        <v>179</v>
      </c>
      <c r="C181" s="14" t="str">
        <f t="shared" ca="1" si="35"/>
        <v>D</v>
      </c>
      <c r="D181" s="14" t="str">
        <f t="shared" ca="1" si="36"/>
        <v>q_50e.1</v>
      </c>
      <c r="E181" s="14" t="str">
        <f t="shared" ca="1" si="33"/>
        <v>Moderate Dancing activity</v>
      </c>
      <c r="F181" s="14">
        <f t="shared" ca="1" si="46"/>
        <v>2</v>
      </c>
      <c r="G181" s="14" t="str">
        <f t="shared" ca="1" si="37"/>
        <v>q_50e.1</v>
      </c>
      <c r="H181" s="14">
        <f ca="1">IF(G181&lt;&gt;"",IFERROR( IsVariableNameLegal(G181),0),0)+IF(COUNTIF(INDIRECT(wew!$C$13),G181)&gt;1,10,0)</f>
        <v>0</v>
      </c>
      <c r="I181" s="14">
        <f ca="1">IF(E181&lt;&gt;"",IF(LEN(E181)&gt;150,1,0)+IF(COUNTIF(INDIRECT(wew!$C$15),E181)&gt;1,10,0),0)</f>
        <v>0</v>
      </c>
      <c r="J181" s="14" t="b">
        <f t="shared" ca="1" si="38"/>
        <v>1</v>
      </c>
      <c r="K181" s="14" t="str">
        <f ca="1">ADDRESS(3,(B181+1)*2-1,4,,"[" &amp; wew!$G$7 &amp; "]" &amp; _sheetname_labels) &amp; ":" &amp; ADDRESS(2+ster!$B$20,(B181+1)*2-1,4)</f>
        <v>'[dane surowe2c.xlsm]labels'!MU3:MU36</v>
      </c>
      <c r="L181" s="14" t="str">
        <f ca="1">IF(F181&gt;0,ADDRESS(3,(B181+1)*2-1,4,,"[" &amp; wew!$G$7 &amp; "]" &amp; _sheetname_labels) &amp; ":" &amp; ADDRESS(2+F181,(B181+1)*2-1,4),"")</f>
        <v>'[dane surowe2c.xlsm]labels'!MU3:MU4</v>
      </c>
      <c r="M181" s="14" t="str">
        <f ca="1">IF(F181&gt;0,ADDRESS(3,(B181+1)*2,4,,"["&amp;wew!$G$7&amp;"]"&amp;_sheetname_labels)&amp;":"&amp;ADDRESS(2+F181,(B181+1)*2,4),"")</f>
        <v>'[dane surowe2c.xlsm]labels'!MV3:MV4</v>
      </c>
      <c r="N181" s="14" t="str">
        <f ca="1">ADDRESS(3,B181+1,4,,"[" &amp; wew!$G$7 &amp; "]" &amp;_sheetname_dataframe) &amp; ":" &amp; ADDRESS(2+ster!$C$14,B181+1,4)</f>
        <v>'[dane surowe2c.xlsm]data_frame'!FX3:FX35</v>
      </c>
      <c r="O181" s="14">
        <f t="shared" ca="1" si="39"/>
        <v>32</v>
      </c>
      <c r="P181" s="14">
        <f ca="1">IF(AND($AD181,$S181=1),IF(wew!$B$3,MIN(INDIRECT($N181)),"&lt;włącz podświetlanie wartości&gt;"),"—")</f>
        <v>2</v>
      </c>
      <c r="Q181" s="14">
        <f ca="1">IF(AND($AD181,$S181=1),IF(wew!$B$3,MAX(INDIRECT($N181)),"&lt;włącz podświetlanie wartości&gt;"),"—")</f>
        <v>2</v>
      </c>
      <c r="R181" s="14">
        <f ca="1">IF(AD181,ster!$C$14- (COUNTIF( INDIRECT(N181),"" )+ COUNT(INDIRECT(N181)) +COUNTIF( INDIRECT(N181),"NA" )),"")</f>
        <v>0</v>
      </c>
      <c r="S181" s="12">
        <f ca="1">IF(AD181,IF(COUNTA(INDIRECT(N181))=0,0, 1-(ster!$C$14- COUNT(INDIRECT(N181)) -COUNTIF( INDIRECT(N181),"" )) /COUNTA(INDIRECT(N181))),"")</f>
        <v>1</v>
      </c>
      <c r="T181" s="17">
        <f t="array" aca="1" ref="T181" ca="1">IF(L181&lt;&gt;"",SUM(IF(INDIRECT(L181)&lt;&gt;INT(INDIRECT(L181)),1,0)),"")</f>
        <v>0</v>
      </c>
      <c r="U181" s="17">
        <f t="array" aca="1" ref="U181" ca="1">IF(S181=1,SUM(IF(ISNUMBER(INDIRECT(N181)),IF(INDIRECT(N181)&lt;&gt;INT(INDIRECT(N181)),1,0),0)),"")</f>
        <v>0</v>
      </c>
      <c r="V181" s="17">
        <f t="shared" ca="1" si="40"/>
        <v>1</v>
      </c>
      <c r="W181" s="17">
        <f t="shared" ca="1" si="41"/>
        <v>0</v>
      </c>
      <c r="X181" s="24">
        <f t="array" aca="1" ref="X181" ca="1">IF(AD181,IF(AG181&lt;&gt;"",AG181,IF(J181,MIN(INDIRECT( K181)),"")),"")</f>
        <v>1</v>
      </c>
      <c r="Y181" s="17">
        <f t="array" aca="1" ref="Y181" ca="1">IF(AD181,IF(AH181&lt;&gt;"",AH181,IF(J181,MAX(INDIRECT( K181)),"")),"")</f>
        <v>2</v>
      </c>
      <c r="Z181" s="17" t="b">
        <f t="shared" ca="1" si="42"/>
        <v>1</v>
      </c>
      <c r="AC181" s="17" t="b">
        <f t="shared" ca="1" si="43"/>
        <v>0</v>
      </c>
      <c r="AD181" s="14" t="b">
        <f t="shared" ca="1" si="44"/>
        <v>1</v>
      </c>
      <c r="AE181" s="15" t="b">
        <f t="shared" ca="1" si="45"/>
        <v>1</v>
      </c>
      <c r="AF181" s="16"/>
      <c r="AG181" s="16"/>
      <c r="AH181" s="16"/>
      <c r="AI181" s="16"/>
      <c r="AJ181" s="16"/>
      <c r="AK181" s="16"/>
      <c r="AL181" s="16"/>
      <c r="AM181" s="16"/>
    </row>
    <row r="182" spans="2:39">
      <c r="B182" s="14">
        <f t="shared" si="34"/>
        <v>180</v>
      </c>
      <c r="C182" s="14" t="str">
        <f t="shared" ca="1" si="35"/>
        <v>I</v>
      </c>
      <c r="D182" s="14" t="str">
        <f t="shared" ca="1" si="36"/>
        <v>q_50e.2</v>
      </c>
      <c r="E182" s="14" t="str">
        <f t="shared" ca="1" si="33"/>
        <v>How long Dancing activity</v>
      </c>
      <c r="F182" s="14">
        <f t="shared" ca="1" si="46"/>
        <v>0</v>
      </c>
      <c r="G182" s="14" t="str">
        <f t="shared" ca="1" si="37"/>
        <v>q_50e.2</v>
      </c>
      <c r="H182" s="14">
        <f ca="1">IF(G182&lt;&gt;"",IFERROR( IsVariableNameLegal(G182),0),0)+IF(COUNTIF(INDIRECT(wew!$C$13),G182)&gt;1,10,0)</f>
        <v>0</v>
      </c>
      <c r="I182" s="14">
        <f ca="1">IF(E182&lt;&gt;"",IF(LEN(E182)&gt;150,1,0)+IF(COUNTIF(INDIRECT(wew!$C$15),E182)&gt;1,10,0),0)</f>
        <v>10</v>
      </c>
      <c r="J182" s="14" t="b">
        <f t="shared" ca="1" si="38"/>
        <v>0</v>
      </c>
      <c r="K182" s="14" t="str">
        <f ca="1">ADDRESS(3,(B182+1)*2-1,4,,"[" &amp; wew!$G$7 &amp; "]" &amp; _sheetname_labels) &amp; ":" &amp; ADDRESS(2+ster!$B$20,(B182+1)*2-1,4)</f>
        <v>'[dane surowe2c.xlsm]labels'!MW3:MW36</v>
      </c>
      <c r="L182" s="14" t="str">
        <f ca="1">IF(F182&gt;0,ADDRESS(3,(B182+1)*2-1,4,,"[" &amp; wew!$G$7 &amp; "]" &amp; _sheetname_labels) &amp; ":" &amp; ADDRESS(2+F182,(B182+1)*2-1,4),"")</f>
        <v/>
      </c>
      <c r="M182" s="14" t="str">
        <f ca="1">IF(F182&gt;0,ADDRESS(3,(B182+1)*2,4,,"["&amp;wew!$G$7&amp;"]"&amp;_sheetname_labels)&amp;":"&amp;ADDRESS(2+F182,(B182+1)*2,4),"")</f>
        <v/>
      </c>
      <c r="N182" s="14" t="str">
        <f ca="1">ADDRESS(3,B182+1,4,,"[" &amp; wew!$G$7 &amp; "]" &amp;_sheetname_dataframe) &amp; ":" &amp; ADDRESS(2+ster!$C$14,B182+1,4)</f>
        <v>'[dane surowe2c.xlsm]data_frame'!FY3:FY35</v>
      </c>
      <c r="O182" s="14">
        <f t="shared" ca="1" si="39"/>
        <v>0</v>
      </c>
      <c r="P182" s="14" t="str">
        <f ca="1">IF(AND($AD182,$S182=1),IF(wew!$B$3,MIN(INDIRECT($N182)),"&lt;włącz podświetlanie wartości&gt;"),"—")</f>
        <v>—</v>
      </c>
      <c r="Q182" s="14" t="str">
        <f ca="1">IF(AND($AD182,$S182=1),IF(wew!$B$3,MAX(INDIRECT($N182)),"&lt;włącz podświetlanie wartości&gt;"),"—")</f>
        <v>—</v>
      </c>
      <c r="R182" s="14">
        <f ca="1">IF(AD182,ster!$C$14- (COUNTIF( INDIRECT(N182),"" )+ COUNT(INDIRECT(N182)) +COUNTIF( INDIRECT(N182),"NA" )),"")</f>
        <v>0</v>
      </c>
      <c r="S182" s="12">
        <f ca="1">IF(AD182,IF(COUNTA(INDIRECT(N182))=0,0, 1-(ster!$C$14- COUNT(INDIRECT(N182)) -COUNTIF( INDIRECT(N182),"" )) /COUNTA(INDIRECT(N182))),"")</f>
        <v>0</v>
      </c>
      <c r="T182" s="17" t="str">
        <f t="array" aca="1" ref="T182" ca="1">IF(L182&lt;&gt;"",SUM(IF(INDIRECT(L182)&lt;&gt;INT(INDIRECT(L182)),1,0)),"")</f>
        <v/>
      </c>
      <c r="U182" s="17" t="str">
        <f t="array" aca="1" ref="U182" ca="1">IF(S182=1,SUM(IF(ISNUMBER(INDIRECT(N182)),IF(INDIRECT(N182)&lt;&gt;INT(INDIRECT(N182)),1,0),0)),"")</f>
        <v/>
      </c>
      <c r="V182" s="17">
        <f t="shared" ca="1" si="40"/>
        <v>0</v>
      </c>
      <c r="W182" s="17">
        <f t="shared" ca="1" si="41"/>
        <v>0</v>
      </c>
      <c r="X182" s="24" t="str">
        <f t="array" aca="1" ref="X182" ca="1">IF(AD182,IF(AG182&lt;&gt;"",AG182,IF(J182,MIN(INDIRECT( K182)),"")),"")</f>
        <v/>
      </c>
      <c r="Y182" s="17" t="str">
        <f t="array" aca="1" ref="Y182" ca="1">IF(AD182,IF(AH182&lt;&gt;"",AH182,IF(J182,MAX(INDIRECT( K182)),"")),"")</f>
        <v/>
      </c>
      <c r="Z182" s="17" t="b">
        <f t="shared" ca="1" si="42"/>
        <v>0</v>
      </c>
      <c r="AC182" s="17" t="b">
        <f t="shared" ca="1" si="43"/>
        <v>0</v>
      </c>
      <c r="AD182" s="14" t="b">
        <f t="shared" ca="1" si="44"/>
        <v>1</v>
      </c>
      <c r="AE182" s="15" t="b">
        <f t="shared" ca="1" si="45"/>
        <v>0</v>
      </c>
      <c r="AF182" s="16"/>
      <c r="AG182" s="16"/>
      <c r="AH182" s="16"/>
      <c r="AI182" s="16"/>
      <c r="AJ182" s="16"/>
      <c r="AK182" s="16"/>
      <c r="AL182" s="16"/>
      <c r="AM182" s="16"/>
    </row>
    <row r="183" spans="2:39">
      <c r="B183" s="14">
        <f t="shared" si="34"/>
        <v>181</v>
      </c>
      <c r="C183" s="14" t="str">
        <f t="shared" ca="1" si="35"/>
        <v>D</v>
      </c>
      <c r="D183" s="14" t="str">
        <f t="shared" ca="1" si="36"/>
        <v>q_50f.1</v>
      </c>
      <c r="E183" s="14" t="str">
        <f t="shared" ca="1" si="33"/>
        <v>Moderate Diving activity</v>
      </c>
      <c r="F183" s="14">
        <f t="shared" ca="1" si="46"/>
        <v>2</v>
      </c>
      <c r="G183" s="14" t="str">
        <f t="shared" ca="1" si="37"/>
        <v>q_50f.1</v>
      </c>
      <c r="H183" s="14">
        <f ca="1">IF(G183&lt;&gt;"",IFERROR( IsVariableNameLegal(G183),0),0)+IF(COUNTIF(INDIRECT(wew!$C$13),G183)&gt;1,10,0)</f>
        <v>0</v>
      </c>
      <c r="I183" s="14">
        <f ca="1">IF(E183&lt;&gt;"",IF(LEN(E183)&gt;150,1,0)+IF(COUNTIF(INDIRECT(wew!$C$15),E183)&gt;1,10,0),0)</f>
        <v>0</v>
      </c>
      <c r="J183" s="14" t="b">
        <f t="shared" ca="1" si="38"/>
        <v>1</v>
      </c>
      <c r="K183" s="14" t="str">
        <f ca="1">ADDRESS(3,(B183+1)*2-1,4,,"[" &amp; wew!$G$7 &amp; "]" &amp; _sheetname_labels) &amp; ":" &amp; ADDRESS(2+ster!$B$20,(B183+1)*2-1,4)</f>
        <v>'[dane surowe2c.xlsm]labels'!MY3:MY36</v>
      </c>
      <c r="L183" s="14" t="str">
        <f ca="1">IF(F183&gt;0,ADDRESS(3,(B183+1)*2-1,4,,"[" &amp; wew!$G$7 &amp; "]" &amp; _sheetname_labels) &amp; ":" &amp; ADDRESS(2+F183,(B183+1)*2-1,4),"")</f>
        <v>'[dane surowe2c.xlsm]labels'!MY3:MY4</v>
      </c>
      <c r="M183" s="14" t="str">
        <f ca="1">IF(F183&gt;0,ADDRESS(3,(B183+1)*2,4,,"["&amp;wew!$G$7&amp;"]"&amp;_sheetname_labels)&amp;":"&amp;ADDRESS(2+F183,(B183+1)*2,4),"")</f>
        <v>'[dane surowe2c.xlsm]labels'!MZ3:MZ4</v>
      </c>
      <c r="N183" s="14" t="str">
        <f ca="1">ADDRESS(3,B183+1,4,,"[" &amp; wew!$G$7 &amp; "]" &amp;_sheetname_dataframe) &amp; ":" &amp; ADDRESS(2+ster!$C$14,B183+1,4)</f>
        <v>'[dane surowe2c.xlsm]data_frame'!FZ3:FZ35</v>
      </c>
      <c r="O183" s="14">
        <f t="shared" ca="1" si="39"/>
        <v>32</v>
      </c>
      <c r="P183" s="14">
        <f ca="1">IF(AND($AD183,$S183=1),IF(wew!$B$3,MIN(INDIRECT($N183)),"&lt;włącz podświetlanie wartości&gt;"),"—")</f>
        <v>2</v>
      </c>
      <c r="Q183" s="14">
        <f ca="1">IF(AND($AD183,$S183=1),IF(wew!$B$3,MAX(INDIRECT($N183)),"&lt;włącz podświetlanie wartości&gt;"),"—")</f>
        <v>2</v>
      </c>
      <c r="R183" s="14">
        <f ca="1">IF(AD183,ster!$C$14- (COUNTIF( INDIRECT(N183),"" )+ COUNT(INDIRECT(N183)) +COUNTIF( INDIRECT(N183),"NA" )),"")</f>
        <v>0</v>
      </c>
      <c r="S183" s="12">
        <f ca="1">IF(AD183,IF(COUNTA(INDIRECT(N183))=0,0, 1-(ster!$C$14- COUNT(INDIRECT(N183)) -COUNTIF( INDIRECT(N183),"" )) /COUNTA(INDIRECT(N183))),"")</f>
        <v>1</v>
      </c>
      <c r="T183" s="17">
        <f t="array" aca="1" ref="T183" ca="1">IF(L183&lt;&gt;"",SUM(IF(INDIRECT(L183)&lt;&gt;INT(INDIRECT(L183)),1,0)),"")</f>
        <v>0</v>
      </c>
      <c r="U183" s="17">
        <f t="array" aca="1" ref="U183" ca="1">IF(S183=1,SUM(IF(ISNUMBER(INDIRECT(N183)),IF(INDIRECT(N183)&lt;&gt;INT(INDIRECT(N183)),1,0),0)),"")</f>
        <v>0</v>
      </c>
      <c r="V183" s="17">
        <f t="shared" ca="1" si="40"/>
        <v>1</v>
      </c>
      <c r="W183" s="17">
        <f t="shared" ca="1" si="41"/>
        <v>0</v>
      </c>
      <c r="X183" s="24">
        <f t="array" aca="1" ref="X183" ca="1">IF(AD183,IF(AG183&lt;&gt;"",AG183,IF(J183,MIN(INDIRECT( K183)),"")),"")</f>
        <v>1</v>
      </c>
      <c r="Y183" s="17">
        <f t="array" aca="1" ref="Y183" ca="1">IF(AD183,IF(AH183&lt;&gt;"",AH183,IF(J183,MAX(INDIRECT( K183)),"")),"")</f>
        <v>2</v>
      </c>
      <c r="Z183" s="17" t="b">
        <f t="shared" ca="1" si="42"/>
        <v>1</v>
      </c>
      <c r="AC183" s="17" t="b">
        <f t="shared" ca="1" si="43"/>
        <v>0</v>
      </c>
      <c r="AD183" s="14" t="b">
        <f t="shared" ca="1" si="44"/>
        <v>1</v>
      </c>
      <c r="AE183" s="15" t="b">
        <f t="shared" ca="1" si="45"/>
        <v>1</v>
      </c>
      <c r="AF183" s="16"/>
      <c r="AG183" s="16"/>
      <c r="AH183" s="16"/>
      <c r="AI183" s="16"/>
      <c r="AJ183" s="16"/>
      <c r="AK183" s="16"/>
      <c r="AL183" s="16"/>
      <c r="AM183" s="16"/>
    </row>
    <row r="184" spans="2:39">
      <c r="B184" s="14">
        <f t="shared" si="34"/>
        <v>182</v>
      </c>
      <c r="C184" s="14" t="str">
        <f t="shared" ca="1" si="35"/>
        <v>I</v>
      </c>
      <c r="D184" s="14" t="str">
        <f t="shared" ca="1" si="36"/>
        <v>q_50f.2</v>
      </c>
      <c r="E184" s="14" t="str">
        <f t="shared" ca="1" si="33"/>
        <v>How long Diving activity</v>
      </c>
      <c r="F184" s="14">
        <f t="shared" ca="1" si="46"/>
        <v>0</v>
      </c>
      <c r="G184" s="14" t="str">
        <f t="shared" ca="1" si="37"/>
        <v>q_50f.2</v>
      </c>
      <c r="H184" s="14">
        <f ca="1">IF(G184&lt;&gt;"",IFERROR( IsVariableNameLegal(G184),0),0)+IF(COUNTIF(INDIRECT(wew!$C$13),G184)&gt;1,10,0)</f>
        <v>0</v>
      </c>
      <c r="I184" s="14">
        <f ca="1">IF(E184&lt;&gt;"",IF(LEN(E184)&gt;150,1,0)+IF(COUNTIF(INDIRECT(wew!$C$15),E184)&gt;1,10,0),0)</f>
        <v>10</v>
      </c>
      <c r="J184" s="14" t="b">
        <f t="shared" ca="1" si="38"/>
        <v>0</v>
      </c>
      <c r="K184" s="14" t="str">
        <f ca="1">ADDRESS(3,(B184+1)*2-1,4,,"[" &amp; wew!$G$7 &amp; "]" &amp; _sheetname_labels) &amp; ":" &amp; ADDRESS(2+ster!$B$20,(B184+1)*2-1,4)</f>
        <v>'[dane surowe2c.xlsm]labels'!NA3:NA36</v>
      </c>
      <c r="L184" s="14" t="str">
        <f ca="1">IF(F184&gt;0,ADDRESS(3,(B184+1)*2-1,4,,"[" &amp; wew!$G$7 &amp; "]" &amp; _sheetname_labels) &amp; ":" &amp; ADDRESS(2+F184,(B184+1)*2-1,4),"")</f>
        <v/>
      </c>
      <c r="M184" s="14" t="str">
        <f ca="1">IF(F184&gt;0,ADDRESS(3,(B184+1)*2,4,,"["&amp;wew!$G$7&amp;"]"&amp;_sheetname_labels)&amp;":"&amp;ADDRESS(2+F184,(B184+1)*2,4),"")</f>
        <v/>
      </c>
      <c r="N184" s="14" t="str">
        <f ca="1">ADDRESS(3,B184+1,4,,"[" &amp; wew!$G$7 &amp; "]" &amp;_sheetname_dataframe) &amp; ":" &amp; ADDRESS(2+ster!$C$14,B184+1,4)</f>
        <v>'[dane surowe2c.xlsm]data_frame'!GA3:GA35</v>
      </c>
      <c r="O184" s="14">
        <f t="shared" ca="1" si="39"/>
        <v>0</v>
      </c>
      <c r="P184" s="14" t="str">
        <f ca="1">IF(AND($AD184,$S184=1),IF(wew!$B$3,MIN(INDIRECT($N184)),"&lt;włącz podświetlanie wartości&gt;"),"—")</f>
        <v>—</v>
      </c>
      <c r="Q184" s="14" t="str">
        <f ca="1">IF(AND($AD184,$S184=1),IF(wew!$B$3,MAX(INDIRECT($N184)),"&lt;włącz podświetlanie wartości&gt;"),"—")</f>
        <v>—</v>
      </c>
      <c r="R184" s="14">
        <f ca="1">IF(AD184,ster!$C$14- (COUNTIF( INDIRECT(N184),"" )+ COUNT(INDIRECT(N184)) +COUNTIF( INDIRECT(N184),"NA" )),"")</f>
        <v>0</v>
      </c>
      <c r="S184" s="12">
        <f ca="1">IF(AD184,IF(COUNTA(INDIRECT(N184))=0,0, 1-(ster!$C$14- COUNT(INDIRECT(N184)) -COUNTIF( INDIRECT(N184),"" )) /COUNTA(INDIRECT(N184))),"")</f>
        <v>0</v>
      </c>
      <c r="T184" s="17" t="str">
        <f t="array" aca="1" ref="T184" ca="1">IF(L184&lt;&gt;"",SUM(IF(INDIRECT(L184)&lt;&gt;INT(INDIRECT(L184)),1,0)),"")</f>
        <v/>
      </c>
      <c r="U184" s="17" t="str">
        <f t="array" aca="1" ref="U184" ca="1">IF(S184=1,SUM(IF(ISNUMBER(INDIRECT(N184)),IF(INDIRECT(N184)&lt;&gt;INT(INDIRECT(N184)),1,0),0)),"")</f>
        <v/>
      </c>
      <c r="V184" s="17">
        <f t="shared" ca="1" si="40"/>
        <v>0</v>
      </c>
      <c r="W184" s="17">
        <f t="shared" ca="1" si="41"/>
        <v>0</v>
      </c>
      <c r="X184" s="24" t="str">
        <f t="array" aca="1" ref="X184" ca="1">IF(AD184,IF(AG184&lt;&gt;"",AG184,IF(J184,MIN(INDIRECT( K184)),"")),"")</f>
        <v/>
      </c>
      <c r="Y184" s="17" t="str">
        <f t="array" aca="1" ref="Y184" ca="1">IF(AD184,IF(AH184&lt;&gt;"",AH184,IF(J184,MAX(INDIRECT( K184)),"")),"")</f>
        <v/>
      </c>
      <c r="Z184" s="17" t="b">
        <f t="shared" ca="1" si="42"/>
        <v>0</v>
      </c>
      <c r="AC184" s="17" t="b">
        <f t="shared" ca="1" si="43"/>
        <v>0</v>
      </c>
      <c r="AD184" s="14" t="b">
        <f t="shared" ca="1" si="44"/>
        <v>1</v>
      </c>
      <c r="AE184" s="15" t="b">
        <f t="shared" ca="1" si="45"/>
        <v>0</v>
      </c>
      <c r="AF184" s="16"/>
      <c r="AG184" s="16"/>
      <c r="AH184" s="16"/>
      <c r="AI184" s="16"/>
      <c r="AJ184" s="16"/>
      <c r="AK184" s="16"/>
      <c r="AL184" s="16"/>
      <c r="AM184" s="16"/>
    </row>
    <row r="185" spans="2:39">
      <c r="B185" s="14">
        <f t="shared" si="34"/>
        <v>183</v>
      </c>
      <c r="C185" s="14" t="str">
        <f t="shared" ca="1" si="35"/>
        <v>D</v>
      </c>
      <c r="D185" s="14" t="str">
        <f t="shared" ca="1" si="36"/>
        <v>q_50g.1</v>
      </c>
      <c r="E185" s="14" t="str">
        <f t="shared" ca="1" si="33"/>
        <v>Moderate Fast walking activity</v>
      </c>
      <c r="F185" s="14">
        <f t="shared" ca="1" si="46"/>
        <v>2</v>
      </c>
      <c r="G185" s="14" t="str">
        <f t="shared" ca="1" si="37"/>
        <v>q_50g.1</v>
      </c>
      <c r="H185" s="14">
        <f ca="1">IF(G185&lt;&gt;"",IFERROR( IsVariableNameLegal(G185),0),0)+IF(COUNTIF(INDIRECT(wew!$C$13),G185)&gt;1,10,0)</f>
        <v>0</v>
      </c>
      <c r="I185" s="14">
        <f ca="1">IF(E185&lt;&gt;"",IF(LEN(E185)&gt;150,1,0)+IF(COUNTIF(INDIRECT(wew!$C$15),E185)&gt;1,10,0),0)</f>
        <v>0</v>
      </c>
      <c r="J185" s="14" t="b">
        <f t="shared" ca="1" si="38"/>
        <v>1</v>
      </c>
      <c r="K185" s="14" t="str">
        <f ca="1">ADDRESS(3,(B185+1)*2-1,4,,"[" &amp; wew!$G$7 &amp; "]" &amp; _sheetname_labels) &amp; ":" &amp; ADDRESS(2+ster!$B$20,(B185+1)*2-1,4)</f>
        <v>'[dane surowe2c.xlsm]labels'!NC3:NC36</v>
      </c>
      <c r="L185" s="14" t="str">
        <f ca="1">IF(F185&gt;0,ADDRESS(3,(B185+1)*2-1,4,,"[" &amp; wew!$G$7 &amp; "]" &amp; _sheetname_labels) &amp; ":" &amp; ADDRESS(2+F185,(B185+1)*2-1,4),"")</f>
        <v>'[dane surowe2c.xlsm]labels'!NC3:NC4</v>
      </c>
      <c r="M185" s="14" t="str">
        <f ca="1">IF(F185&gt;0,ADDRESS(3,(B185+1)*2,4,,"["&amp;wew!$G$7&amp;"]"&amp;_sheetname_labels)&amp;":"&amp;ADDRESS(2+F185,(B185+1)*2,4),"")</f>
        <v>'[dane surowe2c.xlsm]labels'!ND3:ND4</v>
      </c>
      <c r="N185" s="14" t="str">
        <f ca="1">ADDRESS(3,B185+1,4,,"[" &amp; wew!$G$7 &amp; "]" &amp;_sheetname_dataframe) &amp; ":" &amp; ADDRESS(2+ster!$C$14,B185+1,4)</f>
        <v>'[dane surowe2c.xlsm]data_frame'!GB3:GB35</v>
      </c>
      <c r="O185" s="14">
        <f t="shared" ca="1" si="39"/>
        <v>32</v>
      </c>
      <c r="P185" s="14">
        <f ca="1">IF(AND($AD185,$S185=1),IF(wew!$B$3,MIN(INDIRECT($N185)),"&lt;włącz podświetlanie wartości&gt;"),"—")</f>
        <v>1</v>
      </c>
      <c r="Q185" s="14">
        <f ca="1">IF(AND($AD185,$S185=1),IF(wew!$B$3,MAX(INDIRECT($N185)),"&lt;włącz podświetlanie wartości&gt;"),"—")</f>
        <v>2</v>
      </c>
      <c r="R185" s="14">
        <f ca="1">IF(AD185,ster!$C$14- (COUNTIF( INDIRECT(N185),"" )+ COUNT(INDIRECT(N185)) +COUNTIF( INDIRECT(N185),"NA" )),"")</f>
        <v>0</v>
      </c>
      <c r="S185" s="12">
        <f ca="1">IF(AD185,IF(COUNTA(INDIRECT(N185))=0,0, 1-(ster!$C$14- COUNT(INDIRECT(N185)) -COUNTIF( INDIRECT(N185),"" )) /COUNTA(INDIRECT(N185))),"")</f>
        <v>1</v>
      </c>
      <c r="T185" s="17">
        <f t="array" aca="1" ref="T185" ca="1">IF(L185&lt;&gt;"",SUM(IF(INDIRECT(L185)&lt;&gt;INT(INDIRECT(L185)),1,0)),"")</f>
        <v>0</v>
      </c>
      <c r="U185" s="17">
        <f t="array" aca="1" ref="U185" ca="1">IF(S185=1,SUM(IF(ISNUMBER(INDIRECT(N185)),IF(INDIRECT(N185)&lt;&gt;INT(INDIRECT(N185)),1,0),0)),"")</f>
        <v>0</v>
      </c>
      <c r="V185" s="17">
        <f t="shared" ca="1" si="40"/>
        <v>1</v>
      </c>
      <c r="W185" s="17">
        <f t="shared" ca="1" si="41"/>
        <v>0</v>
      </c>
      <c r="X185" s="24">
        <f t="array" aca="1" ref="X185" ca="1">IF(AD185,IF(AG185&lt;&gt;"",AG185,IF(J185,MIN(INDIRECT( K185)),"")),"")</f>
        <v>1</v>
      </c>
      <c r="Y185" s="17">
        <f t="array" aca="1" ref="Y185" ca="1">IF(AD185,IF(AH185&lt;&gt;"",AH185,IF(J185,MAX(INDIRECT( K185)),"")),"")</f>
        <v>2</v>
      </c>
      <c r="Z185" s="17" t="b">
        <f t="shared" ca="1" si="42"/>
        <v>1</v>
      </c>
      <c r="AC185" s="17" t="b">
        <f t="shared" ca="1" si="43"/>
        <v>0</v>
      </c>
      <c r="AD185" s="14" t="b">
        <f t="shared" ca="1" si="44"/>
        <v>1</v>
      </c>
      <c r="AE185" s="15" t="b">
        <f t="shared" ca="1" si="45"/>
        <v>1</v>
      </c>
      <c r="AF185" s="16"/>
      <c r="AG185" s="16"/>
      <c r="AH185" s="16"/>
      <c r="AI185" s="16"/>
      <c r="AJ185" s="16"/>
      <c r="AK185" s="16"/>
      <c r="AL185" s="16"/>
      <c r="AM185" s="16"/>
    </row>
    <row r="186" spans="2:39">
      <c r="B186" s="14">
        <f t="shared" si="34"/>
        <v>184</v>
      </c>
      <c r="C186" s="14" t="str">
        <f t="shared" ca="1" si="35"/>
        <v>I</v>
      </c>
      <c r="D186" s="14" t="str">
        <f t="shared" ca="1" si="36"/>
        <v>q_50g.2</v>
      </c>
      <c r="E186" s="14" t="str">
        <f t="shared" ca="1" si="33"/>
        <v>How long Fast walking activity</v>
      </c>
      <c r="F186" s="14">
        <f t="shared" ca="1" si="46"/>
        <v>0</v>
      </c>
      <c r="G186" s="14" t="str">
        <f t="shared" ca="1" si="37"/>
        <v>q_50g.2</v>
      </c>
      <c r="H186" s="14">
        <f ca="1">IF(G186&lt;&gt;"",IFERROR( IsVariableNameLegal(G186),0),0)+IF(COUNTIF(INDIRECT(wew!$C$13),G186)&gt;1,10,0)</f>
        <v>0</v>
      </c>
      <c r="I186" s="14">
        <f ca="1">IF(E186&lt;&gt;"",IF(LEN(E186)&gt;150,1,0)+IF(COUNTIF(INDIRECT(wew!$C$15),E186)&gt;1,10,0),0)</f>
        <v>10</v>
      </c>
      <c r="J186" s="14" t="b">
        <f t="shared" ca="1" si="38"/>
        <v>0</v>
      </c>
      <c r="K186" s="14" t="str">
        <f ca="1">ADDRESS(3,(B186+1)*2-1,4,,"[" &amp; wew!$G$7 &amp; "]" &amp; _sheetname_labels) &amp; ":" &amp; ADDRESS(2+ster!$B$20,(B186+1)*2-1,4)</f>
        <v>'[dane surowe2c.xlsm]labels'!NE3:NE36</v>
      </c>
      <c r="L186" s="14" t="str">
        <f ca="1">IF(F186&gt;0,ADDRESS(3,(B186+1)*2-1,4,,"[" &amp; wew!$G$7 &amp; "]" &amp; _sheetname_labels) &amp; ":" &amp; ADDRESS(2+F186,(B186+1)*2-1,4),"")</f>
        <v/>
      </c>
      <c r="M186" s="14" t="str">
        <f ca="1">IF(F186&gt;0,ADDRESS(3,(B186+1)*2,4,,"["&amp;wew!$G$7&amp;"]"&amp;_sheetname_labels)&amp;":"&amp;ADDRESS(2+F186,(B186+1)*2,4),"")</f>
        <v/>
      </c>
      <c r="N186" s="14" t="str">
        <f ca="1">ADDRESS(3,B186+1,4,,"[" &amp; wew!$G$7 &amp; "]" &amp;_sheetname_dataframe) &amp; ":" &amp; ADDRESS(2+ster!$C$14,B186+1,4)</f>
        <v>'[dane surowe2c.xlsm]data_frame'!GC3:GC35</v>
      </c>
      <c r="O186" s="14">
        <f t="shared" ca="1" si="39"/>
        <v>1</v>
      </c>
      <c r="P186" s="14">
        <f ca="1">IF(AND($AD186,$S186=1),IF(wew!$B$3,MIN(INDIRECT($N186)),"&lt;włącz podświetlanie wartości&gt;"),"—")</f>
        <v>10</v>
      </c>
      <c r="Q186" s="14">
        <f ca="1">IF(AND($AD186,$S186=1),IF(wew!$B$3,MAX(INDIRECT($N186)),"&lt;włącz podświetlanie wartości&gt;"),"—")</f>
        <v>10</v>
      </c>
      <c r="R186" s="14">
        <f ca="1">IF(AD186,ster!$C$14- (COUNTIF( INDIRECT(N186),"" )+ COUNT(INDIRECT(N186)) +COUNTIF( INDIRECT(N186),"NA" )),"")</f>
        <v>0</v>
      </c>
      <c r="S186" s="12">
        <f ca="1">IF(AD186,IF(COUNTA(INDIRECT(N186))=0,0, 1-(ster!$C$14- COUNT(INDIRECT(N186)) -COUNTIF( INDIRECT(N186),"" )) /COUNTA(INDIRECT(N186))),"")</f>
        <v>1</v>
      </c>
      <c r="T186" s="17" t="str">
        <f t="array" aca="1" ref="T186" ca="1">IF(L186&lt;&gt;"",SUM(IF(INDIRECT(L186)&lt;&gt;INT(INDIRECT(L186)),1,0)),"")</f>
        <v/>
      </c>
      <c r="U186" s="17">
        <f t="array" aca="1" ref="U186" ca="1">IF(S186=1,SUM(IF(ISNUMBER(INDIRECT(N186)),IF(INDIRECT(N186)&lt;&gt;INT(INDIRECT(N186)),1,0),0)),"")</f>
        <v>0</v>
      </c>
      <c r="V186" s="17">
        <f t="shared" ca="1" si="40"/>
        <v>1</v>
      </c>
      <c r="W186" s="17">
        <f t="shared" ca="1" si="41"/>
        <v>0</v>
      </c>
      <c r="X186" s="24" t="str">
        <f t="array" aca="1" ref="X186" ca="1">IF(AD186,IF(AG186&lt;&gt;"",AG186,IF(J186,MIN(INDIRECT( K186)),"")),"")</f>
        <v/>
      </c>
      <c r="Y186" s="17" t="str">
        <f t="array" aca="1" ref="Y186" ca="1">IF(AD186,IF(AH186&lt;&gt;"",AH186,IF(J186,MAX(INDIRECT( K186)),"")),"")</f>
        <v/>
      </c>
      <c r="Z186" s="17" t="b">
        <f t="shared" ca="1" si="42"/>
        <v>0</v>
      </c>
      <c r="AC186" s="17" t="b">
        <f t="shared" ca="1" si="43"/>
        <v>0</v>
      </c>
      <c r="AD186" s="14" t="b">
        <f t="shared" ca="1" si="44"/>
        <v>1</v>
      </c>
      <c r="AE186" s="15" t="b">
        <f t="shared" ca="1" si="45"/>
        <v>0</v>
      </c>
      <c r="AF186" s="16"/>
      <c r="AG186" s="16"/>
      <c r="AH186" s="16"/>
      <c r="AI186" s="16"/>
      <c r="AJ186" s="16"/>
      <c r="AK186" s="16"/>
      <c r="AL186" s="16"/>
      <c r="AM186" s="16"/>
    </row>
    <row r="187" spans="2:39">
      <c r="B187" s="14">
        <f t="shared" si="34"/>
        <v>185</v>
      </c>
      <c r="C187" s="14" t="str">
        <f t="shared" ca="1" si="35"/>
        <v>D</v>
      </c>
      <c r="D187" s="14" t="str">
        <f t="shared" ca="1" si="36"/>
        <v>q_50h.1</v>
      </c>
      <c r="E187" s="14" t="str">
        <f t="shared" ca="1" si="33"/>
        <v>Moderate Fencing activity</v>
      </c>
      <c r="F187" s="14">
        <f t="shared" ca="1" si="46"/>
        <v>2</v>
      </c>
      <c r="G187" s="14" t="str">
        <f t="shared" ca="1" si="37"/>
        <v>q_50h.1</v>
      </c>
      <c r="H187" s="14">
        <f ca="1">IF(G187&lt;&gt;"",IFERROR( IsVariableNameLegal(G187),0),0)+IF(COUNTIF(INDIRECT(wew!$C$13),G187)&gt;1,10,0)</f>
        <v>0</v>
      </c>
      <c r="I187" s="14">
        <f ca="1">IF(E187&lt;&gt;"",IF(LEN(E187)&gt;150,1,0)+IF(COUNTIF(INDIRECT(wew!$C$15),E187)&gt;1,10,0),0)</f>
        <v>0</v>
      </c>
      <c r="J187" s="14" t="b">
        <f t="shared" ca="1" si="38"/>
        <v>1</v>
      </c>
      <c r="K187" s="14" t="str">
        <f ca="1">ADDRESS(3,(B187+1)*2-1,4,,"[" &amp; wew!$G$7 &amp; "]" &amp; _sheetname_labels) &amp; ":" &amp; ADDRESS(2+ster!$B$20,(B187+1)*2-1,4)</f>
        <v>'[dane surowe2c.xlsm]labels'!NG3:NG36</v>
      </c>
      <c r="L187" s="14" t="str">
        <f ca="1">IF(F187&gt;0,ADDRESS(3,(B187+1)*2-1,4,,"[" &amp; wew!$G$7 &amp; "]" &amp; _sheetname_labels) &amp; ":" &amp; ADDRESS(2+F187,(B187+1)*2-1,4),"")</f>
        <v>'[dane surowe2c.xlsm]labels'!NG3:NG4</v>
      </c>
      <c r="M187" s="14" t="str">
        <f ca="1">IF(F187&gt;0,ADDRESS(3,(B187+1)*2,4,,"["&amp;wew!$G$7&amp;"]"&amp;_sheetname_labels)&amp;":"&amp;ADDRESS(2+F187,(B187+1)*2,4),"")</f>
        <v>'[dane surowe2c.xlsm]labels'!NH3:NH4</v>
      </c>
      <c r="N187" s="14" t="str">
        <f ca="1">ADDRESS(3,B187+1,4,,"[" &amp; wew!$G$7 &amp; "]" &amp;_sheetname_dataframe) &amp; ":" &amp; ADDRESS(2+ster!$C$14,B187+1,4)</f>
        <v>'[dane surowe2c.xlsm]data_frame'!GD3:GD35</v>
      </c>
      <c r="O187" s="14">
        <f t="shared" ca="1" si="39"/>
        <v>32</v>
      </c>
      <c r="P187" s="14">
        <f ca="1">IF(AND($AD187,$S187=1),IF(wew!$B$3,MIN(INDIRECT($N187)),"&lt;włącz podświetlanie wartości&gt;"),"—")</f>
        <v>2</v>
      </c>
      <c r="Q187" s="14">
        <f ca="1">IF(AND($AD187,$S187=1),IF(wew!$B$3,MAX(INDIRECT($N187)),"&lt;włącz podświetlanie wartości&gt;"),"—")</f>
        <v>2</v>
      </c>
      <c r="R187" s="14">
        <f ca="1">IF(AD187,ster!$C$14- (COUNTIF( INDIRECT(N187),"" )+ COUNT(INDIRECT(N187)) +COUNTIF( INDIRECT(N187),"NA" )),"")</f>
        <v>0</v>
      </c>
      <c r="S187" s="12">
        <f ca="1">IF(AD187,IF(COUNTA(INDIRECT(N187))=0,0, 1-(ster!$C$14- COUNT(INDIRECT(N187)) -COUNTIF( INDIRECT(N187),"" )) /COUNTA(INDIRECT(N187))),"")</f>
        <v>1</v>
      </c>
      <c r="T187" s="17">
        <f t="array" aca="1" ref="T187" ca="1">IF(L187&lt;&gt;"",SUM(IF(INDIRECT(L187)&lt;&gt;INT(INDIRECT(L187)),1,0)),"")</f>
        <v>0</v>
      </c>
      <c r="U187" s="17">
        <f t="array" aca="1" ref="U187" ca="1">IF(S187=1,SUM(IF(ISNUMBER(INDIRECT(N187)),IF(INDIRECT(N187)&lt;&gt;INT(INDIRECT(N187)),1,0),0)),"")</f>
        <v>0</v>
      </c>
      <c r="V187" s="17">
        <f t="shared" ca="1" si="40"/>
        <v>1</v>
      </c>
      <c r="W187" s="17">
        <f t="shared" ca="1" si="41"/>
        <v>0</v>
      </c>
      <c r="X187" s="24">
        <f t="array" aca="1" ref="X187" ca="1">IF(AD187,IF(AG187&lt;&gt;"",AG187,IF(J187,MIN(INDIRECT( K187)),"")),"")</f>
        <v>1</v>
      </c>
      <c r="Y187" s="17">
        <f t="array" aca="1" ref="Y187" ca="1">IF(AD187,IF(AH187&lt;&gt;"",AH187,IF(J187,MAX(INDIRECT( K187)),"")),"")</f>
        <v>2</v>
      </c>
      <c r="Z187" s="17" t="b">
        <f t="shared" ca="1" si="42"/>
        <v>1</v>
      </c>
      <c r="AC187" s="17" t="b">
        <f t="shared" ca="1" si="43"/>
        <v>0</v>
      </c>
      <c r="AD187" s="14" t="b">
        <f t="shared" ca="1" si="44"/>
        <v>1</v>
      </c>
      <c r="AE187" s="15" t="b">
        <f t="shared" ca="1" si="45"/>
        <v>1</v>
      </c>
      <c r="AF187" s="16"/>
      <c r="AG187" s="16"/>
      <c r="AH187" s="16"/>
      <c r="AI187" s="16"/>
      <c r="AJ187" s="16"/>
      <c r="AK187" s="16"/>
      <c r="AL187" s="16"/>
      <c r="AM187" s="16"/>
    </row>
    <row r="188" spans="2:39">
      <c r="B188" s="14">
        <f t="shared" si="34"/>
        <v>186</v>
      </c>
      <c r="C188" s="14" t="str">
        <f t="shared" ca="1" si="35"/>
        <v>I</v>
      </c>
      <c r="D188" s="14" t="str">
        <f t="shared" ca="1" si="36"/>
        <v>q_50h.2</v>
      </c>
      <c r="E188" s="14" t="str">
        <f t="shared" ca="1" si="33"/>
        <v>How long Fencing activity</v>
      </c>
      <c r="F188" s="14">
        <f t="shared" ca="1" si="46"/>
        <v>0</v>
      </c>
      <c r="G188" s="14" t="str">
        <f t="shared" ca="1" si="37"/>
        <v>q_50h.2</v>
      </c>
      <c r="H188" s="14">
        <f ca="1">IF(G188&lt;&gt;"",IFERROR( IsVariableNameLegal(G188),0),0)+IF(COUNTIF(INDIRECT(wew!$C$13),G188)&gt;1,10,0)</f>
        <v>0</v>
      </c>
      <c r="I188" s="14">
        <f ca="1">IF(E188&lt;&gt;"",IF(LEN(E188)&gt;150,1,0)+IF(COUNTIF(INDIRECT(wew!$C$15),E188)&gt;1,10,0),0)</f>
        <v>10</v>
      </c>
      <c r="J188" s="14" t="b">
        <f t="shared" ca="1" si="38"/>
        <v>0</v>
      </c>
      <c r="K188" s="14" t="str">
        <f ca="1">ADDRESS(3,(B188+1)*2-1,4,,"[" &amp; wew!$G$7 &amp; "]" &amp; _sheetname_labels) &amp; ":" &amp; ADDRESS(2+ster!$B$20,(B188+1)*2-1,4)</f>
        <v>'[dane surowe2c.xlsm]labels'!NI3:NI36</v>
      </c>
      <c r="L188" s="14" t="str">
        <f ca="1">IF(F188&gt;0,ADDRESS(3,(B188+1)*2-1,4,,"[" &amp; wew!$G$7 &amp; "]" &amp; _sheetname_labels) &amp; ":" &amp; ADDRESS(2+F188,(B188+1)*2-1,4),"")</f>
        <v/>
      </c>
      <c r="M188" s="14" t="str">
        <f ca="1">IF(F188&gt;0,ADDRESS(3,(B188+1)*2,4,,"["&amp;wew!$G$7&amp;"]"&amp;_sheetname_labels)&amp;":"&amp;ADDRESS(2+F188,(B188+1)*2,4),"")</f>
        <v/>
      </c>
      <c r="N188" s="14" t="str">
        <f ca="1">ADDRESS(3,B188+1,4,,"[" &amp; wew!$G$7 &amp; "]" &amp;_sheetname_dataframe) &amp; ":" &amp; ADDRESS(2+ster!$C$14,B188+1,4)</f>
        <v>'[dane surowe2c.xlsm]data_frame'!GE3:GE35</v>
      </c>
      <c r="O188" s="14">
        <f t="shared" ca="1" si="39"/>
        <v>0</v>
      </c>
      <c r="P188" s="14" t="str">
        <f ca="1">IF(AND($AD188,$S188=1),IF(wew!$B$3,MIN(INDIRECT($N188)),"&lt;włącz podświetlanie wartości&gt;"),"—")</f>
        <v>—</v>
      </c>
      <c r="Q188" s="14" t="str">
        <f ca="1">IF(AND($AD188,$S188=1),IF(wew!$B$3,MAX(INDIRECT($N188)),"&lt;włącz podświetlanie wartości&gt;"),"—")</f>
        <v>—</v>
      </c>
      <c r="R188" s="14">
        <f ca="1">IF(AD188,ster!$C$14- (COUNTIF( INDIRECT(N188),"" )+ COUNT(INDIRECT(N188)) +COUNTIF( INDIRECT(N188),"NA" )),"")</f>
        <v>0</v>
      </c>
      <c r="S188" s="12">
        <f ca="1">IF(AD188,IF(COUNTA(INDIRECT(N188))=0,0, 1-(ster!$C$14- COUNT(INDIRECT(N188)) -COUNTIF( INDIRECT(N188),"" )) /COUNTA(INDIRECT(N188))),"")</f>
        <v>0</v>
      </c>
      <c r="T188" s="17" t="str">
        <f t="array" aca="1" ref="T188" ca="1">IF(L188&lt;&gt;"",SUM(IF(INDIRECT(L188)&lt;&gt;INT(INDIRECT(L188)),1,0)),"")</f>
        <v/>
      </c>
      <c r="U188" s="17" t="str">
        <f t="array" aca="1" ref="U188" ca="1">IF(S188=1,SUM(IF(ISNUMBER(INDIRECT(N188)),IF(INDIRECT(N188)&lt;&gt;INT(INDIRECT(N188)),1,0),0)),"")</f>
        <v/>
      </c>
      <c r="V188" s="17">
        <f t="shared" ca="1" si="40"/>
        <v>0</v>
      </c>
      <c r="W188" s="17">
        <f t="shared" ca="1" si="41"/>
        <v>0</v>
      </c>
      <c r="X188" s="24" t="str">
        <f t="array" aca="1" ref="X188" ca="1">IF(AD188,IF(AG188&lt;&gt;"",AG188,IF(J188,MIN(INDIRECT( K188)),"")),"")</f>
        <v/>
      </c>
      <c r="Y188" s="17" t="str">
        <f t="array" aca="1" ref="Y188" ca="1">IF(AD188,IF(AH188&lt;&gt;"",AH188,IF(J188,MAX(INDIRECT( K188)),"")),"")</f>
        <v/>
      </c>
      <c r="Z188" s="17" t="b">
        <f t="shared" ca="1" si="42"/>
        <v>0</v>
      </c>
      <c r="AC188" s="17" t="b">
        <f t="shared" ca="1" si="43"/>
        <v>0</v>
      </c>
      <c r="AD188" s="14" t="b">
        <f t="shared" ca="1" si="44"/>
        <v>1</v>
      </c>
      <c r="AE188" s="15" t="b">
        <f t="shared" ca="1" si="45"/>
        <v>0</v>
      </c>
      <c r="AF188" s="16"/>
      <c r="AG188" s="16"/>
      <c r="AH188" s="16"/>
      <c r="AI188" s="16"/>
      <c r="AJ188" s="16"/>
      <c r="AK188" s="16"/>
      <c r="AL188" s="16"/>
      <c r="AM188" s="16"/>
    </row>
    <row r="189" spans="2:39">
      <c r="B189" s="14">
        <f t="shared" si="34"/>
        <v>187</v>
      </c>
      <c r="C189" s="14" t="str">
        <f t="shared" ca="1" si="35"/>
        <v>D</v>
      </c>
      <c r="D189" s="14" t="str">
        <f t="shared" ca="1" si="36"/>
        <v>q_50i.1</v>
      </c>
      <c r="E189" s="14" t="str">
        <f t="shared" ca="1" si="33"/>
        <v>Moderate Fitness activity</v>
      </c>
      <c r="F189" s="14">
        <f t="shared" ca="1" si="46"/>
        <v>2</v>
      </c>
      <c r="G189" s="14" t="str">
        <f t="shared" ca="1" si="37"/>
        <v>q_50i.1</v>
      </c>
      <c r="H189" s="14">
        <f ca="1">IF(G189&lt;&gt;"",IFERROR( IsVariableNameLegal(G189),0),0)+IF(COUNTIF(INDIRECT(wew!$C$13),G189)&gt;1,10,0)</f>
        <v>0</v>
      </c>
      <c r="I189" s="14">
        <f ca="1">IF(E189&lt;&gt;"",IF(LEN(E189)&gt;150,1,0)+IF(COUNTIF(INDIRECT(wew!$C$15),E189)&gt;1,10,0),0)</f>
        <v>0</v>
      </c>
      <c r="J189" s="14" t="b">
        <f t="shared" ca="1" si="38"/>
        <v>1</v>
      </c>
      <c r="K189" s="14" t="str">
        <f ca="1">ADDRESS(3,(B189+1)*2-1,4,,"[" &amp; wew!$G$7 &amp; "]" &amp; _sheetname_labels) &amp; ":" &amp; ADDRESS(2+ster!$B$20,(B189+1)*2-1,4)</f>
        <v>'[dane surowe2c.xlsm]labels'!NK3:NK36</v>
      </c>
      <c r="L189" s="14" t="str">
        <f ca="1">IF(F189&gt;0,ADDRESS(3,(B189+1)*2-1,4,,"[" &amp; wew!$G$7 &amp; "]" &amp; _sheetname_labels) &amp; ":" &amp; ADDRESS(2+F189,(B189+1)*2-1,4),"")</f>
        <v>'[dane surowe2c.xlsm]labels'!NK3:NK4</v>
      </c>
      <c r="M189" s="14" t="str">
        <f ca="1">IF(F189&gt;0,ADDRESS(3,(B189+1)*2,4,,"["&amp;wew!$G$7&amp;"]"&amp;_sheetname_labels)&amp;":"&amp;ADDRESS(2+F189,(B189+1)*2,4),"")</f>
        <v>'[dane surowe2c.xlsm]labels'!NL3:NL4</v>
      </c>
      <c r="N189" s="14" t="str">
        <f ca="1">ADDRESS(3,B189+1,4,,"[" &amp; wew!$G$7 &amp; "]" &amp;_sheetname_dataframe) &amp; ":" &amp; ADDRESS(2+ster!$C$14,B189+1,4)</f>
        <v>'[dane surowe2c.xlsm]data_frame'!GF3:GF35</v>
      </c>
      <c r="O189" s="14">
        <f t="shared" ca="1" si="39"/>
        <v>32</v>
      </c>
      <c r="P189" s="14">
        <f ca="1">IF(AND($AD189,$S189=1),IF(wew!$B$3,MIN(INDIRECT($N189)),"&lt;włącz podświetlanie wartości&gt;"),"—")</f>
        <v>1</v>
      </c>
      <c r="Q189" s="14">
        <f ca="1">IF(AND($AD189,$S189=1),IF(wew!$B$3,MAX(INDIRECT($N189)),"&lt;włącz podświetlanie wartości&gt;"),"—")</f>
        <v>2</v>
      </c>
      <c r="R189" s="14">
        <f ca="1">IF(AD189,ster!$C$14- (COUNTIF( INDIRECT(N189),"" )+ COUNT(INDIRECT(N189)) +COUNTIF( INDIRECT(N189),"NA" )),"")</f>
        <v>0</v>
      </c>
      <c r="S189" s="12">
        <f ca="1">IF(AD189,IF(COUNTA(INDIRECT(N189))=0,0, 1-(ster!$C$14- COUNT(INDIRECT(N189)) -COUNTIF( INDIRECT(N189),"" )) /COUNTA(INDIRECT(N189))),"")</f>
        <v>1</v>
      </c>
      <c r="T189" s="17">
        <f t="array" aca="1" ref="T189" ca="1">IF(L189&lt;&gt;"",SUM(IF(INDIRECT(L189)&lt;&gt;INT(INDIRECT(L189)),1,0)),"")</f>
        <v>0</v>
      </c>
      <c r="U189" s="17">
        <f t="array" aca="1" ref="U189" ca="1">IF(S189=1,SUM(IF(ISNUMBER(INDIRECT(N189)),IF(INDIRECT(N189)&lt;&gt;INT(INDIRECT(N189)),1,0),0)),"")</f>
        <v>0</v>
      </c>
      <c r="V189" s="17">
        <f t="shared" ca="1" si="40"/>
        <v>1</v>
      </c>
      <c r="W189" s="17">
        <f t="shared" ca="1" si="41"/>
        <v>0</v>
      </c>
      <c r="X189" s="24">
        <f t="array" aca="1" ref="X189" ca="1">IF(AD189,IF(AG189&lt;&gt;"",AG189,IF(J189,MIN(INDIRECT( K189)),"")),"")</f>
        <v>1</v>
      </c>
      <c r="Y189" s="17">
        <f t="array" aca="1" ref="Y189" ca="1">IF(AD189,IF(AH189&lt;&gt;"",AH189,IF(J189,MAX(INDIRECT( K189)),"")),"")</f>
        <v>2</v>
      </c>
      <c r="Z189" s="17" t="b">
        <f t="shared" ca="1" si="42"/>
        <v>1</v>
      </c>
      <c r="AC189" s="17" t="b">
        <f t="shared" ca="1" si="43"/>
        <v>0</v>
      </c>
      <c r="AD189" s="14" t="b">
        <f t="shared" ca="1" si="44"/>
        <v>1</v>
      </c>
      <c r="AE189" s="15" t="b">
        <f t="shared" ca="1" si="45"/>
        <v>1</v>
      </c>
      <c r="AF189" s="16"/>
      <c r="AG189" s="16"/>
      <c r="AH189" s="16"/>
      <c r="AI189" s="16"/>
      <c r="AJ189" s="16"/>
      <c r="AK189" s="16"/>
      <c r="AL189" s="16"/>
      <c r="AM189" s="16"/>
    </row>
    <row r="190" spans="2:39">
      <c r="B190" s="14">
        <f t="shared" si="34"/>
        <v>188</v>
      </c>
      <c r="C190" s="14" t="str">
        <f t="shared" ca="1" si="35"/>
        <v>I</v>
      </c>
      <c r="D190" s="14" t="str">
        <f t="shared" ca="1" si="36"/>
        <v>q_50i.2</v>
      </c>
      <c r="E190" s="14" t="str">
        <f t="shared" ca="1" si="33"/>
        <v>How long Fitness activity</v>
      </c>
      <c r="F190" s="14">
        <f t="shared" ca="1" si="46"/>
        <v>0</v>
      </c>
      <c r="G190" s="14" t="str">
        <f t="shared" ca="1" si="37"/>
        <v>q_50i.2</v>
      </c>
      <c r="H190" s="14">
        <f ca="1">IF(G190&lt;&gt;"",IFERROR( IsVariableNameLegal(G190),0),0)+IF(COUNTIF(INDIRECT(wew!$C$13),G190)&gt;1,10,0)</f>
        <v>0</v>
      </c>
      <c r="I190" s="14">
        <f ca="1">IF(E190&lt;&gt;"",IF(LEN(E190)&gt;150,1,0)+IF(COUNTIF(INDIRECT(wew!$C$15),E190)&gt;1,10,0),0)</f>
        <v>10</v>
      </c>
      <c r="J190" s="14" t="b">
        <f t="shared" ca="1" si="38"/>
        <v>0</v>
      </c>
      <c r="K190" s="14" t="str">
        <f ca="1">ADDRESS(3,(B190+1)*2-1,4,,"[" &amp; wew!$G$7 &amp; "]" &amp; _sheetname_labels) &amp; ":" &amp; ADDRESS(2+ster!$B$20,(B190+1)*2-1,4)</f>
        <v>'[dane surowe2c.xlsm]labels'!NM3:NM36</v>
      </c>
      <c r="L190" s="14" t="str">
        <f ca="1">IF(F190&gt;0,ADDRESS(3,(B190+1)*2-1,4,,"[" &amp; wew!$G$7 &amp; "]" &amp; _sheetname_labels) &amp; ":" &amp; ADDRESS(2+F190,(B190+1)*2-1,4),"")</f>
        <v/>
      </c>
      <c r="M190" s="14" t="str">
        <f ca="1">IF(F190&gt;0,ADDRESS(3,(B190+1)*2,4,,"["&amp;wew!$G$7&amp;"]"&amp;_sheetname_labels)&amp;":"&amp;ADDRESS(2+F190,(B190+1)*2,4),"")</f>
        <v/>
      </c>
      <c r="N190" s="14" t="str">
        <f ca="1">ADDRESS(3,B190+1,4,,"[" &amp; wew!$G$7 &amp; "]" &amp;_sheetname_dataframe) &amp; ":" &amp; ADDRESS(2+ster!$C$14,B190+1,4)</f>
        <v>'[dane surowe2c.xlsm]data_frame'!GG3:GG35</v>
      </c>
      <c r="O190" s="14">
        <f t="shared" ca="1" si="39"/>
        <v>2</v>
      </c>
      <c r="P190" s="14">
        <f ca="1">IF(AND($AD190,$S190=1),IF(wew!$B$3,MIN(INDIRECT($N190)),"&lt;włącz podświetlanie wartości&gt;"),"—")</f>
        <v>3</v>
      </c>
      <c r="Q190" s="14">
        <f ca="1">IF(AND($AD190,$S190=1),IF(wew!$B$3,MAX(INDIRECT($N190)),"&lt;włącz podświetlanie wartości&gt;"),"—")</f>
        <v>6</v>
      </c>
      <c r="R190" s="14">
        <f ca="1">IF(AD190,ster!$C$14- (COUNTIF( INDIRECT(N190),"" )+ COUNT(INDIRECT(N190)) +COUNTIF( INDIRECT(N190),"NA" )),"")</f>
        <v>0</v>
      </c>
      <c r="S190" s="12">
        <f ca="1">IF(AD190,IF(COUNTA(INDIRECT(N190))=0,0, 1-(ster!$C$14- COUNT(INDIRECT(N190)) -COUNTIF( INDIRECT(N190),"" )) /COUNTA(INDIRECT(N190))),"")</f>
        <v>1</v>
      </c>
      <c r="T190" s="17" t="str">
        <f t="array" aca="1" ref="T190" ca="1">IF(L190&lt;&gt;"",SUM(IF(INDIRECT(L190)&lt;&gt;INT(INDIRECT(L190)),1,0)),"")</f>
        <v/>
      </c>
      <c r="U190" s="17">
        <f t="array" aca="1" ref="U190" ca="1">IF(S190=1,SUM(IF(ISNUMBER(INDIRECT(N190)),IF(INDIRECT(N190)&lt;&gt;INT(INDIRECT(N190)),1,0),0)),"")</f>
        <v>0</v>
      </c>
      <c r="V190" s="17">
        <f t="shared" ca="1" si="40"/>
        <v>1</v>
      </c>
      <c r="W190" s="17">
        <f t="shared" ca="1" si="41"/>
        <v>0</v>
      </c>
      <c r="X190" s="24" t="str">
        <f t="array" aca="1" ref="X190" ca="1">IF(AD190,IF(AG190&lt;&gt;"",AG190,IF(J190,MIN(INDIRECT( K190)),"")),"")</f>
        <v/>
      </c>
      <c r="Y190" s="17" t="str">
        <f t="array" aca="1" ref="Y190" ca="1">IF(AD190,IF(AH190&lt;&gt;"",AH190,IF(J190,MAX(INDIRECT( K190)),"")),"")</f>
        <v/>
      </c>
      <c r="Z190" s="17" t="b">
        <f t="shared" ca="1" si="42"/>
        <v>0</v>
      </c>
      <c r="AC190" s="17" t="b">
        <f t="shared" ca="1" si="43"/>
        <v>0</v>
      </c>
      <c r="AD190" s="14" t="b">
        <f t="shared" ca="1" si="44"/>
        <v>1</v>
      </c>
      <c r="AE190" s="15" t="b">
        <f t="shared" ca="1" si="45"/>
        <v>0</v>
      </c>
      <c r="AF190" s="16"/>
      <c r="AG190" s="16"/>
      <c r="AH190" s="16"/>
      <c r="AI190" s="16"/>
      <c r="AJ190" s="16"/>
      <c r="AK190" s="16"/>
      <c r="AL190" s="16"/>
      <c r="AM190" s="16"/>
    </row>
    <row r="191" spans="2:39">
      <c r="B191" s="14">
        <f t="shared" si="34"/>
        <v>189</v>
      </c>
      <c r="C191" s="14" t="str">
        <f t="shared" ca="1" si="35"/>
        <v>D</v>
      </c>
      <c r="D191" s="14" t="str">
        <f t="shared" ca="1" si="36"/>
        <v>q_50j.1</v>
      </c>
      <c r="E191" s="14" t="str">
        <f t="shared" ca="1" si="33"/>
        <v>Moderate Football activity</v>
      </c>
      <c r="F191" s="14">
        <f t="shared" ca="1" si="46"/>
        <v>2</v>
      </c>
      <c r="G191" s="14" t="str">
        <f t="shared" ca="1" si="37"/>
        <v>q_50j.1</v>
      </c>
      <c r="H191" s="14">
        <f ca="1">IF(G191&lt;&gt;"",IFERROR( IsVariableNameLegal(G191),0),0)+IF(COUNTIF(INDIRECT(wew!$C$13),G191)&gt;1,10,0)</f>
        <v>0</v>
      </c>
      <c r="I191" s="14">
        <f ca="1">IF(E191&lt;&gt;"",IF(LEN(E191)&gt;150,1,0)+IF(COUNTIF(INDIRECT(wew!$C$15),E191)&gt;1,10,0),0)</f>
        <v>0</v>
      </c>
      <c r="J191" s="14" t="b">
        <f t="shared" ca="1" si="38"/>
        <v>1</v>
      </c>
      <c r="K191" s="14" t="str">
        <f ca="1">ADDRESS(3,(B191+1)*2-1,4,,"[" &amp; wew!$G$7 &amp; "]" &amp; _sheetname_labels) &amp; ":" &amp; ADDRESS(2+ster!$B$20,(B191+1)*2-1,4)</f>
        <v>'[dane surowe2c.xlsm]labels'!NO3:NO36</v>
      </c>
      <c r="L191" s="14" t="str">
        <f ca="1">IF(F191&gt;0,ADDRESS(3,(B191+1)*2-1,4,,"[" &amp; wew!$G$7 &amp; "]" &amp; _sheetname_labels) &amp; ":" &amp; ADDRESS(2+F191,(B191+1)*2-1,4),"")</f>
        <v>'[dane surowe2c.xlsm]labels'!NO3:NO4</v>
      </c>
      <c r="M191" s="14" t="str">
        <f ca="1">IF(F191&gt;0,ADDRESS(3,(B191+1)*2,4,,"["&amp;wew!$G$7&amp;"]"&amp;_sheetname_labels)&amp;":"&amp;ADDRESS(2+F191,(B191+1)*2,4),"")</f>
        <v>'[dane surowe2c.xlsm]labels'!NP3:NP4</v>
      </c>
      <c r="N191" s="14" t="str">
        <f ca="1">ADDRESS(3,B191+1,4,,"[" &amp; wew!$G$7 &amp; "]" &amp;_sheetname_dataframe) &amp; ":" &amp; ADDRESS(2+ster!$C$14,B191+1,4)</f>
        <v>'[dane surowe2c.xlsm]data_frame'!GH3:GH35</v>
      </c>
      <c r="O191" s="14">
        <f t="shared" ca="1" si="39"/>
        <v>32</v>
      </c>
      <c r="P191" s="14">
        <f ca="1">IF(AND($AD191,$S191=1),IF(wew!$B$3,MIN(INDIRECT($N191)),"&lt;włącz podświetlanie wartości&gt;"),"—")</f>
        <v>1</v>
      </c>
      <c r="Q191" s="14">
        <f ca="1">IF(AND($AD191,$S191=1),IF(wew!$B$3,MAX(INDIRECT($N191)),"&lt;włącz podświetlanie wartości&gt;"),"—")</f>
        <v>2</v>
      </c>
      <c r="R191" s="14">
        <f ca="1">IF(AD191,ster!$C$14- (COUNTIF( INDIRECT(N191),"" )+ COUNT(INDIRECT(N191)) +COUNTIF( INDIRECT(N191),"NA" )),"")</f>
        <v>0</v>
      </c>
      <c r="S191" s="12">
        <f ca="1">IF(AD191,IF(COUNTA(INDIRECT(N191))=0,0, 1-(ster!$C$14- COUNT(INDIRECT(N191)) -COUNTIF( INDIRECT(N191),"" )) /COUNTA(INDIRECT(N191))),"")</f>
        <v>1</v>
      </c>
      <c r="T191" s="17">
        <f t="array" aca="1" ref="T191" ca="1">IF(L191&lt;&gt;"",SUM(IF(INDIRECT(L191)&lt;&gt;INT(INDIRECT(L191)),1,0)),"")</f>
        <v>0</v>
      </c>
      <c r="U191" s="17">
        <f t="array" aca="1" ref="U191" ca="1">IF(S191=1,SUM(IF(ISNUMBER(INDIRECT(N191)),IF(INDIRECT(N191)&lt;&gt;INT(INDIRECT(N191)),1,0),0)),"")</f>
        <v>0</v>
      </c>
      <c r="V191" s="17">
        <f t="shared" ca="1" si="40"/>
        <v>1</v>
      </c>
      <c r="W191" s="17">
        <f t="shared" ca="1" si="41"/>
        <v>0</v>
      </c>
      <c r="X191" s="24">
        <f t="array" aca="1" ref="X191" ca="1">IF(AD191,IF(AG191&lt;&gt;"",AG191,IF(J191,MIN(INDIRECT( K191)),"")),"")</f>
        <v>1</v>
      </c>
      <c r="Y191" s="17">
        <f t="array" aca="1" ref="Y191" ca="1">IF(AD191,IF(AH191&lt;&gt;"",AH191,IF(J191,MAX(INDIRECT( K191)),"")),"")</f>
        <v>2</v>
      </c>
      <c r="Z191" s="17" t="b">
        <f t="shared" ca="1" si="42"/>
        <v>1</v>
      </c>
      <c r="AC191" s="17" t="b">
        <f t="shared" ca="1" si="43"/>
        <v>0</v>
      </c>
      <c r="AD191" s="14" t="b">
        <f t="shared" ca="1" si="44"/>
        <v>1</v>
      </c>
      <c r="AE191" s="15" t="b">
        <f t="shared" ca="1" si="45"/>
        <v>1</v>
      </c>
      <c r="AF191" s="16"/>
      <c r="AG191" s="16"/>
      <c r="AH191" s="16"/>
      <c r="AI191" s="16"/>
      <c r="AJ191" s="16"/>
      <c r="AK191" s="16"/>
      <c r="AL191" s="16"/>
      <c r="AM191" s="16"/>
    </row>
    <row r="192" spans="2:39">
      <c r="B192" s="14">
        <f t="shared" si="34"/>
        <v>190</v>
      </c>
      <c r="C192" s="14" t="str">
        <f t="shared" ca="1" si="35"/>
        <v>I</v>
      </c>
      <c r="D192" s="14" t="str">
        <f t="shared" ca="1" si="36"/>
        <v>q_50j.2</v>
      </c>
      <c r="E192" s="14" t="str">
        <f t="shared" ca="1" si="33"/>
        <v>How long Football activity</v>
      </c>
      <c r="F192" s="14">
        <f t="shared" ca="1" si="46"/>
        <v>0</v>
      </c>
      <c r="G192" s="14" t="str">
        <f t="shared" ca="1" si="37"/>
        <v>q_50j.2</v>
      </c>
      <c r="H192" s="14">
        <f ca="1">IF(G192&lt;&gt;"",IFERROR( IsVariableNameLegal(G192),0),0)+IF(COUNTIF(INDIRECT(wew!$C$13),G192)&gt;1,10,0)</f>
        <v>0</v>
      </c>
      <c r="I192" s="14">
        <f ca="1">IF(E192&lt;&gt;"",IF(LEN(E192)&gt;150,1,0)+IF(COUNTIF(INDIRECT(wew!$C$15),E192)&gt;1,10,0),0)</f>
        <v>10</v>
      </c>
      <c r="J192" s="14" t="b">
        <f t="shared" ca="1" si="38"/>
        <v>0</v>
      </c>
      <c r="K192" s="14" t="str">
        <f ca="1">ADDRESS(3,(B192+1)*2-1,4,,"[" &amp; wew!$G$7 &amp; "]" &amp; _sheetname_labels) &amp; ":" &amp; ADDRESS(2+ster!$B$20,(B192+1)*2-1,4)</f>
        <v>'[dane surowe2c.xlsm]labels'!NQ3:NQ36</v>
      </c>
      <c r="L192" s="14" t="str">
        <f ca="1">IF(F192&gt;0,ADDRESS(3,(B192+1)*2-1,4,,"[" &amp; wew!$G$7 &amp; "]" &amp; _sheetname_labels) &amp; ":" &amp; ADDRESS(2+F192,(B192+1)*2-1,4),"")</f>
        <v/>
      </c>
      <c r="M192" s="14" t="str">
        <f ca="1">IF(F192&gt;0,ADDRESS(3,(B192+1)*2,4,,"["&amp;wew!$G$7&amp;"]"&amp;_sheetname_labels)&amp;":"&amp;ADDRESS(2+F192,(B192+1)*2,4),"")</f>
        <v/>
      </c>
      <c r="N192" s="14" t="str">
        <f ca="1">ADDRESS(3,B192+1,4,,"[" &amp; wew!$G$7 &amp; "]" &amp;_sheetname_dataframe) &amp; ":" &amp; ADDRESS(2+ster!$C$14,B192+1,4)</f>
        <v>'[dane surowe2c.xlsm]data_frame'!GI3:GI35</v>
      </c>
      <c r="O192" s="14">
        <f t="shared" ca="1" si="39"/>
        <v>2</v>
      </c>
      <c r="P192" s="14">
        <f ca="1">IF(AND($AD192,$S192=1),IF(wew!$B$3,MIN(INDIRECT($N192)),"&lt;włącz podświetlanie wartości&gt;"),"—")</f>
        <v>5</v>
      </c>
      <c r="Q192" s="14">
        <f ca="1">IF(AND($AD192,$S192=1),IF(wew!$B$3,MAX(INDIRECT($N192)),"&lt;włącz podświetlanie wartości&gt;"),"—")</f>
        <v>20</v>
      </c>
      <c r="R192" s="14">
        <f ca="1">IF(AD192,ster!$C$14- (COUNTIF( INDIRECT(N192),"" )+ COUNT(INDIRECT(N192)) +COUNTIF( INDIRECT(N192),"NA" )),"")</f>
        <v>0</v>
      </c>
      <c r="S192" s="12">
        <f ca="1">IF(AD192,IF(COUNTA(INDIRECT(N192))=0,0, 1-(ster!$C$14- COUNT(INDIRECT(N192)) -COUNTIF( INDIRECT(N192),"" )) /COUNTA(INDIRECT(N192))),"")</f>
        <v>1</v>
      </c>
      <c r="T192" s="17" t="str">
        <f t="array" aca="1" ref="T192" ca="1">IF(L192&lt;&gt;"",SUM(IF(INDIRECT(L192)&lt;&gt;INT(INDIRECT(L192)),1,0)),"")</f>
        <v/>
      </c>
      <c r="U192" s="17">
        <f t="array" aca="1" ref="U192" ca="1">IF(S192=1,SUM(IF(ISNUMBER(INDIRECT(N192)),IF(INDIRECT(N192)&lt;&gt;INT(INDIRECT(N192)),1,0),0)),"")</f>
        <v>0</v>
      </c>
      <c r="V192" s="17">
        <f t="shared" ca="1" si="40"/>
        <v>1</v>
      </c>
      <c r="W192" s="17">
        <f t="shared" ca="1" si="41"/>
        <v>0</v>
      </c>
      <c r="X192" s="24" t="str">
        <f t="array" aca="1" ref="X192" ca="1">IF(AD192,IF(AG192&lt;&gt;"",AG192,IF(J192,MIN(INDIRECT( K192)),"")),"")</f>
        <v/>
      </c>
      <c r="Y192" s="17" t="str">
        <f t="array" aca="1" ref="Y192" ca="1">IF(AD192,IF(AH192&lt;&gt;"",AH192,IF(J192,MAX(INDIRECT( K192)),"")),"")</f>
        <v/>
      </c>
      <c r="Z192" s="17" t="b">
        <f t="shared" ca="1" si="42"/>
        <v>0</v>
      </c>
      <c r="AC192" s="17" t="b">
        <f t="shared" ca="1" si="43"/>
        <v>0</v>
      </c>
      <c r="AD192" s="14" t="b">
        <f t="shared" ca="1" si="44"/>
        <v>1</v>
      </c>
      <c r="AE192" s="15" t="b">
        <f t="shared" ca="1" si="45"/>
        <v>0</v>
      </c>
      <c r="AF192" s="16"/>
      <c r="AG192" s="16"/>
      <c r="AH192" s="16"/>
      <c r="AI192" s="16"/>
      <c r="AJ192" s="16"/>
      <c r="AK192" s="16"/>
      <c r="AL192" s="16"/>
      <c r="AM192" s="16"/>
    </row>
    <row r="193" spans="2:39">
      <c r="B193" s="14">
        <f t="shared" si="34"/>
        <v>191</v>
      </c>
      <c r="C193" s="14" t="str">
        <f t="shared" ca="1" si="35"/>
        <v>D</v>
      </c>
      <c r="D193" s="14" t="str">
        <f t="shared" ca="1" si="36"/>
        <v>q_50k.1</v>
      </c>
      <c r="E193" s="14" t="str">
        <f t="shared" ca="1" si="33"/>
        <v>Moderate Golf activity</v>
      </c>
      <c r="F193" s="14">
        <f t="shared" ca="1" si="46"/>
        <v>2</v>
      </c>
      <c r="G193" s="14" t="str">
        <f t="shared" ca="1" si="37"/>
        <v>q_50k.1</v>
      </c>
      <c r="H193" s="14">
        <f ca="1">IF(G193&lt;&gt;"",IFERROR( IsVariableNameLegal(G193),0),0)+IF(COUNTIF(INDIRECT(wew!$C$13),G193)&gt;1,10,0)</f>
        <v>0</v>
      </c>
      <c r="I193" s="14">
        <f ca="1">IF(E193&lt;&gt;"",IF(LEN(E193)&gt;150,1,0)+IF(COUNTIF(INDIRECT(wew!$C$15),E193)&gt;1,10,0),0)</f>
        <v>0</v>
      </c>
      <c r="J193" s="14" t="b">
        <f t="shared" ca="1" si="38"/>
        <v>1</v>
      </c>
      <c r="K193" s="14" t="str">
        <f ca="1">ADDRESS(3,(B193+1)*2-1,4,,"[" &amp; wew!$G$7 &amp; "]" &amp; _sheetname_labels) &amp; ":" &amp; ADDRESS(2+ster!$B$20,(B193+1)*2-1,4)</f>
        <v>'[dane surowe2c.xlsm]labels'!NS3:NS36</v>
      </c>
      <c r="L193" s="14" t="str">
        <f ca="1">IF(F193&gt;0,ADDRESS(3,(B193+1)*2-1,4,,"[" &amp; wew!$G$7 &amp; "]" &amp; _sheetname_labels) &amp; ":" &amp; ADDRESS(2+F193,(B193+1)*2-1,4),"")</f>
        <v>'[dane surowe2c.xlsm]labels'!NS3:NS4</v>
      </c>
      <c r="M193" s="14" t="str">
        <f ca="1">IF(F193&gt;0,ADDRESS(3,(B193+1)*2,4,,"["&amp;wew!$G$7&amp;"]"&amp;_sheetname_labels)&amp;":"&amp;ADDRESS(2+F193,(B193+1)*2,4),"")</f>
        <v>'[dane surowe2c.xlsm]labels'!NT3:NT4</v>
      </c>
      <c r="N193" s="14" t="str">
        <f ca="1">ADDRESS(3,B193+1,4,,"[" &amp; wew!$G$7 &amp; "]" &amp;_sheetname_dataframe) &amp; ":" &amp; ADDRESS(2+ster!$C$14,B193+1,4)</f>
        <v>'[dane surowe2c.xlsm]data_frame'!GJ3:GJ35</v>
      </c>
      <c r="O193" s="14">
        <f t="shared" ca="1" si="39"/>
        <v>32</v>
      </c>
      <c r="P193" s="14">
        <f ca="1">IF(AND($AD193,$S193=1),IF(wew!$B$3,MIN(INDIRECT($N193)),"&lt;włącz podświetlanie wartości&gt;"),"—")</f>
        <v>2</v>
      </c>
      <c r="Q193" s="14">
        <f ca="1">IF(AND($AD193,$S193=1),IF(wew!$B$3,MAX(INDIRECT($N193)),"&lt;włącz podświetlanie wartości&gt;"),"—")</f>
        <v>2</v>
      </c>
      <c r="R193" s="14">
        <f ca="1">IF(AD193,ster!$C$14- (COUNTIF( INDIRECT(N193),"" )+ COUNT(INDIRECT(N193)) +COUNTIF( INDIRECT(N193),"NA" )),"")</f>
        <v>0</v>
      </c>
      <c r="S193" s="12">
        <f ca="1">IF(AD193,IF(COUNTA(INDIRECT(N193))=0,0, 1-(ster!$C$14- COUNT(INDIRECT(N193)) -COUNTIF( INDIRECT(N193),"" )) /COUNTA(INDIRECT(N193))),"")</f>
        <v>1</v>
      </c>
      <c r="T193" s="17">
        <f t="array" aca="1" ref="T193" ca="1">IF(L193&lt;&gt;"",SUM(IF(INDIRECT(L193)&lt;&gt;INT(INDIRECT(L193)),1,0)),"")</f>
        <v>0</v>
      </c>
      <c r="U193" s="17">
        <f t="array" aca="1" ref="U193" ca="1">IF(S193=1,SUM(IF(ISNUMBER(INDIRECT(N193)),IF(INDIRECT(N193)&lt;&gt;INT(INDIRECT(N193)),1,0),0)),"")</f>
        <v>0</v>
      </c>
      <c r="V193" s="17">
        <f t="shared" ca="1" si="40"/>
        <v>1</v>
      </c>
      <c r="W193" s="17">
        <f t="shared" ca="1" si="41"/>
        <v>0</v>
      </c>
      <c r="X193" s="24">
        <f t="array" aca="1" ref="X193" ca="1">IF(AD193,IF(AG193&lt;&gt;"",AG193,IF(J193,MIN(INDIRECT( K193)),"")),"")</f>
        <v>1</v>
      </c>
      <c r="Y193" s="17">
        <f t="array" aca="1" ref="Y193" ca="1">IF(AD193,IF(AH193&lt;&gt;"",AH193,IF(J193,MAX(INDIRECT( K193)),"")),"")</f>
        <v>2</v>
      </c>
      <c r="Z193" s="17" t="b">
        <f t="shared" ca="1" si="42"/>
        <v>1</v>
      </c>
      <c r="AC193" s="17" t="b">
        <f t="shared" ca="1" si="43"/>
        <v>0</v>
      </c>
      <c r="AD193" s="14" t="b">
        <f t="shared" ca="1" si="44"/>
        <v>1</v>
      </c>
      <c r="AE193" s="15" t="b">
        <f t="shared" ca="1" si="45"/>
        <v>1</v>
      </c>
      <c r="AF193" s="16"/>
      <c r="AG193" s="16"/>
      <c r="AH193" s="16"/>
      <c r="AI193" s="16"/>
      <c r="AJ193" s="16"/>
      <c r="AK193" s="16"/>
      <c r="AL193" s="16"/>
      <c r="AM193" s="16"/>
    </row>
    <row r="194" spans="2:39">
      <c r="B194" s="14">
        <f t="shared" si="34"/>
        <v>192</v>
      </c>
      <c r="C194" s="14" t="str">
        <f t="shared" ca="1" si="35"/>
        <v>I</v>
      </c>
      <c r="D194" s="14" t="str">
        <f t="shared" ca="1" si="36"/>
        <v>q_50k.2</v>
      </c>
      <c r="E194" s="14" t="str">
        <f t="shared" ref="E194:E257" ca="1" si="47">IF(AD194,IF(INDIRECT(ADDRESS(1,ROW(A193),,,_sheetname_dataframe))="","",INDIRECT(ADDRESS(1,ROW(A193),,,_sheetname_dataframe))),"")</f>
        <v>How long Golf activity</v>
      </c>
      <c r="F194" s="14">
        <f t="shared" ca="1" si="46"/>
        <v>0</v>
      </c>
      <c r="G194" s="14" t="str">
        <f t="shared" ca="1" si="37"/>
        <v>q_50k.2</v>
      </c>
      <c r="H194" s="14">
        <f ca="1">IF(G194&lt;&gt;"",IFERROR( IsVariableNameLegal(G194),0),0)+IF(COUNTIF(INDIRECT(wew!$C$13),G194)&gt;1,10,0)</f>
        <v>0</v>
      </c>
      <c r="I194" s="14">
        <f ca="1">IF(E194&lt;&gt;"",IF(LEN(E194)&gt;150,1,0)+IF(COUNTIF(INDIRECT(wew!$C$15),E194)&gt;1,10,0),0)</f>
        <v>10</v>
      </c>
      <c r="J194" s="14" t="b">
        <f t="shared" ca="1" si="38"/>
        <v>0</v>
      </c>
      <c r="K194" s="14" t="str">
        <f ca="1">ADDRESS(3,(B194+1)*2-1,4,,"[" &amp; wew!$G$7 &amp; "]" &amp; _sheetname_labels) &amp; ":" &amp; ADDRESS(2+ster!$B$20,(B194+1)*2-1,4)</f>
        <v>'[dane surowe2c.xlsm]labels'!NU3:NU36</v>
      </c>
      <c r="L194" s="14" t="str">
        <f ca="1">IF(F194&gt;0,ADDRESS(3,(B194+1)*2-1,4,,"[" &amp; wew!$G$7 &amp; "]" &amp; _sheetname_labels) &amp; ":" &amp; ADDRESS(2+F194,(B194+1)*2-1,4),"")</f>
        <v/>
      </c>
      <c r="M194" s="14" t="str">
        <f ca="1">IF(F194&gt;0,ADDRESS(3,(B194+1)*2,4,,"["&amp;wew!$G$7&amp;"]"&amp;_sheetname_labels)&amp;":"&amp;ADDRESS(2+F194,(B194+1)*2,4),"")</f>
        <v/>
      </c>
      <c r="N194" s="14" t="str">
        <f ca="1">ADDRESS(3,B194+1,4,,"[" &amp; wew!$G$7 &amp; "]" &amp;_sheetname_dataframe) &amp; ":" &amp; ADDRESS(2+ster!$C$14,B194+1,4)</f>
        <v>'[dane surowe2c.xlsm]data_frame'!GK3:GK35</v>
      </c>
      <c r="O194" s="14">
        <f t="shared" ca="1" si="39"/>
        <v>0</v>
      </c>
      <c r="P194" s="14" t="str">
        <f ca="1">IF(AND($AD194,$S194=1),IF(wew!$B$3,MIN(INDIRECT($N194)),"&lt;włącz podświetlanie wartości&gt;"),"—")</f>
        <v>—</v>
      </c>
      <c r="Q194" s="14" t="str">
        <f ca="1">IF(AND($AD194,$S194=1),IF(wew!$B$3,MAX(INDIRECT($N194)),"&lt;włącz podświetlanie wartości&gt;"),"—")</f>
        <v>—</v>
      </c>
      <c r="R194" s="14">
        <f ca="1">IF(AD194,ster!$C$14- (COUNTIF( INDIRECT(N194),"" )+ COUNT(INDIRECT(N194)) +COUNTIF( INDIRECT(N194),"NA" )),"")</f>
        <v>0</v>
      </c>
      <c r="S194" s="12">
        <f ca="1">IF(AD194,IF(COUNTA(INDIRECT(N194))=0,0, 1-(ster!$C$14- COUNT(INDIRECT(N194)) -COUNTIF( INDIRECT(N194),"" )) /COUNTA(INDIRECT(N194))),"")</f>
        <v>0</v>
      </c>
      <c r="T194" s="17" t="str">
        <f t="array" aca="1" ref="T194" ca="1">IF(L194&lt;&gt;"",SUM(IF(INDIRECT(L194)&lt;&gt;INT(INDIRECT(L194)),1,0)),"")</f>
        <v/>
      </c>
      <c r="U194" s="17" t="str">
        <f t="array" aca="1" ref="U194" ca="1">IF(S194=1,SUM(IF(ISNUMBER(INDIRECT(N194)),IF(INDIRECT(N194)&lt;&gt;INT(INDIRECT(N194)),1,0),0)),"")</f>
        <v/>
      </c>
      <c r="V194" s="17">
        <f t="shared" ca="1" si="40"/>
        <v>0</v>
      </c>
      <c r="W194" s="17">
        <f t="shared" ca="1" si="41"/>
        <v>0</v>
      </c>
      <c r="X194" s="24" t="str">
        <f t="array" aca="1" ref="X194" ca="1">IF(AD194,IF(AG194&lt;&gt;"",AG194,IF(J194,MIN(INDIRECT( K194)),"")),"")</f>
        <v/>
      </c>
      <c r="Y194" s="17" t="str">
        <f t="array" aca="1" ref="Y194" ca="1">IF(AD194,IF(AH194&lt;&gt;"",AH194,IF(J194,MAX(INDIRECT( K194)),"")),"")</f>
        <v/>
      </c>
      <c r="Z194" s="17" t="b">
        <f t="shared" ca="1" si="42"/>
        <v>0</v>
      </c>
      <c r="AC194" s="17" t="b">
        <f t="shared" ca="1" si="43"/>
        <v>0</v>
      </c>
      <c r="AD194" s="14" t="b">
        <f t="shared" ca="1" si="44"/>
        <v>1</v>
      </c>
      <c r="AE194" s="15" t="b">
        <f t="shared" ca="1" si="45"/>
        <v>0</v>
      </c>
      <c r="AF194" s="16"/>
      <c r="AG194" s="16"/>
      <c r="AH194" s="16"/>
      <c r="AI194" s="16"/>
      <c r="AJ194" s="16"/>
      <c r="AK194" s="16"/>
      <c r="AL194" s="16"/>
      <c r="AM194" s="16"/>
    </row>
    <row r="195" spans="2:39">
      <c r="B195" s="14">
        <f t="shared" ref="B195:B258" si="48">ROW(A195)-2</f>
        <v>193</v>
      </c>
      <c r="C195" s="14" t="str">
        <f t="shared" ref="C195:C258" ca="1" si="49">IF(OR(E195="",ROW(E195)=2),"",IF(R195&gt;0,"S",IF(J195,IF(F195=2,"D","N"),"I")))</f>
        <v>D</v>
      </c>
      <c r="D195" s="14" t="str">
        <f t="shared" ref="D195:D258" ca="1" si="50">IFERROR(CHOOSE(H195+1,G195,"Nazwa musi zaczynać się od litery:" &amp; G195, "Nazwa nie może kończyć się kropką","Nazwa nie może kończyć się podkreśleniem","Nazwa nie może być dłuższa od 64 znaków","?","Ta nazwa jest zarezerwowana i nie może być użyta"),G195)</f>
        <v>q_50l.1</v>
      </c>
      <c r="E195" s="14" t="str">
        <f t="shared" ca="1" si="47"/>
        <v>Moderate Handball activity</v>
      </c>
      <c r="F195" s="14">
        <f t="shared" ca="1" si="46"/>
        <v>2</v>
      </c>
      <c r="G195" s="14" t="str">
        <f t="shared" ref="G195:G258" ca="1" si="51">IF(AD195,INDIRECT(ADDRESS(2,ROW(A194),,,_sheetname_dataframe)),"")</f>
        <v>q_50l.1</v>
      </c>
      <c r="H195" s="14">
        <f ca="1">IF(G195&lt;&gt;"",IFERROR( IsVariableNameLegal(G195),0),0)+IF(COUNTIF(INDIRECT(wew!$C$13),G195)&gt;1,10,0)</f>
        <v>0</v>
      </c>
      <c r="I195" s="14">
        <f ca="1">IF(E195&lt;&gt;"",IF(LEN(E195)&gt;150,1,0)+IF(COUNTIF(INDIRECT(wew!$C$15),E195)&gt;1,10,0),0)</f>
        <v>0</v>
      </c>
      <c r="J195" s="14" t="b">
        <f t="shared" ref="J195:J258" ca="1" si="52">F195&gt;0</f>
        <v>1</v>
      </c>
      <c r="K195" s="14" t="str">
        <f ca="1">ADDRESS(3,(B195+1)*2-1,4,,"[" &amp; wew!$G$7 &amp; "]" &amp; _sheetname_labels) &amp; ":" &amp; ADDRESS(2+ster!$B$20,(B195+1)*2-1,4)</f>
        <v>'[dane surowe2c.xlsm]labels'!NW3:NW36</v>
      </c>
      <c r="L195" s="14" t="str">
        <f ca="1">IF(F195&gt;0,ADDRESS(3,(B195+1)*2-1,4,,"[" &amp; wew!$G$7 &amp; "]" &amp; _sheetname_labels) &amp; ":" &amp; ADDRESS(2+F195,(B195+1)*2-1,4),"")</f>
        <v>'[dane surowe2c.xlsm]labels'!NW3:NW4</v>
      </c>
      <c r="M195" s="14" t="str">
        <f ca="1">IF(F195&gt;0,ADDRESS(3,(B195+1)*2,4,,"["&amp;wew!$G$7&amp;"]"&amp;_sheetname_labels)&amp;":"&amp;ADDRESS(2+F195,(B195+1)*2,4),"")</f>
        <v>'[dane surowe2c.xlsm]labels'!NX3:NX4</v>
      </c>
      <c r="N195" s="14" t="str">
        <f ca="1">ADDRESS(3,B195+1,4,,"[" &amp; wew!$G$7 &amp; "]" &amp;_sheetname_dataframe) &amp; ":" &amp; ADDRESS(2+ster!$C$14,B195+1,4)</f>
        <v>'[dane surowe2c.xlsm]data_frame'!GL3:GL35</v>
      </c>
      <c r="O195" s="14">
        <f t="shared" ref="O195:O258" ca="1" si="53">IF(AD195,COUNT(INDIRECT(N195)),"")</f>
        <v>32</v>
      </c>
      <c r="P195" s="14">
        <f ca="1">IF(AND($AD195,$S195=1),IF(wew!$B$3,MIN(INDIRECT($N195)),"&lt;włącz podświetlanie wartości&gt;"),"—")</f>
        <v>1</v>
      </c>
      <c r="Q195" s="14">
        <f ca="1">IF(AND($AD195,$S195=1),IF(wew!$B$3,MAX(INDIRECT($N195)),"&lt;włącz podświetlanie wartości&gt;"),"—")</f>
        <v>2</v>
      </c>
      <c r="R195" s="14">
        <f ca="1">IF(AD195,ster!$C$14- (COUNTIF( INDIRECT(N195),"" )+ COUNT(INDIRECT(N195)) +COUNTIF( INDIRECT(N195),"NA" )),"")</f>
        <v>0</v>
      </c>
      <c r="S195" s="12">
        <f ca="1">IF(AD195,IF(COUNTA(INDIRECT(N195))=0,0, 1-(ster!$C$14- COUNT(INDIRECT(N195)) -COUNTIF( INDIRECT(N195),"" )) /COUNTA(INDIRECT(N195))),"")</f>
        <v>1</v>
      </c>
      <c r="T195" s="17">
        <f t="array" aca="1" ref="T195" ca="1">IF(L195&lt;&gt;"",SUM(IF(INDIRECT(L195)&lt;&gt;INT(INDIRECT(L195)),1,0)),"")</f>
        <v>0</v>
      </c>
      <c r="U195" s="17">
        <f t="array" aca="1" ref="U195" ca="1">IF(S195=1,SUM(IF(ISNUMBER(INDIRECT(N195)),IF(INDIRECT(N195)&lt;&gt;INT(INDIRECT(N195)),1,0),0)),"")</f>
        <v>0</v>
      </c>
      <c r="V195" s="17">
        <f t="shared" ref="V195:V258" ca="1" si="54">IF(U195&lt;&gt;"",IF(U195=0,1,IF(U195/O195&lt;0.05,2,3)),0)</f>
        <v>1</v>
      </c>
      <c r="W195" s="17">
        <f t="shared" ref="W195:W258" ca="1" si="55">IF(COUNTA(INDIRECT(N195))=0,0, IF(AND(X195&lt;&gt;"",P195&lt;X195),1,IF(AND(Y195&lt;&gt;"",Q195&gt;Y195),1,IF(AND(Z195,U195&gt;0),2,0))))</f>
        <v>0</v>
      </c>
      <c r="X195" s="24">
        <f t="array" aca="1" ref="X195" ca="1">IF(AD195,IF(AG195&lt;&gt;"",AG195,IF(J195,MIN(INDIRECT( K195)),"")),"")</f>
        <v>1</v>
      </c>
      <c r="Y195" s="17">
        <f t="array" aca="1" ref="Y195" ca="1">IF(AD195,IF(AH195&lt;&gt;"",AH195,IF(J195,MAX(INDIRECT( K195)),"")),"")</f>
        <v>2</v>
      </c>
      <c r="Z195" s="17" t="b">
        <f t="shared" ref="Z195:Z258" ca="1" si="56">IF(AD195,IF(AI195&lt;&gt;"",AI195,T195=0),FALSE)</f>
        <v>1</v>
      </c>
      <c r="AC195" s="17" t="b">
        <f t="shared" ref="AC195:AC258" ca="1" si="57">IF(AD195,C195="S","")</f>
        <v>0</v>
      </c>
      <c r="AD195" s="14" t="b">
        <f t="shared" ref="AD195:AD258" ca="1" si="58">INDIRECT(ADDRESS(2,ROW(A194),,,_sheetname_dataframe))&lt;&gt;""</f>
        <v>1</v>
      </c>
      <c r="AE195" s="15" t="b">
        <f t="shared" ref="AE195:AE258" ca="1" si="59">J195</f>
        <v>1</v>
      </c>
      <c r="AF195" s="16"/>
      <c r="AG195" s="16"/>
      <c r="AH195" s="16"/>
      <c r="AI195" s="16"/>
      <c r="AJ195" s="16"/>
      <c r="AK195" s="16"/>
      <c r="AL195" s="16"/>
      <c r="AM195" s="16"/>
    </row>
    <row r="196" spans="2:39">
      <c r="B196" s="14">
        <f t="shared" si="48"/>
        <v>194</v>
      </c>
      <c r="C196" s="14" t="str">
        <f t="shared" ca="1" si="49"/>
        <v>I</v>
      </c>
      <c r="D196" s="14" t="str">
        <f t="shared" ca="1" si="50"/>
        <v>q_50l.2</v>
      </c>
      <c r="E196" s="14" t="str">
        <f t="shared" ca="1" si="47"/>
        <v>How long Handball activity</v>
      </c>
      <c r="F196" s="14">
        <f t="shared" ca="1" si="46"/>
        <v>0</v>
      </c>
      <c r="G196" s="14" t="str">
        <f t="shared" ca="1" si="51"/>
        <v>q_50l.2</v>
      </c>
      <c r="H196" s="14">
        <f ca="1">IF(G196&lt;&gt;"",IFERROR( IsVariableNameLegal(G196),0),0)+IF(COUNTIF(INDIRECT(wew!$C$13),G196)&gt;1,10,0)</f>
        <v>0</v>
      </c>
      <c r="I196" s="14">
        <f ca="1">IF(E196&lt;&gt;"",IF(LEN(E196)&gt;150,1,0)+IF(COUNTIF(INDIRECT(wew!$C$15),E196)&gt;1,10,0),0)</f>
        <v>10</v>
      </c>
      <c r="J196" s="14" t="b">
        <f t="shared" ca="1" si="52"/>
        <v>0</v>
      </c>
      <c r="K196" s="14" t="str">
        <f ca="1">ADDRESS(3,(B196+1)*2-1,4,,"[" &amp; wew!$G$7 &amp; "]" &amp; _sheetname_labels) &amp; ":" &amp; ADDRESS(2+ster!$B$20,(B196+1)*2-1,4)</f>
        <v>'[dane surowe2c.xlsm]labels'!NY3:NY36</v>
      </c>
      <c r="L196" s="14" t="str">
        <f ca="1">IF(F196&gt;0,ADDRESS(3,(B196+1)*2-1,4,,"[" &amp; wew!$G$7 &amp; "]" &amp; _sheetname_labels) &amp; ":" &amp; ADDRESS(2+F196,(B196+1)*2-1,4),"")</f>
        <v/>
      </c>
      <c r="M196" s="14" t="str">
        <f ca="1">IF(F196&gt;0,ADDRESS(3,(B196+1)*2,4,,"["&amp;wew!$G$7&amp;"]"&amp;_sheetname_labels)&amp;":"&amp;ADDRESS(2+F196,(B196+1)*2,4),"")</f>
        <v/>
      </c>
      <c r="N196" s="14" t="str">
        <f ca="1">ADDRESS(3,B196+1,4,,"[" &amp; wew!$G$7 &amp; "]" &amp;_sheetname_dataframe) &amp; ":" &amp; ADDRESS(2+ster!$C$14,B196+1,4)</f>
        <v>'[dane surowe2c.xlsm]data_frame'!GM3:GM35</v>
      </c>
      <c r="O196" s="14">
        <f t="shared" ca="1" si="53"/>
        <v>1</v>
      </c>
      <c r="P196" s="14">
        <f ca="1">IF(AND($AD196,$S196=1),IF(wew!$B$3,MIN(INDIRECT($N196)),"&lt;włącz podświetlanie wartości&gt;"),"—")</f>
        <v>20</v>
      </c>
      <c r="Q196" s="14">
        <f ca="1">IF(AND($AD196,$S196=1),IF(wew!$B$3,MAX(INDIRECT($N196)),"&lt;włącz podświetlanie wartości&gt;"),"—")</f>
        <v>20</v>
      </c>
      <c r="R196" s="14">
        <f ca="1">IF(AD196,ster!$C$14- (COUNTIF( INDIRECT(N196),"" )+ COUNT(INDIRECT(N196)) +COUNTIF( INDIRECT(N196),"NA" )),"")</f>
        <v>0</v>
      </c>
      <c r="S196" s="12">
        <f ca="1">IF(AD196,IF(COUNTA(INDIRECT(N196))=0,0, 1-(ster!$C$14- COUNT(INDIRECT(N196)) -COUNTIF( INDIRECT(N196),"" )) /COUNTA(INDIRECT(N196))),"")</f>
        <v>1</v>
      </c>
      <c r="T196" s="17" t="str">
        <f t="array" aca="1" ref="T196" ca="1">IF(L196&lt;&gt;"",SUM(IF(INDIRECT(L196)&lt;&gt;INT(INDIRECT(L196)),1,0)),"")</f>
        <v/>
      </c>
      <c r="U196" s="17">
        <f t="array" aca="1" ref="U196" ca="1">IF(S196=1,SUM(IF(ISNUMBER(INDIRECT(N196)),IF(INDIRECT(N196)&lt;&gt;INT(INDIRECT(N196)),1,0),0)),"")</f>
        <v>0</v>
      </c>
      <c r="V196" s="17">
        <f t="shared" ca="1" si="54"/>
        <v>1</v>
      </c>
      <c r="W196" s="17">
        <f t="shared" ca="1" si="55"/>
        <v>0</v>
      </c>
      <c r="X196" s="24" t="str">
        <f t="array" aca="1" ref="X196" ca="1">IF(AD196,IF(AG196&lt;&gt;"",AG196,IF(J196,MIN(INDIRECT( K196)),"")),"")</f>
        <v/>
      </c>
      <c r="Y196" s="17" t="str">
        <f t="array" aca="1" ref="Y196" ca="1">IF(AD196,IF(AH196&lt;&gt;"",AH196,IF(J196,MAX(INDIRECT( K196)),"")),"")</f>
        <v/>
      </c>
      <c r="Z196" s="17" t="b">
        <f t="shared" ca="1" si="56"/>
        <v>0</v>
      </c>
      <c r="AC196" s="17" t="b">
        <f t="shared" ca="1" si="57"/>
        <v>0</v>
      </c>
      <c r="AD196" s="14" t="b">
        <f t="shared" ca="1" si="58"/>
        <v>1</v>
      </c>
      <c r="AE196" s="15" t="b">
        <f t="shared" ca="1" si="59"/>
        <v>0</v>
      </c>
      <c r="AF196" s="16"/>
      <c r="AG196" s="16"/>
      <c r="AH196" s="16"/>
      <c r="AI196" s="16"/>
      <c r="AJ196" s="16"/>
      <c r="AK196" s="16"/>
      <c r="AL196" s="16"/>
      <c r="AM196" s="16"/>
    </row>
    <row r="197" spans="2:39">
      <c r="B197" s="14">
        <f t="shared" si="48"/>
        <v>195</v>
      </c>
      <c r="C197" s="14" t="str">
        <f t="shared" ca="1" si="49"/>
        <v>D</v>
      </c>
      <c r="D197" s="14" t="str">
        <f t="shared" ca="1" si="50"/>
        <v>q_50m.1</v>
      </c>
      <c r="E197" s="14" t="str">
        <f t="shared" ca="1" si="47"/>
        <v>Moderate Hockey activity</v>
      </c>
      <c r="F197" s="14">
        <f t="shared" ca="1" si="46"/>
        <v>2</v>
      </c>
      <c r="G197" s="14" t="str">
        <f t="shared" ca="1" si="51"/>
        <v>q_50m.1</v>
      </c>
      <c r="H197" s="14">
        <f ca="1">IF(G197&lt;&gt;"",IFERROR( IsVariableNameLegal(G197),0),0)+IF(COUNTIF(INDIRECT(wew!$C$13),G197)&gt;1,10,0)</f>
        <v>0</v>
      </c>
      <c r="I197" s="14">
        <f ca="1">IF(E197&lt;&gt;"",IF(LEN(E197)&gt;150,1,0)+IF(COUNTIF(INDIRECT(wew!$C$15),E197)&gt;1,10,0),0)</f>
        <v>0</v>
      </c>
      <c r="J197" s="14" t="b">
        <f t="shared" ca="1" si="52"/>
        <v>1</v>
      </c>
      <c r="K197" s="14" t="str">
        <f ca="1">ADDRESS(3,(B197+1)*2-1,4,,"[" &amp; wew!$G$7 &amp; "]" &amp; _sheetname_labels) &amp; ":" &amp; ADDRESS(2+ster!$B$20,(B197+1)*2-1,4)</f>
        <v>'[dane surowe2c.xlsm]labels'!OA3:OA36</v>
      </c>
      <c r="L197" s="14" t="str">
        <f ca="1">IF(F197&gt;0,ADDRESS(3,(B197+1)*2-1,4,,"[" &amp; wew!$G$7 &amp; "]" &amp; _sheetname_labels) &amp; ":" &amp; ADDRESS(2+F197,(B197+1)*2-1,4),"")</f>
        <v>'[dane surowe2c.xlsm]labels'!OA3:OA4</v>
      </c>
      <c r="M197" s="14" t="str">
        <f ca="1">IF(F197&gt;0,ADDRESS(3,(B197+1)*2,4,,"["&amp;wew!$G$7&amp;"]"&amp;_sheetname_labels)&amp;":"&amp;ADDRESS(2+F197,(B197+1)*2,4),"")</f>
        <v>'[dane surowe2c.xlsm]labels'!OB3:OB4</v>
      </c>
      <c r="N197" s="14" t="str">
        <f ca="1">ADDRESS(3,B197+1,4,,"[" &amp; wew!$G$7 &amp; "]" &amp;_sheetname_dataframe) &amp; ":" &amp; ADDRESS(2+ster!$C$14,B197+1,4)</f>
        <v>'[dane surowe2c.xlsm]data_frame'!GN3:GN35</v>
      </c>
      <c r="O197" s="14">
        <f t="shared" ca="1" si="53"/>
        <v>32</v>
      </c>
      <c r="P197" s="14">
        <f ca="1">IF(AND($AD197,$S197=1),IF(wew!$B$3,MIN(INDIRECT($N197)),"&lt;włącz podświetlanie wartości&gt;"),"—")</f>
        <v>2</v>
      </c>
      <c r="Q197" s="14">
        <f ca="1">IF(AND($AD197,$S197=1),IF(wew!$B$3,MAX(INDIRECT($N197)),"&lt;włącz podświetlanie wartości&gt;"),"—")</f>
        <v>2</v>
      </c>
      <c r="R197" s="14">
        <f ca="1">IF(AD197,ster!$C$14- (COUNTIF( INDIRECT(N197),"" )+ COUNT(INDIRECT(N197)) +COUNTIF( INDIRECT(N197),"NA" )),"")</f>
        <v>0</v>
      </c>
      <c r="S197" s="12">
        <f ca="1">IF(AD197,IF(COUNTA(INDIRECT(N197))=0,0, 1-(ster!$C$14- COUNT(INDIRECT(N197)) -COUNTIF( INDIRECT(N197),"" )) /COUNTA(INDIRECT(N197))),"")</f>
        <v>1</v>
      </c>
      <c r="T197" s="17">
        <f t="array" aca="1" ref="T197" ca="1">IF(L197&lt;&gt;"",SUM(IF(INDIRECT(L197)&lt;&gt;INT(INDIRECT(L197)),1,0)),"")</f>
        <v>0</v>
      </c>
      <c r="U197" s="17">
        <f t="array" aca="1" ref="U197" ca="1">IF(S197=1,SUM(IF(ISNUMBER(INDIRECT(N197)),IF(INDIRECT(N197)&lt;&gt;INT(INDIRECT(N197)),1,0),0)),"")</f>
        <v>0</v>
      </c>
      <c r="V197" s="17">
        <f t="shared" ca="1" si="54"/>
        <v>1</v>
      </c>
      <c r="W197" s="17">
        <f t="shared" ca="1" si="55"/>
        <v>0</v>
      </c>
      <c r="X197" s="24">
        <f t="array" aca="1" ref="X197" ca="1">IF(AD197,IF(AG197&lt;&gt;"",AG197,IF(J197,MIN(INDIRECT( K197)),"")),"")</f>
        <v>1</v>
      </c>
      <c r="Y197" s="17">
        <f t="array" aca="1" ref="Y197" ca="1">IF(AD197,IF(AH197&lt;&gt;"",AH197,IF(J197,MAX(INDIRECT( K197)),"")),"")</f>
        <v>2</v>
      </c>
      <c r="Z197" s="17" t="b">
        <f t="shared" ca="1" si="56"/>
        <v>1</v>
      </c>
      <c r="AC197" s="17" t="b">
        <f t="shared" ca="1" si="57"/>
        <v>0</v>
      </c>
      <c r="AD197" s="14" t="b">
        <f t="shared" ca="1" si="58"/>
        <v>1</v>
      </c>
      <c r="AE197" s="15" t="b">
        <f t="shared" ca="1" si="59"/>
        <v>1</v>
      </c>
      <c r="AF197" s="16"/>
      <c r="AG197" s="16"/>
      <c r="AH197" s="16"/>
      <c r="AI197" s="16"/>
      <c r="AJ197" s="16"/>
      <c r="AK197" s="16"/>
      <c r="AL197" s="16"/>
      <c r="AM197" s="16"/>
    </row>
    <row r="198" spans="2:39">
      <c r="B198" s="14">
        <f t="shared" si="48"/>
        <v>196</v>
      </c>
      <c r="C198" s="14" t="str">
        <f t="shared" ca="1" si="49"/>
        <v>I</v>
      </c>
      <c r="D198" s="14" t="str">
        <f t="shared" ca="1" si="50"/>
        <v>q_50m.2</v>
      </c>
      <c r="E198" s="14" t="str">
        <f t="shared" ca="1" si="47"/>
        <v>How long Hockey activity</v>
      </c>
      <c r="F198" s="14">
        <f t="shared" ca="1" si="46"/>
        <v>0</v>
      </c>
      <c r="G198" s="14" t="str">
        <f t="shared" ca="1" si="51"/>
        <v>q_50m.2</v>
      </c>
      <c r="H198" s="14">
        <f ca="1">IF(G198&lt;&gt;"",IFERROR( IsVariableNameLegal(G198),0),0)+IF(COUNTIF(INDIRECT(wew!$C$13),G198)&gt;1,10,0)</f>
        <v>0</v>
      </c>
      <c r="I198" s="14">
        <f ca="1">IF(E198&lt;&gt;"",IF(LEN(E198)&gt;150,1,0)+IF(COUNTIF(INDIRECT(wew!$C$15),E198)&gt;1,10,0),0)</f>
        <v>10</v>
      </c>
      <c r="J198" s="14" t="b">
        <f t="shared" ca="1" si="52"/>
        <v>0</v>
      </c>
      <c r="K198" s="14" t="str">
        <f ca="1">ADDRESS(3,(B198+1)*2-1,4,,"[" &amp; wew!$G$7 &amp; "]" &amp; _sheetname_labels) &amp; ":" &amp; ADDRESS(2+ster!$B$20,(B198+1)*2-1,4)</f>
        <v>'[dane surowe2c.xlsm]labels'!OC3:OC36</v>
      </c>
      <c r="L198" s="14" t="str">
        <f ca="1">IF(F198&gt;0,ADDRESS(3,(B198+1)*2-1,4,,"[" &amp; wew!$G$7 &amp; "]" &amp; _sheetname_labels) &amp; ":" &amp; ADDRESS(2+F198,(B198+1)*2-1,4),"")</f>
        <v/>
      </c>
      <c r="M198" s="14" t="str">
        <f ca="1">IF(F198&gt;0,ADDRESS(3,(B198+1)*2,4,,"["&amp;wew!$G$7&amp;"]"&amp;_sheetname_labels)&amp;":"&amp;ADDRESS(2+F198,(B198+1)*2,4),"")</f>
        <v/>
      </c>
      <c r="N198" s="14" t="str">
        <f ca="1">ADDRESS(3,B198+1,4,,"[" &amp; wew!$G$7 &amp; "]" &amp;_sheetname_dataframe) &amp; ":" &amp; ADDRESS(2+ster!$C$14,B198+1,4)</f>
        <v>'[dane surowe2c.xlsm]data_frame'!GO3:GO35</v>
      </c>
      <c r="O198" s="14">
        <f t="shared" ca="1" si="53"/>
        <v>0</v>
      </c>
      <c r="P198" s="14" t="str">
        <f ca="1">IF(AND($AD198,$S198=1),IF(wew!$B$3,MIN(INDIRECT($N198)),"&lt;włącz podświetlanie wartości&gt;"),"—")</f>
        <v>—</v>
      </c>
      <c r="Q198" s="14" t="str">
        <f ca="1">IF(AND($AD198,$S198=1),IF(wew!$B$3,MAX(INDIRECT($N198)),"&lt;włącz podświetlanie wartości&gt;"),"—")</f>
        <v>—</v>
      </c>
      <c r="R198" s="14">
        <f ca="1">IF(AD198,ster!$C$14- (COUNTIF( INDIRECT(N198),"" )+ COUNT(INDIRECT(N198)) +COUNTIF( INDIRECT(N198),"NA" )),"")</f>
        <v>0</v>
      </c>
      <c r="S198" s="12">
        <f ca="1">IF(AD198,IF(COUNTA(INDIRECT(N198))=0,0, 1-(ster!$C$14- COUNT(INDIRECT(N198)) -COUNTIF( INDIRECT(N198),"" )) /COUNTA(INDIRECT(N198))),"")</f>
        <v>0</v>
      </c>
      <c r="T198" s="17" t="str">
        <f t="array" aca="1" ref="T198" ca="1">IF(L198&lt;&gt;"",SUM(IF(INDIRECT(L198)&lt;&gt;INT(INDIRECT(L198)),1,0)),"")</f>
        <v/>
      </c>
      <c r="U198" s="17" t="str">
        <f t="array" aca="1" ref="U198" ca="1">IF(S198=1,SUM(IF(ISNUMBER(INDIRECT(N198)),IF(INDIRECT(N198)&lt;&gt;INT(INDIRECT(N198)),1,0),0)),"")</f>
        <v/>
      </c>
      <c r="V198" s="17">
        <f t="shared" ca="1" si="54"/>
        <v>0</v>
      </c>
      <c r="W198" s="17">
        <f t="shared" ca="1" si="55"/>
        <v>0</v>
      </c>
      <c r="X198" s="24" t="str">
        <f t="array" aca="1" ref="X198" ca="1">IF(AD198,IF(AG198&lt;&gt;"",AG198,IF(J198,MIN(INDIRECT( K198)),"")),"")</f>
        <v/>
      </c>
      <c r="Y198" s="17" t="str">
        <f t="array" aca="1" ref="Y198" ca="1">IF(AD198,IF(AH198&lt;&gt;"",AH198,IF(J198,MAX(INDIRECT( K198)),"")),"")</f>
        <v/>
      </c>
      <c r="Z198" s="17" t="b">
        <f t="shared" ca="1" si="56"/>
        <v>0</v>
      </c>
      <c r="AC198" s="17" t="b">
        <f t="shared" ca="1" si="57"/>
        <v>0</v>
      </c>
      <c r="AD198" s="14" t="b">
        <f t="shared" ca="1" si="58"/>
        <v>1</v>
      </c>
      <c r="AE198" s="15" t="b">
        <f t="shared" ca="1" si="59"/>
        <v>0</v>
      </c>
      <c r="AF198" s="16"/>
      <c r="AG198" s="16"/>
      <c r="AH198" s="16"/>
      <c r="AI198" s="16"/>
      <c r="AJ198" s="16"/>
      <c r="AK198" s="16"/>
      <c r="AL198" s="16"/>
      <c r="AM198" s="16"/>
    </row>
    <row r="199" spans="2:39">
      <c r="B199" s="14">
        <f t="shared" si="48"/>
        <v>197</v>
      </c>
      <c r="C199" s="14" t="str">
        <f t="shared" ca="1" si="49"/>
        <v>D</v>
      </c>
      <c r="D199" s="14" t="str">
        <f t="shared" ca="1" si="50"/>
        <v>q_50n.1</v>
      </c>
      <c r="E199" s="14" t="str">
        <f t="shared" ca="1" si="47"/>
        <v>Moderate Rowing activity</v>
      </c>
      <c r="F199" s="14">
        <f t="shared" ca="1" si="46"/>
        <v>2</v>
      </c>
      <c r="G199" s="14" t="str">
        <f t="shared" ca="1" si="51"/>
        <v>q_50n.1</v>
      </c>
      <c r="H199" s="14">
        <f ca="1">IF(G199&lt;&gt;"",IFERROR( IsVariableNameLegal(G199),0),0)+IF(COUNTIF(INDIRECT(wew!$C$13),G199)&gt;1,10,0)</f>
        <v>0</v>
      </c>
      <c r="I199" s="14">
        <f ca="1">IF(E199&lt;&gt;"",IF(LEN(E199)&gt;150,1,0)+IF(COUNTIF(INDIRECT(wew!$C$15),E199)&gt;1,10,0),0)</f>
        <v>0</v>
      </c>
      <c r="J199" s="14" t="b">
        <f t="shared" ca="1" si="52"/>
        <v>1</v>
      </c>
      <c r="K199" s="14" t="str">
        <f ca="1">ADDRESS(3,(B199+1)*2-1,4,,"[" &amp; wew!$G$7 &amp; "]" &amp; _sheetname_labels) &amp; ":" &amp; ADDRESS(2+ster!$B$20,(B199+1)*2-1,4)</f>
        <v>'[dane surowe2c.xlsm]labels'!OE3:OE36</v>
      </c>
      <c r="L199" s="14" t="str">
        <f ca="1">IF(F199&gt;0,ADDRESS(3,(B199+1)*2-1,4,,"[" &amp; wew!$G$7 &amp; "]" &amp; _sheetname_labels) &amp; ":" &amp; ADDRESS(2+F199,(B199+1)*2-1,4),"")</f>
        <v>'[dane surowe2c.xlsm]labels'!OE3:OE4</v>
      </c>
      <c r="M199" s="14" t="str">
        <f ca="1">IF(F199&gt;0,ADDRESS(3,(B199+1)*2,4,,"["&amp;wew!$G$7&amp;"]"&amp;_sheetname_labels)&amp;":"&amp;ADDRESS(2+F199,(B199+1)*2,4),"")</f>
        <v>'[dane surowe2c.xlsm]labels'!OF3:OF4</v>
      </c>
      <c r="N199" s="14" t="str">
        <f ca="1">ADDRESS(3,B199+1,4,,"[" &amp; wew!$G$7 &amp; "]" &amp;_sheetname_dataframe) &amp; ":" &amp; ADDRESS(2+ster!$C$14,B199+1,4)</f>
        <v>'[dane surowe2c.xlsm]data_frame'!GP3:GP35</v>
      </c>
      <c r="O199" s="14">
        <f t="shared" ca="1" si="53"/>
        <v>32</v>
      </c>
      <c r="P199" s="14">
        <f ca="1">IF(AND($AD199,$S199=1),IF(wew!$B$3,MIN(INDIRECT($N199)),"&lt;włącz podświetlanie wartości&gt;"),"—")</f>
        <v>1</v>
      </c>
      <c r="Q199" s="14">
        <f ca="1">IF(AND($AD199,$S199=1),IF(wew!$B$3,MAX(INDIRECT($N199)),"&lt;włącz podświetlanie wartości&gt;"),"—")</f>
        <v>2</v>
      </c>
      <c r="R199" s="14">
        <f ca="1">IF(AD199,ster!$C$14- (COUNTIF( INDIRECT(N199),"" )+ COUNT(INDIRECT(N199)) +COUNTIF( INDIRECT(N199),"NA" )),"")</f>
        <v>0</v>
      </c>
      <c r="S199" s="12">
        <f ca="1">IF(AD199,IF(COUNTA(INDIRECT(N199))=0,0, 1-(ster!$C$14- COUNT(INDIRECT(N199)) -COUNTIF( INDIRECT(N199),"" )) /COUNTA(INDIRECT(N199))),"")</f>
        <v>1</v>
      </c>
      <c r="T199" s="17">
        <f t="array" aca="1" ref="T199" ca="1">IF(L199&lt;&gt;"",SUM(IF(INDIRECT(L199)&lt;&gt;INT(INDIRECT(L199)),1,0)),"")</f>
        <v>0</v>
      </c>
      <c r="U199" s="17">
        <f t="array" aca="1" ref="U199" ca="1">IF(S199=1,SUM(IF(ISNUMBER(INDIRECT(N199)),IF(INDIRECT(N199)&lt;&gt;INT(INDIRECT(N199)),1,0),0)),"")</f>
        <v>0</v>
      </c>
      <c r="V199" s="17">
        <f t="shared" ca="1" si="54"/>
        <v>1</v>
      </c>
      <c r="W199" s="17">
        <f t="shared" ca="1" si="55"/>
        <v>0</v>
      </c>
      <c r="X199" s="24">
        <f t="array" aca="1" ref="X199" ca="1">IF(AD199,IF(AG199&lt;&gt;"",AG199,IF(J199,MIN(INDIRECT( K199)),"")),"")</f>
        <v>1</v>
      </c>
      <c r="Y199" s="17">
        <f t="array" aca="1" ref="Y199" ca="1">IF(AD199,IF(AH199&lt;&gt;"",AH199,IF(J199,MAX(INDIRECT( K199)),"")),"")</f>
        <v>2</v>
      </c>
      <c r="Z199" s="17" t="b">
        <f t="shared" ca="1" si="56"/>
        <v>1</v>
      </c>
      <c r="AC199" s="17" t="b">
        <f t="shared" ca="1" si="57"/>
        <v>0</v>
      </c>
      <c r="AD199" s="14" t="b">
        <f t="shared" ca="1" si="58"/>
        <v>1</v>
      </c>
      <c r="AE199" s="15" t="b">
        <f t="shared" ca="1" si="59"/>
        <v>1</v>
      </c>
      <c r="AF199" s="16"/>
      <c r="AG199" s="16"/>
      <c r="AH199" s="16"/>
      <c r="AI199" s="16"/>
      <c r="AJ199" s="16"/>
      <c r="AK199" s="16"/>
      <c r="AL199" s="16"/>
      <c r="AM199" s="16"/>
    </row>
    <row r="200" spans="2:39">
      <c r="B200" s="14">
        <f t="shared" si="48"/>
        <v>198</v>
      </c>
      <c r="C200" s="14" t="str">
        <f t="shared" ca="1" si="49"/>
        <v>I</v>
      </c>
      <c r="D200" s="14" t="str">
        <f t="shared" ca="1" si="50"/>
        <v>q_50n.2</v>
      </c>
      <c r="E200" s="14" t="str">
        <f t="shared" ca="1" si="47"/>
        <v>How long Rowing activity</v>
      </c>
      <c r="F200" s="14">
        <f t="shared" ca="1" si="46"/>
        <v>0</v>
      </c>
      <c r="G200" s="14" t="str">
        <f t="shared" ca="1" si="51"/>
        <v>q_50n.2</v>
      </c>
      <c r="H200" s="14">
        <f ca="1">IF(G200&lt;&gt;"",IFERROR( IsVariableNameLegal(G200),0),0)+IF(COUNTIF(INDIRECT(wew!$C$13),G200)&gt;1,10,0)</f>
        <v>0</v>
      </c>
      <c r="I200" s="14">
        <f ca="1">IF(E200&lt;&gt;"",IF(LEN(E200)&gt;150,1,0)+IF(COUNTIF(INDIRECT(wew!$C$15),E200)&gt;1,10,0),0)</f>
        <v>10</v>
      </c>
      <c r="J200" s="14" t="b">
        <f t="shared" ca="1" si="52"/>
        <v>0</v>
      </c>
      <c r="K200" s="14" t="str">
        <f ca="1">ADDRESS(3,(B200+1)*2-1,4,,"[" &amp; wew!$G$7 &amp; "]" &amp; _sheetname_labels) &amp; ":" &amp; ADDRESS(2+ster!$B$20,(B200+1)*2-1,4)</f>
        <v>'[dane surowe2c.xlsm]labels'!OG3:OG36</v>
      </c>
      <c r="L200" s="14" t="str">
        <f ca="1">IF(F200&gt;0,ADDRESS(3,(B200+1)*2-1,4,,"[" &amp; wew!$G$7 &amp; "]" &amp; _sheetname_labels) &amp; ":" &amp; ADDRESS(2+F200,(B200+1)*2-1,4),"")</f>
        <v/>
      </c>
      <c r="M200" s="14" t="str">
        <f ca="1">IF(F200&gt;0,ADDRESS(3,(B200+1)*2,4,,"["&amp;wew!$G$7&amp;"]"&amp;_sheetname_labels)&amp;":"&amp;ADDRESS(2+F200,(B200+1)*2,4),"")</f>
        <v/>
      </c>
      <c r="N200" s="14" t="str">
        <f ca="1">ADDRESS(3,B200+1,4,,"[" &amp; wew!$G$7 &amp; "]" &amp;_sheetname_dataframe) &amp; ":" &amp; ADDRESS(2+ster!$C$14,B200+1,4)</f>
        <v>'[dane surowe2c.xlsm]data_frame'!GQ3:GQ35</v>
      </c>
      <c r="O200" s="14">
        <f t="shared" ca="1" si="53"/>
        <v>0</v>
      </c>
      <c r="P200" s="14" t="str">
        <f ca="1">IF(AND($AD200,$S200=1),IF(wew!$B$3,MIN(INDIRECT($N200)),"&lt;włącz podświetlanie wartości&gt;"),"—")</f>
        <v>—</v>
      </c>
      <c r="Q200" s="14" t="str">
        <f ca="1">IF(AND($AD200,$S200=1),IF(wew!$B$3,MAX(INDIRECT($N200)),"&lt;włącz podświetlanie wartości&gt;"),"—")</f>
        <v>—</v>
      </c>
      <c r="R200" s="14">
        <f ca="1">IF(AD200,ster!$C$14- (COUNTIF( INDIRECT(N200),"" )+ COUNT(INDIRECT(N200)) +COUNTIF( INDIRECT(N200),"NA" )),"")</f>
        <v>0</v>
      </c>
      <c r="S200" s="12">
        <f ca="1">IF(AD200,IF(COUNTA(INDIRECT(N200))=0,0, 1-(ster!$C$14- COUNT(INDIRECT(N200)) -COUNTIF( INDIRECT(N200),"" )) /COUNTA(INDIRECT(N200))),"")</f>
        <v>0</v>
      </c>
      <c r="T200" s="17" t="str">
        <f t="array" aca="1" ref="T200" ca="1">IF(L200&lt;&gt;"",SUM(IF(INDIRECT(L200)&lt;&gt;INT(INDIRECT(L200)),1,0)),"")</f>
        <v/>
      </c>
      <c r="U200" s="17" t="str">
        <f t="array" aca="1" ref="U200" ca="1">IF(S200=1,SUM(IF(ISNUMBER(INDIRECT(N200)),IF(INDIRECT(N200)&lt;&gt;INT(INDIRECT(N200)),1,0),0)),"")</f>
        <v/>
      </c>
      <c r="V200" s="17">
        <f t="shared" ca="1" si="54"/>
        <v>0</v>
      </c>
      <c r="W200" s="17">
        <f t="shared" ca="1" si="55"/>
        <v>0</v>
      </c>
      <c r="X200" s="24" t="str">
        <f t="array" aca="1" ref="X200" ca="1">IF(AD200,IF(AG200&lt;&gt;"",AG200,IF(J200,MIN(INDIRECT( K200)),"")),"")</f>
        <v/>
      </c>
      <c r="Y200" s="17" t="str">
        <f t="array" aca="1" ref="Y200" ca="1">IF(AD200,IF(AH200&lt;&gt;"",AH200,IF(J200,MAX(INDIRECT( K200)),"")),"")</f>
        <v/>
      </c>
      <c r="Z200" s="17" t="b">
        <f t="shared" ca="1" si="56"/>
        <v>0</v>
      </c>
      <c r="AC200" s="17" t="b">
        <f t="shared" ca="1" si="57"/>
        <v>0</v>
      </c>
      <c r="AD200" s="14" t="b">
        <f t="shared" ca="1" si="58"/>
        <v>1</v>
      </c>
      <c r="AE200" s="15" t="b">
        <f t="shared" ca="1" si="59"/>
        <v>0</v>
      </c>
      <c r="AF200" s="16"/>
      <c r="AG200" s="16"/>
      <c r="AH200" s="16"/>
      <c r="AI200" s="16"/>
      <c r="AJ200" s="16"/>
      <c r="AK200" s="16"/>
      <c r="AL200" s="16"/>
      <c r="AM200" s="16"/>
    </row>
    <row r="201" spans="2:39">
      <c r="B201" s="14">
        <f t="shared" si="48"/>
        <v>199</v>
      </c>
      <c r="C201" s="14" t="str">
        <f t="shared" ca="1" si="49"/>
        <v>D</v>
      </c>
      <c r="D201" s="14" t="str">
        <f t="shared" ca="1" si="50"/>
        <v>q_50o.1</v>
      </c>
      <c r="E201" s="14" t="str">
        <f t="shared" ca="1" si="47"/>
        <v>Moderate Rugby activity</v>
      </c>
      <c r="F201" s="14">
        <f t="shared" ca="1" si="46"/>
        <v>2</v>
      </c>
      <c r="G201" s="14" t="str">
        <f t="shared" ca="1" si="51"/>
        <v>q_50o.1</v>
      </c>
      <c r="H201" s="14">
        <f ca="1">IF(G201&lt;&gt;"",IFERROR( IsVariableNameLegal(G201),0),0)+IF(COUNTIF(INDIRECT(wew!$C$13),G201)&gt;1,10,0)</f>
        <v>0</v>
      </c>
      <c r="I201" s="14">
        <f ca="1">IF(E201&lt;&gt;"",IF(LEN(E201)&gt;150,1,0)+IF(COUNTIF(INDIRECT(wew!$C$15),E201)&gt;1,10,0),0)</f>
        <v>0</v>
      </c>
      <c r="J201" s="14" t="b">
        <f t="shared" ca="1" si="52"/>
        <v>1</v>
      </c>
      <c r="K201" s="14" t="str">
        <f ca="1">ADDRESS(3,(B201+1)*2-1,4,,"[" &amp; wew!$G$7 &amp; "]" &amp; _sheetname_labels) &amp; ":" &amp; ADDRESS(2+ster!$B$20,(B201+1)*2-1,4)</f>
        <v>'[dane surowe2c.xlsm]labels'!OI3:OI36</v>
      </c>
      <c r="L201" s="14" t="str">
        <f ca="1">IF(F201&gt;0,ADDRESS(3,(B201+1)*2-1,4,,"[" &amp; wew!$G$7 &amp; "]" &amp; _sheetname_labels) &amp; ":" &amp; ADDRESS(2+F201,(B201+1)*2-1,4),"")</f>
        <v>'[dane surowe2c.xlsm]labels'!OI3:OI4</v>
      </c>
      <c r="M201" s="14" t="str">
        <f ca="1">IF(F201&gt;0,ADDRESS(3,(B201+1)*2,4,,"["&amp;wew!$G$7&amp;"]"&amp;_sheetname_labels)&amp;":"&amp;ADDRESS(2+F201,(B201+1)*2,4),"")</f>
        <v>'[dane surowe2c.xlsm]labels'!OJ3:OJ4</v>
      </c>
      <c r="N201" s="14" t="str">
        <f ca="1">ADDRESS(3,B201+1,4,,"[" &amp; wew!$G$7 &amp; "]" &amp;_sheetname_dataframe) &amp; ":" &amp; ADDRESS(2+ster!$C$14,B201+1,4)</f>
        <v>'[dane surowe2c.xlsm]data_frame'!GR3:GR35</v>
      </c>
      <c r="O201" s="14">
        <f t="shared" ca="1" si="53"/>
        <v>32</v>
      </c>
      <c r="P201" s="14">
        <f ca="1">IF(AND($AD201,$S201=1),IF(wew!$B$3,MIN(INDIRECT($N201)),"&lt;włącz podświetlanie wartości&gt;"),"—")</f>
        <v>2</v>
      </c>
      <c r="Q201" s="14">
        <f ca="1">IF(AND($AD201,$S201=1),IF(wew!$B$3,MAX(INDIRECT($N201)),"&lt;włącz podświetlanie wartości&gt;"),"—")</f>
        <v>2</v>
      </c>
      <c r="R201" s="14">
        <f ca="1">IF(AD201,ster!$C$14- (COUNTIF( INDIRECT(N201),"" )+ COUNT(INDIRECT(N201)) +COUNTIF( INDIRECT(N201),"NA" )),"")</f>
        <v>0</v>
      </c>
      <c r="S201" s="12">
        <f ca="1">IF(AD201,IF(COUNTA(INDIRECT(N201))=0,0, 1-(ster!$C$14- COUNT(INDIRECT(N201)) -COUNTIF( INDIRECT(N201),"" )) /COUNTA(INDIRECT(N201))),"")</f>
        <v>1</v>
      </c>
      <c r="T201" s="17">
        <f t="array" aca="1" ref="T201" ca="1">IF(L201&lt;&gt;"",SUM(IF(INDIRECT(L201)&lt;&gt;INT(INDIRECT(L201)),1,0)),"")</f>
        <v>0</v>
      </c>
      <c r="U201" s="17">
        <f t="array" aca="1" ref="U201" ca="1">IF(S201=1,SUM(IF(ISNUMBER(INDIRECT(N201)),IF(INDIRECT(N201)&lt;&gt;INT(INDIRECT(N201)),1,0),0)),"")</f>
        <v>0</v>
      </c>
      <c r="V201" s="17">
        <f t="shared" ca="1" si="54"/>
        <v>1</v>
      </c>
      <c r="W201" s="17">
        <f t="shared" ca="1" si="55"/>
        <v>0</v>
      </c>
      <c r="X201" s="24">
        <f t="array" aca="1" ref="X201" ca="1">IF(AD201,IF(AG201&lt;&gt;"",AG201,IF(J201,MIN(INDIRECT( K201)),"")),"")</f>
        <v>1</v>
      </c>
      <c r="Y201" s="17">
        <f t="array" aca="1" ref="Y201" ca="1">IF(AD201,IF(AH201&lt;&gt;"",AH201,IF(J201,MAX(INDIRECT( K201)),"")),"")</f>
        <v>2</v>
      </c>
      <c r="Z201" s="17" t="b">
        <f t="shared" ca="1" si="56"/>
        <v>1</v>
      </c>
      <c r="AC201" s="17" t="b">
        <f t="shared" ca="1" si="57"/>
        <v>0</v>
      </c>
      <c r="AD201" s="14" t="b">
        <f t="shared" ca="1" si="58"/>
        <v>1</v>
      </c>
      <c r="AE201" s="15" t="b">
        <f t="shared" ca="1" si="59"/>
        <v>1</v>
      </c>
      <c r="AF201" s="16"/>
      <c r="AG201" s="16"/>
      <c r="AH201" s="16"/>
      <c r="AI201" s="16"/>
      <c r="AJ201" s="16"/>
      <c r="AK201" s="16"/>
      <c r="AL201" s="16"/>
      <c r="AM201" s="16"/>
    </row>
    <row r="202" spans="2:39">
      <c r="B202" s="14">
        <f t="shared" si="48"/>
        <v>200</v>
      </c>
      <c r="C202" s="14" t="str">
        <f t="shared" ca="1" si="49"/>
        <v>I</v>
      </c>
      <c r="D202" s="14" t="str">
        <f t="shared" ca="1" si="50"/>
        <v>q_50o.2</v>
      </c>
      <c r="E202" s="14" t="str">
        <f t="shared" ca="1" si="47"/>
        <v>How long Rugby activity</v>
      </c>
      <c r="F202" s="14">
        <f t="shared" ca="1" si="46"/>
        <v>0</v>
      </c>
      <c r="G202" s="14" t="str">
        <f t="shared" ca="1" si="51"/>
        <v>q_50o.2</v>
      </c>
      <c r="H202" s="14">
        <f ca="1">IF(G202&lt;&gt;"",IFERROR( IsVariableNameLegal(G202),0),0)+IF(COUNTIF(INDIRECT(wew!$C$13),G202)&gt;1,10,0)</f>
        <v>0</v>
      </c>
      <c r="I202" s="14">
        <f ca="1">IF(E202&lt;&gt;"",IF(LEN(E202)&gt;150,1,0)+IF(COUNTIF(INDIRECT(wew!$C$15),E202)&gt;1,10,0),0)</f>
        <v>10</v>
      </c>
      <c r="J202" s="14" t="b">
        <f t="shared" ca="1" si="52"/>
        <v>0</v>
      </c>
      <c r="K202" s="14" t="str">
        <f ca="1">ADDRESS(3,(B202+1)*2-1,4,,"[" &amp; wew!$G$7 &amp; "]" &amp; _sheetname_labels) &amp; ":" &amp; ADDRESS(2+ster!$B$20,(B202+1)*2-1,4)</f>
        <v>'[dane surowe2c.xlsm]labels'!OK3:OK36</v>
      </c>
      <c r="L202" s="14" t="str">
        <f ca="1">IF(F202&gt;0,ADDRESS(3,(B202+1)*2-1,4,,"[" &amp; wew!$G$7 &amp; "]" &amp; _sheetname_labels) &amp; ":" &amp; ADDRESS(2+F202,(B202+1)*2-1,4),"")</f>
        <v/>
      </c>
      <c r="M202" s="14" t="str">
        <f ca="1">IF(F202&gt;0,ADDRESS(3,(B202+1)*2,4,,"["&amp;wew!$G$7&amp;"]"&amp;_sheetname_labels)&amp;":"&amp;ADDRESS(2+F202,(B202+1)*2,4),"")</f>
        <v/>
      </c>
      <c r="N202" s="14" t="str">
        <f ca="1">ADDRESS(3,B202+1,4,,"[" &amp; wew!$G$7 &amp; "]" &amp;_sheetname_dataframe) &amp; ":" &amp; ADDRESS(2+ster!$C$14,B202+1,4)</f>
        <v>'[dane surowe2c.xlsm]data_frame'!GS3:GS35</v>
      </c>
      <c r="O202" s="14">
        <f t="shared" ca="1" si="53"/>
        <v>0</v>
      </c>
      <c r="P202" s="14" t="str">
        <f ca="1">IF(AND($AD202,$S202=1),IF(wew!$B$3,MIN(INDIRECT($N202)),"&lt;włącz podświetlanie wartości&gt;"),"—")</f>
        <v>—</v>
      </c>
      <c r="Q202" s="14" t="str">
        <f ca="1">IF(AND($AD202,$S202=1),IF(wew!$B$3,MAX(INDIRECT($N202)),"&lt;włącz podświetlanie wartości&gt;"),"—")</f>
        <v>—</v>
      </c>
      <c r="R202" s="14">
        <f ca="1">IF(AD202,ster!$C$14- (COUNTIF( INDIRECT(N202),"" )+ COUNT(INDIRECT(N202)) +COUNTIF( INDIRECT(N202),"NA" )),"")</f>
        <v>0</v>
      </c>
      <c r="S202" s="12">
        <f ca="1">IF(AD202,IF(COUNTA(INDIRECT(N202))=0,0, 1-(ster!$C$14- COUNT(INDIRECT(N202)) -COUNTIF( INDIRECT(N202),"" )) /COUNTA(INDIRECT(N202))),"")</f>
        <v>0</v>
      </c>
      <c r="T202" s="17" t="str">
        <f t="array" aca="1" ref="T202" ca="1">IF(L202&lt;&gt;"",SUM(IF(INDIRECT(L202)&lt;&gt;INT(INDIRECT(L202)),1,0)),"")</f>
        <v/>
      </c>
      <c r="U202" s="17" t="str">
        <f t="array" aca="1" ref="U202" ca="1">IF(S202=1,SUM(IF(ISNUMBER(INDIRECT(N202)),IF(INDIRECT(N202)&lt;&gt;INT(INDIRECT(N202)),1,0),0)),"")</f>
        <v/>
      </c>
      <c r="V202" s="17">
        <f t="shared" ca="1" si="54"/>
        <v>0</v>
      </c>
      <c r="W202" s="17">
        <f t="shared" ca="1" si="55"/>
        <v>0</v>
      </c>
      <c r="X202" s="24" t="str">
        <f t="array" aca="1" ref="X202" ca="1">IF(AD202,IF(AG202&lt;&gt;"",AG202,IF(J202,MIN(INDIRECT( K202)),"")),"")</f>
        <v/>
      </c>
      <c r="Y202" s="17" t="str">
        <f t="array" aca="1" ref="Y202" ca="1">IF(AD202,IF(AH202&lt;&gt;"",AH202,IF(J202,MAX(INDIRECT( K202)),"")),"")</f>
        <v/>
      </c>
      <c r="Z202" s="17" t="b">
        <f t="shared" ca="1" si="56"/>
        <v>0</v>
      </c>
      <c r="AC202" s="17" t="b">
        <f t="shared" ca="1" si="57"/>
        <v>0</v>
      </c>
      <c r="AD202" s="14" t="b">
        <f t="shared" ca="1" si="58"/>
        <v>1</v>
      </c>
      <c r="AE202" s="15" t="b">
        <f t="shared" ca="1" si="59"/>
        <v>0</v>
      </c>
      <c r="AF202" s="16"/>
      <c r="AG202" s="16"/>
      <c r="AH202" s="16"/>
      <c r="AI202" s="16"/>
      <c r="AJ202" s="16"/>
      <c r="AK202" s="16"/>
      <c r="AL202" s="16"/>
      <c r="AM202" s="16"/>
    </row>
    <row r="203" spans="2:39">
      <c r="B203" s="14">
        <f t="shared" si="48"/>
        <v>201</v>
      </c>
      <c r="C203" s="14" t="str">
        <f t="shared" ca="1" si="49"/>
        <v>D</v>
      </c>
      <c r="D203" s="14" t="str">
        <f t="shared" ca="1" si="50"/>
        <v>q_50p.1</v>
      </c>
      <c r="E203" s="14" t="str">
        <f t="shared" ca="1" si="47"/>
        <v>Moderate Running activity</v>
      </c>
      <c r="F203" s="14">
        <f t="shared" ca="1" si="46"/>
        <v>2</v>
      </c>
      <c r="G203" s="14" t="str">
        <f t="shared" ca="1" si="51"/>
        <v>q_50p.1</v>
      </c>
      <c r="H203" s="14">
        <f ca="1">IF(G203&lt;&gt;"",IFERROR( IsVariableNameLegal(G203),0),0)+IF(COUNTIF(INDIRECT(wew!$C$13),G203)&gt;1,10,0)</f>
        <v>0</v>
      </c>
      <c r="I203" s="14">
        <f ca="1">IF(E203&lt;&gt;"",IF(LEN(E203)&gt;150,1,0)+IF(COUNTIF(INDIRECT(wew!$C$15),E203)&gt;1,10,0),0)</f>
        <v>0</v>
      </c>
      <c r="J203" s="14" t="b">
        <f t="shared" ca="1" si="52"/>
        <v>1</v>
      </c>
      <c r="K203" s="14" t="str">
        <f ca="1">ADDRESS(3,(B203+1)*2-1,4,,"[" &amp; wew!$G$7 &amp; "]" &amp; _sheetname_labels) &amp; ":" &amp; ADDRESS(2+ster!$B$20,(B203+1)*2-1,4)</f>
        <v>'[dane surowe2c.xlsm]labels'!OM3:OM36</v>
      </c>
      <c r="L203" s="14" t="str">
        <f ca="1">IF(F203&gt;0,ADDRESS(3,(B203+1)*2-1,4,,"[" &amp; wew!$G$7 &amp; "]" &amp; _sheetname_labels) &amp; ":" &amp; ADDRESS(2+F203,(B203+1)*2-1,4),"")</f>
        <v>'[dane surowe2c.xlsm]labels'!OM3:OM4</v>
      </c>
      <c r="M203" s="14" t="str">
        <f ca="1">IF(F203&gt;0,ADDRESS(3,(B203+1)*2,4,,"["&amp;wew!$G$7&amp;"]"&amp;_sheetname_labels)&amp;":"&amp;ADDRESS(2+F203,(B203+1)*2,4),"")</f>
        <v>'[dane surowe2c.xlsm]labels'!ON3:ON4</v>
      </c>
      <c r="N203" s="14" t="str">
        <f ca="1">ADDRESS(3,B203+1,4,,"[" &amp; wew!$G$7 &amp; "]" &amp;_sheetname_dataframe) &amp; ":" &amp; ADDRESS(2+ster!$C$14,B203+1,4)</f>
        <v>'[dane surowe2c.xlsm]data_frame'!GT3:GT35</v>
      </c>
      <c r="O203" s="14">
        <f t="shared" ca="1" si="53"/>
        <v>32</v>
      </c>
      <c r="P203" s="14">
        <f ca="1">IF(AND($AD203,$S203=1),IF(wew!$B$3,MIN(INDIRECT($N203)),"&lt;włącz podświetlanie wartości&gt;"),"—")</f>
        <v>1</v>
      </c>
      <c r="Q203" s="14">
        <f ca="1">IF(AND($AD203,$S203=1),IF(wew!$B$3,MAX(INDIRECT($N203)),"&lt;włącz podświetlanie wartości&gt;"),"—")</f>
        <v>2</v>
      </c>
      <c r="R203" s="14">
        <f ca="1">IF(AD203,ster!$C$14- (COUNTIF( INDIRECT(N203),"" )+ COUNT(INDIRECT(N203)) +COUNTIF( INDIRECT(N203),"NA" )),"")</f>
        <v>0</v>
      </c>
      <c r="S203" s="12">
        <f ca="1">IF(AD203,IF(COUNTA(INDIRECT(N203))=0,0, 1-(ster!$C$14- COUNT(INDIRECT(N203)) -COUNTIF( INDIRECT(N203),"" )) /COUNTA(INDIRECT(N203))),"")</f>
        <v>1</v>
      </c>
      <c r="T203" s="17">
        <f t="array" aca="1" ref="T203" ca="1">IF(L203&lt;&gt;"",SUM(IF(INDIRECT(L203)&lt;&gt;INT(INDIRECT(L203)),1,0)),"")</f>
        <v>0</v>
      </c>
      <c r="U203" s="17">
        <f t="array" aca="1" ref="U203" ca="1">IF(S203=1,SUM(IF(ISNUMBER(INDIRECT(N203)),IF(INDIRECT(N203)&lt;&gt;INT(INDIRECT(N203)),1,0),0)),"")</f>
        <v>0</v>
      </c>
      <c r="V203" s="17">
        <f t="shared" ca="1" si="54"/>
        <v>1</v>
      </c>
      <c r="W203" s="17">
        <f t="shared" ca="1" si="55"/>
        <v>0</v>
      </c>
      <c r="X203" s="24">
        <f t="array" aca="1" ref="X203" ca="1">IF(AD203,IF(AG203&lt;&gt;"",AG203,IF(J203,MIN(INDIRECT( K203)),"")),"")</f>
        <v>1</v>
      </c>
      <c r="Y203" s="17">
        <f t="array" aca="1" ref="Y203" ca="1">IF(AD203,IF(AH203&lt;&gt;"",AH203,IF(J203,MAX(INDIRECT( K203)),"")),"")</f>
        <v>2</v>
      </c>
      <c r="Z203" s="17" t="b">
        <f t="shared" ca="1" si="56"/>
        <v>1</v>
      </c>
      <c r="AC203" s="17" t="b">
        <f t="shared" ca="1" si="57"/>
        <v>0</v>
      </c>
      <c r="AD203" s="14" t="b">
        <f t="shared" ca="1" si="58"/>
        <v>1</v>
      </c>
      <c r="AE203" s="15" t="b">
        <f t="shared" ca="1" si="59"/>
        <v>1</v>
      </c>
      <c r="AF203" s="16"/>
      <c r="AG203" s="16"/>
      <c r="AH203" s="16"/>
      <c r="AI203" s="16"/>
      <c r="AJ203" s="16"/>
      <c r="AK203" s="16"/>
      <c r="AL203" s="16"/>
      <c r="AM203" s="16"/>
    </row>
    <row r="204" spans="2:39">
      <c r="B204" s="14">
        <f t="shared" si="48"/>
        <v>202</v>
      </c>
      <c r="C204" s="14" t="str">
        <f t="shared" ca="1" si="49"/>
        <v>I</v>
      </c>
      <c r="D204" s="14" t="str">
        <f t="shared" ca="1" si="50"/>
        <v>q_50p.2</v>
      </c>
      <c r="E204" s="14" t="str">
        <f t="shared" ca="1" si="47"/>
        <v>How long Running activity</v>
      </c>
      <c r="F204" s="14">
        <f t="shared" ca="1" si="46"/>
        <v>0</v>
      </c>
      <c r="G204" s="14" t="str">
        <f t="shared" ca="1" si="51"/>
        <v>q_50p.2</v>
      </c>
      <c r="H204" s="14">
        <f ca="1">IF(G204&lt;&gt;"",IFERROR( IsVariableNameLegal(G204),0),0)+IF(COUNTIF(INDIRECT(wew!$C$13),G204)&gt;1,10,0)</f>
        <v>0</v>
      </c>
      <c r="I204" s="14">
        <f ca="1">IF(E204&lt;&gt;"",IF(LEN(E204)&gt;150,1,0)+IF(COUNTIF(INDIRECT(wew!$C$15),E204)&gt;1,10,0),0)</f>
        <v>10</v>
      </c>
      <c r="J204" s="14" t="b">
        <f t="shared" ca="1" si="52"/>
        <v>0</v>
      </c>
      <c r="K204" s="14" t="str">
        <f ca="1">ADDRESS(3,(B204+1)*2-1,4,,"[" &amp; wew!$G$7 &amp; "]" &amp; _sheetname_labels) &amp; ":" &amp; ADDRESS(2+ster!$B$20,(B204+1)*2-1,4)</f>
        <v>'[dane surowe2c.xlsm]labels'!OO3:OO36</v>
      </c>
      <c r="L204" s="14" t="str">
        <f ca="1">IF(F204&gt;0,ADDRESS(3,(B204+1)*2-1,4,,"[" &amp; wew!$G$7 &amp; "]" &amp; _sheetname_labels) &amp; ":" &amp; ADDRESS(2+F204,(B204+1)*2-1,4),"")</f>
        <v/>
      </c>
      <c r="M204" s="14" t="str">
        <f ca="1">IF(F204&gt;0,ADDRESS(3,(B204+1)*2,4,,"["&amp;wew!$G$7&amp;"]"&amp;_sheetname_labels)&amp;":"&amp;ADDRESS(2+F204,(B204+1)*2,4),"")</f>
        <v/>
      </c>
      <c r="N204" s="14" t="str">
        <f ca="1">ADDRESS(3,B204+1,4,,"[" &amp; wew!$G$7 &amp; "]" &amp;_sheetname_dataframe) &amp; ":" &amp; ADDRESS(2+ster!$C$14,B204+1,4)</f>
        <v>'[dane surowe2c.xlsm]data_frame'!GU3:GU35</v>
      </c>
      <c r="O204" s="14">
        <f t="shared" ca="1" si="53"/>
        <v>1</v>
      </c>
      <c r="P204" s="14">
        <f ca="1">IF(AND($AD204,$S204=1),IF(wew!$B$3,MIN(INDIRECT($N204)),"&lt;włącz podświetlanie wartości&gt;"),"—")</f>
        <v>10</v>
      </c>
      <c r="Q204" s="14">
        <f ca="1">IF(AND($AD204,$S204=1),IF(wew!$B$3,MAX(INDIRECT($N204)),"&lt;włącz podświetlanie wartości&gt;"),"—")</f>
        <v>10</v>
      </c>
      <c r="R204" s="14">
        <f ca="1">IF(AD204,ster!$C$14- (COUNTIF( INDIRECT(N204),"" )+ COUNT(INDIRECT(N204)) +COUNTIF( INDIRECT(N204),"NA" )),"")</f>
        <v>0</v>
      </c>
      <c r="S204" s="12">
        <f ca="1">IF(AD204,IF(COUNTA(INDIRECT(N204))=0,0, 1-(ster!$C$14- COUNT(INDIRECT(N204)) -COUNTIF( INDIRECT(N204),"" )) /COUNTA(INDIRECT(N204))),"")</f>
        <v>1</v>
      </c>
      <c r="T204" s="17" t="str">
        <f t="array" aca="1" ref="T204" ca="1">IF(L204&lt;&gt;"",SUM(IF(INDIRECT(L204)&lt;&gt;INT(INDIRECT(L204)),1,0)),"")</f>
        <v/>
      </c>
      <c r="U204" s="17">
        <f t="array" aca="1" ref="U204" ca="1">IF(S204=1,SUM(IF(ISNUMBER(INDIRECT(N204)),IF(INDIRECT(N204)&lt;&gt;INT(INDIRECT(N204)),1,0),0)),"")</f>
        <v>0</v>
      </c>
      <c r="V204" s="17">
        <f t="shared" ca="1" si="54"/>
        <v>1</v>
      </c>
      <c r="W204" s="17">
        <f t="shared" ca="1" si="55"/>
        <v>0</v>
      </c>
      <c r="X204" s="24" t="str">
        <f t="array" aca="1" ref="X204" ca="1">IF(AD204,IF(AG204&lt;&gt;"",AG204,IF(J204,MIN(INDIRECT( K204)),"")),"")</f>
        <v/>
      </c>
      <c r="Y204" s="17" t="str">
        <f t="array" aca="1" ref="Y204" ca="1">IF(AD204,IF(AH204&lt;&gt;"",AH204,IF(J204,MAX(INDIRECT( K204)),"")),"")</f>
        <v/>
      </c>
      <c r="Z204" s="17" t="b">
        <f t="shared" ca="1" si="56"/>
        <v>0</v>
      </c>
      <c r="AC204" s="17" t="b">
        <f t="shared" ca="1" si="57"/>
        <v>0</v>
      </c>
      <c r="AD204" s="14" t="b">
        <f t="shared" ca="1" si="58"/>
        <v>1</v>
      </c>
      <c r="AE204" s="15" t="b">
        <f t="shared" ca="1" si="59"/>
        <v>0</v>
      </c>
      <c r="AF204" s="16"/>
      <c r="AG204" s="16"/>
      <c r="AH204" s="16"/>
      <c r="AI204" s="16"/>
      <c r="AJ204" s="16"/>
      <c r="AK204" s="16"/>
      <c r="AL204" s="16"/>
      <c r="AM204" s="16"/>
    </row>
    <row r="205" spans="2:39">
      <c r="B205" s="14">
        <f t="shared" si="48"/>
        <v>203</v>
      </c>
      <c r="C205" s="14" t="str">
        <f t="shared" ca="1" si="49"/>
        <v>D</v>
      </c>
      <c r="D205" s="14" t="str">
        <f t="shared" ca="1" si="50"/>
        <v>q_50q.1</v>
      </c>
      <c r="E205" s="14" t="str">
        <f t="shared" ca="1" si="47"/>
        <v>Moderate Skiing activity</v>
      </c>
      <c r="F205" s="14">
        <f t="shared" ca="1" si="46"/>
        <v>2</v>
      </c>
      <c r="G205" s="14" t="str">
        <f t="shared" ca="1" si="51"/>
        <v>q_50q.1</v>
      </c>
      <c r="H205" s="14">
        <f ca="1">IF(G205&lt;&gt;"",IFERROR( IsVariableNameLegal(G205),0),0)+IF(COUNTIF(INDIRECT(wew!$C$13),G205)&gt;1,10,0)</f>
        <v>0</v>
      </c>
      <c r="I205" s="14">
        <f ca="1">IF(E205&lt;&gt;"",IF(LEN(E205)&gt;150,1,0)+IF(COUNTIF(INDIRECT(wew!$C$15),E205)&gt;1,10,0),0)</f>
        <v>0</v>
      </c>
      <c r="J205" s="14" t="b">
        <f t="shared" ca="1" si="52"/>
        <v>1</v>
      </c>
      <c r="K205" s="14" t="str">
        <f ca="1">ADDRESS(3,(B205+1)*2-1,4,,"[" &amp; wew!$G$7 &amp; "]" &amp; _sheetname_labels) &amp; ":" &amp; ADDRESS(2+ster!$B$20,(B205+1)*2-1,4)</f>
        <v>'[dane surowe2c.xlsm]labels'!OQ3:OQ36</v>
      </c>
      <c r="L205" s="14" t="str">
        <f ca="1">IF(F205&gt;0,ADDRESS(3,(B205+1)*2-1,4,,"[" &amp; wew!$G$7 &amp; "]" &amp; _sheetname_labels) &amp; ":" &amp; ADDRESS(2+F205,(B205+1)*2-1,4),"")</f>
        <v>'[dane surowe2c.xlsm]labels'!OQ3:OQ4</v>
      </c>
      <c r="M205" s="14" t="str">
        <f ca="1">IF(F205&gt;0,ADDRESS(3,(B205+1)*2,4,,"["&amp;wew!$G$7&amp;"]"&amp;_sheetname_labels)&amp;":"&amp;ADDRESS(2+F205,(B205+1)*2,4),"")</f>
        <v>'[dane surowe2c.xlsm]labels'!OR3:OR4</v>
      </c>
      <c r="N205" s="14" t="str">
        <f ca="1">ADDRESS(3,B205+1,4,,"[" &amp; wew!$G$7 &amp; "]" &amp;_sheetname_dataframe) &amp; ":" &amp; ADDRESS(2+ster!$C$14,B205+1,4)</f>
        <v>'[dane surowe2c.xlsm]data_frame'!GV3:GV35</v>
      </c>
      <c r="O205" s="14">
        <f t="shared" ca="1" si="53"/>
        <v>32</v>
      </c>
      <c r="P205" s="14">
        <f ca="1">IF(AND($AD205,$S205=1),IF(wew!$B$3,MIN(INDIRECT($N205)),"&lt;włącz podświetlanie wartości&gt;"),"—")</f>
        <v>2</v>
      </c>
      <c r="Q205" s="14">
        <f ca="1">IF(AND($AD205,$S205=1),IF(wew!$B$3,MAX(INDIRECT($N205)),"&lt;włącz podświetlanie wartości&gt;"),"—")</f>
        <v>2</v>
      </c>
      <c r="R205" s="14">
        <f ca="1">IF(AD205,ster!$C$14- (COUNTIF( INDIRECT(N205),"" )+ COUNT(INDIRECT(N205)) +COUNTIF( INDIRECT(N205),"NA" )),"")</f>
        <v>0</v>
      </c>
      <c r="S205" s="12">
        <f ca="1">IF(AD205,IF(COUNTA(INDIRECT(N205))=0,0, 1-(ster!$C$14- COUNT(INDIRECT(N205)) -COUNTIF( INDIRECT(N205),"" )) /COUNTA(INDIRECT(N205))),"")</f>
        <v>1</v>
      </c>
      <c r="T205" s="17">
        <f t="array" aca="1" ref="T205" ca="1">IF(L205&lt;&gt;"",SUM(IF(INDIRECT(L205)&lt;&gt;INT(INDIRECT(L205)),1,0)),"")</f>
        <v>0</v>
      </c>
      <c r="U205" s="17">
        <f t="array" aca="1" ref="U205" ca="1">IF(S205=1,SUM(IF(ISNUMBER(INDIRECT(N205)),IF(INDIRECT(N205)&lt;&gt;INT(INDIRECT(N205)),1,0),0)),"")</f>
        <v>0</v>
      </c>
      <c r="V205" s="17">
        <f t="shared" ca="1" si="54"/>
        <v>1</v>
      </c>
      <c r="W205" s="17">
        <f t="shared" ca="1" si="55"/>
        <v>0</v>
      </c>
      <c r="X205" s="24">
        <f t="array" aca="1" ref="X205" ca="1">IF(AD205,IF(AG205&lt;&gt;"",AG205,IF(J205,MIN(INDIRECT( K205)),"")),"")</f>
        <v>1</v>
      </c>
      <c r="Y205" s="17">
        <f t="array" aca="1" ref="Y205" ca="1">IF(AD205,IF(AH205&lt;&gt;"",AH205,IF(J205,MAX(INDIRECT( K205)),"")),"")</f>
        <v>2</v>
      </c>
      <c r="Z205" s="17" t="b">
        <f t="shared" ca="1" si="56"/>
        <v>1</v>
      </c>
      <c r="AC205" s="17" t="b">
        <f t="shared" ca="1" si="57"/>
        <v>0</v>
      </c>
      <c r="AD205" s="14" t="b">
        <f t="shared" ca="1" si="58"/>
        <v>1</v>
      </c>
      <c r="AE205" s="15" t="b">
        <f t="shared" ca="1" si="59"/>
        <v>1</v>
      </c>
      <c r="AF205" s="16"/>
      <c r="AG205" s="16"/>
      <c r="AH205" s="16"/>
      <c r="AI205" s="16"/>
      <c r="AJ205" s="16"/>
      <c r="AK205" s="16"/>
      <c r="AL205" s="16"/>
      <c r="AM205" s="16"/>
    </row>
    <row r="206" spans="2:39">
      <c r="B206" s="14">
        <f t="shared" si="48"/>
        <v>204</v>
      </c>
      <c r="C206" s="14" t="str">
        <f t="shared" ca="1" si="49"/>
        <v>I</v>
      </c>
      <c r="D206" s="14" t="str">
        <f t="shared" ca="1" si="50"/>
        <v>q_50q.2</v>
      </c>
      <c r="E206" s="14" t="str">
        <f t="shared" ca="1" si="47"/>
        <v>How long Skiing activity</v>
      </c>
      <c r="F206" s="14">
        <f t="shared" ca="1" si="46"/>
        <v>0</v>
      </c>
      <c r="G206" s="14" t="str">
        <f t="shared" ca="1" si="51"/>
        <v>q_50q.2</v>
      </c>
      <c r="H206" s="14">
        <f ca="1">IF(G206&lt;&gt;"",IFERROR( IsVariableNameLegal(G206),0),0)+IF(COUNTIF(INDIRECT(wew!$C$13),G206)&gt;1,10,0)</f>
        <v>0</v>
      </c>
      <c r="I206" s="14">
        <f ca="1">IF(E206&lt;&gt;"",IF(LEN(E206)&gt;150,1,0)+IF(COUNTIF(INDIRECT(wew!$C$15),E206)&gt;1,10,0),0)</f>
        <v>10</v>
      </c>
      <c r="J206" s="14" t="b">
        <f t="shared" ca="1" si="52"/>
        <v>0</v>
      </c>
      <c r="K206" s="14" t="str">
        <f ca="1">ADDRESS(3,(B206+1)*2-1,4,,"[" &amp; wew!$G$7 &amp; "]" &amp; _sheetname_labels) &amp; ":" &amp; ADDRESS(2+ster!$B$20,(B206+1)*2-1,4)</f>
        <v>'[dane surowe2c.xlsm]labels'!OS3:OS36</v>
      </c>
      <c r="L206" s="14" t="str">
        <f ca="1">IF(F206&gt;0,ADDRESS(3,(B206+1)*2-1,4,,"[" &amp; wew!$G$7 &amp; "]" &amp; _sheetname_labels) &amp; ":" &amp; ADDRESS(2+F206,(B206+1)*2-1,4),"")</f>
        <v/>
      </c>
      <c r="M206" s="14" t="str">
        <f ca="1">IF(F206&gt;0,ADDRESS(3,(B206+1)*2,4,,"["&amp;wew!$G$7&amp;"]"&amp;_sheetname_labels)&amp;":"&amp;ADDRESS(2+F206,(B206+1)*2,4),"")</f>
        <v/>
      </c>
      <c r="N206" s="14" t="str">
        <f ca="1">ADDRESS(3,B206+1,4,,"[" &amp; wew!$G$7 &amp; "]" &amp;_sheetname_dataframe) &amp; ":" &amp; ADDRESS(2+ster!$C$14,B206+1,4)</f>
        <v>'[dane surowe2c.xlsm]data_frame'!GW3:GW35</v>
      </c>
      <c r="O206" s="14">
        <f t="shared" ca="1" si="53"/>
        <v>0</v>
      </c>
      <c r="P206" s="14" t="str">
        <f ca="1">IF(AND($AD206,$S206=1),IF(wew!$B$3,MIN(INDIRECT($N206)),"&lt;włącz podświetlanie wartości&gt;"),"—")</f>
        <v>—</v>
      </c>
      <c r="Q206" s="14" t="str">
        <f ca="1">IF(AND($AD206,$S206=1),IF(wew!$B$3,MAX(INDIRECT($N206)),"&lt;włącz podświetlanie wartości&gt;"),"—")</f>
        <v>—</v>
      </c>
      <c r="R206" s="14">
        <f ca="1">IF(AD206,ster!$C$14- (COUNTIF( INDIRECT(N206),"" )+ COUNT(INDIRECT(N206)) +COUNTIF( INDIRECT(N206),"NA" )),"")</f>
        <v>0</v>
      </c>
      <c r="S206" s="12">
        <f ca="1">IF(AD206,IF(COUNTA(INDIRECT(N206))=0,0, 1-(ster!$C$14- COUNT(INDIRECT(N206)) -COUNTIF( INDIRECT(N206),"" )) /COUNTA(INDIRECT(N206))),"")</f>
        <v>0</v>
      </c>
      <c r="T206" s="17" t="str">
        <f t="array" aca="1" ref="T206" ca="1">IF(L206&lt;&gt;"",SUM(IF(INDIRECT(L206)&lt;&gt;INT(INDIRECT(L206)),1,0)),"")</f>
        <v/>
      </c>
      <c r="U206" s="17" t="str">
        <f t="array" aca="1" ref="U206" ca="1">IF(S206=1,SUM(IF(ISNUMBER(INDIRECT(N206)),IF(INDIRECT(N206)&lt;&gt;INT(INDIRECT(N206)),1,0),0)),"")</f>
        <v/>
      </c>
      <c r="V206" s="17">
        <f t="shared" ca="1" si="54"/>
        <v>0</v>
      </c>
      <c r="W206" s="17">
        <f t="shared" ca="1" si="55"/>
        <v>0</v>
      </c>
      <c r="X206" s="24" t="str">
        <f t="array" aca="1" ref="X206" ca="1">IF(AD206,IF(AG206&lt;&gt;"",AG206,IF(J206,MIN(INDIRECT( K206)),"")),"")</f>
        <v/>
      </c>
      <c r="Y206" s="17" t="str">
        <f t="array" aca="1" ref="Y206" ca="1">IF(AD206,IF(AH206&lt;&gt;"",AH206,IF(J206,MAX(INDIRECT( K206)),"")),"")</f>
        <v/>
      </c>
      <c r="Z206" s="17" t="b">
        <f t="shared" ca="1" si="56"/>
        <v>0</v>
      </c>
      <c r="AC206" s="17" t="b">
        <f t="shared" ca="1" si="57"/>
        <v>0</v>
      </c>
      <c r="AD206" s="14" t="b">
        <f t="shared" ca="1" si="58"/>
        <v>1</v>
      </c>
      <c r="AE206" s="15" t="b">
        <f t="shared" ca="1" si="59"/>
        <v>0</v>
      </c>
      <c r="AF206" s="16"/>
      <c r="AG206" s="16"/>
      <c r="AH206" s="16"/>
      <c r="AI206" s="16"/>
      <c r="AJ206" s="16"/>
      <c r="AK206" s="16"/>
      <c r="AL206" s="16"/>
      <c r="AM206" s="16"/>
    </row>
    <row r="207" spans="2:39">
      <c r="B207" s="14">
        <f t="shared" si="48"/>
        <v>205</v>
      </c>
      <c r="C207" s="14" t="str">
        <f t="shared" ca="1" si="49"/>
        <v>D</v>
      </c>
      <c r="D207" s="14" t="str">
        <f t="shared" ca="1" si="50"/>
        <v>q_50r.1</v>
      </c>
      <c r="E207" s="14" t="str">
        <f t="shared" ca="1" si="47"/>
        <v>Moderate Swimming activity</v>
      </c>
      <c r="F207" s="14">
        <f t="shared" ca="1" si="46"/>
        <v>2</v>
      </c>
      <c r="G207" s="14" t="str">
        <f t="shared" ca="1" si="51"/>
        <v>q_50r.1</v>
      </c>
      <c r="H207" s="14">
        <f ca="1">IF(G207&lt;&gt;"",IFERROR( IsVariableNameLegal(G207),0),0)+IF(COUNTIF(INDIRECT(wew!$C$13),G207)&gt;1,10,0)</f>
        <v>0</v>
      </c>
      <c r="I207" s="14">
        <f ca="1">IF(E207&lt;&gt;"",IF(LEN(E207)&gt;150,1,0)+IF(COUNTIF(INDIRECT(wew!$C$15),E207)&gt;1,10,0),0)</f>
        <v>0</v>
      </c>
      <c r="J207" s="14" t="b">
        <f t="shared" ca="1" si="52"/>
        <v>1</v>
      </c>
      <c r="K207" s="14" t="str">
        <f ca="1">ADDRESS(3,(B207+1)*2-1,4,,"[" &amp; wew!$G$7 &amp; "]" &amp; _sheetname_labels) &amp; ":" &amp; ADDRESS(2+ster!$B$20,(B207+1)*2-1,4)</f>
        <v>'[dane surowe2c.xlsm]labels'!OU3:OU36</v>
      </c>
      <c r="L207" s="14" t="str">
        <f ca="1">IF(F207&gt;0,ADDRESS(3,(B207+1)*2-1,4,,"[" &amp; wew!$G$7 &amp; "]" &amp; _sheetname_labels) &amp; ":" &amp; ADDRESS(2+F207,(B207+1)*2-1,4),"")</f>
        <v>'[dane surowe2c.xlsm]labels'!OU3:OU4</v>
      </c>
      <c r="M207" s="14" t="str">
        <f ca="1">IF(F207&gt;0,ADDRESS(3,(B207+1)*2,4,,"["&amp;wew!$G$7&amp;"]"&amp;_sheetname_labels)&amp;":"&amp;ADDRESS(2+F207,(B207+1)*2,4),"")</f>
        <v>'[dane surowe2c.xlsm]labels'!OV3:OV4</v>
      </c>
      <c r="N207" s="14" t="str">
        <f ca="1">ADDRESS(3,B207+1,4,,"[" &amp; wew!$G$7 &amp; "]" &amp;_sheetname_dataframe) &amp; ":" &amp; ADDRESS(2+ster!$C$14,B207+1,4)</f>
        <v>'[dane surowe2c.xlsm]data_frame'!GX3:GX35</v>
      </c>
      <c r="O207" s="14">
        <f t="shared" ca="1" si="53"/>
        <v>32</v>
      </c>
      <c r="P207" s="14">
        <f ca="1">IF(AND($AD207,$S207=1),IF(wew!$B$3,MIN(INDIRECT($N207)),"&lt;włącz podświetlanie wartości&gt;"),"—")</f>
        <v>1</v>
      </c>
      <c r="Q207" s="14">
        <f ca="1">IF(AND($AD207,$S207=1),IF(wew!$B$3,MAX(INDIRECT($N207)),"&lt;włącz podświetlanie wartości&gt;"),"—")</f>
        <v>2</v>
      </c>
      <c r="R207" s="14">
        <f ca="1">IF(AD207,ster!$C$14- (COUNTIF( INDIRECT(N207),"" )+ COUNT(INDIRECT(N207)) +COUNTIF( INDIRECT(N207),"NA" )),"")</f>
        <v>0</v>
      </c>
      <c r="S207" s="12">
        <f ca="1">IF(AD207,IF(COUNTA(INDIRECT(N207))=0,0, 1-(ster!$C$14- COUNT(INDIRECT(N207)) -COUNTIF( INDIRECT(N207),"" )) /COUNTA(INDIRECT(N207))),"")</f>
        <v>1</v>
      </c>
      <c r="T207" s="17">
        <f t="array" aca="1" ref="T207" ca="1">IF(L207&lt;&gt;"",SUM(IF(INDIRECT(L207)&lt;&gt;INT(INDIRECT(L207)),1,0)),"")</f>
        <v>0</v>
      </c>
      <c r="U207" s="17">
        <f t="array" aca="1" ref="U207" ca="1">IF(S207=1,SUM(IF(ISNUMBER(INDIRECT(N207)),IF(INDIRECT(N207)&lt;&gt;INT(INDIRECT(N207)),1,0),0)),"")</f>
        <v>0</v>
      </c>
      <c r="V207" s="17">
        <f t="shared" ca="1" si="54"/>
        <v>1</v>
      </c>
      <c r="W207" s="17">
        <f t="shared" ca="1" si="55"/>
        <v>0</v>
      </c>
      <c r="X207" s="24">
        <f t="array" aca="1" ref="X207" ca="1">IF(AD207,IF(AG207&lt;&gt;"",AG207,IF(J207,MIN(INDIRECT( K207)),"")),"")</f>
        <v>1</v>
      </c>
      <c r="Y207" s="17">
        <f t="array" aca="1" ref="Y207" ca="1">IF(AD207,IF(AH207&lt;&gt;"",AH207,IF(J207,MAX(INDIRECT( K207)),"")),"")</f>
        <v>2</v>
      </c>
      <c r="Z207" s="17" t="b">
        <f t="shared" ca="1" si="56"/>
        <v>1</v>
      </c>
      <c r="AC207" s="17" t="b">
        <f t="shared" ca="1" si="57"/>
        <v>0</v>
      </c>
      <c r="AD207" s="14" t="b">
        <f t="shared" ca="1" si="58"/>
        <v>1</v>
      </c>
      <c r="AE207" s="15" t="b">
        <f t="shared" ca="1" si="59"/>
        <v>1</v>
      </c>
      <c r="AF207" s="16"/>
      <c r="AG207" s="16"/>
      <c r="AH207" s="16"/>
      <c r="AI207" s="16"/>
      <c r="AJ207" s="16"/>
      <c r="AK207" s="16"/>
      <c r="AL207" s="16"/>
      <c r="AM207" s="16"/>
    </row>
    <row r="208" spans="2:39">
      <c r="B208" s="14">
        <f t="shared" si="48"/>
        <v>206</v>
      </c>
      <c r="C208" s="14" t="str">
        <f t="shared" ca="1" si="49"/>
        <v>I</v>
      </c>
      <c r="D208" s="14" t="str">
        <f t="shared" ca="1" si="50"/>
        <v>q_50r.2</v>
      </c>
      <c r="E208" s="14" t="str">
        <f t="shared" ca="1" si="47"/>
        <v>How long Swimming activity</v>
      </c>
      <c r="F208" s="14">
        <f t="shared" ca="1" si="46"/>
        <v>0</v>
      </c>
      <c r="G208" s="14" t="str">
        <f t="shared" ca="1" si="51"/>
        <v>q_50r.2</v>
      </c>
      <c r="H208" s="14">
        <f ca="1">IF(G208&lt;&gt;"",IFERROR( IsVariableNameLegal(G208),0),0)+IF(COUNTIF(INDIRECT(wew!$C$13),G208)&gt;1,10,0)</f>
        <v>0</v>
      </c>
      <c r="I208" s="14">
        <f ca="1">IF(E208&lt;&gt;"",IF(LEN(E208)&gt;150,1,0)+IF(COUNTIF(INDIRECT(wew!$C$15),E208)&gt;1,10,0),0)</f>
        <v>10</v>
      </c>
      <c r="J208" s="14" t="b">
        <f t="shared" ca="1" si="52"/>
        <v>0</v>
      </c>
      <c r="K208" s="14" t="str">
        <f ca="1">ADDRESS(3,(B208+1)*2-1,4,,"[" &amp; wew!$G$7 &amp; "]" &amp; _sheetname_labels) &amp; ":" &amp; ADDRESS(2+ster!$B$20,(B208+1)*2-1,4)</f>
        <v>'[dane surowe2c.xlsm]labels'!OW3:OW36</v>
      </c>
      <c r="L208" s="14" t="str">
        <f ca="1">IF(F208&gt;0,ADDRESS(3,(B208+1)*2-1,4,,"[" &amp; wew!$G$7 &amp; "]" &amp; _sheetname_labels) &amp; ":" &amp; ADDRESS(2+F208,(B208+1)*2-1,4),"")</f>
        <v/>
      </c>
      <c r="M208" s="14" t="str">
        <f ca="1">IF(F208&gt;0,ADDRESS(3,(B208+1)*2,4,,"["&amp;wew!$G$7&amp;"]"&amp;_sheetname_labels)&amp;":"&amp;ADDRESS(2+F208,(B208+1)*2,4),"")</f>
        <v/>
      </c>
      <c r="N208" s="14" t="str">
        <f ca="1">ADDRESS(3,B208+1,4,,"[" &amp; wew!$G$7 &amp; "]" &amp;_sheetname_dataframe) &amp; ":" &amp; ADDRESS(2+ster!$C$14,B208+1,4)</f>
        <v>'[dane surowe2c.xlsm]data_frame'!GY3:GY35</v>
      </c>
      <c r="O208" s="14">
        <f t="shared" ca="1" si="53"/>
        <v>3</v>
      </c>
      <c r="P208" s="14">
        <f ca="1">IF(AND($AD208,$S208=1),IF(wew!$B$3,MIN(INDIRECT($N208)),"&lt;włącz podświetlanie wartości&gt;"),"—")</f>
        <v>2</v>
      </c>
      <c r="Q208" s="14">
        <f ca="1">IF(AND($AD208,$S208=1),IF(wew!$B$3,MAX(INDIRECT($N208)),"&lt;włącz podświetlanie wartości&gt;"),"—")</f>
        <v>4</v>
      </c>
      <c r="R208" s="14">
        <f ca="1">IF(AD208,ster!$C$14- (COUNTIF( INDIRECT(N208),"" )+ COUNT(INDIRECT(N208)) +COUNTIF( INDIRECT(N208),"NA" )),"")</f>
        <v>0</v>
      </c>
      <c r="S208" s="12">
        <f ca="1">IF(AD208,IF(COUNTA(INDIRECT(N208))=0,0, 1-(ster!$C$14- COUNT(INDIRECT(N208)) -COUNTIF( INDIRECT(N208),"" )) /COUNTA(INDIRECT(N208))),"")</f>
        <v>1</v>
      </c>
      <c r="T208" s="17" t="str">
        <f t="array" aca="1" ref="T208" ca="1">IF(L208&lt;&gt;"",SUM(IF(INDIRECT(L208)&lt;&gt;INT(INDIRECT(L208)),1,0)),"")</f>
        <v/>
      </c>
      <c r="U208" s="17">
        <f t="array" aca="1" ref="U208" ca="1">IF(S208=1,SUM(IF(ISNUMBER(INDIRECT(N208)),IF(INDIRECT(N208)&lt;&gt;INT(INDIRECT(N208)),1,0),0)),"")</f>
        <v>0</v>
      </c>
      <c r="V208" s="17">
        <f t="shared" ca="1" si="54"/>
        <v>1</v>
      </c>
      <c r="W208" s="17">
        <f t="shared" ca="1" si="55"/>
        <v>0</v>
      </c>
      <c r="X208" s="24" t="str">
        <f t="array" aca="1" ref="X208" ca="1">IF(AD208,IF(AG208&lt;&gt;"",AG208,IF(J208,MIN(INDIRECT( K208)),"")),"")</f>
        <v/>
      </c>
      <c r="Y208" s="17" t="str">
        <f t="array" aca="1" ref="Y208" ca="1">IF(AD208,IF(AH208&lt;&gt;"",AH208,IF(J208,MAX(INDIRECT( K208)),"")),"")</f>
        <v/>
      </c>
      <c r="Z208" s="17" t="b">
        <f t="shared" ca="1" si="56"/>
        <v>0</v>
      </c>
      <c r="AC208" s="17" t="b">
        <f t="shared" ca="1" si="57"/>
        <v>0</v>
      </c>
      <c r="AD208" s="14" t="b">
        <f t="shared" ca="1" si="58"/>
        <v>1</v>
      </c>
      <c r="AE208" s="15" t="b">
        <f t="shared" ca="1" si="59"/>
        <v>0</v>
      </c>
      <c r="AF208" s="16"/>
      <c r="AG208" s="16"/>
      <c r="AH208" s="16"/>
      <c r="AI208" s="16"/>
      <c r="AJ208" s="16"/>
      <c r="AK208" s="16"/>
      <c r="AL208" s="16"/>
      <c r="AM208" s="16"/>
    </row>
    <row r="209" spans="2:39">
      <c r="B209" s="14">
        <f t="shared" si="48"/>
        <v>207</v>
      </c>
      <c r="C209" s="14" t="str">
        <f t="shared" ca="1" si="49"/>
        <v>D</v>
      </c>
      <c r="D209" s="14" t="str">
        <f t="shared" ca="1" si="50"/>
        <v>q_50s.1</v>
      </c>
      <c r="E209" s="14" t="str">
        <f t="shared" ca="1" si="47"/>
        <v>Moderate Tennis activity</v>
      </c>
      <c r="F209" s="14">
        <f t="shared" ca="1" si="46"/>
        <v>2</v>
      </c>
      <c r="G209" s="14" t="str">
        <f t="shared" ca="1" si="51"/>
        <v>q_50s.1</v>
      </c>
      <c r="H209" s="14">
        <f ca="1">IF(G209&lt;&gt;"",IFERROR( IsVariableNameLegal(G209),0),0)+IF(COUNTIF(INDIRECT(wew!$C$13),G209)&gt;1,10,0)</f>
        <v>0</v>
      </c>
      <c r="I209" s="14">
        <f ca="1">IF(E209&lt;&gt;"",IF(LEN(E209)&gt;150,1,0)+IF(COUNTIF(INDIRECT(wew!$C$15),E209)&gt;1,10,0),0)</f>
        <v>0</v>
      </c>
      <c r="J209" s="14" t="b">
        <f t="shared" ca="1" si="52"/>
        <v>1</v>
      </c>
      <c r="K209" s="14" t="str">
        <f ca="1">ADDRESS(3,(B209+1)*2-1,4,,"[" &amp; wew!$G$7 &amp; "]" &amp; _sheetname_labels) &amp; ":" &amp; ADDRESS(2+ster!$B$20,(B209+1)*2-1,4)</f>
        <v>'[dane surowe2c.xlsm]labels'!OY3:OY36</v>
      </c>
      <c r="L209" s="14" t="str">
        <f ca="1">IF(F209&gt;0,ADDRESS(3,(B209+1)*2-1,4,,"[" &amp; wew!$G$7 &amp; "]" &amp; _sheetname_labels) &amp; ":" &amp; ADDRESS(2+F209,(B209+1)*2-1,4),"")</f>
        <v>'[dane surowe2c.xlsm]labels'!OY3:OY4</v>
      </c>
      <c r="M209" s="14" t="str">
        <f ca="1">IF(F209&gt;0,ADDRESS(3,(B209+1)*2,4,,"["&amp;wew!$G$7&amp;"]"&amp;_sheetname_labels)&amp;":"&amp;ADDRESS(2+F209,(B209+1)*2,4),"")</f>
        <v>'[dane surowe2c.xlsm]labels'!OZ3:OZ4</v>
      </c>
      <c r="N209" s="14" t="str">
        <f ca="1">ADDRESS(3,B209+1,4,,"[" &amp; wew!$G$7 &amp; "]" &amp;_sheetname_dataframe) &amp; ":" &amp; ADDRESS(2+ster!$C$14,B209+1,4)</f>
        <v>'[dane surowe2c.xlsm]data_frame'!GZ3:GZ35</v>
      </c>
      <c r="O209" s="14">
        <f t="shared" ca="1" si="53"/>
        <v>32</v>
      </c>
      <c r="P209" s="14">
        <f ca="1">IF(AND($AD209,$S209=1),IF(wew!$B$3,MIN(INDIRECT($N209)),"&lt;włącz podświetlanie wartości&gt;"),"—")</f>
        <v>1</v>
      </c>
      <c r="Q209" s="14">
        <f ca="1">IF(AND($AD209,$S209=1),IF(wew!$B$3,MAX(INDIRECT($N209)),"&lt;włącz podświetlanie wartości&gt;"),"—")</f>
        <v>2</v>
      </c>
      <c r="R209" s="14">
        <f ca="1">IF(AD209,ster!$C$14- (COUNTIF( INDIRECT(N209),"" )+ COUNT(INDIRECT(N209)) +COUNTIF( INDIRECT(N209),"NA" )),"")</f>
        <v>0</v>
      </c>
      <c r="S209" s="12">
        <f ca="1">IF(AD209,IF(COUNTA(INDIRECT(N209))=0,0, 1-(ster!$C$14- COUNT(INDIRECT(N209)) -COUNTIF( INDIRECT(N209),"" )) /COUNTA(INDIRECT(N209))),"")</f>
        <v>1</v>
      </c>
      <c r="T209" s="17">
        <f t="array" aca="1" ref="T209" ca="1">IF(L209&lt;&gt;"",SUM(IF(INDIRECT(L209)&lt;&gt;INT(INDIRECT(L209)),1,0)),"")</f>
        <v>0</v>
      </c>
      <c r="U209" s="17">
        <f t="array" aca="1" ref="U209" ca="1">IF(S209=1,SUM(IF(ISNUMBER(INDIRECT(N209)),IF(INDIRECT(N209)&lt;&gt;INT(INDIRECT(N209)),1,0),0)),"")</f>
        <v>0</v>
      </c>
      <c r="V209" s="17">
        <f t="shared" ca="1" si="54"/>
        <v>1</v>
      </c>
      <c r="W209" s="17">
        <f t="shared" ca="1" si="55"/>
        <v>0</v>
      </c>
      <c r="X209" s="24">
        <f t="array" aca="1" ref="X209" ca="1">IF(AD209,IF(AG209&lt;&gt;"",AG209,IF(J209,MIN(INDIRECT( K209)),"")),"")</f>
        <v>1</v>
      </c>
      <c r="Y209" s="17">
        <f t="array" aca="1" ref="Y209" ca="1">IF(AD209,IF(AH209&lt;&gt;"",AH209,IF(J209,MAX(INDIRECT( K209)),"")),"")</f>
        <v>2</v>
      </c>
      <c r="Z209" s="17" t="b">
        <f t="shared" ca="1" si="56"/>
        <v>1</v>
      </c>
      <c r="AC209" s="17" t="b">
        <f t="shared" ca="1" si="57"/>
        <v>0</v>
      </c>
      <c r="AD209" s="14" t="b">
        <f t="shared" ca="1" si="58"/>
        <v>1</v>
      </c>
      <c r="AE209" s="15" t="b">
        <f t="shared" ca="1" si="59"/>
        <v>1</v>
      </c>
      <c r="AF209" s="16"/>
      <c r="AG209" s="16"/>
      <c r="AH209" s="16"/>
      <c r="AI209" s="16"/>
      <c r="AJ209" s="16"/>
      <c r="AK209" s="16"/>
      <c r="AL209" s="16"/>
      <c r="AM209" s="16"/>
    </row>
    <row r="210" spans="2:39">
      <c r="B210" s="14">
        <f t="shared" si="48"/>
        <v>208</v>
      </c>
      <c r="C210" s="14" t="str">
        <f t="shared" ca="1" si="49"/>
        <v>I</v>
      </c>
      <c r="D210" s="14" t="str">
        <f t="shared" ca="1" si="50"/>
        <v>q_50s.2</v>
      </c>
      <c r="E210" s="14" t="str">
        <f t="shared" ca="1" si="47"/>
        <v>How long Tennis activity</v>
      </c>
      <c r="F210" s="14">
        <f t="shared" ca="1" si="46"/>
        <v>0</v>
      </c>
      <c r="G210" s="14" t="str">
        <f t="shared" ca="1" si="51"/>
        <v>q_50s.2</v>
      </c>
      <c r="H210" s="14">
        <f ca="1">IF(G210&lt;&gt;"",IFERROR( IsVariableNameLegal(G210),0),0)+IF(COUNTIF(INDIRECT(wew!$C$13),G210)&gt;1,10,0)</f>
        <v>0</v>
      </c>
      <c r="I210" s="14">
        <f ca="1">IF(E210&lt;&gt;"",IF(LEN(E210)&gt;150,1,0)+IF(COUNTIF(INDIRECT(wew!$C$15),E210)&gt;1,10,0),0)</f>
        <v>10</v>
      </c>
      <c r="J210" s="14" t="b">
        <f t="shared" ca="1" si="52"/>
        <v>0</v>
      </c>
      <c r="K210" s="14" t="str">
        <f ca="1">ADDRESS(3,(B210+1)*2-1,4,,"[" &amp; wew!$G$7 &amp; "]" &amp; _sheetname_labels) &amp; ":" &amp; ADDRESS(2+ster!$B$20,(B210+1)*2-1,4)</f>
        <v>'[dane surowe2c.xlsm]labels'!PA3:PA36</v>
      </c>
      <c r="L210" s="14" t="str">
        <f ca="1">IF(F210&gt;0,ADDRESS(3,(B210+1)*2-1,4,,"[" &amp; wew!$G$7 &amp; "]" &amp; _sheetname_labels) &amp; ":" &amp; ADDRESS(2+F210,(B210+1)*2-1,4),"")</f>
        <v/>
      </c>
      <c r="M210" s="14" t="str">
        <f ca="1">IF(F210&gt;0,ADDRESS(3,(B210+1)*2,4,,"["&amp;wew!$G$7&amp;"]"&amp;_sheetname_labels)&amp;":"&amp;ADDRESS(2+F210,(B210+1)*2,4),"")</f>
        <v/>
      </c>
      <c r="N210" s="14" t="str">
        <f ca="1">ADDRESS(3,B210+1,4,,"[" &amp; wew!$G$7 &amp; "]" &amp;_sheetname_dataframe) &amp; ":" &amp; ADDRESS(2+ster!$C$14,B210+1,4)</f>
        <v>'[dane surowe2c.xlsm]data_frame'!HA3:HA35</v>
      </c>
      <c r="O210" s="14">
        <f t="shared" ca="1" si="53"/>
        <v>1</v>
      </c>
      <c r="P210" s="14">
        <f ca="1">IF(AND($AD210,$S210=1),IF(wew!$B$3,MIN(INDIRECT($N210)),"&lt;włącz podświetlanie wartości&gt;"),"—")</f>
        <v>2</v>
      </c>
      <c r="Q210" s="14">
        <f ca="1">IF(AND($AD210,$S210=1),IF(wew!$B$3,MAX(INDIRECT($N210)),"&lt;włącz podświetlanie wartości&gt;"),"—")</f>
        <v>2</v>
      </c>
      <c r="R210" s="14">
        <f ca="1">IF(AD210,ster!$C$14- (COUNTIF( INDIRECT(N210),"" )+ COUNT(INDIRECT(N210)) +COUNTIF( INDIRECT(N210),"NA" )),"")</f>
        <v>0</v>
      </c>
      <c r="S210" s="12">
        <f ca="1">IF(AD210,IF(COUNTA(INDIRECT(N210))=0,0, 1-(ster!$C$14- COUNT(INDIRECT(N210)) -COUNTIF( INDIRECT(N210),"" )) /COUNTA(INDIRECT(N210))),"")</f>
        <v>1</v>
      </c>
      <c r="T210" s="17" t="str">
        <f t="array" aca="1" ref="T210" ca="1">IF(L210&lt;&gt;"",SUM(IF(INDIRECT(L210)&lt;&gt;INT(INDIRECT(L210)),1,0)),"")</f>
        <v/>
      </c>
      <c r="U210" s="17">
        <f t="array" aca="1" ref="U210" ca="1">IF(S210=1,SUM(IF(ISNUMBER(INDIRECT(N210)),IF(INDIRECT(N210)&lt;&gt;INT(INDIRECT(N210)),1,0),0)),"")</f>
        <v>0</v>
      </c>
      <c r="V210" s="17">
        <f t="shared" ca="1" si="54"/>
        <v>1</v>
      </c>
      <c r="W210" s="17">
        <f t="shared" ca="1" si="55"/>
        <v>0</v>
      </c>
      <c r="X210" s="24" t="str">
        <f t="array" aca="1" ref="X210" ca="1">IF(AD210,IF(AG210&lt;&gt;"",AG210,IF(J210,MIN(INDIRECT( K210)),"")),"")</f>
        <v/>
      </c>
      <c r="Y210" s="17" t="str">
        <f t="array" aca="1" ref="Y210" ca="1">IF(AD210,IF(AH210&lt;&gt;"",AH210,IF(J210,MAX(INDIRECT( K210)),"")),"")</f>
        <v/>
      </c>
      <c r="Z210" s="17" t="b">
        <f t="shared" ca="1" si="56"/>
        <v>0</v>
      </c>
      <c r="AC210" s="17" t="b">
        <f t="shared" ca="1" si="57"/>
        <v>0</v>
      </c>
      <c r="AD210" s="14" t="b">
        <f t="shared" ca="1" si="58"/>
        <v>1</v>
      </c>
      <c r="AE210" s="15" t="b">
        <f t="shared" ca="1" si="59"/>
        <v>0</v>
      </c>
      <c r="AF210" s="16"/>
      <c r="AG210" s="16"/>
      <c r="AH210" s="16"/>
      <c r="AI210" s="16"/>
      <c r="AJ210" s="16"/>
      <c r="AK210" s="16"/>
      <c r="AL210" s="16"/>
      <c r="AM210" s="16"/>
    </row>
    <row r="211" spans="2:39">
      <c r="B211" s="14">
        <f t="shared" si="48"/>
        <v>209</v>
      </c>
      <c r="C211" s="14" t="str">
        <f t="shared" ca="1" si="49"/>
        <v>D</v>
      </c>
      <c r="D211" s="14" t="str">
        <f t="shared" ca="1" si="50"/>
        <v>q_50t.1</v>
      </c>
      <c r="E211" s="14" t="str">
        <f t="shared" ca="1" si="47"/>
        <v>Moderate Volleyball activity</v>
      </c>
      <c r="F211" s="14">
        <f t="shared" ca="1" si="46"/>
        <v>2</v>
      </c>
      <c r="G211" s="14" t="str">
        <f t="shared" ca="1" si="51"/>
        <v>q_50t.1</v>
      </c>
      <c r="H211" s="14">
        <f ca="1">IF(G211&lt;&gt;"",IFERROR( IsVariableNameLegal(G211),0),0)+IF(COUNTIF(INDIRECT(wew!$C$13),G211)&gt;1,10,0)</f>
        <v>0</v>
      </c>
      <c r="I211" s="14">
        <f ca="1">IF(E211&lt;&gt;"",IF(LEN(E211)&gt;150,1,0)+IF(COUNTIF(INDIRECT(wew!$C$15),E211)&gt;1,10,0),0)</f>
        <v>0</v>
      </c>
      <c r="J211" s="14" t="b">
        <f t="shared" ca="1" si="52"/>
        <v>1</v>
      </c>
      <c r="K211" s="14" t="str">
        <f ca="1">ADDRESS(3,(B211+1)*2-1,4,,"[" &amp; wew!$G$7 &amp; "]" &amp; _sheetname_labels) &amp; ":" &amp; ADDRESS(2+ster!$B$20,(B211+1)*2-1,4)</f>
        <v>'[dane surowe2c.xlsm]labels'!PC3:PC36</v>
      </c>
      <c r="L211" s="14" t="str">
        <f ca="1">IF(F211&gt;0,ADDRESS(3,(B211+1)*2-1,4,,"[" &amp; wew!$G$7 &amp; "]" &amp; _sheetname_labels) &amp; ":" &amp; ADDRESS(2+F211,(B211+1)*2-1,4),"")</f>
        <v>'[dane surowe2c.xlsm]labels'!PC3:PC4</v>
      </c>
      <c r="M211" s="14" t="str">
        <f ca="1">IF(F211&gt;0,ADDRESS(3,(B211+1)*2,4,,"["&amp;wew!$G$7&amp;"]"&amp;_sheetname_labels)&amp;":"&amp;ADDRESS(2+F211,(B211+1)*2,4),"")</f>
        <v>'[dane surowe2c.xlsm]labels'!PD3:PD4</v>
      </c>
      <c r="N211" s="14" t="str">
        <f ca="1">ADDRESS(3,B211+1,4,,"[" &amp; wew!$G$7 &amp; "]" &amp;_sheetname_dataframe) &amp; ":" &amp; ADDRESS(2+ster!$C$14,B211+1,4)</f>
        <v>'[dane surowe2c.xlsm]data_frame'!HB3:HB35</v>
      </c>
      <c r="O211" s="14">
        <f t="shared" ca="1" si="53"/>
        <v>32</v>
      </c>
      <c r="P211" s="14">
        <f ca="1">IF(AND($AD211,$S211=1),IF(wew!$B$3,MIN(INDIRECT($N211)),"&lt;włącz podświetlanie wartości&gt;"),"—")</f>
        <v>1</v>
      </c>
      <c r="Q211" s="14">
        <f ca="1">IF(AND($AD211,$S211=1),IF(wew!$B$3,MAX(INDIRECT($N211)),"&lt;włącz podświetlanie wartości&gt;"),"—")</f>
        <v>2</v>
      </c>
      <c r="R211" s="14">
        <f ca="1">IF(AD211,ster!$C$14- (COUNTIF( INDIRECT(N211),"" )+ COUNT(INDIRECT(N211)) +COUNTIF( INDIRECT(N211),"NA" )),"")</f>
        <v>0</v>
      </c>
      <c r="S211" s="12">
        <f ca="1">IF(AD211,IF(COUNTA(INDIRECT(N211))=0,0, 1-(ster!$C$14- COUNT(INDIRECT(N211)) -COUNTIF( INDIRECT(N211),"" )) /COUNTA(INDIRECT(N211))),"")</f>
        <v>1</v>
      </c>
      <c r="T211" s="17">
        <f t="array" aca="1" ref="T211" ca="1">IF(L211&lt;&gt;"",SUM(IF(INDIRECT(L211)&lt;&gt;INT(INDIRECT(L211)),1,0)),"")</f>
        <v>0</v>
      </c>
      <c r="U211" s="17">
        <f t="array" aca="1" ref="U211" ca="1">IF(S211=1,SUM(IF(ISNUMBER(INDIRECT(N211)),IF(INDIRECT(N211)&lt;&gt;INT(INDIRECT(N211)),1,0),0)),"")</f>
        <v>0</v>
      </c>
      <c r="V211" s="17">
        <f t="shared" ca="1" si="54"/>
        <v>1</v>
      </c>
      <c r="W211" s="17">
        <f t="shared" ca="1" si="55"/>
        <v>0</v>
      </c>
      <c r="X211" s="24">
        <f t="array" aca="1" ref="X211" ca="1">IF(AD211,IF(AG211&lt;&gt;"",AG211,IF(J211,MIN(INDIRECT( K211)),"")),"")</f>
        <v>1</v>
      </c>
      <c r="Y211" s="17">
        <f t="array" aca="1" ref="Y211" ca="1">IF(AD211,IF(AH211&lt;&gt;"",AH211,IF(J211,MAX(INDIRECT( K211)),"")),"")</f>
        <v>2</v>
      </c>
      <c r="Z211" s="17" t="b">
        <f t="shared" ca="1" si="56"/>
        <v>1</v>
      </c>
      <c r="AC211" s="17" t="b">
        <f t="shared" ca="1" si="57"/>
        <v>0</v>
      </c>
      <c r="AD211" s="14" t="b">
        <f t="shared" ca="1" si="58"/>
        <v>1</v>
      </c>
      <c r="AE211" s="15" t="b">
        <f t="shared" ca="1" si="59"/>
        <v>1</v>
      </c>
      <c r="AF211" s="16"/>
      <c r="AG211" s="16"/>
      <c r="AH211" s="16"/>
      <c r="AI211" s="16"/>
      <c r="AJ211" s="16"/>
      <c r="AK211" s="16"/>
      <c r="AL211" s="16"/>
      <c r="AM211" s="16"/>
    </row>
    <row r="212" spans="2:39">
      <c r="B212" s="14">
        <f t="shared" si="48"/>
        <v>210</v>
      </c>
      <c r="C212" s="14" t="str">
        <f t="shared" ca="1" si="49"/>
        <v>I</v>
      </c>
      <c r="D212" s="14" t="str">
        <f t="shared" ca="1" si="50"/>
        <v>q_50t.2</v>
      </c>
      <c r="E212" s="14" t="str">
        <f t="shared" ca="1" si="47"/>
        <v>How long Volleyball activity</v>
      </c>
      <c r="F212" s="14">
        <f t="shared" ca="1" si="46"/>
        <v>0</v>
      </c>
      <c r="G212" s="14" t="str">
        <f t="shared" ca="1" si="51"/>
        <v>q_50t.2</v>
      </c>
      <c r="H212" s="14">
        <f ca="1">IF(G212&lt;&gt;"",IFERROR( IsVariableNameLegal(G212),0),0)+IF(COUNTIF(INDIRECT(wew!$C$13),G212)&gt;1,10,0)</f>
        <v>0</v>
      </c>
      <c r="I212" s="14">
        <f ca="1">IF(E212&lt;&gt;"",IF(LEN(E212)&gt;150,1,0)+IF(COUNTIF(INDIRECT(wew!$C$15),E212)&gt;1,10,0),0)</f>
        <v>10</v>
      </c>
      <c r="J212" s="14" t="b">
        <f t="shared" ca="1" si="52"/>
        <v>0</v>
      </c>
      <c r="K212" s="14" t="str">
        <f ca="1">ADDRESS(3,(B212+1)*2-1,4,,"[" &amp; wew!$G$7 &amp; "]" &amp; _sheetname_labels) &amp; ":" &amp; ADDRESS(2+ster!$B$20,(B212+1)*2-1,4)</f>
        <v>'[dane surowe2c.xlsm]labels'!PE3:PE36</v>
      </c>
      <c r="L212" s="14" t="str">
        <f ca="1">IF(F212&gt;0,ADDRESS(3,(B212+1)*2-1,4,,"[" &amp; wew!$G$7 &amp; "]" &amp; _sheetname_labels) &amp; ":" &amp; ADDRESS(2+F212,(B212+1)*2-1,4),"")</f>
        <v/>
      </c>
      <c r="M212" s="14" t="str">
        <f ca="1">IF(F212&gt;0,ADDRESS(3,(B212+1)*2,4,,"["&amp;wew!$G$7&amp;"]"&amp;_sheetname_labels)&amp;":"&amp;ADDRESS(2+F212,(B212+1)*2,4),"")</f>
        <v/>
      </c>
      <c r="N212" s="14" t="str">
        <f ca="1">ADDRESS(3,B212+1,4,,"[" &amp; wew!$G$7 &amp; "]" &amp;_sheetname_dataframe) &amp; ":" &amp; ADDRESS(2+ster!$C$14,B212+1,4)</f>
        <v>'[dane surowe2c.xlsm]data_frame'!HC3:HC35</v>
      </c>
      <c r="O212" s="14">
        <f t="shared" ca="1" si="53"/>
        <v>1</v>
      </c>
      <c r="P212" s="14">
        <f ca="1">IF(AND($AD212,$S212=1),IF(wew!$B$3,MIN(INDIRECT($N212)),"&lt;włącz podświetlanie wartości&gt;"),"—")</f>
        <v>5</v>
      </c>
      <c r="Q212" s="14">
        <f ca="1">IF(AND($AD212,$S212=1),IF(wew!$B$3,MAX(INDIRECT($N212)),"&lt;włącz podświetlanie wartości&gt;"),"—")</f>
        <v>5</v>
      </c>
      <c r="R212" s="14">
        <f ca="1">IF(AD212,ster!$C$14- (COUNTIF( INDIRECT(N212),"" )+ COUNT(INDIRECT(N212)) +COUNTIF( INDIRECT(N212),"NA" )),"")</f>
        <v>0</v>
      </c>
      <c r="S212" s="12">
        <f ca="1">IF(AD212,IF(COUNTA(INDIRECT(N212))=0,0, 1-(ster!$C$14- COUNT(INDIRECT(N212)) -COUNTIF( INDIRECT(N212),"" )) /COUNTA(INDIRECT(N212))),"")</f>
        <v>1</v>
      </c>
      <c r="T212" s="17" t="str">
        <f t="array" aca="1" ref="T212" ca="1">IF(L212&lt;&gt;"",SUM(IF(INDIRECT(L212)&lt;&gt;INT(INDIRECT(L212)),1,0)),"")</f>
        <v/>
      </c>
      <c r="U212" s="17">
        <f t="array" aca="1" ref="U212" ca="1">IF(S212=1,SUM(IF(ISNUMBER(INDIRECT(N212)),IF(INDIRECT(N212)&lt;&gt;INT(INDIRECT(N212)),1,0),0)),"")</f>
        <v>0</v>
      </c>
      <c r="V212" s="17">
        <f t="shared" ca="1" si="54"/>
        <v>1</v>
      </c>
      <c r="W212" s="17">
        <f t="shared" ca="1" si="55"/>
        <v>0</v>
      </c>
      <c r="X212" s="24" t="str">
        <f t="array" aca="1" ref="X212" ca="1">IF(AD212,IF(AG212&lt;&gt;"",AG212,IF(J212,MIN(INDIRECT( K212)),"")),"")</f>
        <v/>
      </c>
      <c r="Y212" s="17" t="str">
        <f t="array" aca="1" ref="Y212" ca="1">IF(AD212,IF(AH212&lt;&gt;"",AH212,IF(J212,MAX(INDIRECT( K212)),"")),"")</f>
        <v/>
      </c>
      <c r="Z212" s="17" t="b">
        <f t="shared" ca="1" si="56"/>
        <v>0</v>
      </c>
      <c r="AC212" s="17" t="b">
        <f t="shared" ca="1" si="57"/>
        <v>0</v>
      </c>
      <c r="AD212" s="14" t="b">
        <f t="shared" ca="1" si="58"/>
        <v>1</v>
      </c>
      <c r="AE212" s="15" t="b">
        <f t="shared" ca="1" si="59"/>
        <v>0</v>
      </c>
      <c r="AF212" s="16"/>
      <c r="AG212" s="16"/>
      <c r="AH212" s="16"/>
      <c r="AI212" s="16"/>
      <c r="AJ212" s="16"/>
      <c r="AK212" s="16"/>
      <c r="AL212" s="16"/>
      <c r="AM212" s="16"/>
    </row>
    <row r="213" spans="2:39">
      <c r="B213" s="14">
        <f t="shared" si="48"/>
        <v>211</v>
      </c>
      <c r="C213" s="14" t="str">
        <f t="shared" ca="1" si="49"/>
        <v>D</v>
      </c>
      <c r="D213" s="14" t="str">
        <f t="shared" ca="1" si="50"/>
        <v>q_50u.1</v>
      </c>
      <c r="E213" s="14" t="str">
        <f t="shared" ca="1" si="47"/>
        <v>Moderate Weightlifting activity</v>
      </c>
      <c r="F213" s="14">
        <f t="shared" ca="1" si="46"/>
        <v>2</v>
      </c>
      <c r="G213" s="14" t="str">
        <f t="shared" ca="1" si="51"/>
        <v>q_50u.1</v>
      </c>
      <c r="H213" s="14">
        <f ca="1">IF(G213&lt;&gt;"",IFERROR( IsVariableNameLegal(G213),0),0)+IF(COUNTIF(INDIRECT(wew!$C$13),G213)&gt;1,10,0)</f>
        <v>0</v>
      </c>
      <c r="I213" s="14">
        <f ca="1">IF(E213&lt;&gt;"",IF(LEN(E213)&gt;150,1,0)+IF(COUNTIF(INDIRECT(wew!$C$15),E213)&gt;1,10,0),0)</f>
        <v>0</v>
      </c>
      <c r="J213" s="14" t="b">
        <f t="shared" ca="1" si="52"/>
        <v>1</v>
      </c>
      <c r="K213" s="14" t="str">
        <f ca="1">ADDRESS(3,(B213+1)*2-1,4,,"[" &amp; wew!$G$7 &amp; "]" &amp; _sheetname_labels) &amp; ":" &amp; ADDRESS(2+ster!$B$20,(B213+1)*2-1,4)</f>
        <v>'[dane surowe2c.xlsm]labels'!PG3:PG36</v>
      </c>
      <c r="L213" s="14" t="str">
        <f ca="1">IF(F213&gt;0,ADDRESS(3,(B213+1)*2-1,4,,"[" &amp; wew!$G$7 &amp; "]" &amp; _sheetname_labels) &amp; ":" &amp; ADDRESS(2+F213,(B213+1)*2-1,4),"")</f>
        <v>'[dane surowe2c.xlsm]labels'!PG3:PG4</v>
      </c>
      <c r="M213" s="14" t="str">
        <f ca="1">IF(F213&gt;0,ADDRESS(3,(B213+1)*2,4,,"["&amp;wew!$G$7&amp;"]"&amp;_sheetname_labels)&amp;":"&amp;ADDRESS(2+F213,(B213+1)*2,4),"")</f>
        <v>'[dane surowe2c.xlsm]labels'!PH3:PH4</v>
      </c>
      <c r="N213" s="14" t="str">
        <f ca="1">ADDRESS(3,B213+1,4,,"[" &amp; wew!$G$7 &amp; "]" &amp;_sheetname_dataframe) &amp; ":" &amp; ADDRESS(2+ster!$C$14,B213+1,4)</f>
        <v>'[dane surowe2c.xlsm]data_frame'!HD3:HD35</v>
      </c>
      <c r="O213" s="14">
        <f t="shared" ca="1" si="53"/>
        <v>32</v>
      </c>
      <c r="P213" s="14">
        <f ca="1">IF(AND($AD213,$S213=1),IF(wew!$B$3,MIN(INDIRECT($N213)),"&lt;włącz podświetlanie wartości&gt;"),"—")</f>
        <v>2</v>
      </c>
      <c r="Q213" s="14">
        <f ca="1">IF(AND($AD213,$S213=1),IF(wew!$B$3,MAX(INDIRECT($N213)),"&lt;włącz podświetlanie wartości&gt;"),"—")</f>
        <v>2</v>
      </c>
      <c r="R213" s="14">
        <f ca="1">IF(AD213,ster!$C$14- (COUNTIF( INDIRECT(N213),"" )+ COUNT(INDIRECT(N213)) +COUNTIF( INDIRECT(N213),"NA" )),"")</f>
        <v>0</v>
      </c>
      <c r="S213" s="12">
        <f ca="1">IF(AD213,IF(COUNTA(INDIRECT(N213))=0,0, 1-(ster!$C$14- COUNT(INDIRECT(N213)) -COUNTIF( INDIRECT(N213),"" )) /COUNTA(INDIRECT(N213))),"")</f>
        <v>1</v>
      </c>
      <c r="T213" s="17">
        <f t="array" aca="1" ref="T213" ca="1">IF(L213&lt;&gt;"",SUM(IF(INDIRECT(L213)&lt;&gt;INT(INDIRECT(L213)),1,0)),"")</f>
        <v>0</v>
      </c>
      <c r="U213" s="17">
        <f t="array" aca="1" ref="U213" ca="1">IF(S213=1,SUM(IF(ISNUMBER(INDIRECT(N213)),IF(INDIRECT(N213)&lt;&gt;INT(INDIRECT(N213)),1,0),0)),"")</f>
        <v>0</v>
      </c>
      <c r="V213" s="17">
        <f t="shared" ca="1" si="54"/>
        <v>1</v>
      </c>
      <c r="W213" s="17">
        <f t="shared" ca="1" si="55"/>
        <v>0</v>
      </c>
      <c r="X213" s="24">
        <f t="array" aca="1" ref="X213" ca="1">IF(AD213,IF(AG213&lt;&gt;"",AG213,IF(J213,MIN(INDIRECT( K213)),"")),"")</f>
        <v>1</v>
      </c>
      <c r="Y213" s="17">
        <f t="array" aca="1" ref="Y213" ca="1">IF(AD213,IF(AH213&lt;&gt;"",AH213,IF(J213,MAX(INDIRECT( K213)),"")),"")</f>
        <v>2</v>
      </c>
      <c r="Z213" s="17" t="b">
        <f t="shared" ca="1" si="56"/>
        <v>1</v>
      </c>
      <c r="AC213" s="17" t="b">
        <f t="shared" ca="1" si="57"/>
        <v>0</v>
      </c>
      <c r="AD213" s="14" t="b">
        <f t="shared" ca="1" si="58"/>
        <v>1</v>
      </c>
      <c r="AE213" s="15" t="b">
        <f t="shared" ca="1" si="59"/>
        <v>1</v>
      </c>
      <c r="AF213" s="16"/>
      <c r="AG213" s="16"/>
      <c r="AH213" s="16"/>
      <c r="AI213" s="16"/>
      <c r="AJ213" s="16"/>
      <c r="AK213" s="16"/>
      <c r="AL213" s="16"/>
      <c r="AM213" s="16"/>
    </row>
    <row r="214" spans="2:39">
      <c r="B214" s="14">
        <f t="shared" si="48"/>
        <v>212</v>
      </c>
      <c r="C214" s="14" t="str">
        <f t="shared" ca="1" si="49"/>
        <v>I</v>
      </c>
      <c r="D214" s="14" t="str">
        <f t="shared" ca="1" si="50"/>
        <v>q_50u.2</v>
      </c>
      <c r="E214" s="14" t="str">
        <f t="shared" ca="1" si="47"/>
        <v>How long Weightlifting activity</v>
      </c>
      <c r="F214" s="14">
        <f t="shared" ca="1" si="46"/>
        <v>0</v>
      </c>
      <c r="G214" s="14" t="str">
        <f t="shared" ca="1" si="51"/>
        <v>q_50u.2</v>
      </c>
      <c r="H214" s="14">
        <f ca="1">IF(G214&lt;&gt;"",IFERROR( IsVariableNameLegal(G214),0),0)+IF(COUNTIF(INDIRECT(wew!$C$13),G214)&gt;1,10,0)</f>
        <v>0</v>
      </c>
      <c r="I214" s="14">
        <f ca="1">IF(E214&lt;&gt;"",IF(LEN(E214)&gt;150,1,0)+IF(COUNTIF(INDIRECT(wew!$C$15),E214)&gt;1,10,0),0)</f>
        <v>10</v>
      </c>
      <c r="J214" s="14" t="b">
        <f t="shared" ca="1" si="52"/>
        <v>0</v>
      </c>
      <c r="K214" s="14" t="str">
        <f ca="1">ADDRESS(3,(B214+1)*2-1,4,,"[" &amp; wew!$G$7 &amp; "]" &amp; _sheetname_labels) &amp; ":" &amp; ADDRESS(2+ster!$B$20,(B214+1)*2-1,4)</f>
        <v>'[dane surowe2c.xlsm]labels'!PI3:PI36</v>
      </c>
      <c r="L214" s="14" t="str">
        <f ca="1">IF(F214&gt;0,ADDRESS(3,(B214+1)*2-1,4,,"[" &amp; wew!$G$7 &amp; "]" &amp; _sheetname_labels) &amp; ":" &amp; ADDRESS(2+F214,(B214+1)*2-1,4),"")</f>
        <v/>
      </c>
      <c r="M214" s="14" t="str">
        <f ca="1">IF(F214&gt;0,ADDRESS(3,(B214+1)*2,4,,"["&amp;wew!$G$7&amp;"]"&amp;_sheetname_labels)&amp;":"&amp;ADDRESS(2+F214,(B214+1)*2,4),"")</f>
        <v/>
      </c>
      <c r="N214" s="14" t="str">
        <f ca="1">ADDRESS(3,B214+1,4,,"[" &amp; wew!$G$7 &amp; "]" &amp;_sheetname_dataframe) &amp; ":" &amp; ADDRESS(2+ster!$C$14,B214+1,4)</f>
        <v>'[dane surowe2c.xlsm]data_frame'!HE3:HE35</v>
      </c>
      <c r="O214" s="14">
        <f t="shared" ca="1" si="53"/>
        <v>0</v>
      </c>
      <c r="P214" s="14" t="str">
        <f ca="1">IF(AND($AD214,$S214=1),IF(wew!$B$3,MIN(INDIRECT($N214)),"&lt;włącz podświetlanie wartości&gt;"),"—")</f>
        <v>—</v>
      </c>
      <c r="Q214" s="14" t="str">
        <f ca="1">IF(AND($AD214,$S214=1),IF(wew!$B$3,MAX(INDIRECT($N214)),"&lt;włącz podświetlanie wartości&gt;"),"—")</f>
        <v>—</v>
      </c>
      <c r="R214" s="14">
        <f ca="1">IF(AD214,ster!$C$14- (COUNTIF( INDIRECT(N214),"" )+ COUNT(INDIRECT(N214)) +COUNTIF( INDIRECT(N214),"NA" )),"")</f>
        <v>0</v>
      </c>
      <c r="S214" s="12">
        <f ca="1">IF(AD214,IF(COUNTA(INDIRECT(N214))=0,0, 1-(ster!$C$14- COUNT(INDIRECT(N214)) -COUNTIF( INDIRECT(N214),"" )) /COUNTA(INDIRECT(N214))),"")</f>
        <v>0</v>
      </c>
      <c r="T214" s="17" t="str">
        <f t="array" aca="1" ref="T214" ca="1">IF(L214&lt;&gt;"",SUM(IF(INDIRECT(L214)&lt;&gt;INT(INDIRECT(L214)),1,0)),"")</f>
        <v/>
      </c>
      <c r="U214" s="17" t="str">
        <f t="array" aca="1" ref="U214" ca="1">IF(S214=1,SUM(IF(ISNUMBER(INDIRECT(N214)),IF(INDIRECT(N214)&lt;&gt;INT(INDIRECT(N214)),1,0),0)),"")</f>
        <v/>
      </c>
      <c r="V214" s="17">
        <f t="shared" ca="1" si="54"/>
        <v>0</v>
      </c>
      <c r="W214" s="17">
        <f t="shared" ca="1" si="55"/>
        <v>0</v>
      </c>
      <c r="X214" s="24" t="str">
        <f t="array" aca="1" ref="X214" ca="1">IF(AD214,IF(AG214&lt;&gt;"",AG214,IF(J214,MIN(INDIRECT( K214)),"")),"")</f>
        <v/>
      </c>
      <c r="Y214" s="17" t="str">
        <f t="array" aca="1" ref="Y214" ca="1">IF(AD214,IF(AH214&lt;&gt;"",AH214,IF(J214,MAX(INDIRECT( K214)),"")),"")</f>
        <v/>
      </c>
      <c r="Z214" s="17" t="b">
        <f t="shared" ca="1" si="56"/>
        <v>0</v>
      </c>
      <c r="AC214" s="17" t="b">
        <f t="shared" ca="1" si="57"/>
        <v>0</v>
      </c>
      <c r="AD214" s="14" t="b">
        <f t="shared" ca="1" si="58"/>
        <v>1</v>
      </c>
      <c r="AE214" s="15" t="b">
        <f t="shared" ca="1" si="59"/>
        <v>0</v>
      </c>
      <c r="AF214" s="16"/>
      <c r="AG214" s="16"/>
      <c r="AH214" s="16"/>
      <c r="AI214" s="16"/>
      <c r="AJ214" s="16"/>
      <c r="AK214" s="16"/>
      <c r="AL214" s="16"/>
      <c r="AM214" s="16"/>
    </row>
    <row r="215" spans="2:39">
      <c r="B215" s="14">
        <f t="shared" si="48"/>
        <v>213</v>
      </c>
      <c r="C215" s="14" t="str">
        <f t="shared" ca="1" si="49"/>
        <v>S</v>
      </c>
      <c r="D215" s="14" t="str">
        <f t="shared" ca="1" si="50"/>
        <v>q_50v.1</v>
      </c>
      <c r="E215" s="14" t="str">
        <f t="shared" ca="1" si="47"/>
        <v>Other moderate activity</v>
      </c>
      <c r="F215" s="14">
        <f t="shared" ca="1" si="46"/>
        <v>0</v>
      </c>
      <c r="G215" s="14" t="str">
        <f t="shared" ca="1" si="51"/>
        <v>q_50v.1</v>
      </c>
      <c r="H215" s="14">
        <f ca="1">IF(G215&lt;&gt;"",IFERROR( IsVariableNameLegal(G215),0),0)+IF(COUNTIF(INDIRECT(wew!$C$13),G215)&gt;1,10,0)</f>
        <v>0</v>
      </c>
      <c r="I215" s="14">
        <f ca="1">IF(E215&lt;&gt;"",IF(LEN(E215)&gt;150,1,0)+IF(COUNTIF(INDIRECT(wew!$C$15),E215)&gt;1,10,0),0)</f>
        <v>0</v>
      </c>
      <c r="J215" s="14" t="b">
        <f t="shared" ca="1" si="52"/>
        <v>0</v>
      </c>
      <c r="K215" s="14" t="str">
        <f ca="1">ADDRESS(3,(B215+1)*2-1,4,,"[" &amp; wew!$G$7 &amp; "]" &amp; _sheetname_labels) &amp; ":" &amp; ADDRESS(2+ster!$B$20,(B215+1)*2-1,4)</f>
        <v>'[dane surowe2c.xlsm]labels'!PK3:PK36</v>
      </c>
      <c r="L215" s="14" t="str">
        <f ca="1">IF(F215&gt;0,ADDRESS(3,(B215+1)*2-1,4,,"[" &amp; wew!$G$7 &amp; "]" &amp; _sheetname_labels) &amp; ":" &amp; ADDRESS(2+F215,(B215+1)*2-1,4),"")</f>
        <v/>
      </c>
      <c r="M215" s="14" t="str">
        <f ca="1">IF(F215&gt;0,ADDRESS(3,(B215+1)*2,4,,"["&amp;wew!$G$7&amp;"]"&amp;_sheetname_labels)&amp;":"&amp;ADDRESS(2+F215,(B215+1)*2,4),"")</f>
        <v/>
      </c>
      <c r="N215" s="14" t="str">
        <f ca="1">ADDRESS(3,B215+1,4,,"[" &amp; wew!$G$7 &amp; "]" &amp;_sheetname_dataframe) &amp; ":" &amp; ADDRESS(2+ster!$C$14,B215+1,4)</f>
        <v>'[dane surowe2c.xlsm]data_frame'!HF3:HF35</v>
      </c>
      <c r="O215" s="14">
        <f t="shared" ca="1" si="53"/>
        <v>0</v>
      </c>
      <c r="P215" s="14" t="str">
        <f ca="1">IF(AND($AD215,$S215=1),IF(wew!$B$3,MIN(INDIRECT($N215)),"&lt;włącz podświetlanie wartości&gt;"),"—")</f>
        <v>—</v>
      </c>
      <c r="Q215" s="14" t="str">
        <f ca="1">IF(AND($AD215,$S215=1),IF(wew!$B$3,MAX(INDIRECT($N215)),"&lt;włącz podświetlanie wartości&gt;"),"—")</f>
        <v>—</v>
      </c>
      <c r="R215" s="14">
        <f ca="1">IF(AD215,ster!$C$14- (COUNTIF( INDIRECT(N215),"" )+ COUNT(INDIRECT(N215)) +COUNTIF( INDIRECT(N215),"NA" )),"")</f>
        <v>32</v>
      </c>
      <c r="S215" s="12">
        <f ca="1">IF(AD215,IF(COUNTA(INDIRECT(N215))=0,0, 1-(ster!$C$14- COUNT(INDIRECT(N215)) -COUNTIF( INDIRECT(N215),"" )) /COUNTA(INDIRECT(N215))),"")</f>
        <v>0</v>
      </c>
      <c r="T215" s="17" t="str">
        <f t="array" aca="1" ref="T215" ca="1">IF(L215&lt;&gt;"",SUM(IF(INDIRECT(L215)&lt;&gt;INT(INDIRECT(L215)),1,0)),"")</f>
        <v/>
      </c>
      <c r="U215" s="17" t="str">
        <f t="array" aca="1" ref="U215" ca="1">IF(S215=1,SUM(IF(ISNUMBER(INDIRECT(N215)),IF(INDIRECT(N215)&lt;&gt;INT(INDIRECT(N215)),1,0),0)),"")</f>
        <v/>
      </c>
      <c r="V215" s="17">
        <f t="shared" ca="1" si="54"/>
        <v>0</v>
      </c>
      <c r="W215" s="17">
        <f t="shared" ca="1" si="55"/>
        <v>0</v>
      </c>
      <c r="X215" s="24" t="str">
        <f t="array" aca="1" ref="X215" ca="1">IF(AD215,IF(AG215&lt;&gt;"",AG215,IF(J215,MIN(INDIRECT( K215)),"")),"")</f>
        <v/>
      </c>
      <c r="Y215" s="17" t="str">
        <f t="array" aca="1" ref="Y215" ca="1">IF(AD215,IF(AH215&lt;&gt;"",AH215,IF(J215,MAX(INDIRECT( K215)),"")),"")</f>
        <v/>
      </c>
      <c r="Z215" s="17" t="b">
        <f t="shared" ca="1" si="56"/>
        <v>0</v>
      </c>
      <c r="AC215" s="17" t="b">
        <f t="shared" ca="1" si="57"/>
        <v>1</v>
      </c>
      <c r="AD215" s="14" t="b">
        <f t="shared" ca="1" si="58"/>
        <v>1</v>
      </c>
      <c r="AE215" s="15" t="b">
        <f t="shared" ca="1" si="59"/>
        <v>0</v>
      </c>
      <c r="AF215" s="16"/>
      <c r="AG215" s="16"/>
      <c r="AH215" s="16"/>
      <c r="AI215" s="16"/>
      <c r="AJ215" s="16"/>
      <c r="AK215" s="16"/>
      <c r="AL215" s="16"/>
      <c r="AM215" s="16"/>
    </row>
    <row r="216" spans="2:39">
      <c r="B216" s="14">
        <f t="shared" si="48"/>
        <v>214</v>
      </c>
      <c r="C216" s="14" t="str">
        <f t="shared" ca="1" si="49"/>
        <v>I</v>
      </c>
      <c r="D216" s="14" t="str">
        <f t="shared" ca="1" si="50"/>
        <v>q_50v.2</v>
      </c>
      <c r="E216" s="14" t="str">
        <f t="shared" ca="1" si="47"/>
        <v>How long other moderate activity</v>
      </c>
      <c r="F216" s="14">
        <f t="shared" ca="1" si="46"/>
        <v>0</v>
      </c>
      <c r="G216" s="14" t="str">
        <f t="shared" ca="1" si="51"/>
        <v>q_50v.2</v>
      </c>
      <c r="H216" s="14">
        <f ca="1">IF(G216&lt;&gt;"",IFERROR( IsVariableNameLegal(G216),0),0)+IF(COUNTIF(INDIRECT(wew!$C$13),G216)&gt;1,10,0)</f>
        <v>0</v>
      </c>
      <c r="I216" s="14">
        <f ca="1">IF(E216&lt;&gt;"",IF(LEN(E216)&gt;150,1,0)+IF(COUNTIF(INDIRECT(wew!$C$15),E216)&gt;1,10,0),0)</f>
        <v>0</v>
      </c>
      <c r="J216" s="14" t="b">
        <f t="shared" ca="1" si="52"/>
        <v>0</v>
      </c>
      <c r="K216" s="14" t="str">
        <f ca="1">ADDRESS(3,(B216+1)*2-1,4,,"[" &amp; wew!$G$7 &amp; "]" &amp; _sheetname_labels) &amp; ":" &amp; ADDRESS(2+ster!$B$20,(B216+1)*2-1,4)</f>
        <v>'[dane surowe2c.xlsm]labels'!PM3:PM36</v>
      </c>
      <c r="L216" s="14" t="str">
        <f ca="1">IF(F216&gt;0,ADDRESS(3,(B216+1)*2-1,4,,"[" &amp; wew!$G$7 &amp; "]" &amp; _sheetname_labels) &amp; ":" &amp; ADDRESS(2+F216,(B216+1)*2-1,4),"")</f>
        <v/>
      </c>
      <c r="M216" s="14" t="str">
        <f ca="1">IF(F216&gt;0,ADDRESS(3,(B216+1)*2,4,,"["&amp;wew!$G$7&amp;"]"&amp;_sheetname_labels)&amp;":"&amp;ADDRESS(2+F216,(B216+1)*2,4),"")</f>
        <v/>
      </c>
      <c r="N216" s="14" t="str">
        <f ca="1">ADDRESS(3,B216+1,4,,"[" &amp; wew!$G$7 &amp; "]" &amp;_sheetname_dataframe) &amp; ":" &amp; ADDRESS(2+ster!$C$14,B216+1,4)</f>
        <v>'[dane surowe2c.xlsm]data_frame'!HG3:HG35</v>
      </c>
      <c r="O216" s="14">
        <f t="shared" ca="1" si="53"/>
        <v>0</v>
      </c>
      <c r="P216" s="14" t="str">
        <f ca="1">IF(AND($AD216,$S216=1),IF(wew!$B$3,MIN(INDIRECT($N216)),"&lt;włącz podświetlanie wartości&gt;"),"—")</f>
        <v>—</v>
      </c>
      <c r="Q216" s="14" t="str">
        <f ca="1">IF(AND($AD216,$S216=1),IF(wew!$B$3,MAX(INDIRECT($N216)),"&lt;włącz podświetlanie wartości&gt;"),"—")</f>
        <v>—</v>
      </c>
      <c r="R216" s="14">
        <f ca="1">IF(AD216,ster!$C$14- (COUNTIF( INDIRECT(N216),"" )+ COUNT(INDIRECT(N216)) +COUNTIF( INDIRECT(N216),"NA" )),"")</f>
        <v>0</v>
      </c>
      <c r="S216" s="12">
        <f ca="1">IF(AD216,IF(COUNTA(INDIRECT(N216))=0,0, 1-(ster!$C$14- COUNT(INDIRECT(N216)) -COUNTIF( INDIRECT(N216),"" )) /COUNTA(INDIRECT(N216))),"")</f>
        <v>0</v>
      </c>
      <c r="T216" s="17" t="str">
        <f t="array" aca="1" ref="T216" ca="1">IF(L216&lt;&gt;"",SUM(IF(INDIRECT(L216)&lt;&gt;INT(INDIRECT(L216)),1,0)),"")</f>
        <v/>
      </c>
      <c r="U216" s="17" t="str">
        <f t="array" aca="1" ref="U216" ca="1">IF(S216=1,SUM(IF(ISNUMBER(INDIRECT(N216)),IF(INDIRECT(N216)&lt;&gt;INT(INDIRECT(N216)),1,0),0)),"")</f>
        <v/>
      </c>
      <c r="V216" s="17">
        <f t="shared" ca="1" si="54"/>
        <v>0</v>
      </c>
      <c r="W216" s="17">
        <f t="shared" ca="1" si="55"/>
        <v>0</v>
      </c>
      <c r="X216" s="24" t="str">
        <f t="array" aca="1" ref="X216" ca="1">IF(AD216,IF(AG216&lt;&gt;"",AG216,IF(J216,MIN(INDIRECT( K216)),"")),"")</f>
        <v/>
      </c>
      <c r="Y216" s="17" t="str">
        <f t="array" aca="1" ref="Y216" ca="1">IF(AD216,IF(AH216&lt;&gt;"",AH216,IF(J216,MAX(INDIRECT( K216)),"")),"")</f>
        <v/>
      </c>
      <c r="Z216" s="17" t="b">
        <f t="shared" ca="1" si="56"/>
        <v>0</v>
      </c>
      <c r="AC216" s="17" t="b">
        <f t="shared" ca="1" si="57"/>
        <v>0</v>
      </c>
      <c r="AD216" s="14" t="b">
        <f t="shared" ca="1" si="58"/>
        <v>1</v>
      </c>
      <c r="AE216" s="15" t="b">
        <f t="shared" ca="1" si="59"/>
        <v>0</v>
      </c>
      <c r="AF216" s="16"/>
      <c r="AG216" s="16"/>
      <c r="AH216" s="16"/>
      <c r="AI216" s="16"/>
      <c r="AJ216" s="16"/>
      <c r="AK216" s="16"/>
      <c r="AL216" s="16"/>
      <c r="AM216" s="16"/>
    </row>
    <row r="217" spans="2:39">
      <c r="B217" s="14">
        <f t="shared" si="48"/>
        <v>215</v>
      </c>
      <c r="C217" s="14" t="str">
        <f t="shared" ca="1" si="49"/>
        <v>D</v>
      </c>
      <c r="D217" s="14" t="str">
        <f t="shared" ca="1" si="50"/>
        <v>q_50a.3</v>
      </c>
      <c r="E217" s="14" t="str">
        <f t="shared" ca="1" si="47"/>
        <v>vigorous Basketball activity</v>
      </c>
      <c r="F217" s="14">
        <f t="shared" ca="1" si="46"/>
        <v>2</v>
      </c>
      <c r="G217" s="14" t="str">
        <f t="shared" ca="1" si="51"/>
        <v>q_50a.3</v>
      </c>
      <c r="H217" s="14">
        <f ca="1">IF(G217&lt;&gt;"",IFERROR( IsVariableNameLegal(G217),0),0)+IF(COUNTIF(INDIRECT(wew!$C$13),G217)&gt;1,10,0)</f>
        <v>0</v>
      </c>
      <c r="I217" s="14">
        <f ca="1">IF(E217&lt;&gt;"",IF(LEN(E217)&gt;150,1,0)+IF(COUNTIF(INDIRECT(wew!$C$15),E217)&gt;1,10,0),0)</f>
        <v>0</v>
      </c>
      <c r="J217" s="14" t="b">
        <f t="shared" ca="1" si="52"/>
        <v>1</v>
      </c>
      <c r="K217" s="14" t="str">
        <f ca="1">ADDRESS(3,(B217+1)*2-1,4,,"[" &amp; wew!$G$7 &amp; "]" &amp; _sheetname_labels) &amp; ":" &amp; ADDRESS(2+ster!$B$20,(B217+1)*2-1,4)</f>
        <v>'[dane surowe2c.xlsm]labels'!PO3:PO36</v>
      </c>
      <c r="L217" s="14" t="str">
        <f ca="1">IF(F217&gt;0,ADDRESS(3,(B217+1)*2-1,4,,"[" &amp; wew!$G$7 &amp; "]" &amp; _sheetname_labels) &amp; ":" &amp; ADDRESS(2+F217,(B217+1)*2-1,4),"")</f>
        <v>'[dane surowe2c.xlsm]labels'!PO3:PO4</v>
      </c>
      <c r="M217" s="14" t="str">
        <f ca="1">IF(F217&gt;0,ADDRESS(3,(B217+1)*2,4,,"["&amp;wew!$G$7&amp;"]"&amp;_sheetname_labels)&amp;":"&amp;ADDRESS(2+F217,(B217+1)*2,4),"")</f>
        <v>'[dane surowe2c.xlsm]labels'!PP3:PP4</v>
      </c>
      <c r="N217" s="14" t="str">
        <f ca="1">ADDRESS(3,B217+1,4,,"[" &amp; wew!$G$7 &amp; "]" &amp;_sheetname_dataframe) &amp; ":" &amp; ADDRESS(2+ster!$C$14,B217+1,4)</f>
        <v>'[dane surowe2c.xlsm]data_frame'!HH3:HH35</v>
      </c>
      <c r="O217" s="14">
        <f t="shared" ca="1" si="53"/>
        <v>32</v>
      </c>
      <c r="P217" s="14">
        <f ca="1">IF(AND($AD217,$S217=1),IF(wew!$B$3,MIN(INDIRECT($N217)),"&lt;włącz podświetlanie wartości&gt;"),"—")</f>
        <v>2</v>
      </c>
      <c r="Q217" s="14">
        <f ca="1">IF(AND($AD217,$S217=1),IF(wew!$B$3,MAX(INDIRECT($N217)),"&lt;włącz podświetlanie wartości&gt;"),"—")</f>
        <v>2</v>
      </c>
      <c r="R217" s="14">
        <f ca="1">IF(AD217,ster!$C$14- (COUNTIF( INDIRECT(N217),"" )+ COUNT(INDIRECT(N217)) +COUNTIF( INDIRECT(N217),"NA" )),"")</f>
        <v>0</v>
      </c>
      <c r="S217" s="12">
        <f ca="1">IF(AD217,IF(COUNTA(INDIRECT(N217))=0,0, 1-(ster!$C$14- COUNT(INDIRECT(N217)) -COUNTIF( INDIRECT(N217),"" )) /COUNTA(INDIRECT(N217))),"")</f>
        <v>1</v>
      </c>
      <c r="T217" s="17">
        <f t="array" aca="1" ref="T217" ca="1">IF(L217&lt;&gt;"",SUM(IF(INDIRECT(L217)&lt;&gt;INT(INDIRECT(L217)),1,0)),"")</f>
        <v>0</v>
      </c>
      <c r="U217" s="17">
        <f t="array" aca="1" ref="U217" ca="1">IF(S217=1,SUM(IF(ISNUMBER(INDIRECT(N217)),IF(INDIRECT(N217)&lt;&gt;INT(INDIRECT(N217)),1,0),0)),"")</f>
        <v>0</v>
      </c>
      <c r="V217" s="17">
        <f t="shared" ca="1" si="54"/>
        <v>1</v>
      </c>
      <c r="W217" s="17">
        <f t="shared" ca="1" si="55"/>
        <v>0</v>
      </c>
      <c r="X217" s="24">
        <f t="array" aca="1" ref="X217" ca="1">IF(AD217,IF(AG217&lt;&gt;"",AG217,IF(J217,MIN(INDIRECT( K217)),"")),"")</f>
        <v>1</v>
      </c>
      <c r="Y217" s="17">
        <f t="array" aca="1" ref="Y217" ca="1">IF(AD217,IF(AH217&lt;&gt;"",AH217,IF(J217,MAX(INDIRECT( K217)),"")),"")</f>
        <v>2</v>
      </c>
      <c r="Z217" s="17" t="b">
        <f t="shared" ca="1" si="56"/>
        <v>1</v>
      </c>
      <c r="AC217" s="17" t="b">
        <f t="shared" ca="1" si="57"/>
        <v>0</v>
      </c>
      <c r="AD217" s="14" t="b">
        <f t="shared" ca="1" si="58"/>
        <v>1</v>
      </c>
      <c r="AE217" s="15" t="b">
        <f t="shared" ca="1" si="59"/>
        <v>1</v>
      </c>
      <c r="AF217" s="16"/>
      <c r="AG217" s="16"/>
      <c r="AH217" s="16"/>
      <c r="AI217" s="16"/>
      <c r="AJ217" s="16"/>
      <c r="AK217" s="16"/>
      <c r="AL217" s="16"/>
      <c r="AM217" s="16"/>
    </row>
    <row r="218" spans="2:39">
      <c r="B218" s="14">
        <f t="shared" si="48"/>
        <v>216</v>
      </c>
      <c r="C218" s="14" t="str">
        <f t="shared" ca="1" si="49"/>
        <v>I</v>
      </c>
      <c r="D218" s="14" t="str">
        <f t="shared" ca="1" si="50"/>
        <v>q_50a.4</v>
      </c>
      <c r="E218" s="14" t="str">
        <f t="shared" ca="1" si="47"/>
        <v>How long Basketball activity</v>
      </c>
      <c r="F218" s="14">
        <f t="shared" ca="1" si="46"/>
        <v>0</v>
      </c>
      <c r="G218" s="14" t="str">
        <f t="shared" ca="1" si="51"/>
        <v>q_50a.4</v>
      </c>
      <c r="H218" s="14">
        <f ca="1">IF(G218&lt;&gt;"",IFERROR( IsVariableNameLegal(G218),0),0)+IF(COUNTIF(INDIRECT(wew!$C$13),G218)&gt;1,10,0)</f>
        <v>0</v>
      </c>
      <c r="I218" s="14">
        <f ca="1">IF(E218&lt;&gt;"",IF(LEN(E218)&gt;150,1,0)+IF(COUNTIF(INDIRECT(wew!$C$15),E218)&gt;1,10,0),0)</f>
        <v>10</v>
      </c>
      <c r="J218" s="14" t="b">
        <f t="shared" ca="1" si="52"/>
        <v>0</v>
      </c>
      <c r="K218" s="14" t="str">
        <f ca="1">ADDRESS(3,(B218+1)*2-1,4,,"[" &amp; wew!$G$7 &amp; "]" &amp; _sheetname_labels) &amp; ":" &amp; ADDRESS(2+ster!$B$20,(B218+1)*2-1,4)</f>
        <v>'[dane surowe2c.xlsm]labels'!PQ3:PQ36</v>
      </c>
      <c r="L218" s="14" t="str">
        <f ca="1">IF(F218&gt;0,ADDRESS(3,(B218+1)*2-1,4,,"[" &amp; wew!$G$7 &amp; "]" &amp; _sheetname_labels) &amp; ":" &amp; ADDRESS(2+F218,(B218+1)*2-1,4),"")</f>
        <v/>
      </c>
      <c r="M218" s="14" t="str">
        <f ca="1">IF(F218&gt;0,ADDRESS(3,(B218+1)*2,4,,"["&amp;wew!$G$7&amp;"]"&amp;_sheetname_labels)&amp;":"&amp;ADDRESS(2+F218,(B218+1)*2,4),"")</f>
        <v/>
      </c>
      <c r="N218" s="14" t="str">
        <f ca="1">ADDRESS(3,B218+1,4,,"[" &amp; wew!$G$7 &amp; "]" &amp;_sheetname_dataframe) &amp; ":" &amp; ADDRESS(2+ster!$C$14,B218+1,4)</f>
        <v>'[dane surowe2c.xlsm]data_frame'!HI3:HI35</v>
      </c>
      <c r="O218" s="14">
        <f t="shared" ca="1" si="53"/>
        <v>0</v>
      </c>
      <c r="P218" s="14" t="str">
        <f ca="1">IF(AND($AD218,$S218=1),IF(wew!$B$3,MIN(INDIRECT($N218)),"&lt;włącz podświetlanie wartości&gt;"),"—")</f>
        <v>—</v>
      </c>
      <c r="Q218" s="14" t="str">
        <f ca="1">IF(AND($AD218,$S218=1),IF(wew!$B$3,MAX(INDIRECT($N218)),"&lt;włącz podświetlanie wartości&gt;"),"—")</f>
        <v>—</v>
      </c>
      <c r="R218" s="14">
        <f ca="1">IF(AD218,ster!$C$14- (COUNTIF( INDIRECT(N218),"" )+ COUNT(INDIRECT(N218)) +COUNTIF( INDIRECT(N218),"NA" )),"")</f>
        <v>0</v>
      </c>
      <c r="S218" s="12">
        <f ca="1">IF(AD218,IF(COUNTA(INDIRECT(N218))=0,0, 1-(ster!$C$14- COUNT(INDIRECT(N218)) -COUNTIF( INDIRECT(N218),"" )) /COUNTA(INDIRECT(N218))),"")</f>
        <v>0</v>
      </c>
      <c r="T218" s="17" t="str">
        <f t="array" aca="1" ref="T218" ca="1">IF(L218&lt;&gt;"",SUM(IF(INDIRECT(L218)&lt;&gt;INT(INDIRECT(L218)),1,0)),"")</f>
        <v/>
      </c>
      <c r="U218" s="17" t="str">
        <f t="array" aca="1" ref="U218" ca="1">IF(S218=1,SUM(IF(ISNUMBER(INDIRECT(N218)),IF(INDIRECT(N218)&lt;&gt;INT(INDIRECT(N218)),1,0),0)),"")</f>
        <v/>
      </c>
      <c r="V218" s="17">
        <f t="shared" ca="1" si="54"/>
        <v>0</v>
      </c>
      <c r="W218" s="17">
        <f t="shared" ca="1" si="55"/>
        <v>0</v>
      </c>
      <c r="X218" s="24" t="str">
        <f t="array" aca="1" ref="X218" ca="1">IF(AD218,IF(AG218&lt;&gt;"",AG218,IF(J218,MIN(INDIRECT( K218)),"")),"")</f>
        <v/>
      </c>
      <c r="Y218" s="17" t="str">
        <f t="array" aca="1" ref="Y218" ca="1">IF(AD218,IF(AH218&lt;&gt;"",AH218,IF(J218,MAX(INDIRECT( K218)),"")),"")</f>
        <v/>
      </c>
      <c r="Z218" s="17" t="b">
        <f t="shared" ca="1" si="56"/>
        <v>0</v>
      </c>
      <c r="AC218" s="17" t="b">
        <f t="shared" ca="1" si="57"/>
        <v>0</v>
      </c>
      <c r="AD218" s="14" t="b">
        <f t="shared" ca="1" si="58"/>
        <v>1</v>
      </c>
      <c r="AE218" s="15" t="b">
        <f t="shared" ca="1" si="59"/>
        <v>0</v>
      </c>
      <c r="AF218" s="16"/>
      <c r="AG218" s="16"/>
      <c r="AH218" s="16"/>
      <c r="AI218" s="16"/>
      <c r="AJ218" s="16"/>
      <c r="AK218" s="16"/>
      <c r="AL218" s="16"/>
      <c r="AM218" s="16"/>
    </row>
    <row r="219" spans="2:39">
      <c r="B219" s="14">
        <f t="shared" si="48"/>
        <v>217</v>
      </c>
      <c r="C219" s="14" t="str">
        <f t="shared" ca="1" si="49"/>
        <v>D</v>
      </c>
      <c r="D219" s="14" t="str">
        <f t="shared" ca="1" si="50"/>
        <v>q_50b.3</v>
      </c>
      <c r="E219" s="14" t="str">
        <f t="shared" ca="1" si="47"/>
        <v>vigorous Boxing activity</v>
      </c>
      <c r="F219" s="14">
        <f t="shared" ca="1" si="46"/>
        <v>2</v>
      </c>
      <c r="G219" s="14" t="str">
        <f t="shared" ca="1" si="51"/>
        <v>q_50b.3</v>
      </c>
      <c r="H219" s="14">
        <f ca="1">IF(G219&lt;&gt;"",IFERROR( IsVariableNameLegal(G219),0),0)+IF(COUNTIF(INDIRECT(wew!$C$13),G219)&gt;1,10,0)</f>
        <v>0</v>
      </c>
      <c r="I219" s="14">
        <f ca="1">IF(E219&lt;&gt;"",IF(LEN(E219)&gt;150,1,0)+IF(COUNTIF(INDIRECT(wew!$C$15),E219)&gt;1,10,0),0)</f>
        <v>0</v>
      </c>
      <c r="J219" s="14" t="b">
        <f t="shared" ca="1" si="52"/>
        <v>1</v>
      </c>
      <c r="K219" s="14" t="str">
        <f ca="1">ADDRESS(3,(B219+1)*2-1,4,,"[" &amp; wew!$G$7 &amp; "]" &amp; _sheetname_labels) &amp; ":" &amp; ADDRESS(2+ster!$B$20,(B219+1)*2-1,4)</f>
        <v>'[dane surowe2c.xlsm]labels'!PS3:PS36</v>
      </c>
      <c r="L219" s="14" t="str">
        <f ca="1">IF(F219&gt;0,ADDRESS(3,(B219+1)*2-1,4,,"[" &amp; wew!$G$7 &amp; "]" &amp; _sheetname_labels) &amp; ":" &amp; ADDRESS(2+F219,(B219+1)*2-1,4),"")</f>
        <v>'[dane surowe2c.xlsm]labels'!PS3:PS4</v>
      </c>
      <c r="M219" s="14" t="str">
        <f ca="1">IF(F219&gt;0,ADDRESS(3,(B219+1)*2,4,,"["&amp;wew!$G$7&amp;"]"&amp;_sheetname_labels)&amp;":"&amp;ADDRESS(2+F219,(B219+1)*2,4),"")</f>
        <v>'[dane surowe2c.xlsm]labels'!PT3:PT4</v>
      </c>
      <c r="N219" s="14" t="str">
        <f ca="1">ADDRESS(3,B219+1,4,,"[" &amp; wew!$G$7 &amp; "]" &amp;_sheetname_dataframe) &amp; ":" &amp; ADDRESS(2+ster!$C$14,B219+1,4)</f>
        <v>'[dane surowe2c.xlsm]data_frame'!HJ3:HJ35</v>
      </c>
      <c r="O219" s="14">
        <f t="shared" ca="1" si="53"/>
        <v>32</v>
      </c>
      <c r="P219" s="14">
        <f ca="1">IF(AND($AD219,$S219=1),IF(wew!$B$3,MIN(INDIRECT($N219)),"&lt;włącz podświetlanie wartości&gt;"),"—")</f>
        <v>2</v>
      </c>
      <c r="Q219" s="14">
        <f ca="1">IF(AND($AD219,$S219=1),IF(wew!$B$3,MAX(INDIRECT($N219)),"&lt;włącz podświetlanie wartości&gt;"),"—")</f>
        <v>2</v>
      </c>
      <c r="R219" s="14">
        <f ca="1">IF(AD219,ster!$C$14- (COUNTIF( INDIRECT(N219),"" )+ COUNT(INDIRECT(N219)) +COUNTIF( INDIRECT(N219),"NA" )),"")</f>
        <v>0</v>
      </c>
      <c r="S219" s="12">
        <f ca="1">IF(AD219,IF(COUNTA(INDIRECT(N219))=0,0, 1-(ster!$C$14- COUNT(INDIRECT(N219)) -COUNTIF( INDIRECT(N219),"" )) /COUNTA(INDIRECT(N219))),"")</f>
        <v>1</v>
      </c>
      <c r="T219" s="17">
        <f t="array" aca="1" ref="T219" ca="1">IF(L219&lt;&gt;"",SUM(IF(INDIRECT(L219)&lt;&gt;INT(INDIRECT(L219)),1,0)),"")</f>
        <v>0</v>
      </c>
      <c r="U219" s="17">
        <f t="array" aca="1" ref="U219" ca="1">IF(S219=1,SUM(IF(ISNUMBER(INDIRECT(N219)),IF(INDIRECT(N219)&lt;&gt;INT(INDIRECT(N219)),1,0),0)),"")</f>
        <v>0</v>
      </c>
      <c r="V219" s="17">
        <f t="shared" ca="1" si="54"/>
        <v>1</v>
      </c>
      <c r="W219" s="17">
        <f t="shared" ca="1" si="55"/>
        <v>0</v>
      </c>
      <c r="X219" s="24">
        <f t="array" aca="1" ref="X219" ca="1">IF(AD219,IF(AG219&lt;&gt;"",AG219,IF(J219,MIN(INDIRECT( K219)),"")),"")</f>
        <v>1</v>
      </c>
      <c r="Y219" s="17">
        <f t="array" aca="1" ref="Y219" ca="1">IF(AD219,IF(AH219&lt;&gt;"",AH219,IF(J219,MAX(INDIRECT( K219)),"")),"")</f>
        <v>2</v>
      </c>
      <c r="Z219" s="17" t="b">
        <f t="shared" ca="1" si="56"/>
        <v>1</v>
      </c>
      <c r="AC219" s="17" t="b">
        <f t="shared" ca="1" si="57"/>
        <v>0</v>
      </c>
      <c r="AD219" s="14" t="b">
        <f t="shared" ca="1" si="58"/>
        <v>1</v>
      </c>
      <c r="AE219" s="15" t="b">
        <f t="shared" ca="1" si="59"/>
        <v>1</v>
      </c>
      <c r="AF219" s="16"/>
      <c r="AG219" s="16"/>
      <c r="AH219" s="16"/>
      <c r="AI219" s="16"/>
      <c r="AJ219" s="16"/>
      <c r="AK219" s="16"/>
      <c r="AL219" s="16"/>
      <c r="AM219" s="16"/>
    </row>
    <row r="220" spans="2:39">
      <c r="B220" s="14">
        <f t="shared" si="48"/>
        <v>218</v>
      </c>
      <c r="C220" s="14" t="str">
        <f t="shared" ca="1" si="49"/>
        <v>I</v>
      </c>
      <c r="D220" s="14" t="str">
        <f t="shared" ca="1" si="50"/>
        <v>q_50b.4</v>
      </c>
      <c r="E220" s="14" t="str">
        <f t="shared" ca="1" si="47"/>
        <v>How long Boxing activity</v>
      </c>
      <c r="F220" s="14">
        <f t="shared" ca="1" si="46"/>
        <v>0</v>
      </c>
      <c r="G220" s="14" t="str">
        <f t="shared" ca="1" si="51"/>
        <v>q_50b.4</v>
      </c>
      <c r="H220" s="14">
        <f ca="1">IF(G220&lt;&gt;"",IFERROR( IsVariableNameLegal(G220),0),0)+IF(COUNTIF(INDIRECT(wew!$C$13),G220)&gt;1,10,0)</f>
        <v>0</v>
      </c>
      <c r="I220" s="14">
        <f ca="1">IF(E220&lt;&gt;"",IF(LEN(E220)&gt;150,1,0)+IF(COUNTIF(INDIRECT(wew!$C$15),E220)&gt;1,10,0),0)</f>
        <v>10</v>
      </c>
      <c r="J220" s="14" t="b">
        <f t="shared" ca="1" si="52"/>
        <v>0</v>
      </c>
      <c r="K220" s="14" t="str">
        <f ca="1">ADDRESS(3,(B220+1)*2-1,4,,"[" &amp; wew!$G$7 &amp; "]" &amp; _sheetname_labels) &amp; ":" &amp; ADDRESS(2+ster!$B$20,(B220+1)*2-1,4)</f>
        <v>'[dane surowe2c.xlsm]labels'!PU3:PU36</v>
      </c>
      <c r="L220" s="14" t="str">
        <f ca="1">IF(F220&gt;0,ADDRESS(3,(B220+1)*2-1,4,,"[" &amp; wew!$G$7 &amp; "]" &amp; _sheetname_labels) &amp; ":" &amp; ADDRESS(2+F220,(B220+1)*2-1,4),"")</f>
        <v/>
      </c>
      <c r="M220" s="14" t="str">
        <f ca="1">IF(F220&gt;0,ADDRESS(3,(B220+1)*2,4,,"["&amp;wew!$G$7&amp;"]"&amp;_sheetname_labels)&amp;":"&amp;ADDRESS(2+F220,(B220+1)*2,4),"")</f>
        <v/>
      </c>
      <c r="N220" s="14" t="str">
        <f ca="1">ADDRESS(3,B220+1,4,,"[" &amp; wew!$G$7 &amp; "]" &amp;_sheetname_dataframe) &amp; ":" &amp; ADDRESS(2+ster!$C$14,B220+1,4)</f>
        <v>'[dane surowe2c.xlsm]data_frame'!HK3:HK35</v>
      </c>
      <c r="O220" s="14">
        <f t="shared" ca="1" si="53"/>
        <v>0</v>
      </c>
      <c r="P220" s="14" t="str">
        <f ca="1">IF(AND($AD220,$S220=1),IF(wew!$B$3,MIN(INDIRECT($N220)),"&lt;włącz podświetlanie wartości&gt;"),"—")</f>
        <v>—</v>
      </c>
      <c r="Q220" s="14" t="str">
        <f ca="1">IF(AND($AD220,$S220=1),IF(wew!$B$3,MAX(INDIRECT($N220)),"&lt;włącz podświetlanie wartości&gt;"),"—")</f>
        <v>—</v>
      </c>
      <c r="R220" s="14">
        <f ca="1">IF(AD220,ster!$C$14- (COUNTIF( INDIRECT(N220),"" )+ COUNT(INDIRECT(N220)) +COUNTIF( INDIRECT(N220),"NA" )),"")</f>
        <v>0</v>
      </c>
      <c r="S220" s="12">
        <f ca="1">IF(AD220,IF(COUNTA(INDIRECT(N220))=0,0, 1-(ster!$C$14- COUNT(INDIRECT(N220)) -COUNTIF( INDIRECT(N220),"" )) /COUNTA(INDIRECT(N220))),"")</f>
        <v>0</v>
      </c>
      <c r="T220" s="17" t="str">
        <f t="array" aca="1" ref="T220" ca="1">IF(L220&lt;&gt;"",SUM(IF(INDIRECT(L220)&lt;&gt;INT(INDIRECT(L220)),1,0)),"")</f>
        <v/>
      </c>
      <c r="U220" s="17" t="str">
        <f t="array" aca="1" ref="U220" ca="1">IF(S220=1,SUM(IF(ISNUMBER(INDIRECT(N220)),IF(INDIRECT(N220)&lt;&gt;INT(INDIRECT(N220)),1,0),0)),"")</f>
        <v/>
      </c>
      <c r="V220" s="17">
        <f t="shared" ca="1" si="54"/>
        <v>0</v>
      </c>
      <c r="W220" s="17">
        <f t="shared" ca="1" si="55"/>
        <v>0</v>
      </c>
      <c r="X220" s="24" t="str">
        <f t="array" aca="1" ref="X220" ca="1">IF(AD220,IF(AG220&lt;&gt;"",AG220,IF(J220,MIN(INDIRECT( K220)),"")),"")</f>
        <v/>
      </c>
      <c r="Y220" s="17" t="str">
        <f t="array" aca="1" ref="Y220" ca="1">IF(AD220,IF(AH220&lt;&gt;"",AH220,IF(J220,MAX(INDIRECT( K220)),"")),"")</f>
        <v/>
      </c>
      <c r="Z220" s="17" t="b">
        <f t="shared" ca="1" si="56"/>
        <v>0</v>
      </c>
      <c r="AC220" s="17" t="b">
        <f t="shared" ca="1" si="57"/>
        <v>0</v>
      </c>
      <c r="AD220" s="14" t="b">
        <f t="shared" ca="1" si="58"/>
        <v>1</v>
      </c>
      <c r="AE220" s="15" t="b">
        <f t="shared" ca="1" si="59"/>
        <v>0</v>
      </c>
      <c r="AF220" s="16"/>
      <c r="AG220" s="16"/>
      <c r="AH220" s="16"/>
      <c r="AI220" s="16"/>
      <c r="AJ220" s="16"/>
      <c r="AK220" s="16"/>
      <c r="AL220" s="16"/>
      <c r="AM220" s="16"/>
    </row>
    <row r="221" spans="2:39">
      <c r="B221" s="14">
        <f t="shared" si="48"/>
        <v>219</v>
      </c>
      <c r="C221" s="14" t="str">
        <f t="shared" ca="1" si="49"/>
        <v>D</v>
      </c>
      <c r="D221" s="14" t="str">
        <f t="shared" ca="1" si="50"/>
        <v>q_50c.3</v>
      </c>
      <c r="E221" s="14" t="str">
        <f t="shared" ca="1" si="47"/>
        <v>vigorous Climbing activity</v>
      </c>
      <c r="F221" s="14">
        <f t="shared" ca="1" si="46"/>
        <v>2</v>
      </c>
      <c r="G221" s="14" t="str">
        <f t="shared" ca="1" si="51"/>
        <v>q_50c.3</v>
      </c>
      <c r="H221" s="14">
        <f ca="1">IF(G221&lt;&gt;"",IFERROR( IsVariableNameLegal(G221),0),0)+IF(COUNTIF(INDIRECT(wew!$C$13),G221)&gt;1,10,0)</f>
        <v>0</v>
      </c>
      <c r="I221" s="14">
        <f ca="1">IF(E221&lt;&gt;"",IF(LEN(E221)&gt;150,1,0)+IF(COUNTIF(INDIRECT(wew!$C$15),E221)&gt;1,10,0),0)</f>
        <v>0</v>
      </c>
      <c r="J221" s="14" t="b">
        <f t="shared" ca="1" si="52"/>
        <v>1</v>
      </c>
      <c r="K221" s="14" t="str">
        <f ca="1">ADDRESS(3,(B221+1)*2-1,4,,"[" &amp; wew!$G$7 &amp; "]" &amp; _sheetname_labels) &amp; ":" &amp; ADDRESS(2+ster!$B$20,(B221+1)*2-1,4)</f>
        <v>'[dane surowe2c.xlsm]labels'!PW3:PW36</v>
      </c>
      <c r="L221" s="14" t="str">
        <f ca="1">IF(F221&gt;0,ADDRESS(3,(B221+1)*2-1,4,,"[" &amp; wew!$G$7 &amp; "]" &amp; _sheetname_labels) &amp; ":" &amp; ADDRESS(2+F221,(B221+1)*2-1,4),"")</f>
        <v>'[dane surowe2c.xlsm]labels'!PW3:PW4</v>
      </c>
      <c r="M221" s="14" t="str">
        <f ca="1">IF(F221&gt;0,ADDRESS(3,(B221+1)*2,4,,"["&amp;wew!$G$7&amp;"]"&amp;_sheetname_labels)&amp;":"&amp;ADDRESS(2+F221,(B221+1)*2,4),"")</f>
        <v>'[dane surowe2c.xlsm]labels'!PX3:PX4</v>
      </c>
      <c r="N221" s="14" t="str">
        <f ca="1">ADDRESS(3,B221+1,4,,"[" &amp; wew!$G$7 &amp; "]" &amp;_sheetname_dataframe) &amp; ":" &amp; ADDRESS(2+ster!$C$14,B221+1,4)</f>
        <v>'[dane surowe2c.xlsm]data_frame'!HL3:HL35</v>
      </c>
      <c r="O221" s="14">
        <f t="shared" ca="1" si="53"/>
        <v>32</v>
      </c>
      <c r="P221" s="14">
        <f ca="1">IF(AND($AD221,$S221=1),IF(wew!$B$3,MIN(INDIRECT($N221)),"&lt;włącz podświetlanie wartości&gt;"),"—")</f>
        <v>2</v>
      </c>
      <c r="Q221" s="14">
        <f ca="1">IF(AND($AD221,$S221=1),IF(wew!$B$3,MAX(INDIRECT($N221)),"&lt;włącz podświetlanie wartości&gt;"),"—")</f>
        <v>2</v>
      </c>
      <c r="R221" s="14">
        <f ca="1">IF(AD221,ster!$C$14- (COUNTIF( INDIRECT(N221),"" )+ COUNT(INDIRECT(N221)) +COUNTIF( INDIRECT(N221),"NA" )),"")</f>
        <v>0</v>
      </c>
      <c r="S221" s="12">
        <f ca="1">IF(AD221,IF(COUNTA(INDIRECT(N221))=0,0, 1-(ster!$C$14- COUNT(INDIRECT(N221)) -COUNTIF( INDIRECT(N221),"" )) /COUNTA(INDIRECT(N221))),"")</f>
        <v>1</v>
      </c>
      <c r="T221" s="17">
        <f t="array" aca="1" ref="T221" ca="1">IF(L221&lt;&gt;"",SUM(IF(INDIRECT(L221)&lt;&gt;INT(INDIRECT(L221)),1,0)),"")</f>
        <v>0</v>
      </c>
      <c r="U221" s="17">
        <f t="array" aca="1" ref="U221" ca="1">IF(S221=1,SUM(IF(ISNUMBER(INDIRECT(N221)),IF(INDIRECT(N221)&lt;&gt;INT(INDIRECT(N221)),1,0),0)),"")</f>
        <v>0</v>
      </c>
      <c r="V221" s="17">
        <f t="shared" ca="1" si="54"/>
        <v>1</v>
      </c>
      <c r="W221" s="17">
        <f t="shared" ca="1" si="55"/>
        <v>0</v>
      </c>
      <c r="X221" s="24">
        <f t="array" aca="1" ref="X221" ca="1">IF(AD221,IF(AG221&lt;&gt;"",AG221,IF(J221,MIN(INDIRECT( K221)),"")),"")</f>
        <v>1</v>
      </c>
      <c r="Y221" s="17">
        <f t="array" aca="1" ref="Y221" ca="1">IF(AD221,IF(AH221&lt;&gt;"",AH221,IF(J221,MAX(INDIRECT( K221)),"")),"")</f>
        <v>2</v>
      </c>
      <c r="Z221" s="17" t="b">
        <f t="shared" ca="1" si="56"/>
        <v>1</v>
      </c>
      <c r="AC221" s="17" t="b">
        <f t="shared" ca="1" si="57"/>
        <v>0</v>
      </c>
      <c r="AD221" s="14" t="b">
        <f t="shared" ca="1" si="58"/>
        <v>1</v>
      </c>
      <c r="AE221" s="15" t="b">
        <f t="shared" ca="1" si="59"/>
        <v>1</v>
      </c>
      <c r="AF221" s="16"/>
      <c r="AG221" s="16"/>
      <c r="AH221" s="16"/>
      <c r="AI221" s="16"/>
      <c r="AJ221" s="16"/>
      <c r="AK221" s="16"/>
      <c r="AL221" s="16"/>
      <c r="AM221" s="16"/>
    </row>
    <row r="222" spans="2:39">
      <c r="B222" s="14">
        <f t="shared" si="48"/>
        <v>220</v>
      </c>
      <c r="C222" s="14" t="str">
        <f t="shared" ca="1" si="49"/>
        <v>I</v>
      </c>
      <c r="D222" s="14" t="str">
        <f t="shared" ca="1" si="50"/>
        <v>q_50c.4</v>
      </c>
      <c r="E222" s="14" t="str">
        <f t="shared" ca="1" si="47"/>
        <v>How long Climbing activity</v>
      </c>
      <c r="F222" s="14">
        <f t="shared" ca="1" si="46"/>
        <v>0</v>
      </c>
      <c r="G222" s="14" t="str">
        <f t="shared" ca="1" si="51"/>
        <v>q_50c.4</v>
      </c>
      <c r="H222" s="14">
        <f ca="1">IF(G222&lt;&gt;"",IFERROR( IsVariableNameLegal(G222),0),0)+IF(COUNTIF(INDIRECT(wew!$C$13),G222)&gt;1,10,0)</f>
        <v>0</v>
      </c>
      <c r="I222" s="14">
        <f ca="1">IF(E222&lt;&gt;"",IF(LEN(E222)&gt;150,1,0)+IF(COUNTIF(INDIRECT(wew!$C$15),E222)&gt;1,10,0),0)</f>
        <v>10</v>
      </c>
      <c r="J222" s="14" t="b">
        <f t="shared" ca="1" si="52"/>
        <v>0</v>
      </c>
      <c r="K222" s="14" t="str">
        <f ca="1">ADDRESS(3,(B222+1)*2-1,4,,"[" &amp; wew!$G$7 &amp; "]" &amp; _sheetname_labels) &amp; ":" &amp; ADDRESS(2+ster!$B$20,(B222+1)*2-1,4)</f>
        <v>'[dane surowe2c.xlsm]labels'!PY3:PY36</v>
      </c>
      <c r="L222" s="14" t="str">
        <f ca="1">IF(F222&gt;0,ADDRESS(3,(B222+1)*2-1,4,,"[" &amp; wew!$G$7 &amp; "]" &amp; _sheetname_labels) &amp; ":" &amp; ADDRESS(2+F222,(B222+1)*2-1,4),"")</f>
        <v/>
      </c>
      <c r="M222" s="14" t="str">
        <f ca="1">IF(F222&gt;0,ADDRESS(3,(B222+1)*2,4,,"["&amp;wew!$G$7&amp;"]"&amp;_sheetname_labels)&amp;":"&amp;ADDRESS(2+F222,(B222+1)*2,4),"")</f>
        <v/>
      </c>
      <c r="N222" s="14" t="str">
        <f ca="1">ADDRESS(3,B222+1,4,,"[" &amp; wew!$G$7 &amp; "]" &amp;_sheetname_dataframe) &amp; ":" &amp; ADDRESS(2+ster!$C$14,B222+1,4)</f>
        <v>'[dane surowe2c.xlsm]data_frame'!HM3:HM35</v>
      </c>
      <c r="O222" s="14">
        <f t="shared" ca="1" si="53"/>
        <v>0</v>
      </c>
      <c r="P222" s="14" t="str">
        <f ca="1">IF(AND($AD222,$S222=1),IF(wew!$B$3,MIN(INDIRECT($N222)),"&lt;włącz podświetlanie wartości&gt;"),"—")</f>
        <v>—</v>
      </c>
      <c r="Q222" s="14" t="str">
        <f ca="1">IF(AND($AD222,$S222=1),IF(wew!$B$3,MAX(INDIRECT($N222)),"&lt;włącz podświetlanie wartości&gt;"),"—")</f>
        <v>—</v>
      </c>
      <c r="R222" s="14">
        <f ca="1">IF(AD222,ster!$C$14- (COUNTIF( INDIRECT(N222),"" )+ COUNT(INDIRECT(N222)) +COUNTIF( INDIRECT(N222),"NA" )),"")</f>
        <v>0</v>
      </c>
      <c r="S222" s="12">
        <f ca="1">IF(AD222,IF(COUNTA(INDIRECT(N222))=0,0, 1-(ster!$C$14- COUNT(INDIRECT(N222)) -COUNTIF( INDIRECT(N222),"" )) /COUNTA(INDIRECT(N222))),"")</f>
        <v>0</v>
      </c>
      <c r="T222" s="17" t="str">
        <f t="array" aca="1" ref="T222" ca="1">IF(L222&lt;&gt;"",SUM(IF(INDIRECT(L222)&lt;&gt;INT(INDIRECT(L222)),1,0)),"")</f>
        <v/>
      </c>
      <c r="U222" s="17" t="str">
        <f t="array" aca="1" ref="U222" ca="1">IF(S222=1,SUM(IF(ISNUMBER(INDIRECT(N222)),IF(INDIRECT(N222)&lt;&gt;INT(INDIRECT(N222)),1,0),0)),"")</f>
        <v/>
      </c>
      <c r="V222" s="17">
        <f t="shared" ca="1" si="54"/>
        <v>0</v>
      </c>
      <c r="W222" s="17">
        <f t="shared" ca="1" si="55"/>
        <v>0</v>
      </c>
      <c r="X222" s="24" t="str">
        <f t="array" aca="1" ref="X222" ca="1">IF(AD222,IF(AG222&lt;&gt;"",AG222,IF(J222,MIN(INDIRECT( K222)),"")),"")</f>
        <v/>
      </c>
      <c r="Y222" s="17" t="str">
        <f t="array" aca="1" ref="Y222" ca="1">IF(AD222,IF(AH222&lt;&gt;"",AH222,IF(J222,MAX(INDIRECT( K222)),"")),"")</f>
        <v/>
      </c>
      <c r="Z222" s="17" t="b">
        <f t="shared" ca="1" si="56"/>
        <v>0</v>
      </c>
      <c r="AC222" s="17" t="b">
        <f t="shared" ca="1" si="57"/>
        <v>0</v>
      </c>
      <c r="AD222" s="14" t="b">
        <f t="shared" ca="1" si="58"/>
        <v>1</v>
      </c>
      <c r="AE222" s="15" t="b">
        <f t="shared" ca="1" si="59"/>
        <v>0</v>
      </c>
      <c r="AF222" s="16"/>
      <c r="AG222" s="16"/>
      <c r="AH222" s="16"/>
      <c r="AI222" s="16"/>
      <c r="AJ222" s="16"/>
      <c r="AK222" s="16"/>
      <c r="AL222" s="16"/>
      <c r="AM222" s="16"/>
    </row>
    <row r="223" spans="2:39">
      <c r="B223" s="14">
        <f t="shared" si="48"/>
        <v>221</v>
      </c>
      <c r="C223" s="14" t="str">
        <f t="shared" ca="1" si="49"/>
        <v>D</v>
      </c>
      <c r="D223" s="14" t="str">
        <f t="shared" ca="1" si="50"/>
        <v>q_50d.3</v>
      </c>
      <c r="E223" s="14" t="str">
        <f t="shared" ca="1" si="47"/>
        <v>vigorous Cycling activity</v>
      </c>
      <c r="F223" s="14">
        <f t="shared" ca="1" si="46"/>
        <v>2</v>
      </c>
      <c r="G223" s="14" t="str">
        <f t="shared" ca="1" si="51"/>
        <v>q_50d.3</v>
      </c>
      <c r="H223" s="14">
        <f ca="1">IF(G223&lt;&gt;"",IFERROR( IsVariableNameLegal(G223),0),0)+IF(COUNTIF(INDIRECT(wew!$C$13),G223)&gt;1,10,0)</f>
        <v>0</v>
      </c>
      <c r="I223" s="14">
        <f ca="1">IF(E223&lt;&gt;"",IF(LEN(E223)&gt;150,1,0)+IF(COUNTIF(INDIRECT(wew!$C$15),E223)&gt;1,10,0),0)</f>
        <v>0</v>
      </c>
      <c r="J223" s="14" t="b">
        <f t="shared" ca="1" si="52"/>
        <v>1</v>
      </c>
      <c r="K223" s="14" t="str">
        <f ca="1">ADDRESS(3,(B223+1)*2-1,4,,"[" &amp; wew!$G$7 &amp; "]" &amp; _sheetname_labels) &amp; ":" &amp; ADDRESS(2+ster!$B$20,(B223+1)*2-1,4)</f>
        <v>'[dane surowe2c.xlsm]labels'!QA3:QA36</v>
      </c>
      <c r="L223" s="14" t="str">
        <f ca="1">IF(F223&gt;0,ADDRESS(3,(B223+1)*2-1,4,,"[" &amp; wew!$G$7 &amp; "]" &amp; _sheetname_labels) &amp; ":" &amp; ADDRESS(2+F223,(B223+1)*2-1,4),"")</f>
        <v>'[dane surowe2c.xlsm]labels'!QA3:QA4</v>
      </c>
      <c r="M223" s="14" t="str">
        <f ca="1">IF(F223&gt;0,ADDRESS(3,(B223+1)*2,4,,"["&amp;wew!$G$7&amp;"]"&amp;_sheetname_labels)&amp;":"&amp;ADDRESS(2+F223,(B223+1)*2,4),"")</f>
        <v>'[dane surowe2c.xlsm]labels'!QB3:QB4</v>
      </c>
      <c r="N223" s="14" t="str">
        <f ca="1">ADDRESS(3,B223+1,4,,"[" &amp; wew!$G$7 &amp; "]" &amp;_sheetname_dataframe) &amp; ":" &amp; ADDRESS(2+ster!$C$14,B223+1,4)</f>
        <v>'[dane surowe2c.xlsm]data_frame'!HN3:HN35</v>
      </c>
      <c r="O223" s="14">
        <f t="shared" ca="1" si="53"/>
        <v>32</v>
      </c>
      <c r="P223" s="14">
        <f ca="1">IF(AND($AD223,$S223=1),IF(wew!$B$3,MIN(INDIRECT($N223)),"&lt;włącz podświetlanie wartości&gt;"),"—")</f>
        <v>1</v>
      </c>
      <c r="Q223" s="14">
        <f ca="1">IF(AND($AD223,$S223=1),IF(wew!$B$3,MAX(INDIRECT($N223)),"&lt;włącz podświetlanie wartości&gt;"),"—")</f>
        <v>2</v>
      </c>
      <c r="R223" s="14">
        <f ca="1">IF(AD223,ster!$C$14- (COUNTIF( INDIRECT(N223),"" )+ COUNT(INDIRECT(N223)) +COUNTIF( INDIRECT(N223),"NA" )),"")</f>
        <v>0</v>
      </c>
      <c r="S223" s="12">
        <f ca="1">IF(AD223,IF(COUNTA(INDIRECT(N223))=0,0, 1-(ster!$C$14- COUNT(INDIRECT(N223)) -COUNTIF( INDIRECT(N223),"" )) /COUNTA(INDIRECT(N223))),"")</f>
        <v>1</v>
      </c>
      <c r="T223" s="17">
        <f t="array" aca="1" ref="T223" ca="1">IF(L223&lt;&gt;"",SUM(IF(INDIRECT(L223)&lt;&gt;INT(INDIRECT(L223)),1,0)),"")</f>
        <v>0</v>
      </c>
      <c r="U223" s="17">
        <f t="array" aca="1" ref="U223" ca="1">IF(S223=1,SUM(IF(ISNUMBER(INDIRECT(N223)),IF(INDIRECT(N223)&lt;&gt;INT(INDIRECT(N223)),1,0),0)),"")</f>
        <v>0</v>
      </c>
      <c r="V223" s="17">
        <f t="shared" ca="1" si="54"/>
        <v>1</v>
      </c>
      <c r="W223" s="17">
        <f t="shared" ca="1" si="55"/>
        <v>0</v>
      </c>
      <c r="X223" s="24">
        <f t="array" aca="1" ref="X223" ca="1">IF(AD223,IF(AG223&lt;&gt;"",AG223,IF(J223,MIN(INDIRECT( K223)),"")),"")</f>
        <v>1</v>
      </c>
      <c r="Y223" s="17">
        <f t="array" aca="1" ref="Y223" ca="1">IF(AD223,IF(AH223&lt;&gt;"",AH223,IF(J223,MAX(INDIRECT( K223)),"")),"")</f>
        <v>2</v>
      </c>
      <c r="Z223" s="17" t="b">
        <f t="shared" ca="1" si="56"/>
        <v>1</v>
      </c>
      <c r="AC223" s="17" t="b">
        <f t="shared" ca="1" si="57"/>
        <v>0</v>
      </c>
      <c r="AD223" s="14" t="b">
        <f t="shared" ca="1" si="58"/>
        <v>1</v>
      </c>
      <c r="AE223" s="15" t="b">
        <f t="shared" ca="1" si="59"/>
        <v>1</v>
      </c>
      <c r="AF223" s="16"/>
      <c r="AG223" s="16"/>
      <c r="AH223" s="16"/>
      <c r="AI223" s="16"/>
      <c r="AJ223" s="16"/>
      <c r="AK223" s="16"/>
      <c r="AL223" s="16"/>
      <c r="AM223" s="16"/>
    </row>
    <row r="224" spans="2:39">
      <c r="B224" s="14">
        <f t="shared" si="48"/>
        <v>222</v>
      </c>
      <c r="C224" s="14" t="str">
        <f t="shared" ca="1" si="49"/>
        <v>I</v>
      </c>
      <c r="D224" s="14" t="str">
        <f t="shared" ca="1" si="50"/>
        <v>q_50d.4</v>
      </c>
      <c r="E224" s="14" t="str">
        <f t="shared" ca="1" si="47"/>
        <v>How long Cycling activity</v>
      </c>
      <c r="F224" s="14">
        <f t="shared" ca="1" si="46"/>
        <v>0</v>
      </c>
      <c r="G224" s="14" t="str">
        <f t="shared" ca="1" si="51"/>
        <v>q_50d.4</v>
      </c>
      <c r="H224" s="14">
        <f ca="1">IF(G224&lt;&gt;"",IFERROR( IsVariableNameLegal(G224),0),0)+IF(COUNTIF(INDIRECT(wew!$C$13),G224)&gt;1,10,0)</f>
        <v>0</v>
      </c>
      <c r="I224" s="14">
        <f ca="1">IF(E224&lt;&gt;"",IF(LEN(E224)&gt;150,1,0)+IF(COUNTIF(INDIRECT(wew!$C$15),E224)&gt;1,10,0),0)</f>
        <v>10</v>
      </c>
      <c r="J224" s="14" t="b">
        <f t="shared" ca="1" si="52"/>
        <v>0</v>
      </c>
      <c r="K224" s="14" t="str">
        <f ca="1">ADDRESS(3,(B224+1)*2-1,4,,"[" &amp; wew!$G$7 &amp; "]" &amp; _sheetname_labels) &amp; ":" &amp; ADDRESS(2+ster!$B$20,(B224+1)*2-1,4)</f>
        <v>'[dane surowe2c.xlsm]labels'!QC3:QC36</v>
      </c>
      <c r="L224" s="14" t="str">
        <f ca="1">IF(F224&gt;0,ADDRESS(3,(B224+1)*2-1,4,,"[" &amp; wew!$G$7 &amp; "]" &amp; _sheetname_labels) &amp; ":" &amp; ADDRESS(2+F224,(B224+1)*2-1,4),"")</f>
        <v/>
      </c>
      <c r="M224" s="14" t="str">
        <f ca="1">IF(F224&gt;0,ADDRESS(3,(B224+1)*2,4,,"["&amp;wew!$G$7&amp;"]"&amp;_sheetname_labels)&amp;":"&amp;ADDRESS(2+F224,(B224+1)*2,4),"")</f>
        <v/>
      </c>
      <c r="N224" s="14" t="str">
        <f ca="1">ADDRESS(3,B224+1,4,,"[" &amp; wew!$G$7 &amp; "]" &amp;_sheetname_dataframe) &amp; ":" &amp; ADDRESS(2+ster!$C$14,B224+1,4)</f>
        <v>'[dane surowe2c.xlsm]data_frame'!HO3:HO35</v>
      </c>
      <c r="O224" s="14">
        <f t="shared" ca="1" si="53"/>
        <v>2</v>
      </c>
      <c r="P224" s="14">
        <f ca="1">IF(AND($AD224,$S224=1),IF(wew!$B$3,MIN(INDIRECT($N224)),"&lt;włącz podświetlanie wartości&gt;"),"—")</f>
        <v>20</v>
      </c>
      <c r="Q224" s="14">
        <f ca="1">IF(AND($AD224,$S224=1),IF(wew!$B$3,MAX(INDIRECT($N224)),"&lt;włącz podświetlanie wartości&gt;"),"—")</f>
        <v>20</v>
      </c>
      <c r="R224" s="14">
        <f ca="1">IF(AD224,ster!$C$14- (COUNTIF( INDIRECT(N224),"" )+ COUNT(INDIRECT(N224)) +COUNTIF( INDIRECT(N224),"NA" )),"")</f>
        <v>0</v>
      </c>
      <c r="S224" s="12">
        <f ca="1">IF(AD224,IF(COUNTA(INDIRECT(N224))=0,0, 1-(ster!$C$14- COUNT(INDIRECT(N224)) -COUNTIF( INDIRECT(N224),"" )) /COUNTA(INDIRECT(N224))),"")</f>
        <v>1</v>
      </c>
      <c r="T224" s="17" t="str">
        <f t="array" aca="1" ref="T224" ca="1">IF(L224&lt;&gt;"",SUM(IF(INDIRECT(L224)&lt;&gt;INT(INDIRECT(L224)),1,0)),"")</f>
        <v/>
      </c>
      <c r="U224" s="17">
        <f t="array" aca="1" ref="U224" ca="1">IF(S224=1,SUM(IF(ISNUMBER(INDIRECT(N224)),IF(INDIRECT(N224)&lt;&gt;INT(INDIRECT(N224)),1,0),0)),"")</f>
        <v>0</v>
      </c>
      <c r="V224" s="17">
        <f t="shared" ca="1" si="54"/>
        <v>1</v>
      </c>
      <c r="W224" s="17">
        <f t="shared" ca="1" si="55"/>
        <v>0</v>
      </c>
      <c r="X224" s="24" t="str">
        <f t="array" aca="1" ref="X224" ca="1">IF(AD224,IF(AG224&lt;&gt;"",AG224,IF(J224,MIN(INDIRECT( K224)),"")),"")</f>
        <v/>
      </c>
      <c r="Y224" s="17" t="str">
        <f t="array" aca="1" ref="Y224" ca="1">IF(AD224,IF(AH224&lt;&gt;"",AH224,IF(J224,MAX(INDIRECT( K224)),"")),"")</f>
        <v/>
      </c>
      <c r="Z224" s="17" t="b">
        <f t="shared" ca="1" si="56"/>
        <v>0</v>
      </c>
      <c r="AC224" s="17" t="b">
        <f t="shared" ca="1" si="57"/>
        <v>0</v>
      </c>
      <c r="AD224" s="14" t="b">
        <f t="shared" ca="1" si="58"/>
        <v>1</v>
      </c>
      <c r="AE224" s="15" t="b">
        <f t="shared" ca="1" si="59"/>
        <v>0</v>
      </c>
      <c r="AF224" s="16"/>
      <c r="AG224" s="16"/>
      <c r="AH224" s="16"/>
      <c r="AI224" s="16"/>
      <c r="AJ224" s="16"/>
      <c r="AK224" s="16"/>
      <c r="AL224" s="16"/>
      <c r="AM224" s="16"/>
    </row>
    <row r="225" spans="2:39">
      <c r="B225" s="14">
        <f t="shared" si="48"/>
        <v>223</v>
      </c>
      <c r="C225" s="14" t="str">
        <f t="shared" ca="1" si="49"/>
        <v>D</v>
      </c>
      <c r="D225" s="14" t="str">
        <f t="shared" ca="1" si="50"/>
        <v>q_50e.3</v>
      </c>
      <c r="E225" s="14" t="str">
        <f t="shared" ca="1" si="47"/>
        <v>vigorous Dancing activity</v>
      </c>
      <c r="F225" s="14">
        <f t="shared" ca="1" si="46"/>
        <v>2</v>
      </c>
      <c r="G225" s="14" t="str">
        <f t="shared" ca="1" si="51"/>
        <v>q_50e.3</v>
      </c>
      <c r="H225" s="14">
        <f ca="1">IF(G225&lt;&gt;"",IFERROR( IsVariableNameLegal(G225),0),0)+IF(COUNTIF(INDIRECT(wew!$C$13),G225)&gt;1,10,0)</f>
        <v>0</v>
      </c>
      <c r="I225" s="14">
        <f ca="1">IF(E225&lt;&gt;"",IF(LEN(E225)&gt;150,1,0)+IF(COUNTIF(INDIRECT(wew!$C$15),E225)&gt;1,10,0),0)</f>
        <v>0</v>
      </c>
      <c r="J225" s="14" t="b">
        <f t="shared" ca="1" si="52"/>
        <v>1</v>
      </c>
      <c r="K225" s="14" t="str">
        <f ca="1">ADDRESS(3,(B225+1)*2-1,4,,"[" &amp; wew!$G$7 &amp; "]" &amp; _sheetname_labels) &amp; ":" &amp; ADDRESS(2+ster!$B$20,(B225+1)*2-1,4)</f>
        <v>'[dane surowe2c.xlsm]labels'!QE3:QE36</v>
      </c>
      <c r="L225" s="14" t="str">
        <f ca="1">IF(F225&gt;0,ADDRESS(3,(B225+1)*2-1,4,,"[" &amp; wew!$G$7 &amp; "]" &amp; _sheetname_labels) &amp; ":" &amp; ADDRESS(2+F225,(B225+1)*2-1,4),"")</f>
        <v>'[dane surowe2c.xlsm]labels'!QE3:QE4</v>
      </c>
      <c r="M225" s="14" t="str">
        <f ca="1">IF(F225&gt;0,ADDRESS(3,(B225+1)*2,4,,"["&amp;wew!$G$7&amp;"]"&amp;_sheetname_labels)&amp;":"&amp;ADDRESS(2+F225,(B225+1)*2,4),"")</f>
        <v>'[dane surowe2c.xlsm]labels'!QF3:QF4</v>
      </c>
      <c r="N225" s="14" t="str">
        <f ca="1">ADDRESS(3,B225+1,4,,"[" &amp; wew!$G$7 &amp; "]" &amp;_sheetname_dataframe) &amp; ":" &amp; ADDRESS(2+ster!$C$14,B225+1,4)</f>
        <v>'[dane surowe2c.xlsm]data_frame'!HP3:HP35</v>
      </c>
      <c r="O225" s="14">
        <f t="shared" ca="1" si="53"/>
        <v>32</v>
      </c>
      <c r="P225" s="14">
        <f ca="1">IF(AND($AD225,$S225=1),IF(wew!$B$3,MIN(INDIRECT($N225)),"&lt;włącz podświetlanie wartości&gt;"),"—")</f>
        <v>2</v>
      </c>
      <c r="Q225" s="14">
        <f ca="1">IF(AND($AD225,$S225=1),IF(wew!$B$3,MAX(INDIRECT($N225)),"&lt;włącz podświetlanie wartości&gt;"),"—")</f>
        <v>2</v>
      </c>
      <c r="R225" s="14">
        <f ca="1">IF(AD225,ster!$C$14- (COUNTIF( INDIRECT(N225),"" )+ COUNT(INDIRECT(N225)) +COUNTIF( INDIRECT(N225),"NA" )),"")</f>
        <v>0</v>
      </c>
      <c r="S225" s="12">
        <f ca="1">IF(AD225,IF(COUNTA(INDIRECT(N225))=0,0, 1-(ster!$C$14- COUNT(INDIRECT(N225)) -COUNTIF( INDIRECT(N225),"" )) /COUNTA(INDIRECT(N225))),"")</f>
        <v>1</v>
      </c>
      <c r="T225" s="17">
        <f t="array" aca="1" ref="T225" ca="1">IF(L225&lt;&gt;"",SUM(IF(INDIRECT(L225)&lt;&gt;INT(INDIRECT(L225)),1,0)),"")</f>
        <v>0</v>
      </c>
      <c r="U225" s="17">
        <f t="array" aca="1" ref="U225" ca="1">IF(S225=1,SUM(IF(ISNUMBER(INDIRECT(N225)),IF(INDIRECT(N225)&lt;&gt;INT(INDIRECT(N225)),1,0),0)),"")</f>
        <v>0</v>
      </c>
      <c r="V225" s="17">
        <f t="shared" ca="1" si="54"/>
        <v>1</v>
      </c>
      <c r="W225" s="17">
        <f t="shared" ca="1" si="55"/>
        <v>0</v>
      </c>
      <c r="X225" s="24">
        <f t="array" aca="1" ref="X225" ca="1">IF(AD225,IF(AG225&lt;&gt;"",AG225,IF(J225,MIN(INDIRECT( K225)),"")),"")</f>
        <v>1</v>
      </c>
      <c r="Y225" s="17">
        <f t="array" aca="1" ref="Y225" ca="1">IF(AD225,IF(AH225&lt;&gt;"",AH225,IF(J225,MAX(INDIRECT( K225)),"")),"")</f>
        <v>2</v>
      </c>
      <c r="Z225" s="17" t="b">
        <f t="shared" ca="1" si="56"/>
        <v>1</v>
      </c>
      <c r="AC225" s="17" t="b">
        <f t="shared" ca="1" si="57"/>
        <v>0</v>
      </c>
      <c r="AD225" s="14" t="b">
        <f t="shared" ca="1" si="58"/>
        <v>1</v>
      </c>
      <c r="AE225" s="15" t="b">
        <f t="shared" ca="1" si="59"/>
        <v>1</v>
      </c>
      <c r="AF225" s="16"/>
      <c r="AG225" s="16"/>
      <c r="AH225" s="16"/>
      <c r="AI225" s="16"/>
      <c r="AJ225" s="16"/>
      <c r="AK225" s="16"/>
      <c r="AL225" s="16"/>
      <c r="AM225" s="16"/>
    </row>
    <row r="226" spans="2:39">
      <c r="B226" s="14">
        <f t="shared" si="48"/>
        <v>224</v>
      </c>
      <c r="C226" s="14" t="str">
        <f t="shared" ca="1" si="49"/>
        <v>I</v>
      </c>
      <c r="D226" s="14" t="str">
        <f t="shared" ca="1" si="50"/>
        <v>q_50e.4</v>
      </c>
      <c r="E226" s="14" t="str">
        <f t="shared" ca="1" si="47"/>
        <v>How long Dancing activity</v>
      </c>
      <c r="F226" s="14">
        <f t="shared" ca="1" si="46"/>
        <v>0</v>
      </c>
      <c r="G226" s="14" t="str">
        <f t="shared" ca="1" si="51"/>
        <v>q_50e.4</v>
      </c>
      <c r="H226" s="14">
        <f ca="1">IF(G226&lt;&gt;"",IFERROR( IsVariableNameLegal(G226),0),0)+IF(COUNTIF(INDIRECT(wew!$C$13),G226)&gt;1,10,0)</f>
        <v>0</v>
      </c>
      <c r="I226" s="14">
        <f ca="1">IF(E226&lt;&gt;"",IF(LEN(E226)&gt;150,1,0)+IF(COUNTIF(INDIRECT(wew!$C$15),E226)&gt;1,10,0),0)</f>
        <v>10</v>
      </c>
      <c r="J226" s="14" t="b">
        <f t="shared" ca="1" si="52"/>
        <v>0</v>
      </c>
      <c r="K226" s="14" t="str">
        <f ca="1">ADDRESS(3,(B226+1)*2-1,4,,"[" &amp; wew!$G$7 &amp; "]" &amp; _sheetname_labels) &amp; ":" &amp; ADDRESS(2+ster!$B$20,(B226+1)*2-1,4)</f>
        <v>'[dane surowe2c.xlsm]labels'!QG3:QG36</v>
      </c>
      <c r="L226" s="14" t="str">
        <f ca="1">IF(F226&gt;0,ADDRESS(3,(B226+1)*2-1,4,,"[" &amp; wew!$G$7 &amp; "]" &amp; _sheetname_labels) &amp; ":" &amp; ADDRESS(2+F226,(B226+1)*2-1,4),"")</f>
        <v/>
      </c>
      <c r="M226" s="14" t="str">
        <f ca="1">IF(F226&gt;0,ADDRESS(3,(B226+1)*2,4,,"["&amp;wew!$G$7&amp;"]"&amp;_sheetname_labels)&amp;":"&amp;ADDRESS(2+F226,(B226+1)*2,4),"")</f>
        <v/>
      </c>
      <c r="N226" s="14" t="str">
        <f ca="1">ADDRESS(3,B226+1,4,,"[" &amp; wew!$G$7 &amp; "]" &amp;_sheetname_dataframe) &amp; ":" &amp; ADDRESS(2+ster!$C$14,B226+1,4)</f>
        <v>'[dane surowe2c.xlsm]data_frame'!HQ3:HQ35</v>
      </c>
      <c r="O226" s="14">
        <f t="shared" ca="1" si="53"/>
        <v>0</v>
      </c>
      <c r="P226" s="14" t="str">
        <f ca="1">IF(AND($AD226,$S226=1),IF(wew!$B$3,MIN(INDIRECT($N226)),"&lt;włącz podświetlanie wartości&gt;"),"—")</f>
        <v>—</v>
      </c>
      <c r="Q226" s="14" t="str">
        <f ca="1">IF(AND($AD226,$S226=1),IF(wew!$B$3,MAX(INDIRECT($N226)),"&lt;włącz podświetlanie wartości&gt;"),"—")</f>
        <v>—</v>
      </c>
      <c r="R226" s="14">
        <f ca="1">IF(AD226,ster!$C$14- (COUNTIF( INDIRECT(N226),"" )+ COUNT(INDIRECT(N226)) +COUNTIF( INDIRECT(N226),"NA" )),"")</f>
        <v>0</v>
      </c>
      <c r="S226" s="12">
        <f ca="1">IF(AD226,IF(COUNTA(INDIRECT(N226))=0,0, 1-(ster!$C$14- COUNT(INDIRECT(N226)) -COUNTIF( INDIRECT(N226),"" )) /COUNTA(INDIRECT(N226))),"")</f>
        <v>0</v>
      </c>
      <c r="T226" s="17" t="str">
        <f t="array" aca="1" ref="T226" ca="1">IF(L226&lt;&gt;"",SUM(IF(INDIRECT(L226)&lt;&gt;INT(INDIRECT(L226)),1,0)),"")</f>
        <v/>
      </c>
      <c r="U226" s="17" t="str">
        <f t="array" aca="1" ref="U226" ca="1">IF(S226=1,SUM(IF(ISNUMBER(INDIRECT(N226)),IF(INDIRECT(N226)&lt;&gt;INT(INDIRECT(N226)),1,0),0)),"")</f>
        <v/>
      </c>
      <c r="V226" s="17">
        <f t="shared" ca="1" si="54"/>
        <v>0</v>
      </c>
      <c r="W226" s="17">
        <f t="shared" ca="1" si="55"/>
        <v>0</v>
      </c>
      <c r="X226" s="24" t="str">
        <f t="array" aca="1" ref="X226" ca="1">IF(AD226,IF(AG226&lt;&gt;"",AG226,IF(J226,MIN(INDIRECT( K226)),"")),"")</f>
        <v/>
      </c>
      <c r="Y226" s="17" t="str">
        <f t="array" aca="1" ref="Y226" ca="1">IF(AD226,IF(AH226&lt;&gt;"",AH226,IF(J226,MAX(INDIRECT( K226)),"")),"")</f>
        <v/>
      </c>
      <c r="Z226" s="17" t="b">
        <f t="shared" ca="1" si="56"/>
        <v>0</v>
      </c>
      <c r="AC226" s="17" t="b">
        <f t="shared" ca="1" si="57"/>
        <v>0</v>
      </c>
      <c r="AD226" s="14" t="b">
        <f t="shared" ca="1" si="58"/>
        <v>1</v>
      </c>
      <c r="AE226" s="15" t="b">
        <f t="shared" ca="1" si="59"/>
        <v>0</v>
      </c>
      <c r="AF226" s="16"/>
      <c r="AG226" s="16"/>
      <c r="AH226" s="16"/>
      <c r="AI226" s="16"/>
      <c r="AJ226" s="16"/>
      <c r="AK226" s="16"/>
      <c r="AL226" s="16"/>
      <c r="AM226" s="16"/>
    </row>
    <row r="227" spans="2:39">
      <c r="B227" s="14">
        <f t="shared" si="48"/>
        <v>225</v>
      </c>
      <c r="C227" s="14" t="str">
        <f t="shared" ca="1" si="49"/>
        <v>D</v>
      </c>
      <c r="D227" s="14" t="str">
        <f t="shared" ca="1" si="50"/>
        <v>q_50f.3</v>
      </c>
      <c r="E227" s="14" t="str">
        <f t="shared" ca="1" si="47"/>
        <v>vigorous Diving activity</v>
      </c>
      <c r="F227" s="14">
        <f t="shared" ref="F227:F290" ca="1" si="60">IF(AD227,COUNT(INDIRECT(K227)),0)</f>
        <v>2</v>
      </c>
      <c r="G227" s="14" t="str">
        <f t="shared" ca="1" si="51"/>
        <v>q_50f.3</v>
      </c>
      <c r="H227" s="14">
        <f ca="1">IF(G227&lt;&gt;"",IFERROR( IsVariableNameLegal(G227),0),0)+IF(COUNTIF(INDIRECT(wew!$C$13),G227)&gt;1,10,0)</f>
        <v>0</v>
      </c>
      <c r="I227" s="14">
        <f ca="1">IF(E227&lt;&gt;"",IF(LEN(E227)&gt;150,1,0)+IF(COUNTIF(INDIRECT(wew!$C$15),E227)&gt;1,10,0),0)</f>
        <v>0</v>
      </c>
      <c r="J227" s="14" t="b">
        <f t="shared" ca="1" si="52"/>
        <v>1</v>
      </c>
      <c r="K227" s="14" t="str">
        <f ca="1">ADDRESS(3,(B227+1)*2-1,4,,"[" &amp; wew!$G$7 &amp; "]" &amp; _sheetname_labels) &amp; ":" &amp; ADDRESS(2+ster!$B$20,(B227+1)*2-1,4)</f>
        <v>'[dane surowe2c.xlsm]labels'!QI3:QI36</v>
      </c>
      <c r="L227" s="14" t="str">
        <f ca="1">IF(F227&gt;0,ADDRESS(3,(B227+1)*2-1,4,,"[" &amp; wew!$G$7 &amp; "]" &amp; _sheetname_labels) &amp; ":" &amp; ADDRESS(2+F227,(B227+1)*2-1,4),"")</f>
        <v>'[dane surowe2c.xlsm]labels'!QI3:QI4</v>
      </c>
      <c r="M227" s="14" t="str">
        <f ca="1">IF(F227&gt;0,ADDRESS(3,(B227+1)*2,4,,"["&amp;wew!$G$7&amp;"]"&amp;_sheetname_labels)&amp;":"&amp;ADDRESS(2+F227,(B227+1)*2,4),"")</f>
        <v>'[dane surowe2c.xlsm]labels'!QJ3:QJ4</v>
      </c>
      <c r="N227" s="14" t="str">
        <f ca="1">ADDRESS(3,B227+1,4,,"[" &amp; wew!$G$7 &amp; "]" &amp;_sheetname_dataframe) &amp; ":" &amp; ADDRESS(2+ster!$C$14,B227+1,4)</f>
        <v>'[dane surowe2c.xlsm]data_frame'!HR3:HR35</v>
      </c>
      <c r="O227" s="14">
        <f t="shared" ca="1" si="53"/>
        <v>32</v>
      </c>
      <c r="P227" s="14">
        <f ca="1">IF(AND($AD227,$S227=1),IF(wew!$B$3,MIN(INDIRECT($N227)),"&lt;włącz podświetlanie wartości&gt;"),"—")</f>
        <v>2</v>
      </c>
      <c r="Q227" s="14">
        <f ca="1">IF(AND($AD227,$S227=1),IF(wew!$B$3,MAX(INDIRECT($N227)),"&lt;włącz podświetlanie wartości&gt;"),"—")</f>
        <v>2</v>
      </c>
      <c r="R227" s="14">
        <f ca="1">IF(AD227,ster!$C$14- (COUNTIF( INDIRECT(N227),"" )+ COUNT(INDIRECT(N227)) +COUNTIF( INDIRECT(N227),"NA" )),"")</f>
        <v>0</v>
      </c>
      <c r="S227" s="12">
        <f ca="1">IF(AD227,IF(COUNTA(INDIRECT(N227))=0,0, 1-(ster!$C$14- COUNT(INDIRECT(N227)) -COUNTIF( INDIRECT(N227),"" )) /COUNTA(INDIRECT(N227))),"")</f>
        <v>1</v>
      </c>
      <c r="T227" s="17">
        <f t="array" aca="1" ref="T227" ca="1">IF(L227&lt;&gt;"",SUM(IF(INDIRECT(L227)&lt;&gt;INT(INDIRECT(L227)),1,0)),"")</f>
        <v>0</v>
      </c>
      <c r="U227" s="17">
        <f t="array" aca="1" ref="U227" ca="1">IF(S227=1,SUM(IF(ISNUMBER(INDIRECT(N227)),IF(INDIRECT(N227)&lt;&gt;INT(INDIRECT(N227)),1,0),0)),"")</f>
        <v>0</v>
      </c>
      <c r="V227" s="17">
        <f t="shared" ca="1" si="54"/>
        <v>1</v>
      </c>
      <c r="W227" s="17">
        <f t="shared" ca="1" si="55"/>
        <v>0</v>
      </c>
      <c r="X227" s="24">
        <f t="array" aca="1" ref="X227" ca="1">IF(AD227,IF(AG227&lt;&gt;"",AG227,IF(J227,MIN(INDIRECT( K227)),"")),"")</f>
        <v>1</v>
      </c>
      <c r="Y227" s="17">
        <f t="array" aca="1" ref="Y227" ca="1">IF(AD227,IF(AH227&lt;&gt;"",AH227,IF(J227,MAX(INDIRECT( K227)),"")),"")</f>
        <v>2</v>
      </c>
      <c r="Z227" s="17" t="b">
        <f t="shared" ca="1" si="56"/>
        <v>1</v>
      </c>
      <c r="AC227" s="17" t="b">
        <f t="shared" ca="1" si="57"/>
        <v>0</v>
      </c>
      <c r="AD227" s="14" t="b">
        <f t="shared" ca="1" si="58"/>
        <v>1</v>
      </c>
      <c r="AE227" s="15" t="b">
        <f t="shared" ca="1" si="59"/>
        <v>1</v>
      </c>
      <c r="AF227" s="16"/>
      <c r="AG227" s="16"/>
      <c r="AH227" s="16"/>
      <c r="AI227" s="16"/>
      <c r="AJ227" s="16"/>
      <c r="AK227" s="16"/>
      <c r="AL227" s="16"/>
      <c r="AM227" s="16"/>
    </row>
    <row r="228" spans="2:39">
      <c r="B228" s="14">
        <f t="shared" si="48"/>
        <v>226</v>
      </c>
      <c r="C228" s="14" t="str">
        <f t="shared" ca="1" si="49"/>
        <v>I</v>
      </c>
      <c r="D228" s="14" t="str">
        <f t="shared" ca="1" si="50"/>
        <v>q_50f.4</v>
      </c>
      <c r="E228" s="14" t="str">
        <f t="shared" ca="1" si="47"/>
        <v>How long Diving activity</v>
      </c>
      <c r="F228" s="14">
        <f t="shared" ca="1" si="60"/>
        <v>0</v>
      </c>
      <c r="G228" s="14" t="str">
        <f t="shared" ca="1" si="51"/>
        <v>q_50f.4</v>
      </c>
      <c r="H228" s="14">
        <f ca="1">IF(G228&lt;&gt;"",IFERROR( IsVariableNameLegal(G228),0),0)+IF(COUNTIF(INDIRECT(wew!$C$13),G228)&gt;1,10,0)</f>
        <v>0</v>
      </c>
      <c r="I228" s="14">
        <f ca="1">IF(E228&lt;&gt;"",IF(LEN(E228)&gt;150,1,0)+IF(COUNTIF(INDIRECT(wew!$C$15),E228)&gt;1,10,0),0)</f>
        <v>10</v>
      </c>
      <c r="J228" s="14" t="b">
        <f t="shared" ca="1" si="52"/>
        <v>0</v>
      </c>
      <c r="K228" s="14" t="str">
        <f ca="1">ADDRESS(3,(B228+1)*2-1,4,,"[" &amp; wew!$G$7 &amp; "]" &amp; _sheetname_labels) &amp; ":" &amp; ADDRESS(2+ster!$B$20,(B228+1)*2-1,4)</f>
        <v>'[dane surowe2c.xlsm]labels'!QK3:QK36</v>
      </c>
      <c r="L228" s="14" t="str">
        <f ca="1">IF(F228&gt;0,ADDRESS(3,(B228+1)*2-1,4,,"[" &amp; wew!$G$7 &amp; "]" &amp; _sheetname_labels) &amp; ":" &amp; ADDRESS(2+F228,(B228+1)*2-1,4),"")</f>
        <v/>
      </c>
      <c r="M228" s="14" t="str">
        <f ca="1">IF(F228&gt;0,ADDRESS(3,(B228+1)*2,4,,"["&amp;wew!$G$7&amp;"]"&amp;_sheetname_labels)&amp;":"&amp;ADDRESS(2+F228,(B228+1)*2,4),"")</f>
        <v/>
      </c>
      <c r="N228" s="14" t="str">
        <f ca="1">ADDRESS(3,B228+1,4,,"[" &amp; wew!$G$7 &amp; "]" &amp;_sheetname_dataframe) &amp; ":" &amp; ADDRESS(2+ster!$C$14,B228+1,4)</f>
        <v>'[dane surowe2c.xlsm]data_frame'!HS3:HS35</v>
      </c>
      <c r="O228" s="14">
        <f t="shared" ca="1" si="53"/>
        <v>0</v>
      </c>
      <c r="P228" s="14" t="str">
        <f ca="1">IF(AND($AD228,$S228=1),IF(wew!$B$3,MIN(INDIRECT($N228)),"&lt;włącz podświetlanie wartości&gt;"),"—")</f>
        <v>—</v>
      </c>
      <c r="Q228" s="14" t="str">
        <f ca="1">IF(AND($AD228,$S228=1),IF(wew!$B$3,MAX(INDIRECT($N228)),"&lt;włącz podświetlanie wartości&gt;"),"—")</f>
        <v>—</v>
      </c>
      <c r="R228" s="14">
        <f ca="1">IF(AD228,ster!$C$14- (COUNTIF( INDIRECT(N228),"" )+ COUNT(INDIRECT(N228)) +COUNTIF( INDIRECT(N228),"NA" )),"")</f>
        <v>0</v>
      </c>
      <c r="S228" s="12">
        <f ca="1">IF(AD228,IF(COUNTA(INDIRECT(N228))=0,0, 1-(ster!$C$14- COUNT(INDIRECT(N228)) -COUNTIF( INDIRECT(N228),"" )) /COUNTA(INDIRECT(N228))),"")</f>
        <v>0</v>
      </c>
      <c r="T228" s="17" t="str">
        <f t="array" aca="1" ref="T228" ca="1">IF(L228&lt;&gt;"",SUM(IF(INDIRECT(L228)&lt;&gt;INT(INDIRECT(L228)),1,0)),"")</f>
        <v/>
      </c>
      <c r="U228" s="17" t="str">
        <f t="array" aca="1" ref="U228" ca="1">IF(S228=1,SUM(IF(ISNUMBER(INDIRECT(N228)),IF(INDIRECT(N228)&lt;&gt;INT(INDIRECT(N228)),1,0),0)),"")</f>
        <v/>
      </c>
      <c r="V228" s="17">
        <f t="shared" ca="1" si="54"/>
        <v>0</v>
      </c>
      <c r="W228" s="17">
        <f t="shared" ca="1" si="55"/>
        <v>0</v>
      </c>
      <c r="X228" s="24" t="str">
        <f t="array" aca="1" ref="X228" ca="1">IF(AD228,IF(AG228&lt;&gt;"",AG228,IF(J228,MIN(INDIRECT( K228)),"")),"")</f>
        <v/>
      </c>
      <c r="Y228" s="17" t="str">
        <f t="array" aca="1" ref="Y228" ca="1">IF(AD228,IF(AH228&lt;&gt;"",AH228,IF(J228,MAX(INDIRECT( K228)),"")),"")</f>
        <v/>
      </c>
      <c r="Z228" s="17" t="b">
        <f t="shared" ca="1" si="56"/>
        <v>0</v>
      </c>
      <c r="AC228" s="17" t="b">
        <f t="shared" ca="1" si="57"/>
        <v>0</v>
      </c>
      <c r="AD228" s="14" t="b">
        <f t="shared" ca="1" si="58"/>
        <v>1</v>
      </c>
      <c r="AE228" s="15" t="b">
        <f t="shared" ca="1" si="59"/>
        <v>0</v>
      </c>
      <c r="AF228" s="16"/>
      <c r="AG228" s="16"/>
      <c r="AH228" s="16"/>
      <c r="AI228" s="16"/>
      <c r="AJ228" s="16"/>
      <c r="AK228" s="16"/>
      <c r="AL228" s="16"/>
      <c r="AM228" s="16"/>
    </row>
    <row r="229" spans="2:39">
      <c r="B229" s="14">
        <f t="shared" si="48"/>
        <v>227</v>
      </c>
      <c r="C229" s="14" t="str">
        <f t="shared" ca="1" si="49"/>
        <v>D</v>
      </c>
      <c r="D229" s="14" t="str">
        <f t="shared" ca="1" si="50"/>
        <v>q_50g.3</v>
      </c>
      <c r="E229" s="14" t="str">
        <f t="shared" ca="1" si="47"/>
        <v>vigorous Fast walking activity</v>
      </c>
      <c r="F229" s="14">
        <f t="shared" ca="1" si="60"/>
        <v>2</v>
      </c>
      <c r="G229" s="14" t="str">
        <f t="shared" ca="1" si="51"/>
        <v>q_50g.3</v>
      </c>
      <c r="H229" s="14">
        <f ca="1">IF(G229&lt;&gt;"",IFERROR( IsVariableNameLegal(G229),0),0)+IF(COUNTIF(INDIRECT(wew!$C$13),G229)&gt;1,10,0)</f>
        <v>0</v>
      </c>
      <c r="I229" s="14">
        <f ca="1">IF(E229&lt;&gt;"",IF(LEN(E229)&gt;150,1,0)+IF(COUNTIF(INDIRECT(wew!$C$15),E229)&gt;1,10,0),0)</f>
        <v>0</v>
      </c>
      <c r="J229" s="14" t="b">
        <f t="shared" ca="1" si="52"/>
        <v>1</v>
      </c>
      <c r="K229" s="14" t="str">
        <f ca="1">ADDRESS(3,(B229+1)*2-1,4,,"[" &amp; wew!$G$7 &amp; "]" &amp; _sheetname_labels) &amp; ":" &amp; ADDRESS(2+ster!$B$20,(B229+1)*2-1,4)</f>
        <v>'[dane surowe2c.xlsm]labels'!QM3:QM36</v>
      </c>
      <c r="L229" s="14" t="str">
        <f ca="1">IF(F229&gt;0,ADDRESS(3,(B229+1)*2-1,4,,"[" &amp; wew!$G$7 &amp; "]" &amp; _sheetname_labels) &amp; ":" &amp; ADDRESS(2+F229,(B229+1)*2-1,4),"")</f>
        <v>'[dane surowe2c.xlsm]labels'!QM3:QM4</v>
      </c>
      <c r="M229" s="14" t="str">
        <f ca="1">IF(F229&gt;0,ADDRESS(3,(B229+1)*2,4,,"["&amp;wew!$G$7&amp;"]"&amp;_sheetname_labels)&amp;":"&amp;ADDRESS(2+F229,(B229+1)*2,4),"")</f>
        <v>'[dane surowe2c.xlsm]labels'!QN3:QN4</v>
      </c>
      <c r="N229" s="14" t="str">
        <f ca="1">ADDRESS(3,B229+1,4,,"[" &amp; wew!$G$7 &amp; "]" &amp;_sheetname_dataframe) &amp; ":" &amp; ADDRESS(2+ster!$C$14,B229+1,4)</f>
        <v>'[dane surowe2c.xlsm]data_frame'!HT3:HT35</v>
      </c>
      <c r="O229" s="14">
        <f t="shared" ca="1" si="53"/>
        <v>32</v>
      </c>
      <c r="P229" s="14">
        <f ca="1">IF(AND($AD229,$S229=1),IF(wew!$B$3,MIN(INDIRECT($N229)),"&lt;włącz podświetlanie wartości&gt;"),"—")</f>
        <v>1</v>
      </c>
      <c r="Q229" s="14">
        <f ca="1">IF(AND($AD229,$S229=1),IF(wew!$B$3,MAX(INDIRECT($N229)),"&lt;włącz podświetlanie wartości&gt;"),"—")</f>
        <v>2</v>
      </c>
      <c r="R229" s="14">
        <f ca="1">IF(AD229,ster!$C$14- (COUNTIF( INDIRECT(N229),"" )+ COUNT(INDIRECT(N229)) +COUNTIF( INDIRECT(N229),"NA" )),"")</f>
        <v>0</v>
      </c>
      <c r="S229" s="12">
        <f ca="1">IF(AD229,IF(COUNTA(INDIRECT(N229))=0,0, 1-(ster!$C$14- COUNT(INDIRECT(N229)) -COUNTIF( INDIRECT(N229),"" )) /COUNTA(INDIRECT(N229))),"")</f>
        <v>1</v>
      </c>
      <c r="T229" s="17">
        <f t="array" aca="1" ref="T229" ca="1">IF(L229&lt;&gt;"",SUM(IF(INDIRECT(L229)&lt;&gt;INT(INDIRECT(L229)),1,0)),"")</f>
        <v>0</v>
      </c>
      <c r="U229" s="17">
        <f t="array" aca="1" ref="U229" ca="1">IF(S229=1,SUM(IF(ISNUMBER(INDIRECT(N229)),IF(INDIRECT(N229)&lt;&gt;INT(INDIRECT(N229)),1,0),0)),"")</f>
        <v>0</v>
      </c>
      <c r="V229" s="17">
        <f t="shared" ca="1" si="54"/>
        <v>1</v>
      </c>
      <c r="W229" s="17">
        <f t="shared" ca="1" si="55"/>
        <v>0</v>
      </c>
      <c r="X229" s="24">
        <f t="array" aca="1" ref="X229" ca="1">IF(AD229,IF(AG229&lt;&gt;"",AG229,IF(J229,MIN(INDIRECT( K229)),"")),"")</f>
        <v>1</v>
      </c>
      <c r="Y229" s="17">
        <f t="array" aca="1" ref="Y229" ca="1">IF(AD229,IF(AH229&lt;&gt;"",AH229,IF(J229,MAX(INDIRECT( K229)),"")),"")</f>
        <v>2</v>
      </c>
      <c r="Z229" s="17" t="b">
        <f t="shared" ca="1" si="56"/>
        <v>1</v>
      </c>
      <c r="AC229" s="17" t="b">
        <f t="shared" ca="1" si="57"/>
        <v>0</v>
      </c>
      <c r="AD229" s="14" t="b">
        <f t="shared" ca="1" si="58"/>
        <v>1</v>
      </c>
      <c r="AE229" s="15" t="b">
        <f t="shared" ca="1" si="59"/>
        <v>1</v>
      </c>
      <c r="AF229" s="16"/>
      <c r="AG229" s="16"/>
      <c r="AH229" s="16"/>
      <c r="AI229" s="16"/>
      <c r="AJ229" s="16"/>
      <c r="AK229" s="16"/>
      <c r="AL229" s="16"/>
      <c r="AM229" s="16"/>
    </row>
    <row r="230" spans="2:39">
      <c r="B230" s="14">
        <f t="shared" si="48"/>
        <v>228</v>
      </c>
      <c r="C230" s="14" t="str">
        <f t="shared" ca="1" si="49"/>
        <v>I</v>
      </c>
      <c r="D230" s="14" t="str">
        <f t="shared" ca="1" si="50"/>
        <v>q_50g.4</v>
      </c>
      <c r="E230" s="14" t="str">
        <f t="shared" ca="1" si="47"/>
        <v>How long Fast walking activity</v>
      </c>
      <c r="F230" s="14">
        <f t="shared" ca="1" si="60"/>
        <v>0</v>
      </c>
      <c r="G230" s="14" t="str">
        <f t="shared" ca="1" si="51"/>
        <v>q_50g.4</v>
      </c>
      <c r="H230" s="14">
        <f ca="1">IF(G230&lt;&gt;"",IFERROR( IsVariableNameLegal(G230),0),0)+IF(COUNTIF(INDIRECT(wew!$C$13),G230)&gt;1,10,0)</f>
        <v>0</v>
      </c>
      <c r="I230" s="14">
        <f ca="1">IF(E230&lt;&gt;"",IF(LEN(E230)&gt;150,1,0)+IF(COUNTIF(INDIRECT(wew!$C$15),E230)&gt;1,10,0),0)</f>
        <v>10</v>
      </c>
      <c r="J230" s="14" t="b">
        <f t="shared" ca="1" si="52"/>
        <v>0</v>
      </c>
      <c r="K230" s="14" t="str">
        <f ca="1">ADDRESS(3,(B230+1)*2-1,4,,"[" &amp; wew!$G$7 &amp; "]" &amp; _sheetname_labels) &amp; ":" &amp; ADDRESS(2+ster!$B$20,(B230+1)*2-1,4)</f>
        <v>'[dane surowe2c.xlsm]labels'!QO3:QO36</v>
      </c>
      <c r="L230" s="14" t="str">
        <f ca="1">IF(F230&gt;0,ADDRESS(3,(B230+1)*2-1,4,,"[" &amp; wew!$G$7 &amp; "]" &amp; _sheetname_labels) &amp; ":" &amp; ADDRESS(2+F230,(B230+1)*2-1,4),"")</f>
        <v/>
      </c>
      <c r="M230" s="14" t="str">
        <f ca="1">IF(F230&gt;0,ADDRESS(3,(B230+1)*2,4,,"["&amp;wew!$G$7&amp;"]"&amp;_sheetname_labels)&amp;":"&amp;ADDRESS(2+F230,(B230+1)*2,4),"")</f>
        <v/>
      </c>
      <c r="N230" s="14" t="str">
        <f ca="1">ADDRESS(3,B230+1,4,,"[" &amp; wew!$G$7 &amp; "]" &amp;_sheetname_dataframe) &amp; ":" &amp; ADDRESS(2+ster!$C$14,B230+1,4)</f>
        <v>'[dane surowe2c.xlsm]data_frame'!HU3:HU35</v>
      </c>
      <c r="O230" s="14">
        <f t="shared" ca="1" si="53"/>
        <v>1</v>
      </c>
      <c r="P230" s="14">
        <f ca="1">IF(AND($AD230,$S230=1),IF(wew!$B$3,MIN(INDIRECT($N230)),"&lt;włącz podświetlanie wartości&gt;"),"—")</f>
        <v>20</v>
      </c>
      <c r="Q230" s="14">
        <f ca="1">IF(AND($AD230,$S230=1),IF(wew!$B$3,MAX(INDIRECT($N230)),"&lt;włącz podświetlanie wartości&gt;"),"—")</f>
        <v>20</v>
      </c>
      <c r="R230" s="14">
        <f ca="1">IF(AD230,ster!$C$14- (COUNTIF( INDIRECT(N230),"" )+ COUNT(INDIRECT(N230)) +COUNTIF( INDIRECT(N230),"NA" )),"")</f>
        <v>0</v>
      </c>
      <c r="S230" s="12">
        <f ca="1">IF(AD230,IF(COUNTA(INDIRECT(N230))=0,0, 1-(ster!$C$14- COUNT(INDIRECT(N230)) -COUNTIF( INDIRECT(N230),"" )) /COUNTA(INDIRECT(N230))),"")</f>
        <v>1</v>
      </c>
      <c r="T230" s="17" t="str">
        <f t="array" aca="1" ref="T230" ca="1">IF(L230&lt;&gt;"",SUM(IF(INDIRECT(L230)&lt;&gt;INT(INDIRECT(L230)),1,0)),"")</f>
        <v/>
      </c>
      <c r="U230" s="17">
        <f t="array" aca="1" ref="U230" ca="1">IF(S230=1,SUM(IF(ISNUMBER(INDIRECT(N230)),IF(INDIRECT(N230)&lt;&gt;INT(INDIRECT(N230)),1,0),0)),"")</f>
        <v>0</v>
      </c>
      <c r="V230" s="17">
        <f t="shared" ca="1" si="54"/>
        <v>1</v>
      </c>
      <c r="W230" s="17">
        <f t="shared" ca="1" si="55"/>
        <v>0</v>
      </c>
      <c r="X230" s="24" t="str">
        <f t="array" aca="1" ref="X230" ca="1">IF(AD230,IF(AG230&lt;&gt;"",AG230,IF(J230,MIN(INDIRECT( K230)),"")),"")</f>
        <v/>
      </c>
      <c r="Y230" s="17" t="str">
        <f t="array" aca="1" ref="Y230" ca="1">IF(AD230,IF(AH230&lt;&gt;"",AH230,IF(J230,MAX(INDIRECT( K230)),"")),"")</f>
        <v/>
      </c>
      <c r="Z230" s="17" t="b">
        <f t="shared" ca="1" si="56"/>
        <v>0</v>
      </c>
      <c r="AC230" s="17" t="b">
        <f t="shared" ca="1" si="57"/>
        <v>0</v>
      </c>
      <c r="AD230" s="14" t="b">
        <f t="shared" ca="1" si="58"/>
        <v>1</v>
      </c>
      <c r="AE230" s="15" t="b">
        <f t="shared" ca="1" si="59"/>
        <v>0</v>
      </c>
      <c r="AF230" s="16"/>
      <c r="AG230" s="16"/>
      <c r="AH230" s="16"/>
      <c r="AI230" s="16"/>
      <c r="AJ230" s="16"/>
      <c r="AK230" s="16"/>
      <c r="AL230" s="16"/>
      <c r="AM230" s="16"/>
    </row>
    <row r="231" spans="2:39">
      <c r="B231" s="14">
        <f t="shared" si="48"/>
        <v>229</v>
      </c>
      <c r="C231" s="14" t="str">
        <f t="shared" ca="1" si="49"/>
        <v>D</v>
      </c>
      <c r="D231" s="14" t="str">
        <f t="shared" ca="1" si="50"/>
        <v>q_50h.3</v>
      </c>
      <c r="E231" s="14" t="str">
        <f t="shared" ca="1" si="47"/>
        <v>vigorous Fencing activity</v>
      </c>
      <c r="F231" s="14">
        <f t="shared" ca="1" si="60"/>
        <v>2</v>
      </c>
      <c r="G231" s="14" t="str">
        <f t="shared" ca="1" si="51"/>
        <v>q_50h.3</v>
      </c>
      <c r="H231" s="14">
        <f ca="1">IF(G231&lt;&gt;"",IFERROR( IsVariableNameLegal(G231),0),0)+IF(COUNTIF(INDIRECT(wew!$C$13),G231)&gt;1,10,0)</f>
        <v>0</v>
      </c>
      <c r="I231" s="14">
        <f ca="1">IF(E231&lt;&gt;"",IF(LEN(E231)&gt;150,1,0)+IF(COUNTIF(INDIRECT(wew!$C$15),E231)&gt;1,10,0),0)</f>
        <v>0</v>
      </c>
      <c r="J231" s="14" t="b">
        <f t="shared" ca="1" si="52"/>
        <v>1</v>
      </c>
      <c r="K231" s="14" t="str">
        <f ca="1">ADDRESS(3,(B231+1)*2-1,4,,"[" &amp; wew!$G$7 &amp; "]" &amp; _sheetname_labels) &amp; ":" &amp; ADDRESS(2+ster!$B$20,(B231+1)*2-1,4)</f>
        <v>'[dane surowe2c.xlsm]labels'!QQ3:QQ36</v>
      </c>
      <c r="L231" s="14" t="str">
        <f ca="1">IF(F231&gt;0,ADDRESS(3,(B231+1)*2-1,4,,"[" &amp; wew!$G$7 &amp; "]" &amp; _sheetname_labels) &amp; ":" &amp; ADDRESS(2+F231,(B231+1)*2-1,4),"")</f>
        <v>'[dane surowe2c.xlsm]labels'!QQ3:QQ4</v>
      </c>
      <c r="M231" s="14" t="str">
        <f ca="1">IF(F231&gt;0,ADDRESS(3,(B231+1)*2,4,,"["&amp;wew!$G$7&amp;"]"&amp;_sheetname_labels)&amp;":"&amp;ADDRESS(2+F231,(B231+1)*2,4),"")</f>
        <v>'[dane surowe2c.xlsm]labels'!QR3:QR4</v>
      </c>
      <c r="N231" s="14" t="str">
        <f ca="1">ADDRESS(3,B231+1,4,,"[" &amp; wew!$G$7 &amp; "]" &amp;_sheetname_dataframe) &amp; ":" &amp; ADDRESS(2+ster!$C$14,B231+1,4)</f>
        <v>'[dane surowe2c.xlsm]data_frame'!HV3:HV35</v>
      </c>
      <c r="O231" s="14">
        <f t="shared" ca="1" si="53"/>
        <v>32</v>
      </c>
      <c r="P231" s="14">
        <f ca="1">IF(AND($AD231,$S231=1),IF(wew!$B$3,MIN(INDIRECT($N231)),"&lt;włącz podświetlanie wartości&gt;"),"—")</f>
        <v>2</v>
      </c>
      <c r="Q231" s="14">
        <f ca="1">IF(AND($AD231,$S231=1),IF(wew!$B$3,MAX(INDIRECT($N231)),"&lt;włącz podświetlanie wartości&gt;"),"—")</f>
        <v>2</v>
      </c>
      <c r="R231" s="14">
        <f ca="1">IF(AD231,ster!$C$14- (COUNTIF( INDIRECT(N231),"" )+ COUNT(INDIRECT(N231)) +COUNTIF( INDIRECT(N231),"NA" )),"")</f>
        <v>0</v>
      </c>
      <c r="S231" s="12">
        <f ca="1">IF(AD231,IF(COUNTA(INDIRECT(N231))=0,0, 1-(ster!$C$14- COUNT(INDIRECT(N231)) -COUNTIF( INDIRECT(N231),"" )) /COUNTA(INDIRECT(N231))),"")</f>
        <v>1</v>
      </c>
      <c r="T231" s="17">
        <f t="array" aca="1" ref="T231" ca="1">IF(L231&lt;&gt;"",SUM(IF(INDIRECT(L231)&lt;&gt;INT(INDIRECT(L231)),1,0)),"")</f>
        <v>0</v>
      </c>
      <c r="U231" s="17">
        <f t="array" aca="1" ref="U231" ca="1">IF(S231=1,SUM(IF(ISNUMBER(INDIRECT(N231)),IF(INDIRECT(N231)&lt;&gt;INT(INDIRECT(N231)),1,0),0)),"")</f>
        <v>0</v>
      </c>
      <c r="V231" s="17">
        <f t="shared" ca="1" si="54"/>
        <v>1</v>
      </c>
      <c r="W231" s="17">
        <f t="shared" ca="1" si="55"/>
        <v>0</v>
      </c>
      <c r="X231" s="24">
        <f t="array" aca="1" ref="X231" ca="1">IF(AD231,IF(AG231&lt;&gt;"",AG231,IF(J231,MIN(INDIRECT( K231)),"")),"")</f>
        <v>1</v>
      </c>
      <c r="Y231" s="17">
        <f t="array" aca="1" ref="Y231" ca="1">IF(AD231,IF(AH231&lt;&gt;"",AH231,IF(J231,MAX(INDIRECT( K231)),"")),"")</f>
        <v>2</v>
      </c>
      <c r="Z231" s="17" t="b">
        <f t="shared" ca="1" si="56"/>
        <v>1</v>
      </c>
      <c r="AC231" s="17" t="b">
        <f t="shared" ca="1" si="57"/>
        <v>0</v>
      </c>
      <c r="AD231" s="14" t="b">
        <f t="shared" ca="1" si="58"/>
        <v>1</v>
      </c>
      <c r="AE231" s="15" t="b">
        <f t="shared" ca="1" si="59"/>
        <v>1</v>
      </c>
      <c r="AF231" s="16"/>
      <c r="AG231" s="16"/>
      <c r="AH231" s="16"/>
      <c r="AI231" s="16"/>
      <c r="AJ231" s="16"/>
      <c r="AK231" s="16"/>
      <c r="AL231" s="16"/>
      <c r="AM231" s="16"/>
    </row>
    <row r="232" spans="2:39">
      <c r="B232" s="14">
        <f t="shared" si="48"/>
        <v>230</v>
      </c>
      <c r="C232" s="14" t="str">
        <f t="shared" ca="1" si="49"/>
        <v>I</v>
      </c>
      <c r="D232" s="14" t="str">
        <f t="shared" ca="1" si="50"/>
        <v>q_50h.4</v>
      </c>
      <c r="E232" s="14" t="str">
        <f t="shared" ca="1" si="47"/>
        <v>How long Fencing activity</v>
      </c>
      <c r="F232" s="14">
        <f t="shared" ca="1" si="60"/>
        <v>0</v>
      </c>
      <c r="G232" s="14" t="str">
        <f t="shared" ca="1" si="51"/>
        <v>q_50h.4</v>
      </c>
      <c r="H232" s="14">
        <f ca="1">IF(G232&lt;&gt;"",IFERROR( IsVariableNameLegal(G232),0),0)+IF(COUNTIF(INDIRECT(wew!$C$13),G232)&gt;1,10,0)</f>
        <v>0</v>
      </c>
      <c r="I232" s="14">
        <f ca="1">IF(E232&lt;&gt;"",IF(LEN(E232)&gt;150,1,0)+IF(COUNTIF(INDIRECT(wew!$C$15),E232)&gt;1,10,0),0)</f>
        <v>10</v>
      </c>
      <c r="J232" s="14" t="b">
        <f t="shared" ca="1" si="52"/>
        <v>0</v>
      </c>
      <c r="K232" s="14" t="str">
        <f ca="1">ADDRESS(3,(B232+1)*2-1,4,,"[" &amp; wew!$G$7 &amp; "]" &amp; _sheetname_labels) &amp; ":" &amp; ADDRESS(2+ster!$B$20,(B232+1)*2-1,4)</f>
        <v>'[dane surowe2c.xlsm]labels'!QS3:QS36</v>
      </c>
      <c r="L232" s="14" t="str">
        <f ca="1">IF(F232&gt;0,ADDRESS(3,(B232+1)*2-1,4,,"[" &amp; wew!$G$7 &amp; "]" &amp; _sheetname_labels) &amp; ":" &amp; ADDRESS(2+F232,(B232+1)*2-1,4),"")</f>
        <v/>
      </c>
      <c r="M232" s="14" t="str">
        <f ca="1">IF(F232&gt;0,ADDRESS(3,(B232+1)*2,4,,"["&amp;wew!$G$7&amp;"]"&amp;_sheetname_labels)&amp;":"&amp;ADDRESS(2+F232,(B232+1)*2,4),"")</f>
        <v/>
      </c>
      <c r="N232" s="14" t="str">
        <f ca="1">ADDRESS(3,B232+1,4,,"[" &amp; wew!$G$7 &amp; "]" &amp;_sheetname_dataframe) &amp; ":" &amp; ADDRESS(2+ster!$C$14,B232+1,4)</f>
        <v>'[dane surowe2c.xlsm]data_frame'!HW3:HW35</v>
      </c>
      <c r="O232" s="14">
        <f t="shared" ca="1" si="53"/>
        <v>0</v>
      </c>
      <c r="P232" s="14" t="str">
        <f ca="1">IF(AND($AD232,$S232=1),IF(wew!$B$3,MIN(INDIRECT($N232)),"&lt;włącz podświetlanie wartości&gt;"),"—")</f>
        <v>—</v>
      </c>
      <c r="Q232" s="14" t="str">
        <f ca="1">IF(AND($AD232,$S232=1),IF(wew!$B$3,MAX(INDIRECT($N232)),"&lt;włącz podświetlanie wartości&gt;"),"—")</f>
        <v>—</v>
      </c>
      <c r="R232" s="14">
        <f ca="1">IF(AD232,ster!$C$14- (COUNTIF( INDIRECT(N232),"" )+ COUNT(INDIRECT(N232)) +COUNTIF( INDIRECT(N232),"NA" )),"")</f>
        <v>0</v>
      </c>
      <c r="S232" s="12">
        <f ca="1">IF(AD232,IF(COUNTA(INDIRECT(N232))=0,0, 1-(ster!$C$14- COUNT(INDIRECT(N232)) -COUNTIF( INDIRECT(N232),"" )) /COUNTA(INDIRECT(N232))),"")</f>
        <v>0</v>
      </c>
      <c r="T232" s="17" t="str">
        <f t="array" aca="1" ref="T232" ca="1">IF(L232&lt;&gt;"",SUM(IF(INDIRECT(L232)&lt;&gt;INT(INDIRECT(L232)),1,0)),"")</f>
        <v/>
      </c>
      <c r="U232" s="17" t="str">
        <f t="array" aca="1" ref="U232" ca="1">IF(S232=1,SUM(IF(ISNUMBER(INDIRECT(N232)),IF(INDIRECT(N232)&lt;&gt;INT(INDIRECT(N232)),1,0),0)),"")</f>
        <v/>
      </c>
      <c r="V232" s="17">
        <f t="shared" ca="1" si="54"/>
        <v>0</v>
      </c>
      <c r="W232" s="17">
        <f t="shared" ca="1" si="55"/>
        <v>0</v>
      </c>
      <c r="X232" s="24" t="str">
        <f t="array" aca="1" ref="X232" ca="1">IF(AD232,IF(AG232&lt;&gt;"",AG232,IF(J232,MIN(INDIRECT( K232)),"")),"")</f>
        <v/>
      </c>
      <c r="Y232" s="17" t="str">
        <f t="array" aca="1" ref="Y232" ca="1">IF(AD232,IF(AH232&lt;&gt;"",AH232,IF(J232,MAX(INDIRECT( K232)),"")),"")</f>
        <v/>
      </c>
      <c r="Z232" s="17" t="b">
        <f t="shared" ca="1" si="56"/>
        <v>0</v>
      </c>
      <c r="AC232" s="17" t="b">
        <f t="shared" ca="1" si="57"/>
        <v>0</v>
      </c>
      <c r="AD232" s="14" t="b">
        <f t="shared" ca="1" si="58"/>
        <v>1</v>
      </c>
      <c r="AE232" s="15" t="b">
        <f t="shared" ca="1" si="59"/>
        <v>0</v>
      </c>
      <c r="AF232" s="16"/>
      <c r="AG232" s="16"/>
      <c r="AH232" s="16"/>
      <c r="AI232" s="16"/>
      <c r="AJ232" s="16"/>
      <c r="AK232" s="16"/>
      <c r="AL232" s="16"/>
      <c r="AM232" s="16"/>
    </row>
    <row r="233" spans="2:39">
      <c r="B233" s="14">
        <f t="shared" si="48"/>
        <v>231</v>
      </c>
      <c r="C233" s="14" t="str">
        <f t="shared" ca="1" si="49"/>
        <v>D</v>
      </c>
      <c r="D233" s="14" t="str">
        <f t="shared" ca="1" si="50"/>
        <v>q_50i.3</v>
      </c>
      <c r="E233" s="14" t="str">
        <f t="shared" ca="1" si="47"/>
        <v>vigorous Fitness activity</v>
      </c>
      <c r="F233" s="14">
        <f t="shared" ca="1" si="60"/>
        <v>2</v>
      </c>
      <c r="G233" s="14" t="str">
        <f t="shared" ca="1" si="51"/>
        <v>q_50i.3</v>
      </c>
      <c r="H233" s="14">
        <f ca="1">IF(G233&lt;&gt;"",IFERROR( IsVariableNameLegal(G233),0),0)+IF(COUNTIF(INDIRECT(wew!$C$13),G233)&gt;1,10,0)</f>
        <v>0</v>
      </c>
      <c r="I233" s="14">
        <f ca="1">IF(E233&lt;&gt;"",IF(LEN(E233)&gt;150,1,0)+IF(COUNTIF(INDIRECT(wew!$C$15),E233)&gt;1,10,0),0)</f>
        <v>0</v>
      </c>
      <c r="J233" s="14" t="b">
        <f t="shared" ca="1" si="52"/>
        <v>1</v>
      </c>
      <c r="K233" s="14" t="str">
        <f ca="1">ADDRESS(3,(B233+1)*2-1,4,,"[" &amp; wew!$G$7 &amp; "]" &amp; _sheetname_labels) &amp; ":" &amp; ADDRESS(2+ster!$B$20,(B233+1)*2-1,4)</f>
        <v>'[dane surowe2c.xlsm]labels'!QU3:QU36</v>
      </c>
      <c r="L233" s="14" t="str">
        <f ca="1">IF(F233&gt;0,ADDRESS(3,(B233+1)*2-1,4,,"[" &amp; wew!$G$7 &amp; "]" &amp; _sheetname_labels) &amp; ":" &amp; ADDRESS(2+F233,(B233+1)*2-1,4),"")</f>
        <v>'[dane surowe2c.xlsm]labels'!QU3:QU4</v>
      </c>
      <c r="M233" s="14" t="str">
        <f ca="1">IF(F233&gt;0,ADDRESS(3,(B233+1)*2,4,,"["&amp;wew!$G$7&amp;"]"&amp;_sheetname_labels)&amp;":"&amp;ADDRESS(2+F233,(B233+1)*2,4),"")</f>
        <v>'[dane surowe2c.xlsm]labels'!QV3:QV4</v>
      </c>
      <c r="N233" s="14" t="str">
        <f ca="1">ADDRESS(3,B233+1,4,,"[" &amp; wew!$G$7 &amp; "]" &amp;_sheetname_dataframe) &amp; ":" &amp; ADDRESS(2+ster!$C$14,B233+1,4)</f>
        <v>'[dane surowe2c.xlsm]data_frame'!HX3:HX35</v>
      </c>
      <c r="O233" s="14">
        <f t="shared" ca="1" si="53"/>
        <v>32</v>
      </c>
      <c r="P233" s="14">
        <f ca="1">IF(AND($AD233,$S233=1),IF(wew!$B$3,MIN(INDIRECT($N233)),"&lt;włącz podświetlanie wartości&gt;"),"—")</f>
        <v>2</v>
      </c>
      <c r="Q233" s="14">
        <f ca="1">IF(AND($AD233,$S233=1),IF(wew!$B$3,MAX(INDIRECT($N233)),"&lt;włącz podświetlanie wartości&gt;"),"—")</f>
        <v>2</v>
      </c>
      <c r="R233" s="14">
        <f ca="1">IF(AD233,ster!$C$14- (COUNTIF( INDIRECT(N233),"" )+ COUNT(INDIRECT(N233)) +COUNTIF( INDIRECT(N233),"NA" )),"")</f>
        <v>0</v>
      </c>
      <c r="S233" s="12">
        <f ca="1">IF(AD233,IF(COUNTA(INDIRECT(N233))=0,0, 1-(ster!$C$14- COUNT(INDIRECT(N233)) -COUNTIF( INDIRECT(N233),"" )) /COUNTA(INDIRECT(N233))),"")</f>
        <v>1</v>
      </c>
      <c r="T233" s="17">
        <f t="array" aca="1" ref="T233" ca="1">IF(L233&lt;&gt;"",SUM(IF(INDIRECT(L233)&lt;&gt;INT(INDIRECT(L233)),1,0)),"")</f>
        <v>0</v>
      </c>
      <c r="U233" s="17">
        <f t="array" aca="1" ref="U233" ca="1">IF(S233=1,SUM(IF(ISNUMBER(INDIRECT(N233)),IF(INDIRECT(N233)&lt;&gt;INT(INDIRECT(N233)),1,0),0)),"")</f>
        <v>0</v>
      </c>
      <c r="V233" s="17">
        <f t="shared" ca="1" si="54"/>
        <v>1</v>
      </c>
      <c r="W233" s="17">
        <f t="shared" ca="1" si="55"/>
        <v>0</v>
      </c>
      <c r="X233" s="24">
        <f t="array" aca="1" ref="X233" ca="1">IF(AD233,IF(AG233&lt;&gt;"",AG233,IF(J233,MIN(INDIRECT( K233)),"")),"")</f>
        <v>1</v>
      </c>
      <c r="Y233" s="17">
        <f t="array" aca="1" ref="Y233" ca="1">IF(AD233,IF(AH233&lt;&gt;"",AH233,IF(J233,MAX(INDIRECT( K233)),"")),"")</f>
        <v>2</v>
      </c>
      <c r="Z233" s="17" t="b">
        <f t="shared" ca="1" si="56"/>
        <v>1</v>
      </c>
      <c r="AC233" s="17" t="b">
        <f t="shared" ca="1" si="57"/>
        <v>0</v>
      </c>
      <c r="AD233" s="14" t="b">
        <f t="shared" ca="1" si="58"/>
        <v>1</v>
      </c>
      <c r="AE233" s="15" t="b">
        <f t="shared" ca="1" si="59"/>
        <v>1</v>
      </c>
      <c r="AF233" s="16"/>
      <c r="AG233" s="16"/>
      <c r="AH233" s="16"/>
      <c r="AI233" s="16"/>
      <c r="AJ233" s="16"/>
      <c r="AK233" s="16"/>
      <c r="AL233" s="16"/>
      <c r="AM233" s="16"/>
    </row>
    <row r="234" spans="2:39">
      <c r="B234" s="14">
        <f t="shared" si="48"/>
        <v>232</v>
      </c>
      <c r="C234" s="14" t="str">
        <f t="shared" ca="1" si="49"/>
        <v>I</v>
      </c>
      <c r="D234" s="14" t="str">
        <f t="shared" ca="1" si="50"/>
        <v>q_50i.4</v>
      </c>
      <c r="E234" s="14" t="str">
        <f t="shared" ca="1" si="47"/>
        <v>How long Fitness activity</v>
      </c>
      <c r="F234" s="14">
        <f t="shared" ca="1" si="60"/>
        <v>0</v>
      </c>
      <c r="G234" s="14" t="str">
        <f t="shared" ca="1" si="51"/>
        <v>q_50i.4</v>
      </c>
      <c r="H234" s="14">
        <f ca="1">IF(G234&lt;&gt;"",IFERROR( IsVariableNameLegal(G234),0),0)+IF(COUNTIF(INDIRECT(wew!$C$13),G234)&gt;1,10,0)</f>
        <v>0</v>
      </c>
      <c r="I234" s="14">
        <f ca="1">IF(E234&lt;&gt;"",IF(LEN(E234)&gt;150,1,0)+IF(COUNTIF(INDIRECT(wew!$C$15),E234)&gt;1,10,0),0)</f>
        <v>10</v>
      </c>
      <c r="J234" s="14" t="b">
        <f t="shared" ca="1" si="52"/>
        <v>0</v>
      </c>
      <c r="K234" s="14" t="str">
        <f ca="1">ADDRESS(3,(B234+1)*2-1,4,,"[" &amp; wew!$G$7 &amp; "]" &amp; _sheetname_labels) &amp; ":" &amp; ADDRESS(2+ster!$B$20,(B234+1)*2-1,4)</f>
        <v>'[dane surowe2c.xlsm]labels'!QW3:QW36</v>
      </c>
      <c r="L234" s="14" t="str">
        <f ca="1">IF(F234&gt;0,ADDRESS(3,(B234+1)*2-1,4,,"[" &amp; wew!$G$7 &amp; "]" &amp; _sheetname_labels) &amp; ":" &amp; ADDRESS(2+F234,(B234+1)*2-1,4),"")</f>
        <v/>
      </c>
      <c r="M234" s="14" t="str">
        <f ca="1">IF(F234&gt;0,ADDRESS(3,(B234+1)*2,4,,"["&amp;wew!$G$7&amp;"]"&amp;_sheetname_labels)&amp;":"&amp;ADDRESS(2+F234,(B234+1)*2,4),"")</f>
        <v/>
      </c>
      <c r="N234" s="14" t="str">
        <f ca="1">ADDRESS(3,B234+1,4,,"[" &amp; wew!$G$7 &amp; "]" &amp;_sheetname_dataframe) &amp; ":" &amp; ADDRESS(2+ster!$C$14,B234+1,4)</f>
        <v>'[dane surowe2c.xlsm]data_frame'!HY3:HY35</v>
      </c>
      <c r="O234" s="14">
        <f t="shared" ca="1" si="53"/>
        <v>0</v>
      </c>
      <c r="P234" s="14" t="str">
        <f ca="1">IF(AND($AD234,$S234=1),IF(wew!$B$3,MIN(INDIRECT($N234)),"&lt;włącz podświetlanie wartości&gt;"),"—")</f>
        <v>—</v>
      </c>
      <c r="Q234" s="14" t="str">
        <f ca="1">IF(AND($AD234,$S234=1),IF(wew!$B$3,MAX(INDIRECT($N234)),"&lt;włącz podświetlanie wartości&gt;"),"—")</f>
        <v>—</v>
      </c>
      <c r="R234" s="14">
        <f ca="1">IF(AD234,ster!$C$14- (COUNTIF( INDIRECT(N234),"" )+ COUNT(INDIRECT(N234)) +COUNTIF( INDIRECT(N234),"NA" )),"")</f>
        <v>0</v>
      </c>
      <c r="S234" s="12">
        <f ca="1">IF(AD234,IF(COUNTA(INDIRECT(N234))=0,0, 1-(ster!$C$14- COUNT(INDIRECT(N234)) -COUNTIF( INDIRECT(N234),"" )) /COUNTA(INDIRECT(N234))),"")</f>
        <v>0</v>
      </c>
      <c r="T234" s="17" t="str">
        <f t="array" aca="1" ref="T234" ca="1">IF(L234&lt;&gt;"",SUM(IF(INDIRECT(L234)&lt;&gt;INT(INDIRECT(L234)),1,0)),"")</f>
        <v/>
      </c>
      <c r="U234" s="17" t="str">
        <f t="array" aca="1" ref="U234" ca="1">IF(S234=1,SUM(IF(ISNUMBER(INDIRECT(N234)),IF(INDIRECT(N234)&lt;&gt;INT(INDIRECT(N234)),1,0),0)),"")</f>
        <v/>
      </c>
      <c r="V234" s="17">
        <f t="shared" ca="1" si="54"/>
        <v>0</v>
      </c>
      <c r="W234" s="17">
        <f t="shared" ca="1" si="55"/>
        <v>0</v>
      </c>
      <c r="X234" s="24" t="str">
        <f t="array" aca="1" ref="X234" ca="1">IF(AD234,IF(AG234&lt;&gt;"",AG234,IF(J234,MIN(INDIRECT( K234)),"")),"")</f>
        <v/>
      </c>
      <c r="Y234" s="17" t="str">
        <f t="array" aca="1" ref="Y234" ca="1">IF(AD234,IF(AH234&lt;&gt;"",AH234,IF(J234,MAX(INDIRECT( K234)),"")),"")</f>
        <v/>
      </c>
      <c r="Z234" s="17" t="b">
        <f t="shared" ca="1" si="56"/>
        <v>0</v>
      </c>
      <c r="AC234" s="17" t="b">
        <f t="shared" ca="1" si="57"/>
        <v>0</v>
      </c>
      <c r="AD234" s="14" t="b">
        <f t="shared" ca="1" si="58"/>
        <v>1</v>
      </c>
      <c r="AE234" s="15" t="b">
        <f t="shared" ca="1" si="59"/>
        <v>0</v>
      </c>
      <c r="AF234" s="16"/>
      <c r="AG234" s="16"/>
      <c r="AH234" s="16"/>
      <c r="AI234" s="16"/>
      <c r="AJ234" s="16"/>
      <c r="AK234" s="16"/>
      <c r="AL234" s="16"/>
      <c r="AM234" s="16"/>
    </row>
    <row r="235" spans="2:39">
      <c r="B235" s="14">
        <f t="shared" si="48"/>
        <v>233</v>
      </c>
      <c r="C235" s="14" t="str">
        <f t="shared" ca="1" si="49"/>
        <v>D</v>
      </c>
      <c r="D235" s="14" t="str">
        <f t="shared" ca="1" si="50"/>
        <v>q_50j.3</v>
      </c>
      <c r="E235" s="14" t="str">
        <f t="shared" ca="1" si="47"/>
        <v>vigorous Football activity</v>
      </c>
      <c r="F235" s="14">
        <f t="shared" ca="1" si="60"/>
        <v>2</v>
      </c>
      <c r="G235" s="14" t="str">
        <f t="shared" ca="1" si="51"/>
        <v>q_50j.3</v>
      </c>
      <c r="H235" s="14">
        <f ca="1">IF(G235&lt;&gt;"",IFERROR( IsVariableNameLegal(G235),0),0)+IF(COUNTIF(INDIRECT(wew!$C$13),G235)&gt;1,10,0)</f>
        <v>0</v>
      </c>
      <c r="I235" s="14">
        <f ca="1">IF(E235&lt;&gt;"",IF(LEN(E235)&gt;150,1,0)+IF(COUNTIF(INDIRECT(wew!$C$15),E235)&gt;1,10,0),0)</f>
        <v>0</v>
      </c>
      <c r="J235" s="14" t="b">
        <f t="shared" ca="1" si="52"/>
        <v>1</v>
      </c>
      <c r="K235" s="14" t="str">
        <f ca="1">ADDRESS(3,(B235+1)*2-1,4,,"[" &amp; wew!$G$7 &amp; "]" &amp; _sheetname_labels) &amp; ":" &amp; ADDRESS(2+ster!$B$20,(B235+1)*2-1,4)</f>
        <v>'[dane surowe2c.xlsm]labels'!QY3:QY36</v>
      </c>
      <c r="L235" s="14" t="str">
        <f ca="1">IF(F235&gt;0,ADDRESS(3,(B235+1)*2-1,4,,"[" &amp; wew!$G$7 &amp; "]" &amp; _sheetname_labels) &amp; ":" &amp; ADDRESS(2+F235,(B235+1)*2-1,4),"")</f>
        <v>'[dane surowe2c.xlsm]labels'!QY3:QY4</v>
      </c>
      <c r="M235" s="14" t="str">
        <f ca="1">IF(F235&gt;0,ADDRESS(3,(B235+1)*2,4,,"["&amp;wew!$G$7&amp;"]"&amp;_sheetname_labels)&amp;":"&amp;ADDRESS(2+F235,(B235+1)*2,4),"")</f>
        <v>'[dane surowe2c.xlsm]labels'!QZ3:QZ4</v>
      </c>
      <c r="N235" s="14" t="str">
        <f ca="1">ADDRESS(3,B235+1,4,,"[" &amp; wew!$G$7 &amp; "]" &amp;_sheetname_dataframe) &amp; ":" &amp; ADDRESS(2+ster!$C$14,B235+1,4)</f>
        <v>'[dane surowe2c.xlsm]data_frame'!HZ3:HZ35</v>
      </c>
      <c r="O235" s="14">
        <f t="shared" ca="1" si="53"/>
        <v>32</v>
      </c>
      <c r="P235" s="14">
        <f ca="1">IF(AND($AD235,$S235=1),IF(wew!$B$3,MIN(INDIRECT($N235)),"&lt;włącz podświetlanie wartości&gt;"),"—")</f>
        <v>2</v>
      </c>
      <c r="Q235" s="14">
        <f ca="1">IF(AND($AD235,$S235=1),IF(wew!$B$3,MAX(INDIRECT($N235)),"&lt;włącz podświetlanie wartości&gt;"),"—")</f>
        <v>2</v>
      </c>
      <c r="R235" s="14">
        <f ca="1">IF(AD235,ster!$C$14- (COUNTIF( INDIRECT(N235),"" )+ COUNT(INDIRECT(N235)) +COUNTIF( INDIRECT(N235),"NA" )),"")</f>
        <v>0</v>
      </c>
      <c r="S235" s="12">
        <f ca="1">IF(AD235,IF(COUNTA(INDIRECT(N235))=0,0, 1-(ster!$C$14- COUNT(INDIRECT(N235)) -COUNTIF( INDIRECT(N235),"" )) /COUNTA(INDIRECT(N235))),"")</f>
        <v>1</v>
      </c>
      <c r="T235" s="17">
        <f t="array" aca="1" ref="T235" ca="1">IF(L235&lt;&gt;"",SUM(IF(INDIRECT(L235)&lt;&gt;INT(INDIRECT(L235)),1,0)),"")</f>
        <v>0</v>
      </c>
      <c r="U235" s="17">
        <f t="array" aca="1" ref="U235" ca="1">IF(S235=1,SUM(IF(ISNUMBER(INDIRECT(N235)),IF(INDIRECT(N235)&lt;&gt;INT(INDIRECT(N235)),1,0),0)),"")</f>
        <v>0</v>
      </c>
      <c r="V235" s="17">
        <f t="shared" ca="1" si="54"/>
        <v>1</v>
      </c>
      <c r="W235" s="17">
        <f t="shared" ca="1" si="55"/>
        <v>0</v>
      </c>
      <c r="X235" s="24">
        <f t="array" aca="1" ref="X235" ca="1">IF(AD235,IF(AG235&lt;&gt;"",AG235,IF(J235,MIN(INDIRECT( K235)),"")),"")</f>
        <v>1</v>
      </c>
      <c r="Y235" s="17">
        <f t="array" aca="1" ref="Y235" ca="1">IF(AD235,IF(AH235&lt;&gt;"",AH235,IF(J235,MAX(INDIRECT( K235)),"")),"")</f>
        <v>2</v>
      </c>
      <c r="Z235" s="17" t="b">
        <f t="shared" ca="1" si="56"/>
        <v>1</v>
      </c>
      <c r="AC235" s="17" t="b">
        <f t="shared" ca="1" si="57"/>
        <v>0</v>
      </c>
      <c r="AD235" s="14" t="b">
        <f t="shared" ca="1" si="58"/>
        <v>1</v>
      </c>
      <c r="AE235" s="15" t="b">
        <f t="shared" ca="1" si="59"/>
        <v>1</v>
      </c>
      <c r="AF235" s="16"/>
      <c r="AG235" s="16"/>
      <c r="AH235" s="16"/>
      <c r="AI235" s="16"/>
      <c r="AJ235" s="16"/>
      <c r="AK235" s="16"/>
      <c r="AL235" s="16"/>
      <c r="AM235" s="16"/>
    </row>
    <row r="236" spans="2:39">
      <c r="B236" s="14">
        <f t="shared" si="48"/>
        <v>234</v>
      </c>
      <c r="C236" s="14" t="str">
        <f t="shared" ca="1" si="49"/>
        <v>I</v>
      </c>
      <c r="D236" s="14" t="str">
        <f t="shared" ca="1" si="50"/>
        <v>q_50j.4</v>
      </c>
      <c r="E236" s="14" t="str">
        <f t="shared" ca="1" si="47"/>
        <v>How long Football activity</v>
      </c>
      <c r="F236" s="14">
        <f t="shared" ca="1" si="60"/>
        <v>0</v>
      </c>
      <c r="G236" s="14" t="str">
        <f t="shared" ca="1" si="51"/>
        <v>q_50j.4</v>
      </c>
      <c r="H236" s="14">
        <f ca="1">IF(G236&lt;&gt;"",IFERROR( IsVariableNameLegal(G236),0),0)+IF(COUNTIF(INDIRECT(wew!$C$13),G236)&gt;1,10,0)</f>
        <v>0</v>
      </c>
      <c r="I236" s="14">
        <f ca="1">IF(E236&lt;&gt;"",IF(LEN(E236)&gt;150,1,0)+IF(COUNTIF(INDIRECT(wew!$C$15),E236)&gt;1,10,0),0)</f>
        <v>10</v>
      </c>
      <c r="J236" s="14" t="b">
        <f t="shared" ca="1" si="52"/>
        <v>0</v>
      </c>
      <c r="K236" s="14" t="str">
        <f ca="1">ADDRESS(3,(B236+1)*2-1,4,,"[" &amp; wew!$G$7 &amp; "]" &amp; _sheetname_labels) &amp; ":" &amp; ADDRESS(2+ster!$B$20,(B236+1)*2-1,4)</f>
        <v>'[dane surowe2c.xlsm]labels'!RA3:RA36</v>
      </c>
      <c r="L236" s="14" t="str">
        <f ca="1">IF(F236&gt;0,ADDRESS(3,(B236+1)*2-1,4,,"[" &amp; wew!$G$7 &amp; "]" &amp; _sheetname_labels) &amp; ":" &amp; ADDRESS(2+F236,(B236+1)*2-1,4),"")</f>
        <v/>
      </c>
      <c r="M236" s="14" t="str">
        <f ca="1">IF(F236&gt;0,ADDRESS(3,(B236+1)*2,4,,"["&amp;wew!$G$7&amp;"]"&amp;_sheetname_labels)&amp;":"&amp;ADDRESS(2+F236,(B236+1)*2,4),"")</f>
        <v/>
      </c>
      <c r="N236" s="14" t="str">
        <f ca="1">ADDRESS(3,B236+1,4,,"[" &amp; wew!$G$7 &amp; "]" &amp;_sheetname_dataframe) &amp; ":" &amp; ADDRESS(2+ster!$C$14,B236+1,4)</f>
        <v>'[dane surowe2c.xlsm]data_frame'!IA3:IA35</v>
      </c>
      <c r="O236" s="14">
        <f t="shared" ca="1" si="53"/>
        <v>0</v>
      </c>
      <c r="P236" s="14" t="str">
        <f ca="1">IF(AND($AD236,$S236=1),IF(wew!$B$3,MIN(INDIRECT($N236)),"&lt;włącz podświetlanie wartości&gt;"),"—")</f>
        <v>—</v>
      </c>
      <c r="Q236" s="14" t="str">
        <f ca="1">IF(AND($AD236,$S236=1),IF(wew!$B$3,MAX(INDIRECT($N236)),"&lt;włącz podświetlanie wartości&gt;"),"—")</f>
        <v>—</v>
      </c>
      <c r="R236" s="14">
        <f ca="1">IF(AD236,ster!$C$14- (COUNTIF( INDIRECT(N236),"" )+ COUNT(INDIRECT(N236)) +COUNTIF( INDIRECT(N236),"NA" )),"")</f>
        <v>0</v>
      </c>
      <c r="S236" s="12">
        <f ca="1">IF(AD236,IF(COUNTA(INDIRECT(N236))=0,0, 1-(ster!$C$14- COUNT(INDIRECT(N236)) -COUNTIF( INDIRECT(N236),"" )) /COUNTA(INDIRECT(N236))),"")</f>
        <v>0</v>
      </c>
      <c r="T236" s="17" t="str">
        <f t="array" aca="1" ref="T236" ca="1">IF(L236&lt;&gt;"",SUM(IF(INDIRECT(L236)&lt;&gt;INT(INDIRECT(L236)),1,0)),"")</f>
        <v/>
      </c>
      <c r="U236" s="17" t="str">
        <f t="array" aca="1" ref="U236" ca="1">IF(S236=1,SUM(IF(ISNUMBER(INDIRECT(N236)),IF(INDIRECT(N236)&lt;&gt;INT(INDIRECT(N236)),1,0),0)),"")</f>
        <v/>
      </c>
      <c r="V236" s="17">
        <f t="shared" ca="1" si="54"/>
        <v>0</v>
      </c>
      <c r="W236" s="17">
        <f t="shared" ca="1" si="55"/>
        <v>0</v>
      </c>
      <c r="X236" s="24" t="str">
        <f t="array" aca="1" ref="X236" ca="1">IF(AD236,IF(AG236&lt;&gt;"",AG236,IF(J236,MIN(INDIRECT( K236)),"")),"")</f>
        <v/>
      </c>
      <c r="Y236" s="17" t="str">
        <f t="array" aca="1" ref="Y236" ca="1">IF(AD236,IF(AH236&lt;&gt;"",AH236,IF(J236,MAX(INDIRECT( K236)),"")),"")</f>
        <v/>
      </c>
      <c r="Z236" s="17" t="b">
        <f t="shared" ca="1" si="56"/>
        <v>0</v>
      </c>
      <c r="AC236" s="17" t="b">
        <f t="shared" ca="1" si="57"/>
        <v>0</v>
      </c>
      <c r="AD236" s="14" t="b">
        <f t="shared" ca="1" si="58"/>
        <v>1</v>
      </c>
      <c r="AE236" s="15" t="b">
        <f t="shared" ca="1" si="59"/>
        <v>0</v>
      </c>
      <c r="AF236" s="16"/>
      <c r="AG236" s="16"/>
      <c r="AH236" s="16"/>
      <c r="AI236" s="16"/>
      <c r="AJ236" s="16"/>
      <c r="AK236" s="16"/>
      <c r="AL236" s="16"/>
      <c r="AM236" s="16"/>
    </row>
    <row r="237" spans="2:39">
      <c r="B237" s="14">
        <f t="shared" si="48"/>
        <v>235</v>
      </c>
      <c r="C237" s="14" t="str">
        <f t="shared" ca="1" si="49"/>
        <v>D</v>
      </c>
      <c r="D237" s="14" t="str">
        <f t="shared" ca="1" si="50"/>
        <v>q_50k.3</v>
      </c>
      <c r="E237" s="14" t="str">
        <f t="shared" ca="1" si="47"/>
        <v>vigorous Golf activity</v>
      </c>
      <c r="F237" s="14">
        <f t="shared" ca="1" si="60"/>
        <v>2</v>
      </c>
      <c r="G237" s="14" t="str">
        <f t="shared" ca="1" si="51"/>
        <v>q_50k.3</v>
      </c>
      <c r="H237" s="14">
        <f ca="1">IF(G237&lt;&gt;"",IFERROR( IsVariableNameLegal(G237),0),0)+IF(COUNTIF(INDIRECT(wew!$C$13),G237)&gt;1,10,0)</f>
        <v>0</v>
      </c>
      <c r="I237" s="14">
        <f ca="1">IF(E237&lt;&gt;"",IF(LEN(E237)&gt;150,1,0)+IF(COUNTIF(INDIRECT(wew!$C$15),E237)&gt;1,10,0),0)</f>
        <v>0</v>
      </c>
      <c r="J237" s="14" t="b">
        <f t="shared" ca="1" si="52"/>
        <v>1</v>
      </c>
      <c r="K237" s="14" t="str">
        <f ca="1">ADDRESS(3,(B237+1)*2-1,4,,"[" &amp; wew!$G$7 &amp; "]" &amp; _sheetname_labels) &amp; ":" &amp; ADDRESS(2+ster!$B$20,(B237+1)*2-1,4)</f>
        <v>'[dane surowe2c.xlsm]labels'!RC3:RC36</v>
      </c>
      <c r="L237" s="14" t="str">
        <f ca="1">IF(F237&gt;0,ADDRESS(3,(B237+1)*2-1,4,,"[" &amp; wew!$G$7 &amp; "]" &amp; _sheetname_labels) &amp; ":" &amp; ADDRESS(2+F237,(B237+1)*2-1,4),"")</f>
        <v>'[dane surowe2c.xlsm]labels'!RC3:RC4</v>
      </c>
      <c r="M237" s="14" t="str">
        <f ca="1">IF(F237&gt;0,ADDRESS(3,(B237+1)*2,4,,"["&amp;wew!$G$7&amp;"]"&amp;_sheetname_labels)&amp;":"&amp;ADDRESS(2+F237,(B237+1)*2,4),"")</f>
        <v>'[dane surowe2c.xlsm]labels'!RD3:RD4</v>
      </c>
      <c r="N237" s="14" t="str">
        <f ca="1">ADDRESS(3,B237+1,4,,"[" &amp; wew!$G$7 &amp; "]" &amp;_sheetname_dataframe) &amp; ":" &amp; ADDRESS(2+ster!$C$14,B237+1,4)</f>
        <v>'[dane surowe2c.xlsm]data_frame'!IB3:IB35</v>
      </c>
      <c r="O237" s="14">
        <f t="shared" ca="1" si="53"/>
        <v>32</v>
      </c>
      <c r="P237" s="14">
        <f ca="1">IF(AND($AD237,$S237=1),IF(wew!$B$3,MIN(INDIRECT($N237)),"&lt;włącz podświetlanie wartości&gt;"),"—")</f>
        <v>2</v>
      </c>
      <c r="Q237" s="14">
        <f ca="1">IF(AND($AD237,$S237=1),IF(wew!$B$3,MAX(INDIRECT($N237)),"&lt;włącz podświetlanie wartości&gt;"),"—")</f>
        <v>2</v>
      </c>
      <c r="R237" s="14">
        <f ca="1">IF(AD237,ster!$C$14- (COUNTIF( INDIRECT(N237),"" )+ COUNT(INDIRECT(N237)) +COUNTIF( INDIRECT(N237),"NA" )),"")</f>
        <v>0</v>
      </c>
      <c r="S237" s="12">
        <f ca="1">IF(AD237,IF(COUNTA(INDIRECT(N237))=0,0, 1-(ster!$C$14- COUNT(INDIRECT(N237)) -COUNTIF( INDIRECT(N237),"" )) /COUNTA(INDIRECT(N237))),"")</f>
        <v>1</v>
      </c>
      <c r="T237" s="17">
        <f t="array" aca="1" ref="T237" ca="1">IF(L237&lt;&gt;"",SUM(IF(INDIRECT(L237)&lt;&gt;INT(INDIRECT(L237)),1,0)),"")</f>
        <v>0</v>
      </c>
      <c r="U237" s="17">
        <f t="array" aca="1" ref="U237" ca="1">IF(S237=1,SUM(IF(ISNUMBER(INDIRECT(N237)),IF(INDIRECT(N237)&lt;&gt;INT(INDIRECT(N237)),1,0),0)),"")</f>
        <v>0</v>
      </c>
      <c r="V237" s="17">
        <f t="shared" ca="1" si="54"/>
        <v>1</v>
      </c>
      <c r="W237" s="17">
        <f t="shared" ca="1" si="55"/>
        <v>0</v>
      </c>
      <c r="X237" s="24">
        <f t="array" aca="1" ref="X237" ca="1">IF(AD237,IF(AG237&lt;&gt;"",AG237,IF(J237,MIN(INDIRECT( K237)),"")),"")</f>
        <v>1</v>
      </c>
      <c r="Y237" s="17">
        <f t="array" aca="1" ref="Y237" ca="1">IF(AD237,IF(AH237&lt;&gt;"",AH237,IF(J237,MAX(INDIRECT( K237)),"")),"")</f>
        <v>2</v>
      </c>
      <c r="Z237" s="17" t="b">
        <f t="shared" ca="1" si="56"/>
        <v>1</v>
      </c>
      <c r="AC237" s="17" t="b">
        <f t="shared" ca="1" si="57"/>
        <v>0</v>
      </c>
      <c r="AD237" s="14" t="b">
        <f t="shared" ca="1" si="58"/>
        <v>1</v>
      </c>
      <c r="AE237" s="15" t="b">
        <f t="shared" ca="1" si="59"/>
        <v>1</v>
      </c>
      <c r="AF237" s="16"/>
      <c r="AG237" s="16"/>
      <c r="AH237" s="16"/>
      <c r="AI237" s="16"/>
      <c r="AJ237" s="16"/>
      <c r="AK237" s="16"/>
      <c r="AL237" s="16"/>
      <c r="AM237" s="16"/>
    </row>
    <row r="238" spans="2:39">
      <c r="B238" s="14">
        <f t="shared" si="48"/>
        <v>236</v>
      </c>
      <c r="C238" s="14" t="str">
        <f t="shared" ca="1" si="49"/>
        <v>I</v>
      </c>
      <c r="D238" s="14" t="str">
        <f t="shared" ca="1" si="50"/>
        <v>q_50k.4</v>
      </c>
      <c r="E238" s="14" t="str">
        <f t="shared" ca="1" si="47"/>
        <v>How long Golf activity</v>
      </c>
      <c r="F238" s="14">
        <f t="shared" ca="1" si="60"/>
        <v>0</v>
      </c>
      <c r="G238" s="14" t="str">
        <f t="shared" ca="1" si="51"/>
        <v>q_50k.4</v>
      </c>
      <c r="H238" s="14">
        <f ca="1">IF(G238&lt;&gt;"",IFERROR( IsVariableNameLegal(G238),0),0)+IF(COUNTIF(INDIRECT(wew!$C$13),G238)&gt;1,10,0)</f>
        <v>0</v>
      </c>
      <c r="I238" s="14">
        <f ca="1">IF(E238&lt;&gt;"",IF(LEN(E238)&gt;150,1,0)+IF(COUNTIF(INDIRECT(wew!$C$15),E238)&gt;1,10,0),0)</f>
        <v>10</v>
      </c>
      <c r="J238" s="14" t="b">
        <f t="shared" ca="1" si="52"/>
        <v>0</v>
      </c>
      <c r="K238" s="14" t="str">
        <f ca="1">ADDRESS(3,(B238+1)*2-1,4,,"[" &amp; wew!$G$7 &amp; "]" &amp; _sheetname_labels) &amp; ":" &amp; ADDRESS(2+ster!$B$20,(B238+1)*2-1,4)</f>
        <v>'[dane surowe2c.xlsm]labels'!RE3:RE36</v>
      </c>
      <c r="L238" s="14" t="str">
        <f ca="1">IF(F238&gt;0,ADDRESS(3,(B238+1)*2-1,4,,"[" &amp; wew!$G$7 &amp; "]" &amp; _sheetname_labels) &amp; ":" &amp; ADDRESS(2+F238,(B238+1)*2-1,4),"")</f>
        <v/>
      </c>
      <c r="M238" s="14" t="str">
        <f ca="1">IF(F238&gt;0,ADDRESS(3,(B238+1)*2,4,,"["&amp;wew!$G$7&amp;"]"&amp;_sheetname_labels)&amp;":"&amp;ADDRESS(2+F238,(B238+1)*2,4),"")</f>
        <v/>
      </c>
      <c r="N238" s="14" t="str">
        <f ca="1">ADDRESS(3,B238+1,4,,"[" &amp; wew!$G$7 &amp; "]" &amp;_sheetname_dataframe) &amp; ":" &amp; ADDRESS(2+ster!$C$14,B238+1,4)</f>
        <v>'[dane surowe2c.xlsm]data_frame'!IC3:IC35</v>
      </c>
      <c r="O238" s="14">
        <f t="shared" ca="1" si="53"/>
        <v>0</v>
      </c>
      <c r="P238" s="14" t="str">
        <f ca="1">IF(AND($AD238,$S238=1),IF(wew!$B$3,MIN(INDIRECT($N238)),"&lt;włącz podświetlanie wartości&gt;"),"—")</f>
        <v>—</v>
      </c>
      <c r="Q238" s="14" t="str">
        <f ca="1">IF(AND($AD238,$S238=1),IF(wew!$B$3,MAX(INDIRECT($N238)),"&lt;włącz podświetlanie wartości&gt;"),"—")</f>
        <v>—</v>
      </c>
      <c r="R238" s="14">
        <f ca="1">IF(AD238,ster!$C$14- (COUNTIF( INDIRECT(N238),"" )+ COUNT(INDIRECT(N238)) +COUNTIF( INDIRECT(N238),"NA" )),"")</f>
        <v>0</v>
      </c>
      <c r="S238" s="12">
        <f ca="1">IF(AD238,IF(COUNTA(INDIRECT(N238))=0,0, 1-(ster!$C$14- COUNT(INDIRECT(N238)) -COUNTIF( INDIRECT(N238),"" )) /COUNTA(INDIRECT(N238))),"")</f>
        <v>0</v>
      </c>
      <c r="T238" s="17" t="str">
        <f t="array" aca="1" ref="T238" ca="1">IF(L238&lt;&gt;"",SUM(IF(INDIRECT(L238)&lt;&gt;INT(INDIRECT(L238)),1,0)),"")</f>
        <v/>
      </c>
      <c r="U238" s="17" t="str">
        <f t="array" aca="1" ref="U238" ca="1">IF(S238=1,SUM(IF(ISNUMBER(INDIRECT(N238)),IF(INDIRECT(N238)&lt;&gt;INT(INDIRECT(N238)),1,0),0)),"")</f>
        <v/>
      </c>
      <c r="V238" s="17">
        <f t="shared" ca="1" si="54"/>
        <v>0</v>
      </c>
      <c r="W238" s="17">
        <f t="shared" ca="1" si="55"/>
        <v>0</v>
      </c>
      <c r="X238" s="24" t="str">
        <f t="array" aca="1" ref="X238" ca="1">IF(AD238,IF(AG238&lt;&gt;"",AG238,IF(J238,MIN(INDIRECT( K238)),"")),"")</f>
        <v/>
      </c>
      <c r="Y238" s="17" t="str">
        <f t="array" aca="1" ref="Y238" ca="1">IF(AD238,IF(AH238&lt;&gt;"",AH238,IF(J238,MAX(INDIRECT( K238)),"")),"")</f>
        <v/>
      </c>
      <c r="Z238" s="17" t="b">
        <f t="shared" ca="1" si="56"/>
        <v>0</v>
      </c>
      <c r="AC238" s="17" t="b">
        <f t="shared" ca="1" si="57"/>
        <v>0</v>
      </c>
      <c r="AD238" s="14" t="b">
        <f t="shared" ca="1" si="58"/>
        <v>1</v>
      </c>
      <c r="AE238" s="15" t="b">
        <f t="shared" ca="1" si="59"/>
        <v>0</v>
      </c>
      <c r="AF238" s="16"/>
      <c r="AG238" s="16"/>
      <c r="AH238" s="16"/>
      <c r="AI238" s="16"/>
      <c r="AJ238" s="16"/>
      <c r="AK238" s="16"/>
      <c r="AL238" s="16"/>
      <c r="AM238" s="16"/>
    </row>
    <row r="239" spans="2:39">
      <c r="B239" s="14">
        <f t="shared" si="48"/>
        <v>237</v>
      </c>
      <c r="C239" s="14" t="str">
        <f t="shared" ca="1" si="49"/>
        <v>D</v>
      </c>
      <c r="D239" s="14" t="str">
        <f t="shared" ca="1" si="50"/>
        <v>q_50l.3</v>
      </c>
      <c r="E239" s="14" t="str">
        <f t="shared" ca="1" si="47"/>
        <v>vigorous Handball activity</v>
      </c>
      <c r="F239" s="14">
        <f t="shared" ca="1" si="60"/>
        <v>2</v>
      </c>
      <c r="G239" s="14" t="str">
        <f t="shared" ca="1" si="51"/>
        <v>q_50l.3</v>
      </c>
      <c r="H239" s="14">
        <f ca="1">IF(G239&lt;&gt;"",IFERROR( IsVariableNameLegal(G239),0),0)+IF(COUNTIF(INDIRECT(wew!$C$13),G239)&gt;1,10,0)</f>
        <v>0</v>
      </c>
      <c r="I239" s="14">
        <f ca="1">IF(E239&lt;&gt;"",IF(LEN(E239)&gt;150,1,0)+IF(COUNTIF(INDIRECT(wew!$C$15),E239)&gt;1,10,0),0)</f>
        <v>0</v>
      </c>
      <c r="J239" s="14" t="b">
        <f t="shared" ca="1" si="52"/>
        <v>1</v>
      </c>
      <c r="K239" s="14" t="str">
        <f ca="1">ADDRESS(3,(B239+1)*2-1,4,,"[" &amp; wew!$G$7 &amp; "]" &amp; _sheetname_labels) &amp; ":" &amp; ADDRESS(2+ster!$B$20,(B239+1)*2-1,4)</f>
        <v>'[dane surowe2c.xlsm]labels'!RG3:RG36</v>
      </c>
      <c r="L239" s="14" t="str">
        <f ca="1">IF(F239&gt;0,ADDRESS(3,(B239+1)*2-1,4,,"[" &amp; wew!$G$7 &amp; "]" &amp; _sheetname_labels) &amp; ":" &amp; ADDRESS(2+F239,(B239+1)*2-1,4),"")</f>
        <v>'[dane surowe2c.xlsm]labels'!RG3:RG4</v>
      </c>
      <c r="M239" s="14" t="str">
        <f ca="1">IF(F239&gt;0,ADDRESS(3,(B239+1)*2,4,,"["&amp;wew!$G$7&amp;"]"&amp;_sheetname_labels)&amp;":"&amp;ADDRESS(2+F239,(B239+1)*2,4),"")</f>
        <v>'[dane surowe2c.xlsm]labels'!RH3:RH4</v>
      </c>
      <c r="N239" s="14" t="str">
        <f ca="1">ADDRESS(3,B239+1,4,,"[" &amp; wew!$G$7 &amp; "]" &amp;_sheetname_dataframe) &amp; ":" &amp; ADDRESS(2+ster!$C$14,B239+1,4)</f>
        <v>'[dane surowe2c.xlsm]data_frame'!ID3:ID35</v>
      </c>
      <c r="O239" s="14">
        <f t="shared" ca="1" si="53"/>
        <v>32</v>
      </c>
      <c r="P239" s="14">
        <f ca="1">IF(AND($AD239,$S239=1),IF(wew!$B$3,MIN(INDIRECT($N239)),"&lt;włącz podświetlanie wartości&gt;"),"—")</f>
        <v>2</v>
      </c>
      <c r="Q239" s="14">
        <f ca="1">IF(AND($AD239,$S239=1),IF(wew!$B$3,MAX(INDIRECT($N239)),"&lt;włącz podświetlanie wartości&gt;"),"—")</f>
        <v>2</v>
      </c>
      <c r="R239" s="14">
        <f ca="1">IF(AD239,ster!$C$14- (COUNTIF( INDIRECT(N239),"" )+ COUNT(INDIRECT(N239)) +COUNTIF( INDIRECT(N239),"NA" )),"")</f>
        <v>0</v>
      </c>
      <c r="S239" s="12">
        <f ca="1">IF(AD239,IF(COUNTA(INDIRECT(N239))=0,0, 1-(ster!$C$14- COUNT(INDIRECT(N239)) -COUNTIF( INDIRECT(N239),"" )) /COUNTA(INDIRECT(N239))),"")</f>
        <v>1</v>
      </c>
      <c r="T239" s="17">
        <f t="array" aca="1" ref="T239" ca="1">IF(L239&lt;&gt;"",SUM(IF(INDIRECT(L239)&lt;&gt;INT(INDIRECT(L239)),1,0)),"")</f>
        <v>0</v>
      </c>
      <c r="U239" s="17">
        <f t="array" aca="1" ref="U239" ca="1">IF(S239=1,SUM(IF(ISNUMBER(INDIRECT(N239)),IF(INDIRECT(N239)&lt;&gt;INT(INDIRECT(N239)),1,0),0)),"")</f>
        <v>0</v>
      </c>
      <c r="V239" s="17">
        <f t="shared" ca="1" si="54"/>
        <v>1</v>
      </c>
      <c r="W239" s="17">
        <f t="shared" ca="1" si="55"/>
        <v>0</v>
      </c>
      <c r="X239" s="24">
        <f t="array" aca="1" ref="X239" ca="1">IF(AD239,IF(AG239&lt;&gt;"",AG239,IF(J239,MIN(INDIRECT( K239)),"")),"")</f>
        <v>1</v>
      </c>
      <c r="Y239" s="17">
        <f t="array" aca="1" ref="Y239" ca="1">IF(AD239,IF(AH239&lt;&gt;"",AH239,IF(J239,MAX(INDIRECT( K239)),"")),"")</f>
        <v>2</v>
      </c>
      <c r="Z239" s="17" t="b">
        <f t="shared" ca="1" si="56"/>
        <v>1</v>
      </c>
      <c r="AC239" s="17" t="b">
        <f t="shared" ca="1" si="57"/>
        <v>0</v>
      </c>
      <c r="AD239" s="14" t="b">
        <f t="shared" ca="1" si="58"/>
        <v>1</v>
      </c>
      <c r="AE239" s="15" t="b">
        <f t="shared" ca="1" si="59"/>
        <v>1</v>
      </c>
      <c r="AF239" s="16"/>
      <c r="AG239" s="16"/>
      <c r="AH239" s="16"/>
      <c r="AI239" s="16"/>
      <c r="AJ239" s="16"/>
      <c r="AK239" s="16"/>
      <c r="AL239" s="16"/>
      <c r="AM239" s="16"/>
    </row>
    <row r="240" spans="2:39">
      <c r="B240" s="14">
        <f t="shared" si="48"/>
        <v>238</v>
      </c>
      <c r="C240" s="14" t="str">
        <f t="shared" ca="1" si="49"/>
        <v>I</v>
      </c>
      <c r="D240" s="14" t="str">
        <f t="shared" ca="1" si="50"/>
        <v>q_50l.4</v>
      </c>
      <c r="E240" s="14" t="str">
        <f t="shared" ca="1" si="47"/>
        <v>How long Handball activity</v>
      </c>
      <c r="F240" s="14">
        <f t="shared" ca="1" si="60"/>
        <v>0</v>
      </c>
      <c r="G240" s="14" t="str">
        <f t="shared" ca="1" si="51"/>
        <v>q_50l.4</v>
      </c>
      <c r="H240" s="14">
        <f ca="1">IF(G240&lt;&gt;"",IFERROR( IsVariableNameLegal(G240),0),0)+IF(COUNTIF(INDIRECT(wew!$C$13),G240)&gt;1,10,0)</f>
        <v>0</v>
      </c>
      <c r="I240" s="14">
        <f ca="1">IF(E240&lt;&gt;"",IF(LEN(E240)&gt;150,1,0)+IF(COUNTIF(INDIRECT(wew!$C$15),E240)&gt;1,10,0),0)</f>
        <v>10</v>
      </c>
      <c r="J240" s="14" t="b">
        <f t="shared" ca="1" si="52"/>
        <v>0</v>
      </c>
      <c r="K240" s="14" t="str">
        <f ca="1">ADDRESS(3,(B240+1)*2-1,4,,"[" &amp; wew!$G$7 &amp; "]" &amp; _sheetname_labels) &amp; ":" &amp; ADDRESS(2+ster!$B$20,(B240+1)*2-1,4)</f>
        <v>'[dane surowe2c.xlsm]labels'!RI3:RI36</v>
      </c>
      <c r="L240" s="14" t="str">
        <f ca="1">IF(F240&gt;0,ADDRESS(3,(B240+1)*2-1,4,,"[" &amp; wew!$G$7 &amp; "]" &amp; _sheetname_labels) &amp; ":" &amp; ADDRESS(2+F240,(B240+1)*2-1,4),"")</f>
        <v/>
      </c>
      <c r="M240" s="14" t="str">
        <f ca="1">IF(F240&gt;0,ADDRESS(3,(B240+1)*2,4,,"["&amp;wew!$G$7&amp;"]"&amp;_sheetname_labels)&amp;":"&amp;ADDRESS(2+F240,(B240+1)*2,4),"")</f>
        <v/>
      </c>
      <c r="N240" s="14" t="str">
        <f ca="1">ADDRESS(3,B240+1,4,,"[" &amp; wew!$G$7 &amp; "]" &amp;_sheetname_dataframe) &amp; ":" &amp; ADDRESS(2+ster!$C$14,B240+1,4)</f>
        <v>'[dane surowe2c.xlsm]data_frame'!IE3:IE35</v>
      </c>
      <c r="O240" s="14">
        <f t="shared" ca="1" si="53"/>
        <v>0</v>
      </c>
      <c r="P240" s="14" t="str">
        <f ca="1">IF(AND($AD240,$S240=1),IF(wew!$B$3,MIN(INDIRECT($N240)),"&lt;włącz podświetlanie wartości&gt;"),"—")</f>
        <v>—</v>
      </c>
      <c r="Q240" s="14" t="str">
        <f ca="1">IF(AND($AD240,$S240=1),IF(wew!$B$3,MAX(INDIRECT($N240)),"&lt;włącz podświetlanie wartości&gt;"),"—")</f>
        <v>—</v>
      </c>
      <c r="R240" s="14">
        <f ca="1">IF(AD240,ster!$C$14- (COUNTIF( INDIRECT(N240),"" )+ COUNT(INDIRECT(N240)) +COUNTIF( INDIRECT(N240),"NA" )),"")</f>
        <v>0</v>
      </c>
      <c r="S240" s="12">
        <f ca="1">IF(AD240,IF(COUNTA(INDIRECT(N240))=0,0, 1-(ster!$C$14- COUNT(INDIRECT(N240)) -COUNTIF( INDIRECT(N240),"" )) /COUNTA(INDIRECT(N240))),"")</f>
        <v>0</v>
      </c>
      <c r="T240" s="17" t="str">
        <f t="array" aca="1" ref="T240" ca="1">IF(L240&lt;&gt;"",SUM(IF(INDIRECT(L240)&lt;&gt;INT(INDIRECT(L240)),1,0)),"")</f>
        <v/>
      </c>
      <c r="U240" s="17" t="str">
        <f t="array" aca="1" ref="U240" ca="1">IF(S240=1,SUM(IF(ISNUMBER(INDIRECT(N240)),IF(INDIRECT(N240)&lt;&gt;INT(INDIRECT(N240)),1,0),0)),"")</f>
        <v/>
      </c>
      <c r="V240" s="17">
        <f t="shared" ca="1" si="54"/>
        <v>0</v>
      </c>
      <c r="W240" s="17">
        <f t="shared" ca="1" si="55"/>
        <v>0</v>
      </c>
      <c r="X240" s="24" t="str">
        <f t="array" aca="1" ref="X240" ca="1">IF(AD240,IF(AG240&lt;&gt;"",AG240,IF(J240,MIN(INDIRECT( K240)),"")),"")</f>
        <v/>
      </c>
      <c r="Y240" s="17" t="str">
        <f t="array" aca="1" ref="Y240" ca="1">IF(AD240,IF(AH240&lt;&gt;"",AH240,IF(J240,MAX(INDIRECT( K240)),"")),"")</f>
        <v/>
      </c>
      <c r="Z240" s="17" t="b">
        <f t="shared" ca="1" si="56"/>
        <v>0</v>
      </c>
      <c r="AC240" s="17" t="b">
        <f t="shared" ca="1" si="57"/>
        <v>0</v>
      </c>
      <c r="AD240" s="14" t="b">
        <f t="shared" ca="1" si="58"/>
        <v>1</v>
      </c>
      <c r="AE240" s="15" t="b">
        <f t="shared" ca="1" si="59"/>
        <v>0</v>
      </c>
      <c r="AF240" s="16"/>
      <c r="AG240" s="16"/>
      <c r="AH240" s="16"/>
      <c r="AI240" s="16"/>
      <c r="AJ240" s="16"/>
      <c r="AK240" s="16"/>
      <c r="AL240" s="16"/>
      <c r="AM240" s="16"/>
    </row>
    <row r="241" spans="2:39">
      <c r="B241" s="14">
        <f t="shared" si="48"/>
        <v>239</v>
      </c>
      <c r="C241" s="14" t="str">
        <f t="shared" ca="1" si="49"/>
        <v>D</v>
      </c>
      <c r="D241" s="14" t="str">
        <f t="shared" ca="1" si="50"/>
        <v>q_50m.3</v>
      </c>
      <c r="E241" s="14" t="str">
        <f t="shared" ca="1" si="47"/>
        <v>vigorous Hockey activity</v>
      </c>
      <c r="F241" s="14">
        <f t="shared" ca="1" si="60"/>
        <v>2</v>
      </c>
      <c r="G241" s="14" t="str">
        <f t="shared" ca="1" si="51"/>
        <v>q_50m.3</v>
      </c>
      <c r="H241" s="14">
        <f ca="1">IF(G241&lt;&gt;"",IFERROR( IsVariableNameLegal(G241),0),0)+IF(COUNTIF(INDIRECT(wew!$C$13),G241)&gt;1,10,0)</f>
        <v>0</v>
      </c>
      <c r="I241" s="14">
        <f ca="1">IF(E241&lt;&gt;"",IF(LEN(E241)&gt;150,1,0)+IF(COUNTIF(INDIRECT(wew!$C$15),E241)&gt;1,10,0),0)</f>
        <v>0</v>
      </c>
      <c r="J241" s="14" t="b">
        <f t="shared" ca="1" si="52"/>
        <v>1</v>
      </c>
      <c r="K241" s="14" t="str">
        <f ca="1">ADDRESS(3,(B241+1)*2-1,4,,"[" &amp; wew!$G$7 &amp; "]" &amp; _sheetname_labels) &amp; ":" &amp; ADDRESS(2+ster!$B$20,(B241+1)*2-1,4)</f>
        <v>'[dane surowe2c.xlsm]labels'!RK3:RK36</v>
      </c>
      <c r="L241" s="14" t="str">
        <f ca="1">IF(F241&gt;0,ADDRESS(3,(B241+1)*2-1,4,,"[" &amp; wew!$G$7 &amp; "]" &amp; _sheetname_labels) &amp; ":" &amp; ADDRESS(2+F241,(B241+1)*2-1,4),"")</f>
        <v>'[dane surowe2c.xlsm]labels'!RK3:RK4</v>
      </c>
      <c r="M241" s="14" t="str">
        <f ca="1">IF(F241&gt;0,ADDRESS(3,(B241+1)*2,4,,"["&amp;wew!$G$7&amp;"]"&amp;_sheetname_labels)&amp;":"&amp;ADDRESS(2+F241,(B241+1)*2,4),"")</f>
        <v>'[dane surowe2c.xlsm]labels'!RL3:RL4</v>
      </c>
      <c r="N241" s="14" t="str">
        <f ca="1">ADDRESS(3,B241+1,4,,"[" &amp; wew!$G$7 &amp; "]" &amp;_sheetname_dataframe) &amp; ":" &amp; ADDRESS(2+ster!$C$14,B241+1,4)</f>
        <v>'[dane surowe2c.xlsm]data_frame'!IF3:IF35</v>
      </c>
      <c r="O241" s="14">
        <f t="shared" ca="1" si="53"/>
        <v>32</v>
      </c>
      <c r="P241" s="14">
        <f ca="1">IF(AND($AD241,$S241=1),IF(wew!$B$3,MIN(INDIRECT($N241)),"&lt;włącz podświetlanie wartości&gt;"),"—")</f>
        <v>2</v>
      </c>
      <c r="Q241" s="14">
        <f ca="1">IF(AND($AD241,$S241=1),IF(wew!$B$3,MAX(INDIRECT($N241)),"&lt;włącz podświetlanie wartości&gt;"),"—")</f>
        <v>2</v>
      </c>
      <c r="R241" s="14">
        <f ca="1">IF(AD241,ster!$C$14- (COUNTIF( INDIRECT(N241),"" )+ COUNT(INDIRECT(N241)) +COUNTIF( INDIRECT(N241),"NA" )),"")</f>
        <v>0</v>
      </c>
      <c r="S241" s="12">
        <f ca="1">IF(AD241,IF(COUNTA(INDIRECT(N241))=0,0, 1-(ster!$C$14- COUNT(INDIRECT(N241)) -COUNTIF( INDIRECT(N241),"" )) /COUNTA(INDIRECT(N241))),"")</f>
        <v>1</v>
      </c>
      <c r="T241" s="17">
        <f t="array" aca="1" ref="T241" ca="1">IF(L241&lt;&gt;"",SUM(IF(INDIRECT(L241)&lt;&gt;INT(INDIRECT(L241)),1,0)),"")</f>
        <v>0</v>
      </c>
      <c r="U241" s="17">
        <f t="array" aca="1" ref="U241" ca="1">IF(S241=1,SUM(IF(ISNUMBER(INDIRECT(N241)),IF(INDIRECT(N241)&lt;&gt;INT(INDIRECT(N241)),1,0),0)),"")</f>
        <v>0</v>
      </c>
      <c r="V241" s="17">
        <f t="shared" ca="1" si="54"/>
        <v>1</v>
      </c>
      <c r="W241" s="17">
        <f t="shared" ca="1" si="55"/>
        <v>0</v>
      </c>
      <c r="X241" s="24">
        <f t="array" aca="1" ref="X241" ca="1">IF(AD241,IF(AG241&lt;&gt;"",AG241,IF(J241,MIN(INDIRECT( K241)),"")),"")</f>
        <v>1</v>
      </c>
      <c r="Y241" s="17">
        <f t="array" aca="1" ref="Y241" ca="1">IF(AD241,IF(AH241&lt;&gt;"",AH241,IF(J241,MAX(INDIRECT( K241)),"")),"")</f>
        <v>2</v>
      </c>
      <c r="Z241" s="17" t="b">
        <f t="shared" ca="1" si="56"/>
        <v>1</v>
      </c>
      <c r="AC241" s="17" t="b">
        <f t="shared" ca="1" si="57"/>
        <v>0</v>
      </c>
      <c r="AD241" s="14" t="b">
        <f t="shared" ca="1" si="58"/>
        <v>1</v>
      </c>
      <c r="AE241" s="15" t="b">
        <f t="shared" ca="1" si="59"/>
        <v>1</v>
      </c>
      <c r="AF241" s="16"/>
      <c r="AG241" s="16"/>
      <c r="AH241" s="16"/>
      <c r="AI241" s="16"/>
      <c r="AJ241" s="16"/>
      <c r="AK241" s="16"/>
      <c r="AL241" s="16"/>
      <c r="AM241" s="16"/>
    </row>
    <row r="242" spans="2:39">
      <c r="B242" s="14">
        <f t="shared" si="48"/>
        <v>240</v>
      </c>
      <c r="C242" s="14" t="str">
        <f t="shared" ca="1" si="49"/>
        <v>I</v>
      </c>
      <c r="D242" s="14" t="str">
        <f t="shared" ca="1" si="50"/>
        <v>q_50m.4</v>
      </c>
      <c r="E242" s="14" t="str">
        <f t="shared" ca="1" si="47"/>
        <v>How long Hockey activity</v>
      </c>
      <c r="F242" s="14">
        <f t="shared" ca="1" si="60"/>
        <v>0</v>
      </c>
      <c r="G242" s="14" t="str">
        <f t="shared" ca="1" si="51"/>
        <v>q_50m.4</v>
      </c>
      <c r="H242" s="14">
        <f ca="1">IF(G242&lt;&gt;"",IFERROR( IsVariableNameLegal(G242),0),0)+IF(COUNTIF(INDIRECT(wew!$C$13),G242)&gt;1,10,0)</f>
        <v>0</v>
      </c>
      <c r="I242" s="14">
        <f ca="1">IF(E242&lt;&gt;"",IF(LEN(E242)&gt;150,1,0)+IF(COUNTIF(INDIRECT(wew!$C$15),E242)&gt;1,10,0),0)</f>
        <v>10</v>
      </c>
      <c r="J242" s="14" t="b">
        <f t="shared" ca="1" si="52"/>
        <v>0</v>
      </c>
      <c r="K242" s="14" t="str">
        <f ca="1">ADDRESS(3,(B242+1)*2-1,4,,"[" &amp; wew!$G$7 &amp; "]" &amp; _sheetname_labels) &amp; ":" &amp; ADDRESS(2+ster!$B$20,(B242+1)*2-1,4)</f>
        <v>'[dane surowe2c.xlsm]labels'!RM3:RM36</v>
      </c>
      <c r="L242" s="14" t="str">
        <f ca="1">IF(F242&gt;0,ADDRESS(3,(B242+1)*2-1,4,,"[" &amp; wew!$G$7 &amp; "]" &amp; _sheetname_labels) &amp; ":" &amp; ADDRESS(2+F242,(B242+1)*2-1,4),"")</f>
        <v/>
      </c>
      <c r="M242" s="14" t="str">
        <f ca="1">IF(F242&gt;0,ADDRESS(3,(B242+1)*2,4,,"["&amp;wew!$G$7&amp;"]"&amp;_sheetname_labels)&amp;":"&amp;ADDRESS(2+F242,(B242+1)*2,4),"")</f>
        <v/>
      </c>
      <c r="N242" s="14" t="str">
        <f ca="1">ADDRESS(3,B242+1,4,,"[" &amp; wew!$G$7 &amp; "]" &amp;_sheetname_dataframe) &amp; ":" &amp; ADDRESS(2+ster!$C$14,B242+1,4)</f>
        <v>'[dane surowe2c.xlsm]data_frame'!IG3:IG35</v>
      </c>
      <c r="O242" s="14">
        <f t="shared" ca="1" si="53"/>
        <v>0</v>
      </c>
      <c r="P242" s="14" t="str">
        <f ca="1">IF(AND($AD242,$S242=1),IF(wew!$B$3,MIN(INDIRECT($N242)),"&lt;włącz podświetlanie wartości&gt;"),"—")</f>
        <v>—</v>
      </c>
      <c r="Q242" s="14" t="str">
        <f ca="1">IF(AND($AD242,$S242=1),IF(wew!$B$3,MAX(INDIRECT($N242)),"&lt;włącz podświetlanie wartości&gt;"),"—")</f>
        <v>—</v>
      </c>
      <c r="R242" s="14">
        <f ca="1">IF(AD242,ster!$C$14- (COUNTIF( INDIRECT(N242),"" )+ COUNT(INDIRECT(N242)) +COUNTIF( INDIRECT(N242),"NA" )),"")</f>
        <v>0</v>
      </c>
      <c r="S242" s="12">
        <f ca="1">IF(AD242,IF(COUNTA(INDIRECT(N242))=0,0, 1-(ster!$C$14- COUNT(INDIRECT(N242)) -COUNTIF( INDIRECT(N242),"" )) /COUNTA(INDIRECT(N242))),"")</f>
        <v>0</v>
      </c>
      <c r="T242" s="17" t="str">
        <f t="array" aca="1" ref="T242" ca="1">IF(L242&lt;&gt;"",SUM(IF(INDIRECT(L242)&lt;&gt;INT(INDIRECT(L242)),1,0)),"")</f>
        <v/>
      </c>
      <c r="U242" s="17" t="str">
        <f t="array" aca="1" ref="U242" ca="1">IF(S242=1,SUM(IF(ISNUMBER(INDIRECT(N242)),IF(INDIRECT(N242)&lt;&gt;INT(INDIRECT(N242)),1,0),0)),"")</f>
        <v/>
      </c>
      <c r="V242" s="17">
        <f t="shared" ca="1" si="54"/>
        <v>0</v>
      </c>
      <c r="W242" s="17">
        <f t="shared" ca="1" si="55"/>
        <v>0</v>
      </c>
      <c r="X242" s="24" t="str">
        <f t="array" aca="1" ref="X242" ca="1">IF(AD242,IF(AG242&lt;&gt;"",AG242,IF(J242,MIN(INDIRECT( K242)),"")),"")</f>
        <v/>
      </c>
      <c r="Y242" s="17" t="str">
        <f t="array" aca="1" ref="Y242" ca="1">IF(AD242,IF(AH242&lt;&gt;"",AH242,IF(J242,MAX(INDIRECT( K242)),"")),"")</f>
        <v/>
      </c>
      <c r="Z242" s="17" t="b">
        <f t="shared" ca="1" si="56"/>
        <v>0</v>
      </c>
      <c r="AC242" s="17" t="b">
        <f t="shared" ca="1" si="57"/>
        <v>0</v>
      </c>
      <c r="AD242" s="14" t="b">
        <f t="shared" ca="1" si="58"/>
        <v>1</v>
      </c>
      <c r="AE242" s="15" t="b">
        <f t="shared" ca="1" si="59"/>
        <v>0</v>
      </c>
      <c r="AF242" s="16"/>
      <c r="AG242" s="16"/>
      <c r="AH242" s="16"/>
      <c r="AI242" s="16"/>
      <c r="AJ242" s="16"/>
      <c r="AK242" s="16"/>
      <c r="AL242" s="16"/>
      <c r="AM242" s="16"/>
    </row>
    <row r="243" spans="2:39">
      <c r="B243" s="14">
        <f t="shared" si="48"/>
        <v>241</v>
      </c>
      <c r="C243" s="14" t="str">
        <f t="shared" ca="1" si="49"/>
        <v>D</v>
      </c>
      <c r="D243" s="14" t="str">
        <f t="shared" ca="1" si="50"/>
        <v>q_50n.3</v>
      </c>
      <c r="E243" s="14" t="str">
        <f t="shared" ca="1" si="47"/>
        <v>vigorous Rowing activity</v>
      </c>
      <c r="F243" s="14">
        <f t="shared" ca="1" si="60"/>
        <v>2</v>
      </c>
      <c r="G243" s="14" t="str">
        <f t="shared" ca="1" si="51"/>
        <v>q_50n.3</v>
      </c>
      <c r="H243" s="14">
        <f ca="1">IF(G243&lt;&gt;"",IFERROR( IsVariableNameLegal(G243),0),0)+IF(COUNTIF(INDIRECT(wew!$C$13),G243)&gt;1,10,0)</f>
        <v>0</v>
      </c>
      <c r="I243" s="14">
        <f ca="1">IF(E243&lt;&gt;"",IF(LEN(E243)&gt;150,1,0)+IF(COUNTIF(INDIRECT(wew!$C$15),E243)&gt;1,10,0),0)</f>
        <v>0</v>
      </c>
      <c r="J243" s="14" t="b">
        <f t="shared" ca="1" si="52"/>
        <v>1</v>
      </c>
      <c r="K243" s="14" t="str">
        <f ca="1">ADDRESS(3,(B243+1)*2-1,4,,"[" &amp; wew!$G$7 &amp; "]" &amp; _sheetname_labels) &amp; ":" &amp; ADDRESS(2+ster!$B$20,(B243+1)*2-1,4)</f>
        <v>'[dane surowe2c.xlsm]labels'!RO3:RO36</v>
      </c>
      <c r="L243" s="14" t="str">
        <f ca="1">IF(F243&gt;0,ADDRESS(3,(B243+1)*2-1,4,,"[" &amp; wew!$G$7 &amp; "]" &amp; _sheetname_labels) &amp; ":" &amp; ADDRESS(2+F243,(B243+1)*2-1,4),"")</f>
        <v>'[dane surowe2c.xlsm]labels'!RO3:RO4</v>
      </c>
      <c r="M243" s="14" t="str">
        <f ca="1">IF(F243&gt;0,ADDRESS(3,(B243+1)*2,4,,"["&amp;wew!$G$7&amp;"]"&amp;_sheetname_labels)&amp;":"&amp;ADDRESS(2+F243,(B243+1)*2,4),"")</f>
        <v>'[dane surowe2c.xlsm]labels'!RP3:RP4</v>
      </c>
      <c r="N243" s="14" t="str">
        <f ca="1">ADDRESS(3,B243+1,4,,"[" &amp; wew!$G$7 &amp; "]" &amp;_sheetname_dataframe) &amp; ":" &amp; ADDRESS(2+ster!$C$14,B243+1,4)</f>
        <v>'[dane surowe2c.xlsm]data_frame'!IH3:IH35</v>
      </c>
      <c r="O243" s="14">
        <f t="shared" ca="1" si="53"/>
        <v>32</v>
      </c>
      <c r="P243" s="14">
        <f ca="1">IF(AND($AD243,$S243=1),IF(wew!$B$3,MIN(INDIRECT($N243)),"&lt;włącz podświetlanie wartości&gt;"),"—")</f>
        <v>2</v>
      </c>
      <c r="Q243" s="14">
        <f ca="1">IF(AND($AD243,$S243=1),IF(wew!$B$3,MAX(INDIRECT($N243)),"&lt;włącz podświetlanie wartości&gt;"),"—")</f>
        <v>2</v>
      </c>
      <c r="R243" s="14">
        <f ca="1">IF(AD243,ster!$C$14- (COUNTIF( INDIRECT(N243),"" )+ COUNT(INDIRECT(N243)) +COUNTIF( INDIRECT(N243),"NA" )),"")</f>
        <v>0</v>
      </c>
      <c r="S243" s="12">
        <f ca="1">IF(AD243,IF(COUNTA(INDIRECT(N243))=0,0, 1-(ster!$C$14- COUNT(INDIRECT(N243)) -COUNTIF( INDIRECT(N243),"" )) /COUNTA(INDIRECT(N243))),"")</f>
        <v>1</v>
      </c>
      <c r="T243" s="17">
        <f t="array" aca="1" ref="T243" ca="1">IF(L243&lt;&gt;"",SUM(IF(INDIRECT(L243)&lt;&gt;INT(INDIRECT(L243)),1,0)),"")</f>
        <v>0</v>
      </c>
      <c r="U243" s="17">
        <f t="array" aca="1" ref="U243" ca="1">IF(S243=1,SUM(IF(ISNUMBER(INDIRECT(N243)),IF(INDIRECT(N243)&lt;&gt;INT(INDIRECT(N243)),1,0),0)),"")</f>
        <v>0</v>
      </c>
      <c r="V243" s="17">
        <f t="shared" ca="1" si="54"/>
        <v>1</v>
      </c>
      <c r="W243" s="17">
        <f t="shared" ca="1" si="55"/>
        <v>0</v>
      </c>
      <c r="X243" s="24">
        <f t="array" aca="1" ref="X243" ca="1">IF(AD243,IF(AG243&lt;&gt;"",AG243,IF(J243,MIN(INDIRECT( K243)),"")),"")</f>
        <v>1</v>
      </c>
      <c r="Y243" s="17">
        <f t="array" aca="1" ref="Y243" ca="1">IF(AD243,IF(AH243&lt;&gt;"",AH243,IF(J243,MAX(INDIRECT( K243)),"")),"")</f>
        <v>2</v>
      </c>
      <c r="Z243" s="17" t="b">
        <f t="shared" ca="1" si="56"/>
        <v>1</v>
      </c>
      <c r="AC243" s="17" t="b">
        <f t="shared" ca="1" si="57"/>
        <v>0</v>
      </c>
      <c r="AD243" s="14" t="b">
        <f t="shared" ca="1" si="58"/>
        <v>1</v>
      </c>
      <c r="AE243" s="15" t="b">
        <f t="shared" ca="1" si="59"/>
        <v>1</v>
      </c>
      <c r="AF243" s="16"/>
      <c r="AG243" s="16"/>
      <c r="AH243" s="16"/>
      <c r="AI243" s="16"/>
      <c r="AJ243" s="16"/>
      <c r="AK243" s="16"/>
      <c r="AL243" s="16"/>
      <c r="AM243" s="16"/>
    </row>
    <row r="244" spans="2:39">
      <c r="B244" s="14">
        <f t="shared" si="48"/>
        <v>242</v>
      </c>
      <c r="C244" s="14" t="str">
        <f t="shared" ca="1" si="49"/>
        <v>I</v>
      </c>
      <c r="D244" s="14" t="str">
        <f t="shared" ca="1" si="50"/>
        <v>q_50n.4</v>
      </c>
      <c r="E244" s="14" t="str">
        <f t="shared" ca="1" si="47"/>
        <v>How long Rowing activity</v>
      </c>
      <c r="F244" s="14">
        <f t="shared" ca="1" si="60"/>
        <v>0</v>
      </c>
      <c r="G244" s="14" t="str">
        <f t="shared" ca="1" si="51"/>
        <v>q_50n.4</v>
      </c>
      <c r="H244" s="14">
        <f ca="1">IF(G244&lt;&gt;"",IFERROR( IsVariableNameLegal(G244),0),0)+IF(COUNTIF(INDIRECT(wew!$C$13),G244)&gt;1,10,0)</f>
        <v>0</v>
      </c>
      <c r="I244" s="14">
        <f ca="1">IF(E244&lt;&gt;"",IF(LEN(E244)&gt;150,1,0)+IF(COUNTIF(INDIRECT(wew!$C$15),E244)&gt;1,10,0),0)</f>
        <v>10</v>
      </c>
      <c r="J244" s="14" t="b">
        <f t="shared" ca="1" si="52"/>
        <v>0</v>
      </c>
      <c r="K244" s="14" t="str">
        <f ca="1">ADDRESS(3,(B244+1)*2-1,4,,"[" &amp; wew!$G$7 &amp; "]" &amp; _sheetname_labels) &amp; ":" &amp; ADDRESS(2+ster!$B$20,(B244+1)*2-1,4)</f>
        <v>'[dane surowe2c.xlsm]labels'!RQ3:RQ36</v>
      </c>
      <c r="L244" s="14" t="str">
        <f ca="1">IF(F244&gt;0,ADDRESS(3,(B244+1)*2-1,4,,"[" &amp; wew!$G$7 &amp; "]" &amp; _sheetname_labels) &amp; ":" &amp; ADDRESS(2+F244,(B244+1)*2-1,4),"")</f>
        <v/>
      </c>
      <c r="M244" s="14" t="str">
        <f ca="1">IF(F244&gt;0,ADDRESS(3,(B244+1)*2,4,,"["&amp;wew!$G$7&amp;"]"&amp;_sheetname_labels)&amp;":"&amp;ADDRESS(2+F244,(B244+1)*2,4),"")</f>
        <v/>
      </c>
      <c r="N244" s="14" t="str">
        <f ca="1">ADDRESS(3,B244+1,4,,"[" &amp; wew!$G$7 &amp; "]" &amp;_sheetname_dataframe) &amp; ":" &amp; ADDRESS(2+ster!$C$14,B244+1,4)</f>
        <v>'[dane surowe2c.xlsm]data_frame'!II3:II35</v>
      </c>
      <c r="O244" s="14">
        <f t="shared" ca="1" si="53"/>
        <v>0</v>
      </c>
      <c r="P244" s="14" t="str">
        <f ca="1">IF(AND($AD244,$S244=1),IF(wew!$B$3,MIN(INDIRECT($N244)),"&lt;włącz podświetlanie wartości&gt;"),"—")</f>
        <v>—</v>
      </c>
      <c r="Q244" s="14" t="str">
        <f ca="1">IF(AND($AD244,$S244=1),IF(wew!$B$3,MAX(INDIRECT($N244)),"&lt;włącz podświetlanie wartości&gt;"),"—")</f>
        <v>—</v>
      </c>
      <c r="R244" s="14">
        <f ca="1">IF(AD244,ster!$C$14- (COUNTIF( INDIRECT(N244),"" )+ COUNT(INDIRECT(N244)) +COUNTIF( INDIRECT(N244),"NA" )),"")</f>
        <v>0</v>
      </c>
      <c r="S244" s="12">
        <f ca="1">IF(AD244,IF(COUNTA(INDIRECT(N244))=0,0, 1-(ster!$C$14- COUNT(INDIRECT(N244)) -COUNTIF( INDIRECT(N244),"" )) /COUNTA(INDIRECT(N244))),"")</f>
        <v>0</v>
      </c>
      <c r="T244" s="17" t="str">
        <f t="array" aca="1" ref="T244" ca="1">IF(L244&lt;&gt;"",SUM(IF(INDIRECT(L244)&lt;&gt;INT(INDIRECT(L244)),1,0)),"")</f>
        <v/>
      </c>
      <c r="U244" s="17" t="str">
        <f t="array" aca="1" ref="U244" ca="1">IF(S244=1,SUM(IF(ISNUMBER(INDIRECT(N244)),IF(INDIRECT(N244)&lt;&gt;INT(INDIRECT(N244)),1,0),0)),"")</f>
        <v/>
      </c>
      <c r="V244" s="17">
        <f t="shared" ca="1" si="54"/>
        <v>0</v>
      </c>
      <c r="W244" s="17">
        <f t="shared" ca="1" si="55"/>
        <v>0</v>
      </c>
      <c r="X244" s="24" t="str">
        <f t="array" aca="1" ref="X244" ca="1">IF(AD244,IF(AG244&lt;&gt;"",AG244,IF(J244,MIN(INDIRECT( K244)),"")),"")</f>
        <v/>
      </c>
      <c r="Y244" s="17" t="str">
        <f t="array" aca="1" ref="Y244" ca="1">IF(AD244,IF(AH244&lt;&gt;"",AH244,IF(J244,MAX(INDIRECT( K244)),"")),"")</f>
        <v/>
      </c>
      <c r="Z244" s="17" t="b">
        <f t="shared" ca="1" si="56"/>
        <v>0</v>
      </c>
      <c r="AC244" s="17" t="b">
        <f t="shared" ca="1" si="57"/>
        <v>0</v>
      </c>
      <c r="AD244" s="14" t="b">
        <f t="shared" ca="1" si="58"/>
        <v>1</v>
      </c>
      <c r="AE244" s="15" t="b">
        <f t="shared" ca="1" si="59"/>
        <v>0</v>
      </c>
      <c r="AF244" s="16"/>
      <c r="AG244" s="16"/>
      <c r="AH244" s="16"/>
      <c r="AI244" s="16"/>
      <c r="AJ244" s="16"/>
      <c r="AK244" s="16"/>
      <c r="AL244" s="16"/>
      <c r="AM244" s="16"/>
    </row>
    <row r="245" spans="2:39">
      <c r="B245" s="14">
        <f t="shared" si="48"/>
        <v>243</v>
      </c>
      <c r="C245" s="14" t="str">
        <f t="shared" ca="1" si="49"/>
        <v>D</v>
      </c>
      <c r="D245" s="14" t="str">
        <f t="shared" ca="1" si="50"/>
        <v>q_50o.3</v>
      </c>
      <c r="E245" s="14" t="str">
        <f t="shared" ca="1" si="47"/>
        <v>vigorous Rugby activity</v>
      </c>
      <c r="F245" s="14">
        <f t="shared" ca="1" si="60"/>
        <v>2</v>
      </c>
      <c r="G245" s="14" t="str">
        <f t="shared" ca="1" si="51"/>
        <v>q_50o.3</v>
      </c>
      <c r="H245" s="14">
        <f ca="1">IF(G245&lt;&gt;"",IFERROR( IsVariableNameLegal(G245),0),0)+IF(COUNTIF(INDIRECT(wew!$C$13),G245)&gt;1,10,0)</f>
        <v>0</v>
      </c>
      <c r="I245" s="14">
        <f ca="1">IF(E245&lt;&gt;"",IF(LEN(E245)&gt;150,1,0)+IF(COUNTIF(INDIRECT(wew!$C$15),E245)&gt;1,10,0),0)</f>
        <v>0</v>
      </c>
      <c r="J245" s="14" t="b">
        <f t="shared" ca="1" si="52"/>
        <v>1</v>
      </c>
      <c r="K245" s="14" t="str">
        <f ca="1">ADDRESS(3,(B245+1)*2-1,4,,"[" &amp; wew!$G$7 &amp; "]" &amp; _sheetname_labels) &amp; ":" &amp; ADDRESS(2+ster!$B$20,(B245+1)*2-1,4)</f>
        <v>'[dane surowe2c.xlsm]labels'!RS3:RS36</v>
      </c>
      <c r="L245" s="14" t="str">
        <f ca="1">IF(F245&gt;0,ADDRESS(3,(B245+1)*2-1,4,,"[" &amp; wew!$G$7 &amp; "]" &amp; _sheetname_labels) &amp; ":" &amp; ADDRESS(2+F245,(B245+1)*2-1,4),"")</f>
        <v>'[dane surowe2c.xlsm]labels'!RS3:RS4</v>
      </c>
      <c r="M245" s="14" t="str">
        <f ca="1">IF(F245&gt;0,ADDRESS(3,(B245+1)*2,4,,"["&amp;wew!$G$7&amp;"]"&amp;_sheetname_labels)&amp;":"&amp;ADDRESS(2+F245,(B245+1)*2,4),"")</f>
        <v>'[dane surowe2c.xlsm]labels'!RT3:RT4</v>
      </c>
      <c r="N245" s="14" t="str">
        <f ca="1">ADDRESS(3,B245+1,4,,"[" &amp; wew!$G$7 &amp; "]" &amp;_sheetname_dataframe) &amp; ":" &amp; ADDRESS(2+ster!$C$14,B245+1,4)</f>
        <v>'[dane surowe2c.xlsm]data_frame'!IJ3:IJ35</v>
      </c>
      <c r="O245" s="14">
        <f t="shared" ca="1" si="53"/>
        <v>32</v>
      </c>
      <c r="P245" s="14">
        <f ca="1">IF(AND($AD245,$S245=1),IF(wew!$B$3,MIN(INDIRECT($N245)),"&lt;włącz podświetlanie wartości&gt;"),"—")</f>
        <v>2</v>
      </c>
      <c r="Q245" s="14">
        <f ca="1">IF(AND($AD245,$S245=1),IF(wew!$B$3,MAX(INDIRECT($N245)),"&lt;włącz podświetlanie wartości&gt;"),"—")</f>
        <v>2</v>
      </c>
      <c r="R245" s="14">
        <f ca="1">IF(AD245,ster!$C$14- (COUNTIF( INDIRECT(N245),"" )+ COUNT(INDIRECT(N245)) +COUNTIF( INDIRECT(N245),"NA" )),"")</f>
        <v>0</v>
      </c>
      <c r="S245" s="12">
        <f ca="1">IF(AD245,IF(COUNTA(INDIRECT(N245))=0,0, 1-(ster!$C$14- COUNT(INDIRECT(N245)) -COUNTIF( INDIRECT(N245),"" )) /COUNTA(INDIRECT(N245))),"")</f>
        <v>1</v>
      </c>
      <c r="T245" s="17">
        <f t="array" aca="1" ref="T245" ca="1">IF(L245&lt;&gt;"",SUM(IF(INDIRECT(L245)&lt;&gt;INT(INDIRECT(L245)),1,0)),"")</f>
        <v>0</v>
      </c>
      <c r="U245" s="17">
        <f t="array" aca="1" ref="U245" ca="1">IF(S245=1,SUM(IF(ISNUMBER(INDIRECT(N245)),IF(INDIRECT(N245)&lt;&gt;INT(INDIRECT(N245)),1,0),0)),"")</f>
        <v>0</v>
      </c>
      <c r="V245" s="17">
        <f t="shared" ca="1" si="54"/>
        <v>1</v>
      </c>
      <c r="W245" s="17">
        <f t="shared" ca="1" si="55"/>
        <v>0</v>
      </c>
      <c r="X245" s="24">
        <f t="array" aca="1" ref="X245" ca="1">IF(AD245,IF(AG245&lt;&gt;"",AG245,IF(J245,MIN(INDIRECT( K245)),"")),"")</f>
        <v>1</v>
      </c>
      <c r="Y245" s="17">
        <f t="array" aca="1" ref="Y245" ca="1">IF(AD245,IF(AH245&lt;&gt;"",AH245,IF(J245,MAX(INDIRECT( K245)),"")),"")</f>
        <v>2</v>
      </c>
      <c r="Z245" s="17" t="b">
        <f t="shared" ca="1" si="56"/>
        <v>1</v>
      </c>
      <c r="AC245" s="17" t="b">
        <f t="shared" ca="1" si="57"/>
        <v>0</v>
      </c>
      <c r="AD245" s="14" t="b">
        <f t="shared" ca="1" si="58"/>
        <v>1</v>
      </c>
      <c r="AE245" s="15" t="b">
        <f t="shared" ca="1" si="59"/>
        <v>1</v>
      </c>
      <c r="AF245" s="16"/>
      <c r="AG245" s="16"/>
      <c r="AH245" s="16"/>
      <c r="AI245" s="16"/>
      <c r="AJ245" s="16"/>
      <c r="AK245" s="16"/>
      <c r="AL245" s="16"/>
      <c r="AM245" s="16"/>
    </row>
    <row r="246" spans="2:39">
      <c r="B246" s="14">
        <f t="shared" si="48"/>
        <v>244</v>
      </c>
      <c r="C246" s="14" t="str">
        <f t="shared" ca="1" si="49"/>
        <v>I</v>
      </c>
      <c r="D246" s="14" t="str">
        <f t="shared" ca="1" si="50"/>
        <v>q_50o.4</v>
      </c>
      <c r="E246" s="14" t="str">
        <f t="shared" ca="1" si="47"/>
        <v>How long Rugby activity</v>
      </c>
      <c r="F246" s="14">
        <f t="shared" ca="1" si="60"/>
        <v>0</v>
      </c>
      <c r="G246" s="14" t="str">
        <f t="shared" ca="1" si="51"/>
        <v>q_50o.4</v>
      </c>
      <c r="H246" s="14">
        <f ca="1">IF(G246&lt;&gt;"",IFERROR( IsVariableNameLegal(G246),0),0)+IF(COUNTIF(INDIRECT(wew!$C$13),G246)&gt;1,10,0)</f>
        <v>0</v>
      </c>
      <c r="I246" s="14">
        <f ca="1">IF(E246&lt;&gt;"",IF(LEN(E246)&gt;150,1,0)+IF(COUNTIF(INDIRECT(wew!$C$15),E246)&gt;1,10,0),0)</f>
        <v>10</v>
      </c>
      <c r="J246" s="14" t="b">
        <f t="shared" ca="1" si="52"/>
        <v>0</v>
      </c>
      <c r="K246" s="14" t="str">
        <f ca="1">ADDRESS(3,(B246+1)*2-1,4,,"[" &amp; wew!$G$7 &amp; "]" &amp; _sheetname_labels) &amp; ":" &amp; ADDRESS(2+ster!$B$20,(B246+1)*2-1,4)</f>
        <v>'[dane surowe2c.xlsm]labels'!RU3:RU36</v>
      </c>
      <c r="L246" s="14" t="str">
        <f ca="1">IF(F246&gt;0,ADDRESS(3,(B246+1)*2-1,4,,"[" &amp; wew!$G$7 &amp; "]" &amp; _sheetname_labels) &amp; ":" &amp; ADDRESS(2+F246,(B246+1)*2-1,4),"")</f>
        <v/>
      </c>
      <c r="M246" s="14" t="str">
        <f ca="1">IF(F246&gt;0,ADDRESS(3,(B246+1)*2,4,,"["&amp;wew!$G$7&amp;"]"&amp;_sheetname_labels)&amp;":"&amp;ADDRESS(2+F246,(B246+1)*2,4),"")</f>
        <v/>
      </c>
      <c r="N246" s="14" t="str">
        <f ca="1">ADDRESS(3,B246+1,4,,"[" &amp; wew!$G$7 &amp; "]" &amp;_sheetname_dataframe) &amp; ":" &amp; ADDRESS(2+ster!$C$14,B246+1,4)</f>
        <v>'[dane surowe2c.xlsm]data_frame'!IK3:IK35</v>
      </c>
      <c r="O246" s="14">
        <f t="shared" ca="1" si="53"/>
        <v>0</v>
      </c>
      <c r="P246" s="14" t="str">
        <f ca="1">IF(AND($AD246,$S246=1),IF(wew!$B$3,MIN(INDIRECT($N246)),"&lt;włącz podświetlanie wartości&gt;"),"—")</f>
        <v>—</v>
      </c>
      <c r="Q246" s="14" t="str">
        <f ca="1">IF(AND($AD246,$S246=1),IF(wew!$B$3,MAX(INDIRECT($N246)),"&lt;włącz podświetlanie wartości&gt;"),"—")</f>
        <v>—</v>
      </c>
      <c r="R246" s="14">
        <f ca="1">IF(AD246,ster!$C$14- (COUNTIF( INDIRECT(N246),"" )+ COUNT(INDIRECT(N246)) +COUNTIF( INDIRECT(N246),"NA" )),"")</f>
        <v>0</v>
      </c>
      <c r="S246" s="12">
        <f ca="1">IF(AD246,IF(COUNTA(INDIRECT(N246))=0,0, 1-(ster!$C$14- COUNT(INDIRECT(N246)) -COUNTIF( INDIRECT(N246),"" )) /COUNTA(INDIRECT(N246))),"")</f>
        <v>0</v>
      </c>
      <c r="T246" s="17" t="str">
        <f t="array" aca="1" ref="T246" ca="1">IF(L246&lt;&gt;"",SUM(IF(INDIRECT(L246)&lt;&gt;INT(INDIRECT(L246)),1,0)),"")</f>
        <v/>
      </c>
      <c r="U246" s="17" t="str">
        <f t="array" aca="1" ref="U246" ca="1">IF(S246=1,SUM(IF(ISNUMBER(INDIRECT(N246)),IF(INDIRECT(N246)&lt;&gt;INT(INDIRECT(N246)),1,0),0)),"")</f>
        <v/>
      </c>
      <c r="V246" s="17">
        <f t="shared" ca="1" si="54"/>
        <v>0</v>
      </c>
      <c r="W246" s="17">
        <f t="shared" ca="1" si="55"/>
        <v>0</v>
      </c>
      <c r="X246" s="24" t="str">
        <f t="array" aca="1" ref="X246" ca="1">IF(AD246,IF(AG246&lt;&gt;"",AG246,IF(J246,MIN(INDIRECT( K246)),"")),"")</f>
        <v/>
      </c>
      <c r="Y246" s="17" t="str">
        <f t="array" aca="1" ref="Y246" ca="1">IF(AD246,IF(AH246&lt;&gt;"",AH246,IF(J246,MAX(INDIRECT( K246)),"")),"")</f>
        <v/>
      </c>
      <c r="Z246" s="17" t="b">
        <f t="shared" ca="1" si="56"/>
        <v>0</v>
      </c>
      <c r="AC246" s="17" t="b">
        <f t="shared" ca="1" si="57"/>
        <v>0</v>
      </c>
      <c r="AD246" s="14" t="b">
        <f t="shared" ca="1" si="58"/>
        <v>1</v>
      </c>
      <c r="AE246" s="15" t="b">
        <f t="shared" ca="1" si="59"/>
        <v>0</v>
      </c>
      <c r="AF246" s="16"/>
      <c r="AG246" s="16"/>
      <c r="AH246" s="16"/>
      <c r="AI246" s="16"/>
      <c r="AJ246" s="16"/>
      <c r="AK246" s="16"/>
      <c r="AL246" s="16"/>
      <c r="AM246" s="16"/>
    </row>
    <row r="247" spans="2:39">
      <c r="B247" s="14">
        <f t="shared" si="48"/>
        <v>245</v>
      </c>
      <c r="C247" s="14" t="str">
        <f t="shared" ca="1" si="49"/>
        <v>D</v>
      </c>
      <c r="D247" s="14" t="str">
        <f t="shared" ca="1" si="50"/>
        <v>q_50p.3</v>
      </c>
      <c r="E247" s="14" t="str">
        <f t="shared" ca="1" si="47"/>
        <v>vigorous Running activity</v>
      </c>
      <c r="F247" s="14">
        <f t="shared" ca="1" si="60"/>
        <v>2</v>
      </c>
      <c r="G247" s="14" t="str">
        <f t="shared" ca="1" si="51"/>
        <v>q_50p.3</v>
      </c>
      <c r="H247" s="14">
        <f ca="1">IF(G247&lt;&gt;"",IFERROR( IsVariableNameLegal(G247),0),0)+IF(COUNTIF(INDIRECT(wew!$C$13),G247)&gt;1,10,0)</f>
        <v>0</v>
      </c>
      <c r="I247" s="14">
        <f ca="1">IF(E247&lt;&gt;"",IF(LEN(E247)&gt;150,1,0)+IF(COUNTIF(INDIRECT(wew!$C$15),E247)&gt;1,10,0),0)</f>
        <v>0</v>
      </c>
      <c r="J247" s="14" t="b">
        <f t="shared" ca="1" si="52"/>
        <v>1</v>
      </c>
      <c r="K247" s="14" t="str">
        <f ca="1">ADDRESS(3,(B247+1)*2-1,4,,"[" &amp; wew!$G$7 &amp; "]" &amp; _sheetname_labels) &amp; ":" &amp; ADDRESS(2+ster!$B$20,(B247+1)*2-1,4)</f>
        <v>'[dane surowe2c.xlsm]labels'!RW3:RW36</v>
      </c>
      <c r="L247" s="14" t="str">
        <f ca="1">IF(F247&gt;0,ADDRESS(3,(B247+1)*2-1,4,,"[" &amp; wew!$G$7 &amp; "]" &amp; _sheetname_labels) &amp; ":" &amp; ADDRESS(2+F247,(B247+1)*2-1,4),"")</f>
        <v>'[dane surowe2c.xlsm]labels'!RW3:RW4</v>
      </c>
      <c r="M247" s="14" t="str">
        <f ca="1">IF(F247&gt;0,ADDRESS(3,(B247+1)*2,4,,"["&amp;wew!$G$7&amp;"]"&amp;_sheetname_labels)&amp;":"&amp;ADDRESS(2+F247,(B247+1)*2,4),"")</f>
        <v>'[dane surowe2c.xlsm]labels'!RX3:RX4</v>
      </c>
      <c r="N247" s="14" t="str">
        <f ca="1">ADDRESS(3,B247+1,4,,"[" &amp; wew!$G$7 &amp; "]" &amp;_sheetname_dataframe) &amp; ":" &amp; ADDRESS(2+ster!$C$14,B247+1,4)</f>
        <v>'[dane surowe2c.xlsm]data_frame'!IL3:IL35</v>
      </c>
      <c r="O247" s="14">
        <f t="shared" ca="1" si="53"/>
        <v>32</v>
      </c>
      <c r="P247" s="14">
        <f ca="1">IF(AND($AD247,$S247=1),IF(wew!$B$3,MIN(INDIRECT($N247)),"&lt;włącz podświetlanie wartości&gt;"),"—")</f>
        <v>1</v>
      </c>
      <c r="Q247" s="14">
        <f ca="1">IF(AND($AD247,$S247=1),IF(wew!$B$3,MAX(INDIRECT($N247)),"&lt;włącz podświetlanie wartości&gt;"),"—")</f>
        <v>2</v>
      </c>
      <c r="R247" s="14">
        <f ca="1">IF(AD247,ster!$C$14- (COUNTIF( INDIRECT(N247),"" )+ COUNT(INDIRECT(N247)) +COUNTIF( INDIRECT(N247),"NA" )),"")</f>
        <v>0</v>
      </c>
      <c r="S247" s="12">
        <f ca="1">IF(AD247,IF(COUNTA(INDIRECT(N247))=0,0, 1-(ster!$C$14- COUNT(INDIRECT(N247)) -COUNTIF( INDIRECT(N247),"" )) /COUNTA(INDIRECT(N247))),"")</f>
        <v>1</v>
      </c>
      <c r="T247" s="17">
        <f t="array" aca="1" ref="T247" ca="1">IF(L247&lt;&gt;"",SUM(IF(INDIRECT(L247)&lt;&gt;INT(INDIRECT(L247)),1,0)),"")</f>
        <v>0</v>
      </c>
      <c r="U247" s="17">
        <f t="array" aca="1" ref="U247" ca="1">IF(S247=1,SUM(IF(ISNUMBER(INDIRECT(N247)),IF(INDIRECT(N247)&lt;&gt;INT(INDIRECT(N247)),1,0),0)),"")</f>
        <v>0</v>
      </c>
      <c r="V247" s="17">
        <f t="shared" ca="1" si="54"/>
        <v>1</v>
      </c>
      <c r="W247" s="17">
        <f t="shared" ca="1" si="55"/>
        <v>0</v>
      </c>
      <c r="X247" s="24">
        <f t="array" aca="1" ref="X247" ca="1">IF(AD247,IF(AG247&lt;&gt;"",AG247,IF(J247,MIN(INDIRECT( K247)),"")),"")</f>
        <v>1</v>
      </c>
      <c r="Y247" s="17">
        <f t="array" aca="1" ref="Y247" ca="1">IF(AD247,IF(AH247&lt;&gt;"",AH247,IF(J247,MAX(INDIRECT( K247)),"")),"")</f>
        <v>2</v>
      </c>
      <c r="Z247" s="17" t="b">
        <f t="shared" ca="1" si="56"/>
        <v>1</v>
      </c>
      <c r="AC247" s="17" t="b">
        <f t="shared" ca="1" si="57"/>
        <v>0</v>
      </c>
      <c r="AD247" s="14" t="b">
        <f t="shared" ca="1" si="58"/>
        <v>1</v>
      </c>
      <c r="AE247" s="15" t="b">
        <f t="shared" ca="1" si="59"/>
        <v>1</v>
      </c>
      <c r="AF247" s="16"/>
      <c r="AG247" s="16"/>
      <c r="AH247" s="16"/>
      <c r="AI247" s="16"/>
      <c r="AJ247" s="16"/>
      <c r="AK247" s="16"/>
      <c r="AL247" s="16"/>
      <c r="AM247" s="16"/>
    </row>
    <row r="248" spans="2:39">
      <c r="B248" s="14">
        <f t="shared" si="48"/>
        <v>246</v>
      </c>
      <c r="C248" s="14" t="str">
        <f t="shared" ca="1" si="49"/>
        <v>I</v>
      </c>
      <c r="D248" s="14" t="str">
        <f t="shared" ca="1" si="50"/>
        <v>q_50p.4</v>
      </c>
      <c r="E248" s="14" t="str">
        <f t="shared" ca="1" si="47"/>
        <v>How long Running activity</v>
      </c>
      <c r="F248" s="14">
        <f t="shared" ca="1" si="60"/>
        <v>0</v>
      </c>
      <c r="G248" s="14" t="str">
        <f t="shared" ca="1" si="51"/>
        <v>q_50p.4</v>
      </c>
      <c r="H248" s="14">
        <f ca="1">IF(G248&lt;&gt;"",IFERROR( IsVariableNameLegal(G248),0),0)+IF(COUNTIF(INDIRECT(wew!$C$13),G248)&gt;1,10,0)</f>
        <v>0</v>
      </c>
      <c r="I248" s="14">
        <f ca="1">IF(E248&lt;&gt;"",IF(LEN(E248)&gt;150,1,0)+IF(COUNTIF(INDIRECT(wew!$C$15),E248)&gt;1,10,0),0)</f>
        <v>10</v>
      </c>
      <c r="J248" s="14" t="b">
        <f t="shared" ca="1" si="52"/>
        <v>0</v>
      </c>
      <c r="K248" s="14" t="str">
        <f ca="1">ADDRESS(3,(B248+1)*2-1,4,,"[" &amp; wew!$G$7 &amp; "]" &amp; _sheetname_labels) &amp; ":" &amp; ADDRESS(2+ster!$B$20,(B248+1)*2-1,4)</f>
        <v>'[dane surowe2c.xlsm]labels'!RY3:RY36</v>
      </c>
      <c r="L248" s="14" t="str">
        <f ca="1">IF(F248&gt;0,ADDRESS(3,(B248+1)*2-1,4,,"[" &amp; wew!$G$7 &amp; "]" &amp; _sheetname_labels) &amp; ":" &amp; ADDRESS(2+F248,(B248+1)*2-1,4),"")</f>
        <v/>
      </c>
      <c r="M248" s="14" t="str">
        <f ca="1">IF(F248&gt;0,ADDRESS(3,(B248+1)*2,4,,"["&amp;wew!$G$7&amp;"]"&amp;_sheetname_labels)&amp;":"&amp;ADDRESS(2+F248,(B248+1)*2,4),"")</f>
        <v/>
      </c>
      <c r="N248" s="14" t="str">
        <f ca="1">ADDRESS(3,B248+1,4,,"[" &amp; wew!$G$7 &amp; "]" &amp;_sheetname_dataframe) &amp; ":" &amp; ADDRESS(2+ster!$C$14,B248+1,4)</f>
        <v>'[dane surowe2c.xlsm]data_frame'!IM3:IM35</v>
      </c>
      <c r="O248" s="14">
        <f t="shared" ca="1" si="53"/>
        <v>1</v>
      </c>
      <c r="P248" s="14">
        <f ca="1">IF(AND($AD248,$S248=1),IF(wew!$B$3,MIN(INDIRECT($N248)),"&lt;włącz podświetlanie wartości&gt;"),"—")</f>
        <v>10</v>
      </c>
      <c r="Q248" s="14">
        <f ca="1">IF(AND($AD248,$S248=1),IF(wew!$B$3,MAX(INDIRECT($N248)),"&lt;włącz podświetlanie wartości&gt;"),"—")</f>
        <v>10</v>
      </c>
      <c r="R248" s="14">
        <f ca="1">IF(AD248,ster!$C$14- (COUNTIF( INDIRECT(N248),"" )+ COUNT(INDIRECT(N248)) +COUNTIF( INDIRECT(N248),"NA" )),"")</f>
        <v>0</v>
      </c>
      <c r="S248" s="12">
        <f ca="1">IF(AD248,IF(COUNTA(INDIRECT(N248))=0,0, 1-(ster!$C$14- COUNT(INDIRECT(N248)) -COUNTIF( INDIRECT(N248),"" )) /COUNTA(INDIRECT(N248))),"")</f>
        <v>1</v>
      </c>
      <c r="T248" s="17" t="str">
        <f t="array" aca="1" ref="T248" ca="1">IF(L248&lt;&gt;"",SUM(IF(INDIRECT(L248)&lt;&gt;INT(INDIRECT(L248)),1,0)),"")</f>
        <v/>
      </c>
      <c r="U248" s="17">
        <f t="array" aca="1" ref="U248" ca="1">IF(S248=1,SUM(IF(ISNUMBER(INDIRECT(N248)),IF(INDIRECT(N248)&lt;&gt;INT(INDIRECT(N248)),1,0),0)),"")</f>
        <v>0</v>
      </c>
      <c r="V248" s="17">
        <f t="shared" ca="1" si="54"/>
        <v>1</v>
      </c>
      <c r="W248" s="17">
        <f t="shared" ca="1" si="55"/>
        <v>0</v>
      </c>
      <c r="X248" s="24" t="str">
        <f t="array" aca="1" ref="X248" ca="1">IF(AD248,IF(AG248&lt;&gt;"",AG248,IF(J248,MIN(INDIRECT( K248)),"")),"")</f>
        <v/>
      </c>
      <c r="Y248" s="17" t="str">
        <f t="array" aca="1" ref="Y248" ca="1">IF(AD248,IF(AH248&lt;&gt;"",AH248,IF(J248,MAX(INDIRECT( K248)),"")),"")</f>
        <v/>
      </c>
      <c r="Z248" s="17" t="b">
        <f t="shared" ca="1" si="56"/>
        <v>0</v>
      </c>
      <c r="AC248" s="17" t="b">
        <f t="shared" ca="1" si="57"/>
        <v>0</v>
      </c>
      <c r="AD248" s="14" t="b">
        <f t="shared" ca="1" si="58"/>
        <v>1</v>
      </c>
      <c r="AE248" s="15" t="b">
        <f t="shared" ca="1" si="59"/>
        <v>0</v>
      </c>
      <c r="AF248" s="16"/>
      <c r="AG248" s="16"/>
      <c r="AH248" s="16"/>
      <c r="AI248" s="16"/>
      <c r="AJ248" s="16"/>
      <c r="AK248" s="16"/>
      <c r="AL248" s="16"/>
      <c r="AM248" s="16"/>
    </row>
    <row r="249" spans="2:39">
      <c r="B249" s="14">
        <f t="shared" si="48"/>
        <v>247</v>
      </c>
      <c r="C249" s="14" t="str">
        <f t="shared" ca="1" si="49"/>
        <v>D</v>
      </c>
      <c r="D249" s="14" t="str">
        <f t="shared" ca="1" si="50"/>
        <v>q_50q.3</v>
      </c>
      <c r="E249" s="14" t="str">
        <f t="shared" ca="1" si="47"/>
        <v>vigorous Skiing activity</v>
      </c>
      <c r="F249" s="14">
        <f t="shared" ca="1" si="60"/>
        <v>2</v>
      </c>
      <c r="G249" s="14" t="str">
        <f t="shared" ca="1" si="51"/>
        <v>q_50q.3</v>
      </c>
      <c r="H249" s="14">
        <f ca="1">IF(G249&lt;&gt;"",IFERROR( IsVariableNameLegal(G249),0),0)+IF(COUNTIF(INDIRECT(wew!$C$13),G249)&gt;1,10,0)</f>
        <v>0</v>
      </c>
      <c r="I249" s="14">
        <f ca="1">IF(E249&lt;&gt;"",IF(LEN(E249)&gt;150,1,0)+IF(COUNTIF(INDIRECT(wew!$C$15),E249)&gt;1,10,0),0)</f>
        <v>0</v>
      </c>
      <c r="J249" s="14" t="b">
        <f t="shared" ca="1" si="52"/>
        <v>1</v>
      </c>
      <c r="K249" s="14" t="str">
        <f ca="1">ADDRESS(3,(B249+1)*2-1,4,,"[" &amp; wew!$G$7 &amp; "]" &amp; _sheetname_labels) &amp; ":" &amp; ADDRESS(2+ster!$B$20,(B249+1)*2-1,4)</f>
        <v>'[dane surowe2c.xlsm]labels'!SA3:SA36</v>
      </c>
      <c r="L249" s="14" t="str">
        <f ca="1">IF(F249&gt;0,ADDRESS(3,(B249+1)*2-1,4,,"[" &amp; wew!$G$7 &amp; "]" &amp; _sheetname_labels) &amp; ":" &amp; ADDRESS(2+F249,(B249+1)*2-1,4),"")</f>
        <v>'[dane surowe2c.xlsm]labels'!SA3:SA4</v>
      </c>
      <c r="M249" s="14" t="str">
        <f ca="1">IF(F249&gt;0,ADDRESS(3,(B249+1)*2,4,,"["&amp;wew!$G$7&amp;"]"&amp;_sheetname_labels)&amp;":"&amp;ADDRESS(2+F249,(B249+1)*2,4),"")</f>
        <v>'[dane surowe2c.xlsm]labels'!SB3:SB4</v>
      </c>
      <c r="N249" s="14" t="str">
        <f ca="1">ADDRESS(3,B249+1,4,,"[" &amp; wew!$G$7 &amp; "]" &amp;_sheetname_dataframe) &amp; ":" &amp; ADDRESS(2+ster!$C$14,B249+1,4)</f>
        <v>'[dane surowe2c.xlsm]data_frame'!IN3:IN35</v>
      </c>
      <c r="O249" s="14">
        <f t="shared" ca="1" si="53"/>
        <v>32</v>
      </c>
      <c r="P249" s="14">
        <f ca="1">IF(AND($AD249,$S249=1),IF(wew!$B$3,MIN(INDIRECT($N249)),"&lt;włącz podświetlanie wartości&gt;"),"—")</f>
        <v>2</v>
      </c>
      <c r="Q249" s="14">
        <f ca="1">IF(AND($AD249,$S249=1),IF(wew!$B$3,MAX(INDIRECT($N249)),"&lt;włącz podświetlanie wartości&gt;"),"—")</f>
        <v>2</v>
      </c>
      <c r="R249" s="14">
        <f ca="1">IF(AD249,ster!$C$14- (COUNTIF( INDIRECT(N249),"" )+ COUNT(INDIRECT(N249)) +COUNTIF( INDIRECT(N249),"NA" )),"")</f>
        <v>0</v>
      </c>
      <c r="S249" s="12">
        <f ca="1">IF(AD249,IF(COUNTA(INDIRECT(N249))=0,0, 1-(ster!$C$14- COUNT(INDIRECT(N249)) -COUNTIF( INDIRECT(N249),"" )) /COUNTA(INDIRECT(N249))),"")</f>
        <v>1</v>
      </c>
      <c r="T249" s="17">
        <f t="array" aca="1" ref="T249" ca="1">IF(L249&lt;&gt;"",SUM(IF(INDIRECT(L249)&lt;&gt;INT(INDIRECT(L249)),1,0)),"")</f>
        <v>0</v>
      </c>
      <c r="U249" s="17">
        <f t="array" aca="1" ref="U249" ca="1">IF(S249=1,SUM(IF(ISNUMBER(INDIRECT(N249)),IF(INDIRECT(N249)&lt;&gt;INT(INDIRECT(N249)),1,0),0)),"")</f>
        <v>0</v>
      </c>
      <c r="V249" s="17">
        <f t="shared" ca="1" si="54"/>
        <v>1</v>
      </c>
      <c r="W249" s="17">
        <f t="shared" ca="1" si="55"/>
        <v>0</v>
      </c>
      <c r="X249" s="24">
        <f t="array" aca="1" ref="X249" ca="1">IF(AD249,IF(AG249&lt;&gt;"",AG249,IF(J249,MIN(INDIRECT( K249)),"")),"")</f>
        <v>1</v>
      </c>
      <c r="Y249" s="17">
        <f t="array" aca="1" ref="Y249" ca="1">IF(AD249,IF(AH249&lt;&gt;"",AH249,IF(J249,MAX(INDIRECT( K249)),"")),"")</f>
        <v>2</v>
      </c>
      <c r="Z249" s="17" t="b">
        <f t="shared" ca="1" si="56"/>
        <v>1</v>
      </c>
      <c r="AC249" s="17" t="b">
        <f t="shared" ca="1" si="57"/>
        <v>0</v>
      </c>
      <c r="AD249" s="14" t="b">
        <f t="shared" ca="1" si="58"/>
        <v>1</v>
      </c>
      <c r="AE249" s="15" t="b">
        <f t="shared" ca="1" si="59"/>
        <v>1</v>
      </c>
      <c r="AF249" s="16"/>
      <c r="AG249" s="16"/>
      <c r="AH249" s="16"/>
      <c r="AI249" s="16"/>
      <c r="AJ249" s="16"/>
      <c r="AK249" s="16"/>
      <c r="AL249" s="16"/>
      <c r="AM249" s="16"/>
    </row>
    <row r="250" spans="2:39">
      <c r="B250" s="14">
        <f t="shared" si="48"/>
        <v>248</v>
      </c>
      <c r="C250" s="14" t="str">
        <f t="shared" ca="1" si="49"/>
        <v>I</v>
      </c>
      <c r="D250" s="14" t="str">
        <f t="shared" ca="1" si="50"/>
        <v>q_50q.4</v>
      </c>
      <c r="E250" s="14" t="str">
        <f t="shared" ca="1" si="47"/>
        <v>How long Skiing activity</v>
      </c>
      <c r="F250" s="14">
        <f t="shared" ca="1" si="60"/>
        <v>0</v>
      </c>
      <c r="G250" s="14" t="str">
        <f t="shared" ca="1" si="51"/>
        <v>q_50q.4</v>
      </c>
      <c r="H250" s="14">
        <f ca="1">IF(G250&lt;&gt;"",IFERROR( IsVariableNameLegal(G250),0),0)+IF(COUNTIF(INDIRECT(wew!$C$13),G250)&gt;1,10,0)</f>
        <v>0</v>
      </c>
      <c r="I250" s="14">
        <f ca="1">IF(E250&lt;&gt;"",IF(LEN(E250)&gt;150,1,0)+IF(COUNTIF(INDIRECT(wew!$C$15),E250)&gt;1,10,0),0)</f>
        <v>10</v>
      </c>
      <c r="J250" s="14" t="b">
        <f t="shared" ca="1" si="52"/>
        <v>0</v>
      </c>
      <c r="K250" s="14" t="str">
        <f ca="1">ADDRESS(3,(B250+1)*2-1,4,,"[" &amp; wew!$G$7 &amp; "]" &amp; _sheetname_labels) &amp; ":" &amp; ADDRESS(2+ster!$B$20,(B250+1)*2-1,4)</f>
        <v>'[dane surowe2c.xlsm]labels'!SC3:SC36</v>
      </c>
      <c r="L250" s="14" t="str">
        <f ca="1">IF(F250&gt;0,ADDRESS(3,(B250+1)*2-1,4,,"[" &amp; wew!$G$7 &amp; "]" &amp; _sheetname_labels) &amp; ":" &amp; ADDRESS(2+F250,(B250+1)*2-1,4),"")</f>
        <v/>
      </c>
      <c r="M250" s="14" t="str">
        <f ca="1">IF(F250&gt;0,ADDRESS(3,(B250+1)*2,4,,"["&amp;wew!$G$7&amp;"]"&amp;_sheetname_labels)&amp;":"&amp;ADDRESS(2+F250,(B250+1)*2,4),"")</f>
        <v/>
      </c>
      <c r="N250" s="14" t="str">
        <f ca="1">ADDRESS(3,B250+1,4,,"[" &amp; wew!$G$7 &amp; "]" &amp;_sheetname_dataframe) &amp; ":" &amp; ADDRESS(2+ster!$C$14,B250+1,4)</f>
        <v>'[dane surowe2c.xlsm]data_frame'!IO3:IO35</v>
      </c>
      <c r="O250" s="14">
        <f t="shared" ca="1" si="53"/>
        <v>0</v>
      </c>
      <c r="P250" s="14" t="str">
        <f ca="1">IF(AND($AD250,$S250=1),IF(wew!$B$3,MIN(INDIRECT($N250)),"&lt;włącz podświetlanie wartości&gt;"),"—")</f>
        <v>—</v>
      </c>
      <c r="Q250" s="14" t="str">
        <f ca="1">IF(AND($AD250,$S250=1),IF(wew!$B$3,MAX(INDIRECT($N250)),"&lt;włącz podświetlanie wartości&gt;"),"—")</f>
        <v>—</v>
      </c>
      <c r="R250" s="14">
        <f ca="1">IF(AD250,ster!$C$14- (COUNTIF( INDIRECT(N250),"" )+ COUNT(INDIRECT(N250)) +COUNTIF( INDIRECT(N250),"NA" )),"")</f>
        <v>0</v>
      </c>
      <c r="S250" s="12">
        <f ca="1">IF(AD250,IF(COUNTA(INDIRECT(N250))=0,0, 1-(ster!$C$14- COUNT(INDIRECT(N250)) -COUNTIF( INDIRECT(N250),"" )) /COUNTA(INDIRECT(N250))),"")</f>
        <v>0</v>
      </c>
      <c r="T250" s="17" t="str">
        <f t="array" aca="1" ref="T250" ca="1">IF(L250&lt;&gt;"",SUM(IF(INDIRECT(L250)&lt;&gt;INT(INDIRECT(L250)),1,0)),"")</f>
        <v/>
      </c>
      <c r="U250" s="17" t="str">
        <f t="array" aca="1" ref="U250" ca="1">IF(S250=1,SUM(IF(ISNUMBER(INDIRECT(N250)),IF(INDIRECT(N250)&lt;&gt;INT(INDIRECT(N250)),1,0),0)),"")</f>
        <v/>
      </c>
      <c r="V250" s="17">
        <f t="shared" ca="1" si="54"/>
        <v>0</v>
      </c>
      <c r="W250" s="17">
        <f t="shared" ca="1" si="55"/>
        <v>0</v>
      </c>
      <c r="X250" s="24" t="str">
        <f t="array" aca="1" ref="X250" ca="1">IF(AD250,IF(AG250&lt;&gt;"",AG250,IF(J250,MIN(INDIRECT( K250)),"")),"")</f>
        <v/>
      </c>
      <c r="Y250" s="17" t="str">
        <f t="array" aca="1" ref="Y250" ca="1">IF(AD250,IF(AH250&lt;&gt;"",AH250,IF(J250,MAX(INDIRECT( K250)),"")),"")</f>
        <v/>
      </c>
      <c r="Z250" s="17" t="b">
        <f t="shared" ca="1" si="56"/>
        <v>0</v>
      </c>
      <c r="AC250" s="17" t="b">
        <f t="shared" ca="1" si="57"/>
        <v>0</v>
      </c>
      <c r="AD250" s="14" t="b">
        <f t="shared" ca="1" si="58"/>
        <v>1</v>
      </c>
      <c r="AE250" s="15" t="b">
        <f t="shared" ca="1" si="59"/>
        <v>0</v>
      </c>
      <c r="AF250" s="16"/>
      <c r="AG250" s="16"/>
      <c r="AH250" s="16"/>
      <c r="AI250" s="16"/>
      <c r="AJ250" s="16"/>
      <c r="AK250" s="16"/>
      <c r="AL250" s="16"/>
      <c r="AM250" s="16"/>
    </row>
    <row r="251" spans="2:39">
      <c r="B251" s="14">
        <f t="shared" si="48"/>
        <v>249</v>
      </c>
      <c r="C251" s="14" t="str">
        <f t="shared" ca="1" si="49"/>
        <v>D</v>
      </c>
      <c r="D251" s="14" t="str">
        <f t="shared" ca="1" si="50"/>
        <v>q_50r.3</v>
      </c>
      <c r="E251" s="14" t="str">
        <f t="shared" ca="1" si="47"/>
        <v>vigorous Swimming activity</v>
      </c>
      <c r="F251" s="14">
        <f t="shared" ca="1" si="60"/>
        <v>2</v>
      </c>
      <c r="G251" s="14" t="str">
        <f t="shared" ca="1" si="51"/>
        <v>q_50r.3</v>
      </c>
      <c r="H251" s="14">
        <f ca="1">IF(G251&lt;&gt;"",IFERROR( IsVariableNameLegal(G251),0),0)+IF(COUNTIF(INDIRECT(wew!$C$13),G251)&gt;1,10,0)</f>
        <v>0</v>
      </c>
      <c r="I251" s="14">
        <f ca="1">IF(E251&lt;&gt;"",IF(LEN(E251)&gt;150,1,0)+IF(COUNTIF(INDIRECT(wew!$C$15),E251)&gt;1,10,0),0)</f>
        <v>0</v>
      </c>
      <c r="J251" s="14" t="b">
        <f t="shared" ca="1" si="52"/>
        <v>1</v>
      </c>
      <c r="K251" s="14" t="str">
        <f ca="1">ADDRESS(3,(B251+1)*2-1,4,,"[" &amp; wew!$G$7 &amp; "]" &amp; _sheetname_labels) &amp; ":" &amp; ADDRESS(2+ster!$B$20,(B251+1)*2-1,4)</f>
        <v>'[dane surowe2c.xlsm]labels'!SE3:SE36</v>
      </c>
      <c r="L251" s="14" t="str">
        <f ca="1">IF(F251&gt;0,ADDRESS(3,(B251+1)*2-1,4,,"[" &amp; wew!$G$7 &amp; "]" &amp; _sheetname_labels) &amp; ":" &amp; ADDRESS(2+F251,(B251+1)*2-1,4),"")</f>
        <v>'[dane surowe2c.xlsm]labels'!SE3:SE4</v>
      </c>
      <c r="M251" s="14" t="str">
        <f ca="1">IF(F251&gt;0,ADDRESS(3,(B251+1)*2,4,,"["&amp;wew!$G$7&amp;"]"&amp;_sheetname_labels)&amp;":"&amp;ADDRESS(2+F251,(B251+1)*2,4),"")</f>
        <v>'[dane surowe2c.xlsm]labels'!SF3:SF4</v>
      </c>
      <c r="N251" s="14" t="str">
        <f ca="1">ADDRESS(3,B251+1,4,,"[" &amp; wew!$G$7 &amp; "]" &amp;_sheetname_dataframe) &amp; ":" &amp; ADDRESS(2+ster!$C$14,B251+1,4)</f>
        <v>'[dane surowe2c.xlsm]data_frame'!IP3:IP35</v>
      </c>
      <c r="O251" s="14">
        <f t="shared" ca="1" si="53"/>
        <v>32</v>
      </c>
      <c r="P251" s="14">
        <f ca="1">IF(AND($AD251,$S251=1),IF(wew!$B$3,MIN(INDIRECT($N251)),"&lt;włącz podświetlanie wartości&gt;"),"—")</f>
        <v>2</v>
      </c>
      <c r="Q251" s="14">
        <f ca="1">IF(AND($AD251,$S251=1),IF(wew!$B$3,MAX(INDIRECT($N251)),"&lt;włącz podświetlanie wartości&gt;"),"—")</f>
        <v>2</v>
      </c>
      <c r="R251" s="14">
        <f ca="1">IF(AD251,ster!$C$14- (COUNTIF( INDIRECT(N251),"" )+ COUNT(INDIRECT(N251)) +COUNTIF( INDIRECT(N251),"NA" )),"")</f>
        <v>0</v>
      </c>
      <c r="S251" s="12">
        <f ca="1">IF(AD251,IF(COUNTA(INDIRECT(N251))=0,0, 1-(ster!$C$14- COUNT(INDIRECT(N251)) -COUNTIF( INDIRECT(N251),"" )) /COUNTA(INDIRECT(N251))),"")</f>
        <v>1</v>
      </c>
      <c r="T251" s="17">
        <f t="array" aca="1" ref="T251" ca="1">IF(L251&lt;&gt;"",SUM(IF(INDIRECT(L251)&lt;&gt;INT(INDIRECT(L251)),1,0)),"")</f>
        <v>0</v>
      </c>
      <c r="U251" s="17">
        <f t="array" aca="1" ref="U251" ca="1">IF(S251=1,SUM(IF(ISNUMBER(INDIRECT(N251)),IF(INDIRECT(N251)&lt;&gt;INT(INDIRECT(N251)),1,0),0)),"")</f>
        <v>0</v>
      </c>
      <c r="V251" s="17">
        <f t="shared" ca="1" si="54"/>
        <v>1</v>
      </c>
      <c r="W251" s="17">
        <f t="shared" ca="1" si="55"/>
        <v>0</v>
      </c>
      <c r="X251" s="24">
        <f t="array" aca="1" ref="X251" ca="1">IF(AD251,IF(AG251&lt;&gt;"",AG251,IF(J251,MIN(INDIRECT( K251)),"")),"")</f>
        <v>1</v>
      </c>
      <c r="Y251" s="17">
        <f t="array" aca="1" ref="Y251" ca="1">IF(AD251,IF(AH251&lt;&gt;"",AH251,IF(J251,MAX(INDIRECT( K251)),"")),"")</f>
        <v>2</v>
      </c>
      <c r="Z251" s="17" t="b">
        <f t="shared" ca="1" si="56"/>
        <v>1</v>
      </c>
      <c r="AC251" s="17" t="b">
        <f t="shared" ca="1" si="57"/>
        <v>0</v>
      </c>
      <c r="AD251" s="14" t="b">
        <f t="shared" ca="1" si="58"/>
        <v>1</v>
      </c>
      <c r="AE251" s="15" t="b">
        <f t="shared" ca="1" si="59"/>
        <v>1</v>
      </c>
      <c r="AF251" s="16"/>
      <c r="AG251" s="16"/>
      <c r="AH251" s="16"/>
      <c r="AI251" s="16"/>
      <c r="AJ251" s="16"/>
      <c r="AK251" s="16"/>
      <c r="AL251" s="16"/>
      <c r="AM251" s="16"/>
    </row>
    <row r="252" spans="2:39">
      <c r="B252" s="14">
        <f t="shared" si="48"/>
        <v>250</v>
      </c>
      <c r="C252" s="14" t="str">
        <f t="shared" ca="1" si="49"/>
        <v>I</v>
      </c>
      <c r="D252" s="14" t="str">
        <f t="shared" ca="1" si="50"/>
        <v>q_50r.4</v>
      </c>
      <c r="E252" s="14" t="str">
        <f t="shared" ca="1" si="47"/>
        <v>How long Swimming activity</v>
      </c>
      <c r="F252" s="14">
        <f t="shared" ca="1" si="60"/>
        <v>0</v>
      </c>
      <c r="G252" s="14" t="str">
        <f t="shared" ca="1" si="51"/>
        <v>q_50r.4</v>
      </c>
      <c r="H252" s="14">
        <f ca="1">IF(G252&lt;&gt;"",IFERROR( IsVariableNameLegal(G252),0),0)+IF(COUNTIF(INDIRECT(wew!$C$13),G252)&gt;1,10,0)</f>
        <v>0</v>
      </c>
      <c r="I252" s="14">
        <f ca="1">IF(E252&lt;&gt;"",IF(LEN(E252)&gt;150,1,0)+IF(COUNTIF(INDIRECT(wew!$C$15),E252)&gt;1,10,0),0)</f>
        <v>10</v>
      </c>
      <c r="J252" s="14" t="b">
        <f t="shared" ca="1" si="52"/>
        <v>0</v>
      </c>
      <c r="K252" s="14" t="str">
        <f ca="1">ADDRESS(3,(B252+1)*2-1,4,,"[" &amp; wew!$G$7 &amp; "]" &amp; _sheetname_labels) &amp; ":" &amp; ADDRESS(2+ster!$B$20,(B252+1)*2-1,4)</f>
        <v>'[dane surowe2c.xlsm]labels'!SG3:SG36</v>
      </c>
      <c r="L252" s="14" t="str">
        <f ca="1">IF(F252&gt;0,ADDRESS(3,(B252+1)*2-1,4,,"[" &amp; wew!$G$7 &amp; "]" &amp; _sheetname_labels) &amp; ":" &amp; ADDRESS(2+F252,(B252+1)*2-1,4),"")</f>
        <v/>
      </c>
      <c r="M252" s="14" t="str">
        <f ca="1">IF(F252&gt;0,ADDRESS(3,(B252+1)*2,4,,"["&amp;wew!$G$7&amp;"]"&amp;_sheetname_labels)&amp;":"&amp;ADDRESS(2+F252,(B252+1)*2,4),"")</f>
        <v/>
      </c>
      <c r="N252" s="14" t="str">
        <f ca="1">ADDRESS(3,B252+1,4,,"[" &amp; wew!$G$7 &amp; "]" &amp;_sheetname_dataframe) &amp; ":" &amp; ADDRESS(2+ster!$C$14,B252+1,4)</f>
        <v>'[dane surowe2c.xlsm]data_frame'!IQ3:IQ35</v>
      </c>
      <c r="O252" s="14">
        <f t="shared" ca="1" si="53"/>
        <v>0</v>
      </c>
      <c r="P252" s="14" t="str">
        <f ca="1">IF(AND($AD252,$S252=1),IF(wew!$B$3,MIN(INDIRECT($N252)),"&lt;włącz podświetlanie wartości&gt;"),"—")</f>
        <v>—</v>
      </c>
      <c r="Q252" s="14" t="str">
        <f ca="1">IF(AND($AD252,$S252=1),IF(wew!$B$3,MAX(INDIRECT($N252)),"&lt;włącz podświetlanie wartości&gt;"),"—")</f>
        <v>—</v>
      </c>
      <c r="R252" s="14">
        <f ca="1">IF(AD252,ster!$C$14- (COUNTIF( INDIRECT(N252),"" )+ COUNT(INDIRECT(N252)) +COUNTIF( INDIRECT(N252),"NA" )),"")</f>
        <v>0</v>
      </c>
      <c r="S252" s="12">
        <f ca="1">IF(AD252,IF(COUNTA(INDIRECT(N252))=0,0, 1-(ster!$C$14- COUNT(INDIRECT(N252)) -COUNTIF( INDIRECT(N252),"" )) /COUNTA(INDIRECT(N252))),"")</f>
        <v>0</v>
      </c>
      <c r="T252" s="17" t="str">
        <f t="array" aca="1" ref="T252" ca="1">IF(L252&lt;&gt;"",SUM(IF(INDIRECT(L252)&lt;&gt;INT(INDIRECT(L252)),1,0)),"")</f>
        <v/>
      </c>
      <c r="U252" s="17" t="str">
        <f t="array" aca="1" ref="U252" ca="1">IF(S252=1,SUM(IF(ISNUMBER(INDIRECT(N252)),IF(INDIRECT(N252)&lt;&gt;INT(INDIRECT(N252)),1,0),0)),"")</f>
        <v/>
      </c>
      <c r="V252" s="17">
        <f t="shared" ca="1" si="54"/>
        <v>0</v>
      </c>
      <c r="W252" s="17">
        <f t="shared" ca="1" si="55"/>
        <v>0</v>
      </c>
      <c r="X252" s="24" t="str">
        <f t="array" aca="1" ref="X252" ca="1">IF(AD252,IF(AG252&lt;&gt;"",AG252,IF(J252,MIN(INDIRECT( K252)),"")),"")</f>
        <v/>
      </c>
      <c r="Y252" s="17" t="str">
        <f t="array" aca="1" ref="Y252" ca="1">IF(AD252,IF(AH252&lt;&gt;"",AH252,IF(J252,MAX(INDIRECT( K252)),"")),"")</f>
        <v/>
      </c>
      <c r="Z252" s="17" t="b">
        <f t="shared" ca="1" si="56"/>
        <v>0</v>
      </c>
      <c r="AC252" s="17" t="b">
        <f t="shared" ca="1" si="57"/>
        <v>0</v>
      </c>
      <c r="AD252" s="14" t="b">
        <f t="shared" ca="1" si="58"/>
        <v>1</v>
      </c>
      <c r="AE252" s="15" t="b">
        <f t="shared" ca="1" si="59"/>
        <v>0</v>
      </c>
      <c r="AF252" s="16"/>
      <c r="AG252" s="16"/>
      <c r="AH252" s="16"/>
      <c r="AI252" s="16"/>
      <c r="AJ252" s="16"/>
      <c r="AK252" s="16"/>
      <c r="AL252" s="16"/>
      <c r="AM252" s="16"/>
    </row>
    <row r="253" spans="2:39">
      <c r="B253" s="14">
        <f t="shared" si="48"/>
        <v>251</v>
      </c>
      <c r="C253" s="14" t="str">
        <f t="shared" ca="1" si="49"/>
        <v>D</v>
      </c>
      <c r="D253" s="14" t="str">
        <f t="shared" ca="1" si="50"/>
        <v>q_50s.3</v>
      </c>
      <c r="E253" s="14" t="str">
        <f t="shared" ca="1" si="47"/>
        <v>vigorous Tennis activity</v>
      </c>
      <c r="F253" s="14">
        <f t="shared" ca="1" si="60"/>
        <v>2</v>
      </c>
      <c r="G253" s="14" t="str">
        <f t="shared" ca="1" si="51"/>
        <v>q_50s.3</v>
      </c>
      <c r="H253" s="14">
        <f ca="1">IF(G253&lt;&gt;"",IFERROR( IsVariableNameLegal(G253),0),0)+IF(COUNTIF(INDIRECT(wew!$C$13),G253)&gt;1,10,0)</f>
        <v>0</v>
      </c>
      <c r="I253" s="14">
        <f ca="1">IF(E253&lt;&gt;"",IF(LEN(E253)&gt;150,1,0)+IF(COUNTIF(INDIRECT(wew!$C$15),E253)&gt;1,10,0),0)</f>
        <v>0</v>
      </c>
      <c r="J253" s="14" t="b">
        <f t="shared" ca="1" si="52"/>
        <v>1</v>
      </c>
      <c r="K253" s="14" t="str">
        <f ca="1">ADDRESS(3,(B253+1)*2-1,4,,"[" &amp; wew!$G$7 &amp; "]" &amp; _sheetname_labels) &amp; ":" &amp; ADDRESS(2+ster!$B$20,(B253+1)*2-1,4)</f>
        <v>'[dane surowe2c.xlsm]labels'!SI3:SI36</v>
      </c>
      <c r="L253" s="14" t="str">
        <f ca="1">IF(F253&gt;0,ADDRESS(3,(B253+1)*2-1,4,,"[" &amp; wew!$G$7 &amp; "]" &amp; _sheetname_labels) &amp; ":" &amp; ADDRESS(2+F253,(B253+1)*2-1,4),"")</f>
        <v>'[dane surowe2c.xlsm]labels'!SI3:SI4</v>
      </c>
      <c r="M253" s="14" t="str">
        <f ca="1">IF(F253&gt;0,ADDRESS(3,(B253+1)*2,4,,"["&amp;wew!$G$7&amp;"]"&amp;_sheetname_labels)&amp;":"&amp;ADDRESS(2+F253,(B253+1)*2,4),"")</f>
        <v>'[dane surowe2c.xlsm]labels'!SJ3:SJ4</v>
      </c>
      <c r="N253" s="14" t="str">
        <f ca="1">ADDRESS(3,B253+1,4,,"[" &amp; wew!$G$7 &amp; "]" &amp;_sheetname_dataframe) &amp; ":" &amp; ADDRESS(2+ster!$C$14,B253+1,4)</f>
        <v>'[dane surowe2c.xlsm]data_frame'!IR3:IR35</v>
      </c>
      <c r="O253" s="14">
        <f t="shared" ca="1" si="53"/>
        <v>32</v>
      </c>
      <c r="P253" s="14">
        <f ca="1">IF(AND($AD253,$S253=1),IF(wew!$B$3,MIN(INDIRECT($N253)),"&lt;włącz podświetlanie wartości&gt;"),"—")</f>
        <v>1</v>
      </c>
      <c r="Q253" s="14">
        <f ca="1">IF(AND($AD253,$S253=1),IF(wew!$B$3,MAX(INDIRECT($N253)),"&lt;włącz podświetlanie wartości&gt;"),"—")</f>
        <v>2</v>
      </c>
      <c r="R253" s="14">
        <f ca="1">IF(AD253,ster!$C$14- (COUNTIF( INDIRECT(N253),"" )+ COUNT(INDIRECT(N253)) +COUNTIF( INDIRECT(N253),"NA" )),"")</f>
        <v>0</v>
      </c>
      <c r="S253" s="12">
        <f ca="1">IF(AD253,IF(COUNTA(INDIRECT(N253))=0,0, 1-(ster!$C$14- COUNT(INDIRECT(N253)) -COUNTIF( INDIRECT(N253),"" )) /COUNTA(INDIRECT(N253))),"")</f>
        <v>1</v>
      </c>
      <c r="T253" s="17">
        <f t="array" aca="1" ref="T253" ca="1">IF(L253&lt;&gt;"",SUM(IF(INDIRECT(L253)&lt;&gt;INT(INDIRECT(L253)),1,0)),"")</f>
        <v>0</v>
      </c>
      <c r="U253" s="17">
        <f t="array" aca="1" ref="U253" ca="1">IF(S253=1,SUM(IF(ISNUMBER(INDIRECT(N253)),IF(INDIRECT(N253)&lt;&gt;INT(INDIRECT(N253)),1,0),0)),"")</f>
        <v>0</v>
      </c>
      <c r="V253" s="17">
        <f t="shared" ca="1" si="54"/>
        <v>1</v>
      </c>
      <c r="W253" s="17">
        <f t="shared" ca="1" si="55"/>
        <v>0</v>
      </c>
      <c r="X253" s="24">
        <f t="array" aca="1" ref="X253" ca="1">IF(AD253,IF(AG253&lt;&gt;"",AG253,IF(J253,MIN(INDIRECT( K253)),"")),"")</f>
        <v>1</v>
      </c>
      <c r="Y253" s="17">
        <f t="array" aca="1" ref="Y253" ca="1">IF(AD253,IF(AH253&lt;&gt;"",AH253,IF(J253,MAX(INDIRECT( K253)),"")),"")</f>
        <v>2</v>
      </c>
      <c r="Z253" s="17" t="b">
        <f t="shared" ca="1" si="56"/>
        <v>1</v>
      </c>
      <c r="AC253" s="17" t="b">
        <f t="shared" ca="1" si="57"/>
        <v>0</v>
      </c>
      <c r="AD253" s="14" t="b">
        <f t="shared" ca="1" si="58"/>
        <v>1</v>
      </c>
      <c r="AE253" s="15" t="b">
        <f t="shared" ca="1" si="59"/>
        <v>1</v>
      </c>
      <c r="AF253" s="16"/>
      <c r="AG253" s="16"/>
      <c r="AH253" s="16"/>
      <c r="AI253" s="16"/>
      <c r="AJ253" s="16"/>
      <c r="AK253" s="16"/>
      <c r="AL253" s="16"/>
      <c r="AM253" s="16"/>
    </row>
    <row r="254" spans="2:39">
      <c r="B254" s="14">
        <f t="shared" si="48"/>
        <v>252</v>
      </c>
      <c r="C254" s="14" t="str">
        <f t="shared" ca="1" si="49"/>
        <v>I</v>
      </c>
      <c r="D254" s="14" t="str">
        <f t="shared" ca="1" si="50"/>
        <v>q_50s.4</v>
      </c>
      <c r="E254" s="14" t="str">
        <f t="shared" ca="1" si="47"/>
        <v>How long Tennis activity</v>
      </c>
      <c r="F254" s="14">
        <f t="shared" ca="1" si="60"/>
        <v>0</v>
      </c>
      <c r="G254" s="14" t="str">
        <f t="shared" ca="1" si="51"/>
        <v>q_50s.4</v>
      </c>
      <c r="H254" s="14">
        <f ca="1">IF(G254&lt;&gt;"",IFERROR( IsVariableNameLegal(G254),0),0)+IF(COUNTIF(INDIRECT(wew!$C$13),G254)&gt;1,10,0)</f>
        <v>0</v>
      </c>
      <c r="I254" s="14">
        <f ca="1">IF(E254&lt;&gt;"",IF(LEN(E254)&gt;150,1,0)+IF(COUNTIF(INDIRECT(wew!$C$15),E254)&gt;1,10,0),0)</f>
        <v>10</v>
      </c>
      <c r="J254" s="14" t="b">
        <f t="shared" ca="1" si="52"/>
        <v>0</v>
      </c>
      <c r="K254" s="14" t="str">
        <f ca="1">ADDRESS(3,(B254+1)*2-1,4,,"[" &amp; wew!$G$7 &amp; "]" &amp; _sheetname_labels) &amp; ":" &amp; ADDRESS(2+ster!$B$20,(B254+1)*2-1,4)</f>
        <v>'[dane surowe2c.xlsm]labels'!SK3:SK36</v>
      </c>
      <c r="L254" s="14" t="str">
        <f ca="1">IF(F254&gt;0,ADDRESS(3,(B254+1)*2-1,4,,"[" &amp; wew!$G$7 &amp; "]" &amp; _sheetname_labels) &amp; ":" &amp; ADDRESS(2+F254,(B254+1)*2-1,4),"")</f>
        <v/>
      </c>
      <c r="M254" s="14" t="str">
        <f ca="1">IF(F254&gt;0,ADDRESS(3,(B254+1)*2,4,,"["&amp;wew!$G$7&amp;"]"&amp;_sheetname_labels)&amp;":"&amp;ADDRESS(2+F254,(B254+1)*2,4),"")</f>
        <v/>
      </c>
      <c r="N254" s="14" t="str">
        <f ca="1">ADDRESS(3,B254+1,4,,"[" &amp; wew!$G$7 &amp; "]" &amp;_sheetname_dataframe) &amp; ":" &amp; ADDRESS(2+ster!$C$14,B254+1,4)</f>
        <v>'[dane surowe2c.xlsm]data_frame'!IS3:IS35</v>
      </c>
      <c r="O254" s="14">
        <f t="shared" ca="1" si="53"/>
        <v>1</v>
      </c>
      <c r="P254" s="14">
        <f ca="1">IF(AND($AD254,$S254=1),IF(wew!$B$3,MIN(INDIRECT($N254)),"&lt;włącz podświetlanie wartości&gt;"),"—")</f>
        <v>7</v>
      </c>
      <c r="Q254" s="14">
        <f ca="1">IF(AND($AD254,$S254=1),IF(wew!$B$3,MAX(INDIRECT($N254)),"&lt;włącz podświetlanie wartości&gt;"),"—")</f>
        <v>7</v>
      </c>
      <c r="R254" s="14">
        <f ca="1">IF(AD254,ster!$C$14- (COUNTIF( INDIRECT(N254),"" )+ COUNT(INDIRECT(N254)) +COUNTIF( INDIRECT(N254),"NA" )),"")</f>
        <v>0</v>
      </c>
      <c r="S254" s="12">
        <f ca="1">IF(AD254,IF(COUNTA(INDIRECT(N254))=0,0, 1-(ster!$C$14- COUNT(INDIRECT(N254)) -COUNTIF( INDIRECT(N254),"" )) /COUNTA(INDIRECT(N254))),"")</f>
        <v>1</v>
      </c>
      <c r="T254" s="17" t="str">
        <f t="array" aca="1" ref="T254" ca="1">IF(L254&lt;&gt;"",SUM(IF(INDIRECT(L254)&lt;&gt;INT(INDIRECT(L254)),1,0)),"")</f>
        <v/>
      </c>
      <c r="U254" s="17">
        <f t="array" aca="1" ref="U254" ca="1">IF(S254=1,SUM(IF(ISNUMBER(INDIRECT(N254)),IF(INDIRECT(N254)&lt;&gt;INT(INDIRECT(N254)),1,0),0)),"")</f>
        <v>0</v>
      </c>
      <c r="V254" s="17">
        <f t="shared" ca="1" si="54"/>
        <v>1</v>
      </c>
      <c r="W254" s="17">
        <f t="shared" ca="1" si="55"/>
        <v>0</v>
      </c>
      <c r="X254" s="24" t="str">
        <f t="array" aca="1" ref="X254" ca="1">IF(AD254,IF(AG254&lt;&gt;"",AG254,IF(J254,MIN(INDIRECT( K254)),"")),"")</f>
        <v/>
      </c>
      <c r="Y254" s="17" t="str">
        <f t="array" aca="1" ref="Y254" ca="1">IF(AD254,IF(AH254&lt;&gt;"",AH254,IF(J254,MAX(INDIRECT( K254)),"")),"")</f>
        <v/>
      </c>
      <c r="Z254" s="17" t="b">
        <f t="shared" ca="1" si="56"/>
        <v>0</v>
      </c>
      <c r="AC254" s="17" t="b">
        <f t="shared" ca="1" si="57"/>
        <v>0</v>
      </c>
      <c r="AD254" s="14" t="b">
        <f t="shared" ca="1" si="58"/>
        <v>1</v>
      </c>
      <c r="AE254" s="15" t="b">
        <f t="shared" ca="1" si="59"/>
        <v>0</v>
      </c>
      <c r="AF254" s="16"/>
      <c r="AG254" s="16"/>
      <c r="AH254" s="16"/>
      <c r="AI254" s="16"/>
      <c r="AJ254" s="16"/>
      <c r="AK254" s="16"/>
      <c r="AL254" s="16"/>
      <c r="AM254" s="16"/>
    </row>
    <row r="255" spans="2:39">
      <c r="B255" s="14">
        <f t="shared" si="48"/>
        <v>253</v>
      </c>
      <c r="C255" s="14" t="str">
        <f t="shared" ca="1" si="49"/>
        <v>D</v>
      </c>
      <c r="D255" s="14" t="str">
        <f t="shared" ca="1" si="50"/>
        <v>q_50t.3</v>
      </c>
      <c r="E255" s="14" t="str">
        <f t="shared" ca="1" si="47"/>
        <v>vigorous Volleyball activity</v>
      </c>
      <c r="F255" s="14">
        <f t="shared" ca="1" si="60"/>
        <v>2</v>
      </c>
      <c r="G255" s="14" t="str">
        <f t="shared" ca="1" si="51"/>
        <v>q_50t.3</v>
      </c>
      <c r="H255" s="14">
        <f ca="1">IF(G255&lt;&gt;"",IFERROR( IsVariableNameLegal(G255),0),0)+IF(COUNTIF(INDIRECT(wew!$C$13),G255)&gt;1,10,0)</f>
        <v>0</v>
      </c>
      <c r="I255" s="14">
        <f ca="1">IF(E255&lt;&gt;"",IF(LEN(E255)&gt;150,1,0)+IF(COUNTIF(INDIRECT(wew!$C$15),E255)&gt;1,10,0),0)</f>
        <v>0</v>
      </c>
      <c r="J255" s="14" t="b">
        <f t="shared" ca="1" si="52"/>
        <v>1</v>
      </c>
      <c r="K255" s="14" t="str">
        <f ca="1">ADDRESS(3,(B255+1)*2-1,4,,"[" &amp; wew!$G$7 &amp; "]" &amp; _sheetname_labels) &amp; ":" &amp; ADDRESS(2+ster!$B$20,(B255+1)*2-1,4)</f>
        <v>'[dane surowe2c.xlsm]labels'!SM3:SM36</v>
      </c>
      <c r="L255" s="14" t="str">
        <f ca="1">IF(F255&gt;0,ADDRESS(3,(B255+1)*2-1,4,,"[" &amp; wew!$G$7 &amp; "]" &amp; _sheetname_labels) &amp; ":" &amp; ADDRESS(2+F255,(B255+1)*2-1,4),"")</f>
        <v>'[dane surowe2c.xlsm]labels'!SM3:SM4</v>
      </c>
      <c r="M255" s="14" t="str">
        <f ca="1">IF(F255&gt;0,ADDRESS(3,(B255+1)*2,4,,"["&amp;wew!$G$7&amp;"]"&amp;_sheetname_labels)&amp;":"&amp;ADDRESS(2+F255,(B255+1)*2,4),"")</f>
        <v>'[dane surowe2c.xlsm]labels'!SN3:SN4</v>
      </c>
      <c r="N255" s="14" t="str">
        <f ca="1">ADDRESS(3,B255+1,4,,"[" &amp; wew!$G$7 &amp; "]" &amp;_sheetname_dataframe) &amp; ":" &amp; ADDRESS(2+ster!$C$14,B255+1,4)</f>
        <v>'[dane surowe2c.xlsm]data_frame'!IT3:IT35</v>
      </c>
      <c r="O255" s="14">
        <f t="shared" ca="1" si="53"/>
        <v>32</v>
      </c>
      <c r="P255" s="14">
        <f ca="1">IF(AND($AD255,$S255=1),IF(wew!$B$3,MIN(INDIRECT($N255)),"&lt;włącz podświetlanie wartości&gt;"),"—")</f>
        <v>1</v>
      </c>
      <c r="Q255" s="14">
        <f ca="1">IF(AND($AD255,$S255=1),IF(wew!$B$3,MAX(INDIRECT($N255)),"&lt;włącz podświetlanie wartości&gt;"),"—")</f>
        <v>2</v>
      </c>
      <c r="R255" s="14">
        <f ca="1">IF(AD255,ster!$C$14- (COUNTIF( INDIRECT(N255),"" )+ COUNT(INDIRECT(N255)) +COUNTIF( INDIRECT(N255),"NA" )),"")</f>
        <v>0</v>
      </c>
      <c r="S255" s="12">
        <f ca="1">IF(AD255,IF(COUNTA(INDIRECT(N255))=0,0, 1-(ster!$C$14- COUNT(INDIRECT(N255)) -COUNTIF( INDIRECT(N255),"" )) /COUNTA(INDIRECT(N255))),"")</f>
        <v>1</v>
      </c>
      <c r="T255" s="17">
        <f t="array" aca="1" ref="T255" ca="1">IF(L255&lt;&gt;"",SUM(IF(INDIRECT(L255)&lt;&gt;INT(INDIRECT(L255)),1,0)),"")</f>
        <v>0</v>
      </c>
      <c r="U255" s="17">
        <f t="array" aca="1" ref="U255" ca="1">IF(S255=1,SUM(IF(ISNUMBER(INDIRECT(N255)),IF(INDIRECT(N255)&lt;&gt;INT(INDIRECT(N255)),1,0),0)),"")</f>
        <v>0</v>
      </c>
      <c r="V255" s="17">
        <f t="shared" ca="1" si="54"/>
        <v>1</v>
      </c>
      <c r="W255" s="17">
        <f t="shared" ca="1" si="55"/>
        <v>0</v>
      </c>
      <c r="X255" s="24">
        <f t="array" aca="1" ref="X255" ca="1">IF(AD255,IF(AG255&lt;&gt;"",AG255,IF(J255,MIN(INDIRECT( K255)),"")),"")</f>
        <v>1</v>
      </c>
      <c r="Y255" s="17">
        <f t="array" aca="1" ref="Y255" ca="1">IF(AD255,IF(AH255&lt;&gt;"",AH255,IF(J255,MAX(INDIRECT( K255)),"")),"")</f>
        <v>2</v>
      </c>
      <c r="Z255" s="17" t="b">
        <f t="shared" ca="1" si="56"/>
        <v>1</v>
      </c>
      <c r="AC255" s="17" t="b">
        <f t="shared" ca="1" si="57"/>
        <v>0</v>
      </c>
      <c r="AD255" s="14" t="b">
        <f t="shared" ca="1" si="58"/>
        <v>1</v>
      </c>
      <c r="AE255" s="15" t="b">
        <f t="shared" ca="1" si="59"/>
        <v>1</v>
      </c>
      <c r="AF255" s="16"/>
      <c r="AG255" s="16"/>
      <c r="AH255" s="16"/>
      <c r="AI255" s="16"/>
      <c r="AJ255" s="16"/>
      <c r="AK255" s="16"/>
      <c r="AL255" s="16"/>
      <c r="AM255" s="16"/>
    </row>
    <row r="256" spans="2:39">
      <c r="B256" s="14">
        <f t="shared" si="48"/>
        <v>254</v>
      </c>
      <c r="C256" s="14" t="str">
        <f t="shared" ca="1" si="49"/>
        <v>I</v>
      </c>
      <c r="D256" s="14" t="str">
        <f t="shared" ca="1" si="50"/>
        <v>q_50t.4</v>
      </c>
      <c r="E256" s="14" t="str">
        <f t="shared" ca="1" si="47"/>
        <v>How long Volleyball activity</v>
      </c>
      <c r="F256" s="14">
        <f t="shared" ca="1" si="60"/>
        <v>0</v>
      </c>
      <c r="G256" s="14" t="str">
        <f t="shared" ca="1" si="51"/>
        <v>q_50t.4</v>
      </c>
      <c r="H256" s="14">
        <f ca="1">IF(G256&lt;&gt;"",IFERROR( IsVariableNameLegal(G256),0),0)+IF(COUNTIF(INDIRECT(wew!$C$13),G256)&gt;1,10,0)</f>
        <v>0</v>
      </c>
      <c r="I256" s="14">
        <f ca="1">IF(E256&lt;&gt;"",IF(LEN(E256)&gt;150,1,0)+IF(COUNTIF(INDIRECT(wew!$C$15),E256)&gt;1,10,0),0)</f>
        <v>10</v>
      </c>
      <c r="J256" s="14" t="b">
        <f t="shared" ca="1" si="52"/>
        <v>0</v>
      </c>
      <c r="K256" s="14" t="str">
        <f ca="1">ADDRESS(3,(B256+1)*2-1,4,,"[" &amp; wew!$G$7 &amp; "]" &amp; _sheetname_labels) &amp; ":" &amp; ADDRESS(2+ster!$B$20,(B256+1)*2-1,4)</f>
        <v>'[dane surowe2c.xlsm]labels'!SO3:SO36</v>
      </c>
      <c r="L256" s="14" t="str">
        <f ca="1">IF(F256&gt;0,ADDRESS(3,(B256+1)*2-1,4,,"[" &amp; wew!$G$7 &amp; "]" &amp; _sheetname_labels) &amp; ":" &amp; ADDRESS(2+F256,(B256+1)*2-1,4),"")</f>
        <v/>
      </c>
      <c r="M256" s="14" t="str">
        <f ca="1">IF(F256&gt;0,ADDRESS(3,(B256+1)*2,4,,"["&amp;wew!$G$7&amp;"]"&amp;_sheetname_labels)&amp;":"&amp;ADDRESS(2+F256,(B256+1)*2,4),"")</f>
        <v/>
      </c>
      <c r="N256" s="14" t="str">
        <f ca="1">ADDRESS(3,B256+1,4,,"[" &amp; wew!$G$7 &amp; "]" &amp;_sheetname_dataframe) &amp; ":" &amp; ADDRESS(2+ster!$C$14,B256+1,4)</f>
        <v>'[dane surowe2c.xlsm]data_frame'!IU3:IU35</v>
      </c>
      <c r="O256" s="14">
        <f t="shared" ca="1" si="53"/>
        <v>1</v>
      </c>
      <c r="P256" s="14">
        <f ca="1">IF(AND($AD256,$S256=1),IF(wew!$B$3,MIN(INDIRECT($N256)),"&lt;włącz podświetlanie wartości&gt;"),"—")</f>
        <v>7</v>
      </c>
      <c r="Q256" s="14">
        <f ca="1">IF(AND($AD256,$S256=1),IF(wew!$B$3,MAX(INDIRECT($N256)),"&lt;włącz podświetlanie wartości&gt;"),"—")</f>
        <v>7</v>
      </c>
      <c r="R256" s="14">
        <f ca="1">IF(AD256,ster!$C$14- (COUNTIF( INDIRECT(N256),"" )+ COUNT(INDIRECT(N256)) +COUNTIF( INDIRECT(N256),"NA" )),"")</f>
        <v>0</v>
      </c>
      <c r="S256" s="12">
        <f ca="1">IF(AD256,IF(COUNTA(INDIRECT(N256))=0,0, 1-(ster!$C$14- COUNT(INDIRECT(N256)) -COUNTIF( INDIRECT(N256),"" )) /COUNTA(INDIRECT(N256))),"")</f>
        <v>1</v>
      </c>
      <c r="T256" s="17" t="str">
        <f t="array" aca="1" ref="T256" ca="1">IF(L256&lt;&gt;"",SUM(IF(INDIRECT(L256)&lt;&gt;INT(INDIRECT(L256)),1,0)),"")</f>
        <v/>
      </c>
      <c r="U256" s="17">
        <f t="array" aca="1" ref="U256" ca="1">IF(S256=1,SUM(IF(ISNUMBER(INDIRECT(N256)),IF(INDIRECT(N256)&lt;&gt;INT(INDIRECT(N256)),1,0),0)),"")</f>
        <v>0</v>
      </c>
      <c r="V256" s="17">
        <f t="shared" ca="1" si="54"/>
        <v>1</v>
      </c>
      <c r="W256" s="17">
        <f t="shared" ca="1" si="55"/>
        <v>0</v>
      </c>
      <c r="X256" s="24" t="str">
        <f t="array" aca="1" ref="X256" ca="1">IF(AD256,IF(AG256&lt;&gt;"",AG256,IF(J256,MIN(INDIRECT( K256)),"")),"")</f>
        <v/>
      </c>
      <c r="Y256" s="17" t="str">
        <f t="array" aca="1" ref="Y256" ca="1">IF(AD256,IF(AH256&lt;&gt;"",AH256,IF(J256,MAX(INDIRECT( K256)),"")),"")</f>
        <v/>
      </c>
      <c r="Z256" s="17" t="b">
        <f t="shared" ca="1" si="56"/>
        <v>0</v>
      </c>
      <c r="AC256" s="17" t="b">
        <f t="shared" ca="1" si="57"/>
        <v>0</v>
      </c>
      <c r="AD256" s="14" t="b">
        <f t="shared" ca="1" si="58"/>
        <v>1</v>
      </c>
      <c r="AE256" s="15" t="b">
        <f t="shared" ca="1" si="59"/>
        <v>0</v>
      </c>
      <c r="AF256" s="16"/>
      <c r="AG256" s="16"/>
      <c r="AH256" s="16"/>
      <c r="AI256" s="16"/>
      <c r="AJ256" s="16"/>
      <c r="AK256" s="16"/>
      <c r="AL256" s="16"/>
      <c r="AM256" s="16"/>
    </row>
    <row r="257" spans="2:39">
      <c r="B257" s="14">
        <f t="shared" si="48"/>
        <v>255</v>
      </c>
      <c r="C257" s="14" t="str">
        <f t="shared" ca="1" si="49"/>
        <v>D</v>
      </c>
      <c r="D257" s="14" t="str">
        <f t="shared" ca="1" si="50"/>
        <v>q_50u.3</v>
      </c>
      <c r="E257" s="14" t="str">
        <f t="shared" ca="1" si="47"/>
        <v>vigorous Weightlifting activity</v>
      </c>
      <c r="F257" s="14">
        <f t="shared" ca="1" si="60"/>
        <v>2</v>
      </c>
      <c r="G257" s="14" t="str">
        <f t="shared" ca="1" si="51"/>
        <v>q_50u.3</v>
      </c>
      <c r="H257" s="14">
        <f ca="1">IF(G257&lt;&gt;"",IFERROR( IsVariableNameLegal(G257),0),0)+IF(COUNTIF(INDIRECT(wew!$C$13),G257)&gt;1,10,0)</f>
        <v>0</v>
      </c>
      <c r="I257" s="14">
        <f ca="1">IF(E257&lt;&gt;"",IF(LEN(E257)&gt;150,1,0)+IF(COUNTIF(INDIRECT(wew!$C$15),E257)&gt;1,10,0),0)</f>
        <v>0</v>
      </c>
      <c r="J257" s="14" t="b">
        <f t="shared" ca="1" si="52"/>
        <v>1</v>
      </c>
      <c r="K257" s="14" t="str">
        <f ca="1">ADDRESS(3,(B257+1)*2-1,4,,"[" &amp; wew!$G$7 &amp; "]" &amp; _sheetname_labels) &amp; ":" &amp; ADDRESS(2+ster!$B$20,(B257+1)*2-1,4)</f>
        <v>'[dane surowe2c.xlsm]labels'!SQ3:SQ36</v>
      </c>
      <c r="L257" s="14" t="str">
        <f ca="1">IF(F257&gt;0,ADDRESS(3,(B257+1)*2-1,4,,"[" &amp; wew!$G$7 &amp; "]" &amp; _sheetname_labels) &amp; ":" &amp; ADDRESS(2+F257,(B257+1)*2-1,4),"")</f>
        <v>'[dane surowe2c.xlsm]labels'!SQ3:SQ4</v>
      </c>
      <c r="M257" s="14" t="str">
        <f ca="1">IF(F257&gt;0,ADDRESS(3,(B257+1)*2,4,,"["&amp;wew!$G$7&amp;"]"&amp;_sheetname_labels)&amp;":"&amp;ADDRESS(2+F257,(B257+1)*2,4),"")</f>
        <v>'[dane surowe2c.xlsm]labels'!SR3:SR4</v>
      </c>
      <c r="N257" s="14" t="str">
        <f ca="1">ADDRESS(3,B257+1,4,,"[" &amp; wew!$G$7 &amp; "]" &amp;_sheetname_dataframe) &amp; ":" &amp; ADDRESS(2+ster!$C$14,B257+1,4)</f>
        <v>'[dane surowe2c.xlsm]data_frame'!IV3:IV35</v>
      </c>
      <c r="O257" s="14">
        <f t="shared" ca="1" si="53"/>
        <v>32</v>
      </c>
      <c r="P257" s="14">
        <f ca="1">IF(AND($AD257,$S257=1),IF(wew!$B$3,MIN(INDIRECT($N257)),"&lt;włącz podświetlanie wartości&gt;"),"—")</f>
        <v>2</v>
      </c>
      <c r="Q257" s="14">
        <f ca="1">IF(AND($AD257,$S257=1),IF(wew!$B$3,MAX(INDIRECT($N257)),"&lt;włącz podświetlanie wartości&gt;"),"—")</f>
        <v>2</v>
      </c>
      <c r="R257" s="14">
        <f ca="1">IF(AD257,ster!$C$14- (COUNTIF( INDIRECT(N257),"" )+ COUNT(INDIRECT(N257)) +COUNTIF( INDIRECT(N257),"NA" )),"")</f>
        <v>0</v>
      </c>
      <c r="S257" s="12">
        <f ca="1">IF(AD257,IF(COUNTA(INDIRECT(N257))=0,0, 1-(ster!$C$14- COUNT(INDIRECT(N257)) -COUNTIF( INDIRECT(N257),"" )) /COUNTA(INDIRECT(N257))),"")</f>
        <v>1</v>
      </c>
      <c r="T257" s="17">
        <f t="array" aca="1" ref="T257" ca="1">IF(L257&lt;&gt;"",SUM(IF(INDIRECT(L257)&lt;&gt;INT(INDIRECT(L257)),1,0)),"")</f>
        <v>0</v>
      </c>
      <c r="U257" s="17">
        <f t="array" aca="1" ref="U257" ca="1">IF(S257=1,SUM(IF(ISNUMBER(INDIRECT(N257)),IF(INDIRECT(N257)&lt;&gt;INT(INDIRECT(N257)),1,0),0)),"")</f>
        <v>0</v>
      </c>
      <c r="V257" s="17">
        <f t="shared" ca="1" si="54"/>
        <v>1</v>
      </c>
      <c r="W257" s="17">
        <f t="shared" ca="1" si="55"/>
        <v>0</v>
      </c>
      <c r="X257" s="24">
        <f t="array" aca="1" ref="X257" ca="1">IF(AD257,IF(AG257&lt;&gt;"",AG257,IF(J257,MIN(INDIRECT( K257)),"")),"")</f>
        <v>1</v>
      </c>
      <c r="Y257" s="17">
        <f t="array" aca="1" ref="Y257" ca="1">IF(AD257,IF(AH257&lt;&gt;"",AH257,IF(J257,MAX(INDIRECT( K257)),"")),"")</f>
        <v>2</v>
      </c>
      <c r="Z257" s="17" t="b">
        <f t="shared" ca="1" si="56"/>
        <v>1</v>
      </c>
      <c r="AC257" s="17" t="b">
        <f t="shared" ca="1" si="57"/>
        <v>0</v>
      </c>
      <c r="AD257" s="14" t="b">
        <f t="shared" ca="1" si="58"/>
        <v>1</v>
      </c>
      <c r="AE257" s="15" t="b">
        <f t="shared" ca="1" si="59"/>
        <v>1</v>
      </c>
      <c r="AF257" s="16"/>
      <c r="AG257" s="16"/>
      <c r="AH257" s="16"/>
      <c r="AI257" s="16"/>
      <c r="AJ257" s="16"/>
      <c r="AK257" s="16"/>
      <c r="AL257" s="16"/>
      <c r="AM257" s="16"/>
    </row>
    <row r="258" spans="2:39">
      <c r="B258" s="14">
        <f t="shared" si="48"/>
        <v>256</v>
      </c>
      <c r="C258" s="14" t="str">
        <f t="shared" ca="1" si="49"/>
        <v>I</v>
      </c>
      <c r="D258" s="14" t="str">
        <f t="shared" ca="1" si="50"/>
        <v>q_50u.4</v>
      </c>
      <c r="E258" s="14" t="str">
        <f t="shared" ref="E258:E321" ca="1" si="61">IF(AD258,IF(INDIRECT(ADDRESS(1,ROW(A257),,,_sheetname_dataframe))="","",INDIRECT(ADDRESS(1,ROW(A257),,,_sheetname_dataframe))),"")</f>
        <v>How long Weightlifting activity</v>
      </c>
      <c r="F258" s="14">
        <f t="shared" ca="1" si="60"/>
        <v>0</v>
      </c>
      <c r="G258" s="14" t="str">
        <f t="shared" ca="1" si="51"/>
        <v>q_50u.4</v>
      </c>
      <c r="H258" s="14">
        <f ca="1">IF(G258&lt;&gt;"",IFERROR( IsVariableNameLegal(G258),0),0)+IF(COUNTIF(INDIRECT(wew!$C$13),G258)&gt;1,10,0)</f>
        <v>0</v>
      </c>
      <c r="I258" s="14">
        <f ca="1">IF(E258&lt;&gt;"",IF(LEN(E258)&gt;150,1,0)+IF(COUNTIF(INDIRECT(wew!$C$15),E258)&gt;1,10,0),0)</f>
        <v>10</v>
      </c>
      <c r="J258" s="14" t="b">
        <f t="shared" ca="1" si="52"/>
        <v>0</v>
      </c>
      <c r="K258" s="14" t="str">
        <f ca="1">ADDRESS(3,(B258+1)*2-1,4,,"[" &amp; wew!$G$7 &amp; "]" &amp; _sheetname_labels) &amp; ":" &amp; ADDRESS(2+ster!$B$20,(B258+1)*2-1,4)</f>
        <v>'[dane surowe2c.xlsm]labels'!SS3:SS36</v>
      </c>
      <c r="L258" s="14" t="str">
        <f ca="1">IF(F258&gt;0,ADDRESS(3,(B258+1)*2-1,4,,"[" &amp; wew!$G$7 &amp; "]" &amp; _sheetname_labels) &amp; ":" &amp; ADDRESS(2+F258,(B258+1)*2-1,4),"")</f>
        <v/>
      </c>
      <c r="M258" s="14" t="str">
        <f ca="1">IF(F258&gt;0,ADDRESS(3,(B258+1)*2,4,,"["&amp;wew!$G$7&amp;"]"&amp;_sheetname_labels)&amp;":"&amp;ADDRESS(2+F258,(B258+1)*2,4),"")</f>
        <v/>
      </c>
      <c r="N258" s="14" t="str">
        <f ca="1">ADDRESS(3,B258+1,4,,"[" &amp; wew!$G$7 &amp; "]" &amp;_sheetname_dataframe) &amp; ":" &amp; ADDRESS(2+ster!$C$14,B258+1,4)</f>
        <v>'[dane surowe2c.xlsm]data_frame'!IW3:IW35</v>
      </c>
      <c r="O258" s="14">
        <f t="shared" ca="1" si="53"/>
        <v>0</v>
      </c>
      <c r="P258" s="14" t="str">
        <f ca="1">IF(AND($AD258,$S258=1),IF(wew!$B$3,MIN(INDIRECT($N258)),"&lt;włącz podświetlanie wartości&gt;"),"—")</f>
        <v>—</v>
      </c>
      <c r="Q258" s="14" t="str">
        <f ca="1">IF(AND($AD258,$S258=1),IF(wew!$B$3,MAX(INDIRECT($N258)),"&lt;włącz podświetlanie wartości&gt;"),"—")</f>
        <v>—</v>
      </c>
      <c r="R258" s="14">
        <f ca="1">IF(AD258,ster!$C$14- (COUNTIF( INDIRECT(N258),"" )+ COUNT(INDIRECT(N258)) +COUNTIF( INDIRECT(N258),"NA" )),"")</f>
        <v>0</v>
      </c>
      <c r="S258" s="12">
        <f ca="1">IF(AD258,IF(COUNTA(INDIRECT(N258))=0,0, 1-(ster!$C$14- COUNT(INDIRECT(N258)) -COUNTIF( INDIRECT(N258),"" )) /COUNTA(INDIRECT(N258))),"")</f>
        <v>0</v>
      </c>
      <c r="T258" s="17" t="str">
        <f t="array" aca="1" ref="T258" ca="1">IF(L258&lt;&gt;"",SUM(IF(INDIRECT(L258)&lt;&gt;INT(INDIRECT(L258)),1,0)),"")</f>
        <v/>
      </c>
      <c r="U258" s="17" t="str">
        <f t="array" aca="1" ref="U258" ca="1">IF(S258=1,SUM(IF(ISNUMBER(INDIRECT(N258)),IF(INDIRECT(N258)&lt;&gt;INT(INDIRECT(N258)),1,0),0)),"")</f>
        <v/>
      </c>
      <c r="V258" s="17">
        <f t="shared" ca="1" si="54"/>
        <v>0</v>
      </c>
      <c r="W258" s="17">
        <f t="shared" ca="1" si="55"/>
        <v>0</v>
      </c>
      <c r="X258" s="24" t="str">
        <f t="array" aca="1" ref="X258" ca="1">IF(AD258,IF(AG258&lt;&gt;"",AG258,IF(J258,MIN(INDIRECT( K258)),"")),"")</f>
        <v/>
      </c>
      <c r="Y258" s="17" t="str">
        <f t="array" aca="1" ref="Y258" ca="1">IF(AD258,IF(AH258&lt;&gt;"",AH258,IF(J258,MAX(INDIRECT( K258)),"")),"")</f>
        <v/>
      </c>
      <c r="Z258" s="17" t="b">
        <f t="shared" ca="1" si="56"/>
        <v>0</v>
      </c>
      <c r="AC258" s="17" t="b">
        <f t="shared" ca="1" si="57"/>
        <v>0</v>
      </c>
      <c r="AD258" s="14" t="b">
        <f t="shared" ca="1" si="58"/>
        <v>1</v>
      </c>
      <c r="AE258" s="15" t="b">
        <f t="shared" ca="1" si="59"/>
        <v>0</v>
      </c>
      <c r="AF258" s="16"/>
      <c r="AG258" s="16"/>
      <c r="AH258" s="16"/>
      <c r="AI258" s="16"/>
      <c r="AJ258" s="16"/>
      <c r="AK258" s="16"/>
      <c r="AL258" s="16"/>
      <c r="AM258" s="16"/>
    </row>
    <row r="259" spans="2:39">
      <c r="B259" s="14">
        <f t="shared" ref="B259:B322" si="62">ROW(A259)-2</f>
        <v>257</v>
      </c>
      <c r="C259" s="14" t="str">
        <f t="shared" ref="C259:C322" ca="1" si="63">IF(OR(E259="",ROW(E259)=2),"",IF(R259&gt;0,"S",IF(J259,IF(F259=2,"D","N"),"I")))</f>
        <v>S</v>
      </c>
      <c r="D259" s="14" t="str">
        <f t="shared" ref="D259:D322" ca="1" si="64">IFERROR(CHOOSE(H259+1,G259,"Nazwa musi zaczynać się od litery:" &amp; G259, "Nazwa nie może kończyć się kropką","Nazwa nie może kończyć się podkreśleniem","Nazwa nie może być dłuższa od 64 znaków","?","Ta nazwa jest zarezerwowana i nie może być użyta"),G259)</f>
        <v>q_50v.3</v>
      </c>
      <c r="E259" s="14" t="str">
        <f t="shared" ca="1" si="61"/>
        <v>Other vigorous activity</v>
      </c>
      <c r="F259" s="14">
        <f t="shared" ca="1" si="60"/>
        <v>0</v>
      </c>
      <c r="G259" s="14" t="str">
        <f t="shared" ref="G259:G322" ca="1" si="65">IF(AD259,INDIRECT(ADDRESS(2,ROW(A258),,,_sheetname_dataframe)),"")</f>
        <v>q_50v.3</v>
      </c>
      <c r="H259" s="14">
        <f ca="1">IF(G259&lt;&gt;"",IFERROR( IsVariableNameLegal(G259),0),0)+IF(COUNTIF(INDIRECT(wew!$C$13),G259)&gt;1,10,0)</f>
        <v>0</v>
      </c>
      <c r="I259" s="14">
        <f ca="1">IF(E259&lt;&gt;"",IF(LEN(E259)&gt;150,1,0)+IF(COUNTIF(INDIRECT(wew!$C$15),E259)&gt;1,10,0),0)</f>
        <v>0</v>
      </c>
      <c r="J259" s="14" t="b">
        <f t="shared" ref="J259:J322" ca="1" si="66">F259&gt;0</f>
        <v>0</v>
      </c>
      <c r="K259" s="14" t="str">
        <f ca="1">ADDRESS(3,(B259+1)*2-1,4,,"[" &amp; wew!$G$7 &amp; "]" &amp; _sheetname_labels) &amp; ":" &amp; ADDRESS(2+ster!$B$20,(B259+1)*2-1,4)</f>
        <v>'[dane surowe2c.xlsm]labels'!SU3:SU36</v>
      </c>
      <c r="L259" s="14" t="str">
        <f ca="1">IF(F259&gt;0,ADDRESS(3,(B259+1)*2-1,4,,"[" &amp; wew!$G$7 &amp; "]" &amp; _sheetname_labels) &amp; ":" &amp; ADDRESS(2+F259,(B259+1)*2-1,4),"")</f>
        <v/>
      </c>
      <c r="M259" s="14" t="str">
        <f ca="1">IF(F259&gt;0,ADDRESS(3,(B259+1)*2,4,,"["&amp;wew!$G$7&amp;"]"&amp;_sheetname_labels)&amp;":"&amp;ADDRESS(2+F259,(B259+1)*2,4),"")</f>
        <v/>
      </c>
      <c r="N259" s="14" t="str">
        <f ca="1">ADDRESS(3,B259+1,4,,"[" &amp; wew!$G$7 &amp; "]" &amp;_sheetname_dataframe) &amp; ":" &amp; ADDRESS(2+ster!$C$14,B259+1,4)</f>
        <v>'[dane surowe2c.xlsm]data_frame'!IX3:IX35</v>
      </c>
      <c r="O259" s="14">
        <f t="shared" ref="O259:O322" ca="1" si="67">IF(AD259,COUNT(INDIRECT(N259)),"")</f>
        <v>0</v>
      </c>
      <c r="P259" s="14" t="str">
        <f ca="1">IF(AND($AD259,$S259=1),IF(wew!$B$3,MIN(INDIRECT($N259)),"&lt;włącz podświetlanie wartości&gt;"),"—")</f>
        <v>—</v>
      </c>
      <c r="Q259" s="14" t="str">
        <f ca="1">IF(AND($AD259,$S259=1),IF(wew!$B$3,MAX(INDIRECT($N259)),"&lt;włącz podświetlanie wartości&gt;"),"—")</f>
        <v>—</v>
      </c>
      <c r="R259" s="14">
        <f ca="1">IF(AD259,ster!$C$14- (COUNTIF( INDIRECT(N259),"" )+ COUNT(INDIRECT(N259)) +COUNTIF( INDIRECT(N259),"NA" )),"")</f>
        <v>32</v>
      </c>
      <c r="S259" s="12">
        <f ca="1">IF(AD259,IF(COUNTA(INDIRECT(N259))=0,0, 1-(ster!$C$14- COUNT(INDIRECT(N259)) -COUNTIF( INDIRECT(N259),"" )) /COUNTA(INDIRECT(N259))),"")</f>
        <v>0</v>
      </c>
      <c r="T259" s="17" t="str">
        <f t="array" aca="1" ref="T259" ca="1">IF(L259&lt;&gt;"",SUM(IF(INDIRECT(L259)&lt;&gt;INT(INDIRECT(L259)),1,0)),"")</f>
        <v/>
      </c>
      <c r="U259" s="17" t="str">
        <f t="array" aca="1" ref="U259" ca="1">IF(S259=1,SUM(IF(ISNUMBER(INDIRECT(N259)),IF(INDIRECT(N259)&lt;&gt;INT(INDIRECT(N259)),1,0),0)),"")</f>
        <v/>
      </c>
      <c r="V259" s="17">
        <f t="shared" ref="V259:V322" ca="1" si="68">IF(U259&lt;&gt;"",IF(U259=0,1,IF(U259/O259&lt;0.05,2,3)),0)</f>
        <v>0</v>
      </c>
      <c r="W259" s="17">
        <f t="shared" ref="W259:W322" ca="1" si="69">IF(COUNTA(INDIRECT(N259))=0,0, IF(AND(X259&lt;&gt;"",P259&lt;X259),1,IF(AND(Y259&lt;&gt;"",Q259&gt;Y259),1,IF(AND(Z259,U259&gt;0),2,0))))</f>
        <v>0</v>
      </c>
      <c r="X259" s="24" t="str">
        <f t="array" aca="1" ref="X259" ca="1">IF(AD259,IF(AG259&lt;&gt;"",AG259,IF(J259,MIN(INDIRECT( K259)),"")),"")</f>
        <v/>
      </c>
      <c r="Y259" s="17" t="str">
        <f t="array" aca="1" ref="Y259" ca="1">IF(AD259,IF(AH259&lt;&gt;"",AH259,IF(J259,MAX(INDIRECT( K259)),"")),"")</f>
        <v/>
      </c>
      <c r="Z259" s="17" t="b">
        <f t="shared" ref="Z259:Z322" ca="1" si="70">IF(AD259,IF(AI259&lt;&gt;"",AI259,T259=0),FALSE)</f>
        <v>0</v>
      </c>
      <c r="AC259" s="17" t="b">
        <f t="shared" ref="AC259:AC322" ca="1" si="71">IF(AD259,C259="S","")</f>
        <v>1</v>
      </c>
      <c r="AD259" s="14" t="b">
        <f t="shared" ref="AD259:AD322" ca="1" si="72">INDIRECT(ADDRESS(2,ROW(A258),,,_sheetname_dataframe))&lt;&gt;""</f>
        <v>1</v>
      </c>
      <c r="AE259" s="15" t="b">
        <f t="shared" ref="AE259:AE322" ca="1" si="73">J259</f>
        <v>0</v>
      </c>
      <c r="AF259" s="16"/>
      <c r="AG259" s="16"/>
      <c r="AH259" s="16"/>
      <c r="AI259" s="16"/>
      <c r="AJ259" s="16"/>
      <c r="AK259" s="16"/>
      <c r="AL259" s="16"/>
      <c r="AM259" s="16"/>
    </row>
    <row r="260" spans="2:39">
      <c r="B260" s="14">
        <f t="shared" si="62"/>
        <v>258</v>
      </c>
      <c r="C260" s="14" t="str">
        <f t="shared" ca="1" si="63"/>
        <v>I</v>
      </c>
      <c r="D260" s="14" t="str">
        <f t="shared" ca="1" si="64"/>
        <v>q_50v.4</v>
      </c>
      <c r="E260" s="14" t="str">
        <f t="shared" ca="1" si="61"/>
        <v>How long other vigorous activity</v>
      </c>
      <c r="F260" s="14">
        <f t="shared" ca="1" si="60"/>
        <v>0</v>
      </c>
      <c r="G260" s="14" t="str">
        <f t="shared" ca="1" si="65"/>
        <v>q_50v.4</v>
      </c>
      <c r="H260" s="14">
        <f ca="1">IF(G260&lt;&gt;"",IFERROR( IsVariableNameLegal(G260),0),0)+IF(COUNTIF(INDIRECT(wew!$C$13),G260)&gt;1,10,0)</f>
        <v>0</v>
      </c>
      <c r="I260" s="14">
        <f ca="1">IF(E260&lt;&gt;"",IF(LEN(E260)&gt;150,1,0)+IF(COUNTIF(INDIRECT(wew!$C$15),E260)&gt;1,10,0),0)</f>
        <v>0</v>
      </c>
      <c r="J260" s="14" t="b">
        <f t="shared" ca="1" si="66"/>
        <v>0</v>
      </c>
      <c r="K260" s="14" t="str">
        <f ca="1">ADDRESS(3,(B260+1)*2-1,4,,"[" &amp; wew!$G$7 &amp; "]" &amp; _sheetname_labels) &amp; ":" &amp; ADDRESS(2+ster!$B$20,(B260+1)*2-1,4)</f>
        <v>'[dane surowe2c.xlsm]labels'!SW3:SW36</v>
      </c>
      <c r="L260" s="14" t="str">
        <f ca="1">IF(F260&gt;0,ADDRESS(3,(B260+1)*2-1,4,,"[" &amp; wew!$G$7 &amp; "]" &amp; _sheetname_labels) &amp; ":" &amp; ADDRESS(2+F260,(B260+1)*2-1,4),"")</f>
        <v/>
      </c>
      <c r="M260" s="14" t="str">
        <f ca="1">IF(F260&gt;0,ADDRESS(3,(B260+1)*2,4,,"["&amp;wew!$G$7&amp;"]"&amp;_sheetname_labels)&amp;":"&amp;ADDRESS(2+F260,(B260+1)*2,4),"")</f>
        <v/>
      </c>
      <c r="N260" s="14" t="str">
        <f ca="1">ADDRESS(3,B260+1,4,,"[" &amp; wew!$G$7 &amp; "]" &amp;_sheetname_dataframe) &amp; ":" &amp; ADDRESS(2+ster!$C$14,B260+1,4)</f>
        <v>'[dane surowe2c.xlsm]data_frame'!IY3:IY35</v>
      </c>
      <c r="O260" s="14">
        <f t="shared" ca="1" si="67"/>
        <v>0</v>
      </c>
      <c r="P260" s="14" t="str">
        <f ca="1">IF(AND($AD260,$S260=1),IF(wew!$B$3,MIN(INDIRECT($N260)),"&lt;włącz podświetlanie wartości&gt;"),"—")</f>
        <v>—</v>
      </c>
      <c r="Q260" s="14" t="str">
        <f ca="1">IF(AND($AD260,$S260=1),IF(wew!$B$3,MAX(INDIRECT($N260)),"&lt;włącz podświetlanie wartości&gt;"),"—")</f>
        <v>—</v>
      </c>
      <c r="R260" s="14">
        <f ca="1">IF(AD260,ster!$C$14- (COUNTIF( INDIRECT(N260),"" )+ COUNT(INDIRECT(N260)) +COUNTIF( INDIRECT(N260),"NA" )),"")</f>
        <v>0</v>
      </c>
      <c r="S260" s="12">
        <f ca="1">IF(AD260,IF(COUNTA(INDIRECT(N260))=0,0, 1-(ster!$C$14- COUNT(INDIRECT(N260)) -COUNTIF( INDIRECT(N260),"" )) /COUNTA(INDIRECT(N260))),"")</f>
        <v>0</v>
      </c>
      <c r="T260" s="17" t="str">
        <f t="array" aca="1" ref="T260" ca="1">IF(L260&lt;&gt;"",SUM(IF(INDIRECT(L260)&lt;&gt;INT(INDIRECT(L260)),1,0)),"")</f>
        <v/>
      </c>
      <c r="U260" s="17" t="str">
        <f t="array" aca="1" ref="U260" ca="1">IF(S260=1,SUM(IF(ISNUMBER(INDIRECT(N260)),IF(INDIRECT(N260)&lt;&gt;INT(INDIRECT(N260)),1,0),0)),"")</f>
        <v/>
      </c>
      <c r="V260" s="17">
        <f t="shared" ca="1" si="68"/>
        <v>0</v>
      </c>
      <c r="W260" s="17">
        <f t="shared" ca="1" si="69"/>
        <v>0</v>
      </c>
      <c r="X260" s="24" t="str">
        <f t="array" aca="1" ref="X260" ca="1">IF(AD260,IF(AG260&lt;&gt;"",AG260,IF(J260,MIN(INDIRECT( K260)),"")),"")</f>
        <v/>
      </c>
      <c r="Y260" s="17" t="str">
        <f t="array" aca="1" ref="Y260" ca="1">IF(AD260,IF(AH260&lt;&gt;"",AH260,IF(J260,MAX(INDIRECT( K260)),"")),"")</f>
        <v/>
      </c>
      <c r="Z260" s="17" t="b">
        <f t="shared" ca="1" si="70"/>
        <v>0</v>
      </c>
      <c r="AC260" s="17" t="b">
        <f t="shared" ca="1" si="71"/>
        <v>0</v>
      </c>
      <c r="AD260" s="14" t="b">
        <f t="shared" ca="1" si="72"/>
        <v>1</v>
      </c>
      <c r="AE260" s="15" t="b">
        <f t="shared" ca="1" si="73"/>
        <v>0</v>
      </c>
      <c r="AF260" s="16"/>
      <c r="AG260" s="16"/>
      <c r="AH260" s="16"/>
      <c r="AI260" s="16"/>
      <c r="AJ260" s="16"/>
      <c r="AK260" s="16"/>
      <c r="AL260" s="16"/>
      <c r="AM260" s="16"/>
    </row>
    <row r="261" spans="2:39">
      <c r="B261" s="14">
        <f t="shared" si="62"/>
        <v>259</v>
      </c>
      <c r="C261" s="14" t="str">
        <f t="shared" ca="1" si="63"/>
        <v>D</v>
      </c>
      <c r="D261" s="14" t="str">
        <f t="shared" ca="1" si="64"/>
        <v>q_51a.1</v>
      </c>
      <c r="E261" s="14" t="str">
        <f t="shared" ca="1" si="61"/>
        <v>Mild Basketball activity</v>
      </c>
      <c r="F261" s="14">
        <f t="shared" ca="1" si="60"/>
        <v>2</v>
      </c>
      <c r="G261" s="14" t="str">
        <f t="shared" ca="1" si="65"/>
        <v>q_51a.1</v>
      </c>
      <c r="H261" s="14">
        <f ca="1">IF(G261&lt;&gt;"",IFERROR( IsVariableNameLegal(G261),0),0)+IF(COUNTIF(INDIRECT(wew!$C$13),G261)&gt;1,10,0)</f>
        <v>0</v>
      </c>
      <c r="I261" s="14">
        <f ca="1">IF(E261&lt;&gt;"",IF(LEN(E261)&gt;150,1,0)+IF(COUNTIF(INDIRECT(wew!$C$15),E261)&gt;1,10,0),0)</f>
        <v>0</v>
      </c>
      <c r="J261" s="14" t="b">
        <f t="shared" ca="1" si="66"/>
        <v>1</v>
      </c>
      <c r="K261" s="14" t="str">
        <f ca="1">ADDRESS(3,(B261+1)*2-1,4,,"[" &amp; wew!$G$7 &amp; "]" &amp; _sheetname_labels) &amp; ":" &amp; ADDRESS(2+ster!$B$20,(B261+1)*2-1,4)</f>
        <v>'[dane surowe2c.xlsm]labels'!SY3:SY36</v>
      </c>
      <c r="L261" s="14" t="str">
        <f ca="1">IF(F261&gt;0,ADDRESS(3,(B261+1)*2-1,4,,"[" &amp; wew!$G$7 &amp; "]" &amp; _sheetname_labels) &amp; ":" &amp; ADDRESS(2+F261,(B261+1)*2-1,4),"")</f>
        <v>'[dane surowe2c.xlsm]labels'!SY3:SY4</v>
      </c>
      <c r="M261" s="14" t="str">
        <f ca="1">IF(F261&gt;0,ADDRESS(3,(B261+1)*2,4,,"["&amp;wew!$G$7&amp;"]"&amp;_sheetname_labels)&amp;":"&amp;ADDRESS(2+F261,(B261+1)*2,4),"")</f>
        <v>'[dane surowe2c.xlsm]labels'!SZ3:SZ4</v>
      </c>
      <c r="N261" s="14" t="str">
        <f ca="1">ADDRESS(3,B261+1,4,,"[" &amp; wew!$G$7 &amp; "]" &amp;_sheetname_dataframe) &amp; ":" &amp; ADDRESS(2+ster!$C$14,B261+1,4)</f>
        <v>'[dane surowe2c.xlsm]data_frame'!IZ3:IZ35</v>
      </c>
      <c r="O261" s="14">
        <f t="shared" ca="1" si="67"/>
        <v>32</v>
      </c>
      <c r="P261" s="14">
        <f ca="1">IF(AND($AD261,$S261=1),IF(wew!$B$3,MIN(INDIRECT($N261)),"&lt;włącz podświetlanie wartości&gt;"),"—")</f>
        <v>2</v>
      </c>
      <c r="Q261" s="14">
        <f ca="1">IF(AND($AD261,$S261=1),IF(wew!$B$3,MAX(INDIRECT($N261)),"&lt;włącz podświetlanie wartości&gt;"),"—")</f>
        <v>2</v>
      </c>
      <c r="R261" s="14">
        <f ca="1">IF(AD261,ster!$C$14- (COUNTIF( INDIRECT(N261),"" )+ COUNT(INDIRECT(N261)) +COUNTIF( INDIRECT(N261),"NA" )),"")</f>
        <v>0</v>
      </c>
      <c r="S261" s="12">
        <f ca="1">IF(AD261,IF(COUNTA(INDIRECT(N261))=0,0, 1-(ster!$C$14- COUNT(INDIRECT(N261)) -COUNTIF( INDIRECT(N261),"" )) /COUNTA(INDIRECT(N261))),"")</f>
        <v>1</v>
      </c>
      <c r="T261" s="17">
        <f t="array" aca="1" ref="T261" ca="1">IF(L261&lt;&gt;"",SUM(IF(INDIRECT(L261)&lt;&gt;INT(INDIRECT(L261)),1,0)),"")</f>
        <v>0</v>
      </c>
      <c r="U261" s="17">
        <f t="array" aca="1" ref="U261" ca="1">IF(S261=1,SUM(IF(ISNUMBER(INDIRECT(N261)),IF(INDIRECT(N261)&lt;&gt;INT(INDIRECT(N261)),1,0),0)),"")</f>
        <v>0</v>
      </c>
      <c r="V261" s="17">
        <f t="shared" ca="1" si="68"/>
        <v>1</v>
      </c>
      <c r="W261" s="17">
        <f t="shared" ca="1" si="69"/>
        <v>0</v>
      </c>
      <c r="X261" s="24">
        <f t="array" aca="1" ref="X261" ca="1">IF(AD261,IF(AG261&lt;&gt;"",AG261,IF(J261,MIN(INDIRECT( K261)),"")),"")</f>
        <v>1</v>
      </c>
      <c r="Y261" s="17">
        <f t="array" aca="1" ref="Y261" ca="1">IF(AD261,IF(AH261&lt;&gt;"",AH261,IF(J261,MAX(INDIRECT( K261)),"")),"")</f>
        <v>2</v>
      </c>
      <c r="Z261" s="17" t="b">
        <f t="shared" ca="1" si="70"/>
        <v>1</v>
      </c>
      <c r="AC261" s="17" t="b">
        <f t="shared" ca="1" si="71"/>
        <v>0</v>
      </c>
      <c r="AD261" s="14" t="b">
        <f t="shared" ca="1" si="72"/>
        <v>1</v>
      </c>
      <c r="AE261" s="15" t="b">
        <f t="shared" ca="1" si="73"/>
        <v>1</v>
      </c>
      <c r="AF261" s="16"/>
      <c r="AG261" s="16"/>
      <c r="AH261" s="16"/>
      <c r="AI261" s="16"/>
      <c r="AJ261" s="16"/>
      <c r="AK261" s="16"/>
      <c r="AL261" s="16"/>
      <c r="AM261" s="16"/>
    </row>
    <row r="262" spans="2:39">
      <c r="B262" s="14">
        <f t="shared" si="62"/>
        <v>260</v>
      </c>
      <c r="C262" s="14" t="str">
        <f t="shared" ca="1" si="63"/>
        <v>I</v>
      </c>
      <c r="D262" s="14" t="str">
        <f t="shared" ca="1" si="64"/>
        <v>q_51a.2</v>
      </c>
      <c r="E262" s="14" t="str">
        <f t="shared" ca="1" si="61"/>
        <v>How long mild Basketball activity</v>
      </c>
      <c r="F262" s="14">
        <f t="shared" ca="1" si="60"/>
        <v>0</v>
      </c>
      <c r="G262" s="14" t="str">
        <f t="shared" ca="1" si="65"/>
        <v>q_51a.2</v>
      </c>
      <c r="H262" s="14">
        <f ca="1">IF(G262&lt;&gt;"",IFERROR( IsVariableNameLegal(G262),0),0)+IF(COUNTIF(INDIRECT(wew!$C$13),G262)&gt;1,10,0)</f>
        <v>0</v>
      </c>
      <c r="I262" s="14">
        <f ca="1">IF(E262&lt;&gt;"",IF(LEN(E262)&gt;150,1,0)+IF(COUNTIF(INDIRECT(wew!$C$15),E262)&gt;1,10,0),0)</f>
        <v>0</v>
      </c>
      <c r="J262" s="14" t="b">
        <f t="shared" ca="1" si="66"/>
        <v>0</v>
      </c>
      <c r="K262" s="14" t="str">
        <f ca="1">ADDRESS(3,(B262+1)*2-1,4,,"[" &amp; wew!$G$7 &amp; "]" &amp; _sheetname_labels) &amp; ":" &amp; ADDRESS(2+ster!$B$20,(B262+1)*2-1,4)</f>
        <v>'[dane surowe2c.xlsm]labels'!TA3:TA36</v>
      </c>
      <c r="L262" s="14" t="str">
        <f ca="1">IF(F262&gt;0,ADDRESS(3,(B262+1)*2-1,4,,"[" &amp; wew!$G$7 &amp; "]" &amp; _sheetname_labels) &amp; ":" &amp; ADDRESS(2+F262,(B262+1)*2-1,4),"")</f>
        <v/>
      </c>
      <c r="M262" s="14" t="str">
        <f ca="1">IF(F262&gt;0,ADDRESS(3,(B262+1)*2,4,,"["&amp;wew!$G$7&amp;"]"&amp;_sheetname_labels)&amp;":"&amp;ADDRESS(2+F262,(B262+1)*2,4),"")</f>
        <v/>
      </c>
      <c r="N262" s="14" t="str">
        <f ca="1">ADDRESS(3,B262+1,4,,"[" &amp; wew!$G$7 &amp; "]" &amp;_sheetname_dataframe) &amp; ":" &amp; ADDRESS(2+ster!$C$14,B262+1,4)</f>
        <v>'[dane surowe2c.xlsm]data_frame'!JA3:JA35</v>
      </c>
      <c r="O262" s="14">
        <f t="shared" ca="1" si="67"/>
        <v>0</v>
      </c>
      <c r="P262" s="14" t="str">
        <f ca="1">IF(AND($AD262,$S262=1),IF(wew!$B$3,MIN(INDIRECT($N262)),"&lt;włącz podświetlanie wartości&gt;"),"—")</f>
        <v>—</v>
      </c>
      <c r="Q262" s="14" t="str">
        <f ca="1">IF(AND($AD262,$S262=1),IF(wew!$B$3,MAX(INDIRECT($N262)),"&lt;włącz podświetlanie wartości&gt;"),"—")</f>
        <v>—</v>
      </c>
      <c r="R262" s="14">
        <f ca="1">IF(AD262,ster!$C$14- (COUNTIF( INDIRECT(N262),"" )+ COUNT(INDIRECT(N262)) +COUNTIF( INDIRECT(N262),"NA" )),"")</f>
        <v>0</v>
      </c>
      <c r="S262" s="12">
        <f ca="1">IF(AD262,IF(COUNTA(INDIRECT(N262))=0,0, 1-(ster!$C$14- COUNT(INDIRECT(N262)) -COUNTIF( INDIRECT(N262),"" )) /COUNTA(INDIRECT(N262))),"")</f>
        <v>0</v>
      </c>
      <c r="T262" s="17" t="str">
        <f t="array" aca="1" ref="T262" ca="1">IF(L262&lt;&gt;"",SUM(IF(INDIRECT(L262)&lt;&gt;INT(INDIRECT(L262)),1,0)),"")</f>
        <v/>
      </c>
      <c r="U262" s="17" t="str">
        <f t="array" aca="1" ref="U262" ca="1">IF(S262=1,SUM(IF(ISNUMBER(INDIRECT(N262)),IF(INDIRECT(N262)&lt;&gt;INT(INDIRECT(N262)),1,0),0)),"")</f>
        <v/>
      </c>
      <c r="V262" s="17">
        <f t="shared" ca="1" si="68"/>
        <v>0</v>
      </c>
      <c r="W262" s="17">
        <f t="shared" ca="1" si="69"/>
        <v>0</v>
      </c>
      <c r="X262" s="24" t="str">
        <f t="array" aca="1" ref="X262" ca="1">IF(AD262,IF(AG262&lt;&gt;"",AG262,IF(J262,MIN(INDIRECT( K262)),"")),"")</f>
        <v/>
      </c>
      <c r="Y262" s="17" t="str">
        <f t="array" aca="1" ref="Y262" ca="1">IF(AD262,IF(AH262&lt;&gt;"",AH262,IF(J262,MAX(INDIRECT( K262)),"")),"")</f>
        <v/>
      </c>
      <c r="Z262" s="17" t="b">
        <f t="shared" ca="1" si="70"/>
        <v>0</v>
      </c>
      <c r="AC262" s="17" t="b">
        <f t="shared" ca="1" si="71"/>
        <v>0</v>
      </c>
      <c r="AD262" s="14" t="b">
        <f t="shared" ca="1" si="72"/>
        <v>1</v>
      </c>
      <c r="AE262" s="15" t="b">
        <f t="shared" ca="1" si="73"/>
        <v>0</v>
      </c>
      <c r="AF262" s="16"/>
      <c r="AG262" s="16"/>
      <c r="AH262" s="16"/>
      <c r="AI262" s="16"/>
      <c r="AJ262" s="16"/>
      <c r="AK262" s="16"/>
      <c r="AL262" s="16"/>
      <c r="AM262" s="16"/>
    </row>
    <row r="263" spans="2:39">
      <c r="B263" s="14">
        <f t="shared" si="62"/>
        <v>261</v>
      </c>
      <c r="C263" s="14" t="str">
        <f t="shared" ca="1" si="63"/>
        <v>D</v>
      </c>
      <c r="D263" s="14" t="str">
        <f t="shared" ca="1" si="64"/>
        <v>q_51b.1</v>
      </c>
      <c r="E263" s="14" t="str">
        <f t="shared" ca="1" si="61"/>
        <v>Mild Boxing activity</v>
      </c>
      <c r="F263" s="14">
        <f t="shared" ca="1" si="60"/>
        <v>2</v>
      </c>
      <c r="G263" s="14" t="str">
        <f t="shared" ca="1" si="65"/>
        <v>q_51b.1</v>
      </c>
      <c r="H263" s="14">
        <f ca="1">IF(G263&lt;&gt;"",IFERROR( IsVariableNameLegal(G263),0),0)+IF(COUNTIF(INDIRECT(wew!$C$13),G263)&gt;1,10,0)</f>
        <v>0</v>
      </c>
      <c r="I263" s="14">
        <f ca="1">IF(E263&lt;&gt;"",IF(LEN(E263)&gt;150,1,0)+IF(COUNTIF(INDIRECT(wew!$C$15),E263)&gt;1,10,0),0)</f>
        <v>0</v>
      </c>
      <c r="J263" s="14" t="b">
        <f t="shared" ca="1" si="66"/>
        <v>1</v>
      </c>
      <c r="K263" s="14" t="str">
        <f ca="1">ADDRESS(3,(B263+1)*2-1,4,,"[" &amp; wew!$G$7 &amp; "]" &amp; _sheetname_labels) &amp; ":" &amp; ADDRESS(2+ster!$B$20,(B263+1)*2-1,4)</f>
        <v>'[dane surowe2c.xlsm]labels'!TC3:TC36</v>
      </c>
      <c r="L263" s="14" t="str">
        <f ca="1">IF(F263&gt;0,ADDRESS(3,(B263+1)*2-1,4,,"[" &amp; wew!$G$7 &amp; "]" &amp; _sheetname_labels) &amp; ":" &amp; ADDRESS(2+F263,(B263+1)*2-1,4),"")</f>
        <v>'[dane surowe2c.xlsm]labels'!TC3:TC4</v>
      </c>
      <c r="M263" s="14" t="str">
        <f ca="1">IF(F263&gt;0,ADDRESS(3,(B263+1)*2,4,,"["&amp;wew!$G$7&amp;"]"&amp;_sheetname_labels)&amp;":"&amp;ADDRESS(2+F263,(B263+1)*2,4),"")</f>
        <v>'[dane surowe2c.xlsm]labels'!TD3:TD4</v>
      </c>
      <c r="N263" s="14" t="str">
        <f ca="1">ADDRESS(3,B263+1,4,,"[" &amp; wew!$G$7 &amp; "]" &amp;_sheetname_dataframe) &amp; ":" &amp; ADDRESS(2+ster!$C$14,B263+1,4)</f>
        <v>'[dane surowe2c.xlsm]data_frame'!JB3:JB35</v>
      </c>
      <c r="O263" s="14">
        <f t="shared" ca="1" si="67"/>
        <v>32</v>
      </c>
      <c r="P263" s="14">
        <f ca="1">IF(AND($AD263,$S263=1),IF(wew!$B$3,MIN(INDIRECT($N263)),"&lt;włącz podświetlanie wartości&gt;"),"—")</f>
        <v>2</v>
      </c>
      <c r="Q263" s="14">
        <f ca="1">IF(AND($AD263,$S263=1),IF(wew!$B$3,MAX(INDIRECT($N263)),"&lt;włącz podświetlanie wartości&gt;"),"—")</f>
        <v>2</v>
      </c>
      <c r="R263" s="14">
        <f ca="1">IF(AD263,ster!$C$14- (COUNTIF( INDIRECT(N263),"" )+ COUNT(INDIRECT(N263)) +COUNTIF( INDIRECT(N263),"NA" )),"")</f>
        <v>0</v>
      </c>
      <c r="S263" s="12">
        <f ca="1">IF(AD263,IF(COUNTA(INDIRECT(N263))=0,0, 1-(ster!$C$14- COUNT(INDIRECT(N263)) -COUNTIF( INDIRECT(N263),"" )) /COUNTA(INDIRECT(N263))),"")</f>
        <v>1</v>
      </c>
      <c r="T263" s="17">
        <f t="array" aca="1" ref="T263" ca="1">IF(L263&lt;&gt;"",SUM(IF(INDIRECT(L263)&lt;&gt;INT(INDIRECT(L263)),1,0)),"")</f>
        <v>0</v>
      </c>
      <c r="U263" s="17">
        <f t="array" aca="1" ref="U263" ca="1">IF(S263=1,SUM(IF(ISNUMBER(INDIRECT(N263)),IF(INDIRECT(N263)&lt;&gt;INT(INDIRECT(N263)),1,0),0)),"")</f>
        <v>0</v>
      </c>
      <c r="V263" s="17">
        <f t="shared" ca="1" si="68"/>
        <v>1</v>
      </c>
      <c r="W263" s="17">
        <f t="shared" ca="1" si="69"/>
        <v>0</v>
      </c>
      <c r="X263" s="24">
        <f t="array" aca="1" ref="X263" ca="1">IF(AD263,IF(AG263&lt;&gt;"",AG263,IF(J263,MIN(INDIRECT( K263)),"")),"")</f>
        <v>1</v>
      </c>
      <c r="Y263" s="17">
        <f t="array" aca="1" ref="Y263" ca="1">IF(AD263,IF(AH263&lt;&gt;"",AH263,IF(J263,MAX(INDIRECT( K263)),"")),"")</f>
        <v>2</v>
      </c>
      <c r="Z263" s="17" t="b">
        <f t="shared" ca="1" si="70"/>
        <v>1</v>
      </c>
      <c r="AC263" s="17" t="b">
        <f t="shared" ca="1" si="71"/>
        <v>0</v>
      </c>
      <c r="AD263" s="14" t="b">
        <f t="shared" ca="1" si="72"/>
        <v>1</v>
      </c>
      <c r="AE263" s="15" t="b">
        <f t="shared" ca="1" si="73"/>
        <v>1</v>
      </c>
      <c r="AF263" s="16"/>
      <c r="AG263" s="16"/>
      <c r="AH263" s="16"/>
      <c r="AI263" s="16"/>
      <c r="AJ263" s="16"/>
      <c r="AK263" s="16"/>
      <c r="AL263" s="16"/>
      <c r="AM263" s="16"/>
    </row>
    <row r="264" spans="2:39">
      <c r="B264" s="14">
        <f t="shared" si="62"/>
        <v>262</v>
      </c>
      <c r="C264" s="14" t="str">
        <f t="shared" ca="1" si="63"/>
        <v>I</v>
      </c>
      <c r="D264" s="14" t="str">
        <f t="shared" ca="1" si="64"/>
        <v>q_51b.2</v>
      </c>
      <c r="E264" s="14" t="str">
        <f t="shared" ca="1" si="61"/>
        <v>How long mild Boxing activity</v>
      </c>
      <c r="F264" s="14">
        <f t="shared" ca="1" si="60"/>
        <v>0</v>
      </c>
      <c r="G264" s="14" t="str">
        <f t="shared" ca="1" si="65"/>
        <v>q_51b.2</v>
      </c>
      <c r="H264" s="14">
        <f ca="1">IF(G264&lt;&gt;"",IFERROR( IsVariableNameLegal(G264),0),0)+IF(COUNTIF(INDIRECT(wew!$C$13),G264)&gt;1,10,0)</f>
        <v>0</v>
      </c>
      <c r="I264" s="14">
        <f ca="1">IF(E264&lt;&gt;"",IF(LEN(E264)&gt;150,1,0)+IF(COUNTIF(INDIRECT(wew!$C$15),E264)&gt;1,10,0),0)</f>
        <v>0</v>
      </c>
      <c r="J264" s="14" t="b">
        <f t="shared" ca="1" si="66"/>
        <v>0</v>
      </c>
      <c r="K264" s="14" t="str">
        <f ca="1">ADDRESS(3,(B264+1)*2-1,4,,"[" &amp; wew!$G$7 &amp; "]" &amp; _sheetname_labels) &amp; ":" &amp; ADDRESS(2+ster!$B$20,(B264+1)*2-1,4)</f>
        <v>'[dane surowe2c.xlsm]labels'!TE3:TE36</v>
      </c>
      <c r="L264" s="14" t="str">
        <f ca="1">IF(F264&gt;0,ADDRESS(3,(B264+1)*2-1,4,,"[" &amp; wew!$G$7 &amp; "]" &amp; _sheetname_labels) &amp; ":" &amp; ADDRESS(2+F264,(B264+1)*2-1,4),"")</f>
        <v/>
      </c>
      <c r="M264" s="14" t="str">
        <f ca="1">IF(F264&gt;0,ADDRESS(3,(B264+1)*2,4,,"["&amp;wew!$G$7&amp;"]"&amp;_sheetname_labels)&amp;":"&amp;ADDRESS(2+F264,(B264+1)*2,4),"")</f>
        <v/>
      </c>
      <c r="N264" s="14" t="str">
        <f ca="1">ADDRESS(3,B264+1,4,,"[" &amp; wew!$G$7 &amp; "]" &amp;_sheetname_dataframe) &amp; ":" &amp; ADDRESS(2+ster!$C$14,B264+1,4)</f>
        <v>'[dane surowe2c.xlsm]data_frame'!JC3:JC35</v>
      </c>
      <c r="O264" s="14">
        <f t="shared" ca="1" si="67"/>
        <v>0</v>
      </c>
      <c r="P264" s="14" t="str">
        <f ca="1">IF(AND($AD264,$S264=1),IF(wew!$B$3,MIN(INDIRECT($N264)),"&lt;włącz podświetlanie wartości&gt;"),"—")</f>
        <v>—</v>
      </c>
      <c r="Q264" s="14" t="str">
        <f ca="1">IF(AND($AD264,$S264=1),IF(wew!$B$3,MAX(INDIRECT($N264)),"&lt;włącz podświetlanie wartości&gt;"),"—")</f>
        <v>—</v>
      </c>
      <c r="R264" s="14">
        <f ca="1">IF(AD264,ster!$C$14- (COUNTIF( INDIRECT(N264),"" )+ COUNT(INDIRECT(N264)) +COUNTIF( INDIRECT(N264),"NA" )),"")</f>
        <v>0</v>
      </c>
      <c r="S264" s="12">
        <f ca="1">IF(AD264,IF(COUNTA(INDIRECT(N264))=0,0, 1-(ster!$C$14- COUNT(INDIRECT(N264)) -COUNTIF( INDIRECT(N264),"" )) /COUNTA(INDIRECT(N264))),"")</f>
        <v>0</v>
      </c>
      <c r="T264" s="17" t="str">
        <f t="array" aca="1" ref="T264" ca="1">IF(L264&lt;&gt;"",SUM(IF(INDIRECT(L264)&lt;&gt;INT(INDIRECT(L264)),1,0)),"")</f>
        <v/>
      </c>
      <c r="U264" s="17" t="str">
        <f t="array" aca="1" ref="U264" ca="1">IF(S264=1,SUM(IF(ISNUMBER(INDIRECT(N264)),IF(INDIRECT(N264)&lt;&gt;INT(INDIRECT(N264)),1,0),0)),"")</f>
        <v/>
      </c>
      <c r="V264" s="17">
        <f t="shared" ca="1" si="68"/>
        <v>0</v>
      </c>
      <c r="W264" s="17">
        <f t="shared" ca="1" si="69"/>
        <v>0</v>
      </c>
      <c r="X264" s="24" t="str">
        <f t="array" aca="1" ref="X264" ca="1">IF(AD264,IF(AG264&lt;&gt;"",AG264,IF(J264,MIN(INDIRECT( K264)),"")),"")</f>
        <v/>
      </c>
      <c r="Y264" s="17" t="str">
        <f t="array" aca="1" ref="Y264" ca="1">IF(AD264,IF(AH264&lt;&gt;"",AH264,IF(J264,MAX(INDIRECT( K264)),"")),"")</f>
        <v/>
      </c>
      <c r="Z264" s="17" t="b">
        <f t="shared" ca="1" si="70"/>
        <v>0</v>
      </c>
      <c r="AC264" s="17" t="b">
        <f t="shared" ca="1" si="71"/>
        <v>0</v>
      </c>
      <c r="AD264" s="14" t="b">
        <f t="shared" ca="1" si="72"/>
        <v>1</v>
      </c>
      <c r="AE264" s="15" t="b">
        <f t="shared" ca="1" si="73"/>
        <v>0</v>
      </c>
      <c r="AF264" s="16"/>
      <c r="AG264" s="16"/>
      <c r="AH264" s="16"/>
      <c r="AI264" s="16"/>
      <c r="AJ264" s="16"/>
      <c r="AK264" s="16"/>
      <c r="AL264" s="16"/>
      <c r="AM264" s="16"/>
    </row>
    <row r="265" spans="2:39">
      <c r="B265" s="14">
        <f t="shared" si="62"/>
        <v>263</v>
      </c>
      <c r="C265" s="14" t="str">
        <f t="shared" ca="1" si="63"/>
        <v>D</v>
      </c>
      <c r="D265" s="14" t="str">
        <f t="shared" ca="1" si="64"/>
        <v>q_51c.1</v>
      </c>
      <c r="E265" s="14" t="str">
        <f t="shared" ca="1" si="61"/>
        <v>Mild Climbing activity</v>
      </c>
      <c r="F265" s="14">
        <f t="shared" ca="1" si="60"/>
        <v>2</v>
      </c>
      <c r="G265" s="14" t="str">
        <f t="shared" ca="1" si="65"/>
        <v>q_51c.1</v>
      </c>
      <c r="H265" s="14">
        <f ca="1">IF(G265&lt;&gt;"",IFERROR( IsVariableNameLegal(G265),0),0)+IF(COUNTIF(INDIRECT(wew!$C$13),G265)&gt;1,10,0)</f>
        <v>0</v>
      </c>
      <c r="I265" s="14">
        <f ca="1">IF(E265&lt;&gt;"",IF(LEN(E265)&gt;150,1,0)+IF(COUNTIF(INDIRECT(wew!$C$15),E265)&gt;1,10,0),0)</f>
        <v>0</v>
      </c>
      <c r="J265" s="14" t="b">
        <f t="shared" ca="1" si="66"/>
        <v>1</v>
      </c>
      <c r="K265" s="14" t="str">
        <f ca="1">ADDRESS(3,(B265+1)*2-1,4,,"[" &amp; wew!$G$7 &amp; "]" &amp; _sheetname_labels) &amp; ":" &amp; ADDRESS(2+ster!$B$20,(B265+1)*2-1,4)</f>
        <v>'[dane surowe2c.xlsm]labels'!TG3:TG36</v>
      </c>
      <c r="L265" s="14" t="str">
        <f ca="1">IF(F265&gt;0,ADDRESS(3,(B265+1)*2-1,4,,"[" &amp; wew!$G$7 &amp; "]" &amp; _sheetname_labels) &amp; ":" &amp; ADDRESS(2+F265,(B265+1)*2-1,4),"")</f>
        <v>'[dane surowe2c.xlsm]labels'!TG3:TG4</v>
      </c>
      <c r="M265" s="14" t="str">
        <f ca="1">IF(F265&gt;0,ADDRESS(3,(B265+1)*2,4,,"["&amp;wew!$G$7&amp;"]"&amp;_sheetname_labels)&amp;":"&amp;ADDRESS(2+F265,(B265+1)*2,4),"")</f>
        <v>'[dane surowe2c.xlsm]labels'!TH3:TH4</v>
      </c>
      <c r="N265" s="14" t="str">
        <f ca="1">ADDRESS(3,B265+1,4,,"[" &amp; wew!$G$7 &amp; "]" &amp;_sheetname_dataframe) &amp; ":" &amp; ADDRESS(2+ster!$C$14,B265+1,4)</f>
        <v>'[dane surowe2c.xlsm]data_frame'!JD3:JD35</v>
      </c>
      <c r="O265" s="14">
        <f t="shared" ca="1" si="67"/>
        <v>32</v>
      </c>
      <c r="P265" s="14">
        <f ca="1">IF(AND($AD265,$S265=1),IF(wew!$B$3,MIN(INDIRECT($N265)),"&lt;włącz podświetlanie wartości&gt;"),"—")</f>
        <v>2</v>
      </c>
      <c r="Q265" s="14">
        <f ca="1">IF(AND($AD265,$S265=1),IF(wew!$B$3,MAX(INDIRECT($N265)),"&lt;włącz podświetlanie wartości&gt;"),"—")</f>
        <v>2</v>
      </c>
      <c r="R265" s="14">
        <f ca="1">IF(AD265,ster!$C$14- (COUNTIF( INDIRECT(N265),"" )+ COUNT(INDIRECT(N265)) +COUNTIF( INDIRECT(N265),"NA" )),"")</f>
        <v>0</v>
      </c>
      <c r="S265" s="12">
        <f ca="1">IF(AD265,IF(COUNTA(INDIRECT(N265))=0,0, 1-(ster!$C$14- COUNT(INDIRECT(N265)) -COUNTIF( INDIRECT(N265),"" )) /COUNTA(INDIRECT(N265))),"")</f>
        <v>1</v>
      </c>
      <c r="T265" s="17">
        <f t="array" aca="1" ref="T265" ca="1">IF(L265&lt;&gt;"",SUM(IF(INDIRECT(L265)&lt;&gt;INT(INDIRECT(L265)),1,0)),"")</f>
        <v>0</v>
      </c>
      <c r="U265" s="17">
        <f t="array" aca="1" ref="U265" ca="1">IF(S265=1,SUM(IF(ISNUMBER(INDIRECT(N265)),IF(INDIRECT(N265)&lt;&gt;INT(INDIRECT(N265)),1,0),0)),"")</f>
        <v>0</v>
      </c>
      <c r="V265" s="17">
        <f t="shared" ca="1" si="68"/>
        <v>1</v>
      </c>
      <c r="W265" s="17">
        <f t="shared" ca="1" si="69"/>
        <v>0</v>
      </c>
      <c r="X265" s="24">
        <f t="array" aca="1" ref="X265" ca="1">IF(AD265,IF(AG265&lt;&gt;"",AG265,IF(J265,MIN(INDIRECT( K265)),"")),"")</f>
        <v>1</v>
      </c>
      <c r="Y265" s="17">
        <f t="array" aca="1" ref="Y265" ca="1">IF(AD265,IF(AH265&lt;&gt;"",AH265,IF(J265,MAX(INDIRECT( K265)),"")),"")</f>
        <v>2</v>
      </c>
      <c r="Z265" s="17" t="b">
        <f t="shared" ca="1" si="70"/>
        <v>1</v>
      </c>
      <c r="AC265" s="17" t="b">
        <f t="shared" ca="1" si="71"/>
        <v>0</v>
      </c>
      <c r="AD265" s="14" t="b">
        <f t="shared" ca="1" si="72"/>
        <v>1</v>
      </c>
      <c r="AE265" s="15" t="b">
        <f t="shared" ca="1" si="73"/>
        <v>1</v>
      </c>
      <c r="AF265" s="16"/>
      <c r="AG265" s="16"/>
      <c r="AH265" s="16"/>
      <c r="AI265" s="16"/>
      <c r="AJ265" s="16"/>
      <c r="AK265" s="16"/>
      <c r="AL265" s="16"/>
      <c r="AM265" s="16"/>
    </row>
    <row r="266" spans="2:39">
      <c r="B266" s="14">
        <f t="shared" si="62"/>
        <v>264</v>
      </c>
      <c r="C266" s="14" t="str">
        <f t="shared" ca="1" si="63"/>
        <v>I</v>
      </c>
      <c r="D266" s="14" t="str">
        <f t="shared" ca="1" si="64"/>
        <v>q_51c.2</v>
      </c>
      <c r="E266" s="14" t="str">
        <f t="shared" ca="1" si="61"/>
        <v>How long mild Climbing activity</v>
      </c>
      <c r="F266" s="14">
        <f t="shared" ca="1" si="60"/>
        <v>0</v>
      </c>
      <c r="G266" s="14" t="str">
        <f t="shared" ca="1" si="65"/>
        <v>q_51c.2</v>
      </c>
      <c r="H266" s="14">
        <f ca="1">IF(G266&lt;&gt;"",IFERROR( IsVariableNameLegal(G266),0),0)+IF(COUNTIF(INDIRECT(wew!$C$13),G266)&gt;1,10,0)</f>
        <v>0</v>
      </c>
      <c r="I266" s="14">
        <f ca="1">IF(E266&lt;&gt;"",IF(LEN(E266)&gt;150,1,0)+IF(COUNTIF(INDIRECT(wew!$C$15),E266)&gt;1,10,0),0)</f>
        <v>0</v>
      </c>
      <c r="J266" s="14" t="b">
        <f t="shared" ca="1" si="66"/>
        <v>0</v>
      </c>
      <c r="K266" s="14" t="str">
        <f ca="1">ADDRESS(3,(B266+1)*2-1,4,,"[" &amp; wew!$G$7 &amp; "]" &amp; _sheetname_labels) &amp; ":" &amp; ADDRESS(2+ster!$B$20,(B266+1)*2-1,4)</f>
        <v>'[dane surowe2c.xlsm]labels'!TI3:TI36</v>
      </c>
      <c r="L266" s="14" t="str">
        <f ca="1">IF(F266&gt;0,ADDRESS(3,(B266+1)*2-1,4,,"[" &amp; wew!$G$7 &amp; "]" &amp; _sheetname_labels) &amp; ":" &amp; ADDRESS(2+F266,(B266+1)*2-1,4),"")</f>
        <v/>
      </c>
      <c r="M266" s="14" t="str">
        <f ca="1">IF(F266&gt;0,ADDRESS(3,(B266+1)*2,4,,"["&amp;wew!$G$7&amp;"]"&amp;_sheetname_labels)&amp;":"&amp;ADDRESS(2+F266,(B266+1)*2,4),"")</f>
        <v/>
      </c>
      <c r="N266" s="14" t="str">
        <f ca="1">ADDRESS(3,B266+1,4,,"[" &amp; wew!$G$7 &amp; "]" &amp;_sheetname_dataframe) &amp; ":" &amp; ADDRESS(2+ster!$C$14,B266+1,4)</f>
        <v>'[dane surowe2c.xlsm]data_frame'!JE3:JE35</v>
      </c>
      <c r="O266" s="14">
        <f t="shared" ca="1" si="67"/>
        <v>0</v>
      </c>
      <c r="P266" s="14" t="str">
        <f ca="1">IF(AND($AD266,$S266=1),IF(wew!$B$3,MIN(INDIRECT($N266)),"&lt;włącz podświetlanie wartości&gt;"),"—")</f>
        <v>—</v>
      </c>
      <c r="Q266" s="14" t="str">
        <f ca="1">IF(AND($AD266,$S266=1),IF(wew!$B$3,MAX(INDIRECT($N266)),"&lt;włącz podświetlanie wartości&gt;"),"—")</f>
        <v>—</v>
      </c>
      <c r="R266" s="14">
        <f ca="1">IF(AD266,ster!$C$14- (COUNTIF( INDIRECT(N266),"" )+ COUNT(INDIRECT(N266)) +COUNTIF( INDIRECT(N266),"NA" )),"")</f>
        <v>0</v>
      </c>
      <c r="S266" s="12">
        <f ca="1">IF(AD266,IF(COUNTA(INDIRECT(N266))=0,0, 1-(ster!$C$14- COUNT(INDIRECT(N266)) -COUNTIF( INDIRECT(N266),"" )) /COUNTA(INDIRECT(N266))),"")</f>
        <v>0</v>
      </c>
      <c r="T266" s="17" t="str">
        <f t="array" aca="1" ref="T266" ca="1">IF(L266&lt;&gt;"",SUM(IF(INDIRECT(L266)&lt;&gt;INT(INDIRECT(L266)),1,0)),"")</f>
        <v/>
      </c>
      <c r="U266" s="17" t="str">
        <f t="array" aca="1" ref="U266" ca="1">IF(S266=1,SUM(IF(ISNUMBER(INDIRECT(N266)),IF(INDIRECT(N266)&lt;&gt;INT(INDIRECT(N266)),1,0),0)),"")</f>
        <v/>
      </c>
      <c r="V266" s="17">
        <f t="shared" ca="1" si="68"/>
        <v>0</v>
      </c>
      <c r="W266" s="17">
        <f t="shared" ca="1" si="69"/>
        <v>0</v>
      </c>
      <c r="X266" s="24" t="str">
        <f t="array" aca="1" ref="X266" ca="1">IF(AD266,IF(AG266&lt;&gt;"",AG266,IF(J266,MIN(INDIRECT( K266)),"")),"")</f>
        <v/>
      </c>
      <c r="Y266" s="17" t="str">
        <f t="array" aca="1" ref="Y266" ca="1">IF(AD266,IF(AH266&lt;&gt;"",AH266,IF(J266,MAX(INDIRECT( K266)),"")),"")</f>
        <v/>
      </c>
      <c r="Z266" s="17" t="b">
        <f t="shared" ca="1" si="70"/>
        <v>0</v>
      </c>
      <c r="AC266" s="17" t="b">
        <f t="shared" ca="1" si="71"/>
        <v>0</v>
      </c>
      <c r="AD266" s="14" t="b">
        <f t="shared" ca="1" si="72"/>
        <v>1</v>
      </c>
      <c r="AE266" s="15" t="b">
        <f t="shared" ca="1" si="73"/>
        <v>0</v>
      </c>
      <c r="AF266" s="16"/>
      <c r="AG266" s="16"/>
      <c r="AH266" s="16"/>
      <c r="AI266" s="16"/>
      <c r="AJ266" s="16"/>
      <c r="AK266" s="16"/>
      <c r="AL266" s="16"/>
      <c r="AM266" s="16"/>
    </row>
    <row r="267" spans="2:39">
      <c r="B267" s="14">
        <f t="shared" si="62"/>
        <v>265</v>
      </c>
      <c r="C267" s="14" t="str">
        <f t="shared" ca="1" si="63"/>
        <v>D</v>
      </c>
      <c r="D267" s="14" t="str">
        <f t="shared" ca="1" si="64"/>
        <v>q_51d.1</v>
      </c>
      <c r="E267" s="14" t="str">
        <f t="shared" ca="1" si="61"/>
        <v>Mild Cycling activity</v>
      </c>
      <c r="F267" s="14">
        <f t="shared" ca="1" si="60"/>
        <v>2</v>
      </c>
      <c r="G267" s="14" t="str">
        <f t="shared" ca="1" si="65"/>
        <v>q_51d.1</v>
      </c>
      <c r="H267" s="14">
        <f ca="1">IF(G267&lt;&gt;"",IFERROR( IsVariableNameLegal(G267),0),0)+IF(COUNTIF(INDIRECT(wew!$C$13),G267)&gt;1,10,0)</f>
        <v>0</v>
      </c>
      <c r="I267" s="14">
        <f ca="1">IF(E267&lt;&gt;"",IF(LEN(E267)&gt;150,1,0)+IF(COUNTIF(INDIRECT(wew!$C$15),E267)&gt;1,10,0),0)</f>
        <v>0</v>
      </c>
      <c r="J267" s="14" t="b">
        <f t="shared" ca="1" si="66"/>
        <v>1</v>
      </c>
      <c r="K267" s="14" t="str">
        <f ca="1">ADDRESS(3,(B267+1)*2-1,4,,"[" &amp; wew!$G$7 &amp; "]" &amp; _sheetname_labels) &amp; ":" &amp; ADDRESS(2+ster!$B$20,(B267+1)*2-1,4)</f>
        <v>'[dane surowe2c.xlsm]labels'!TK3:TK36</v>
      </c>
      <c r="L267" s="14" t="str">
        <f ca="1">IF(F267&gt;0,ADDRESS(3,(B267+1)*2-1,4,,"[" &amp; wew!$G$7 &amp; "]" &amp; _sheetname_labels) &amp; ":" &amp; ADDRESS(2+F267,(B267+1)*2-1,4),"")</f>
        <v>'[dane surowe2c.xlsm]labels'!TK3:TK4</v>
      </c>
      <c r="M267" s="14" t="str">
        <f ca="1">IF(F267&gt;0,ADDRESS(3,(B267+1)*2,4,,"["&amp;wew!$G$7&amp;"]"&amp;_sheetname_labels)&amp;":"&amp;ADDRESS(2+F267,(B267+1)*2,4),"")</f>
        <v>'[dane surowe2c.xlsm]labels'!TL3:TL4</v>
      </c>
      <c r="N267" s="14" t="str">
        <f ca="1">ADDRESS(3,B267+1,4,,"[" &amp; wew!$G$7 &amp; "]" &amp;_sheetname_dataframe) &amp; ":" &amp; ADDRESS(2+ster!$C$14,B267+1,4)</f>
        <v>'[dane surowe2c.xlsm]data_frame'!JF3:JF35</v>
      </c>
      <c r="O267" s="14">
        <f t="shared" ca="1" si="67"/>
        <v>32</v>
      </c>
      <c r="P267" s="14">
        <f ca="1">IF(AND($AD267,$S267=1),IF(wew!$B$3,MIN(INDIRECT($N267)),"&lt;włącz podświetlanie wartości&gt;"),"—")</f>
        <v>2</v>
      </c>
      <c r="Q267" s="14">
        <f ca="1">IF(AND($AD267,$S267=1),IF(wew!$B$3,MAX(INDIRECT($N267)),"&lt;włącz podświetlanie wartości&gt;"),"—")</f>
        <v>2</v>
      </c>
      <c r="R267" s="14">
        <f ca="1">IF(AD267,ster!$C$14- (COUNTIF( INDIRECT(N267),"" )+ COUNT(INDIRECT(N267)) +COUNTIF( INDIRECT(N267),"NA" )),"")</f>
        <v>0</v>
      </c>
      <c r="S267" s="12">
        <f ca="1">IF(AD267,IF(COUNTA(INDIRECT(N267))=0,0, 1-(ster!$C$14- COUNT(INDIRECT(N267)) -COUNTIF( INDIRECT(N267),"" )) /COUNTA(INDIRECT(N267))),"")</f>
        <v>1</v>
      </c>
      <c r="T267" s="17">
        <f t="array" aca="1" ref="T267" ca="1">IF(L267&lt;&gt;"",SUM(IF(INDIRECT(L267)&lt;&gt;INT(INDIRECT(L267)),1,0)),"")</f>
        <v>0</v>
      </c>
      <c r="U267" s="17">
        <f t="array" aca="1" ref="U267" ca="1">IF(S267=1,SUM(IF(ISNUMBER(INDIRECT(N267)),IF(INDIRECT(N267)&lt;&gt;INT(INDIRECT(N267)),1,0),0)),"")</f>
        <v>0</v>
      </c>
      <c r="V267" s="17">
        <f t="shared" ca="1" si="68"/>
        <v>1</v>
      </c>
      <c r="W267" s="17">
        <f t="shared" ca="1" si="69"/>
        <v>0</v>
      </c>
      <c r="X267" s="24">
        <f t="array" aca="1" ref="X267" ca="1">IF(AD267,IF(AG267&lt;&gt;"",AG267,IF(J267,MIN(INDIRECT( K267)),"")),"")</f>
        <v>1</v>
      </c>
      <c r="Y267" s="17">
        <f t="array" aca="1" ref="Y267" ca="1">IF(AD267,IF(AH267&lt;&gt;"",AH267,IF(J267,MAX(INDIRECT( K267)),"")),"")</f>
        <v>2</v>
      </c>
      <c r="Z267" s="17" t="b">
        <f t="shared" ca="1" si="70"/>
        <v>1</v>
      </c>
      <c r="AC267" s="17" t="b">
        <f t="shared" ca="1" si="71"/>
        <v>0</v>
      </c>
      <c r="AD267" s="14" t="b">
        <f t="shared" ca="1" si="72"/>
        <v>1</v>
      </c>
      <c r="AE267" s="15" t="b">
        <f t="shared" ca="1" si="73"/>
        <v>1</v>
      </c>
      <c r="AF267" s="16"/>
      <c r="AG267" s="16"/>
      <c r="AH267" s="16"/>
      <c r="AI267" s="16"/>
      <c r="AJ267" s="16"/>
      <c r="AK267" s="16"/>
      <c r="AL267" s="16"/>
      <c r="AM267" s="16"/>
    </row>
    <row r="268" spans="2:39">
      <c r="B268" s="14">
        <f t="shared" si="62"/>
        <v>266</v>
      </c>
      <c r="C268" s="14" t="str">
        <f t="shared" ca="1" si="63"/>
        <v>I</v>
      </c>
      <c r="D268" s="14" t="str">
        <f t="shared" ca="1" si="64"/>
        <v>q_51d.2</v>
      </c>
      <c r="E268" s="14" t="str">
        <f t="shared" ca="1" si="61"/>
        <v>How long mild Cycling activity</v>
      </c>
      <c r="F268" s="14">
        <f t="shared" ca="1" si="60"/>
        <v>0</v>
      </c>
      <c r="G268" s="14" t="str">
        <f t="shared" ca="1" si="65"/>
        <v>q_51d.2</v>
      </c>
      <c r="H268" s="14">
        <f ca="1">IF(G268&lt;&gt;"",IFERROR( IsVariableNameLegal(G268),0),0)+IF(COUNTIF(INDIRECT(wew!$C$13),G268)&gt;1,10,0)</f>
        <v>0</v>
      </c>
      <c r="I268" s="14">
        <f ca="1">IF(E268&lt;&gt;"",IF(LEN(E268)&gt;150,1,0)+IF(COUNTIF(INDIRECT(wew!$C$15),E268)&gt;1,10,0),0)</f>
        <v>0</v>
      </c>
      <c r="J268" s="14" t="b">
        <f t="shared" ca="1" si="66"/>
        <v>0</v>
      </c>
      <c r="K268" s="14" t="str">
        <f ca="1">ADDRESS(3,(B268+1)*2-1,4,,"[" &amp; wew!$G$7 &amp; "]" &amp; _sheetname_labels) &amp; ":" &amp; ADDRESS(2+ster!$B$20,(B268+1)*2-1,4)</f>
        <v>'[dane surowe2c.xlsm]labels'!TM3:TM36</v>
      </c>
      <c r="L268" s="14" t="str">
        <f ca="1">IF(F268&gt;0,ADDRESS(3,(B268+1)*2-1,4,,"[" &amp; wew!$G$7 &amp; "]" &amp; _sheetname_labels) &amp; ":" &amp; ADDRESS(2+F268,(B268+1)*2-1,4),"")</f>
        <v/>
      </c>
      <c r="M268" s="14" t="str">
        <f ca="1">IF(F268&gt;0,ADDRESS(3,(B268+1)*2,4,,"["&amp;wew!$G$7&amp;"]"&amp;_sheetname_labels)&amp;":"&amp;ADDRESS(2+F268,(B268+1)*2,4),"")</f>
        <v/>
      </c>
      <c r="N268" s="14" t="str">
        <f ca="1">ADDRESS(3,B268+1,4,,"[" &amp; wew!$G$7 &amp; "]" &amp;_sheetname_dataframe) &amp; ":" &amp; ADDRESS(2+ster!$C$14,B268+1,4)</f>
        <v>'[dane surowe2c.xlsm]data_frame'!JG3:JG35</v>
      </c>
      <c r="O268" s="14">
        <f t="shared" ca="1" si="67"/>
        <v>0</v>
      </c>
      <c r="P268" s="14" t="str">
        <f ca="1">IF(AND($AD268,$S268=1),IF(wew!$B$3,MIN(INDIRECT($N268)),"&lt;włącz podświetlanie wartości&gt;"),"—")</f>
        <v>—</v>
      </c>
      <c r="Q268" s="14" t="str">
        <f ca="1">IF(AND($AD268,$S268=1),IF(wew!$B$3,MAX(INDIRECT($N268)),"&lt;włącz podświetlanie wartości&gt;"),"—")</f>
        <v>—</v>
      </c>
      <c r="R268" s="14">
        <f ca="1">IF(AD268,ster!$C$14- (COUNTIF( INDIRECT(N268),"" )+ COUNT(INDIRECT(N268)) +COUNTIF( INDIRECT(N268),"NA" )),"")</f>
        <v>0</v>
      </c>
      <c r="S268" s="12">
        <f ca="1">IF(AD268,IF(COUNTA(INDIRECT(N268))=0,0, 1-(ster!$C$14- COUNT(INDIRECT(N268)) -COUNTIF( INDIRECT(N268),"" )) /COUNTA(INDIRECT(N268))),"")</f>
        <v>0</v>
      </c>
      <c r="T268" s="17" t="str">
        <f t="array" aca="1" ref="T268" ca="1">IF(L268&lt;&gt;"",SUM(IF(INDIRECT(L268)&lt;&gt;INT(INDIRECT(L268)),1,0)),"")</f>
        <v/>
      </c>
      <c r="U268" s="17" t="str">
        <f t="array" aca="1" ref="U268" ca="1">IF(S268=1,SUM(IF(ISNUMBER(INDIRECT(N268)),IF(INDIRECT(N268)&lt;&gt;INT(INDIRECT(N268)),1,0),0)),"")</f>
        <v/>
      </c>
      <c r="V268" s="17">
        <f t="shared" ca="1" si="68"/>
        <v>0</v>
      </c>
      <c r="W268" s="17">
        <f t="shared" ca="1" si="69"/>
        <v>0</v>
      </c>
      <c r="X268" s="24" t="str">
        <f t="array" aca="1" ref="X268" ca="1">IF(AD268,IF(AG268&lt;&gt;"",AG268,IF(J268,MIN(INDIRECT( K268)),"")),"")</f>
        <v/>
      </c>
      <c r="Y268" s="17" t="str">
        <f t="array" aca="1" ref="Y268" ca="1">IF(AD268,IF(AH268&lt;&gt;"",AH268,IF(J268,MAX(INDIRECT( K268)),"")),"")</f>
        <v/>
      </c>
      <c r="Z268" s="17" t="b">
        <f t="shared" ca="1" si="70"/>
        <v>0</v>
      </c>
      <c r="AC268" s="17" t="b">
        <f t="shared" ca="1" si="71"/>
        <v>0</v>
      </c>
      <c r="AD268" s="14" t="b">
        <f t="shared" ca="1" si="72"/>
        <v>1</v>
      </c>
      <c r="AE268" s="15" t="b">
        <f t="shared" ca="1" si="73"/>
        <v>0</v>
      </c>
      <c r="AF268" s="16"/>
      <c r="AG268" s="16"/>
      <c r="AH268" s="16"/>
      <c r="AI268" s="16"/>
      <c r="AJ268" s="16"/>
      <c r="AK268" s="16"/>
      <c r="AL268" s="16"/>
      <c r="AM268" s="16"/>
    </row>
    <row r="269" spans="2:39">
      <c r="B269" s="14">
        <f t="shared" si="62"/>
        <v>267</v>
      </c>
      <c r="C269" s="14" t="str">
        <f t="shared" ca="1" si="63"/>
        <v>D</v>
      </c>
      <c r="D269" s="14" t="str">
        <f t="shared" ca="1" si="64"/>
        <v>q_51e.1</v>
      </c>
      <c r="E269" s="14" t="str">
        <f t="shared" ca="1" si="61"/>
        <v>Mild Dancing activity</v>
      </c>
      <c r="F269" s="14">
        <f t="shared" ca="1" si="60"/>
        <v>2</v>
      </c>
      <c r="G269" s="14" t="str">
        <f t="shared" ca="1" si="65"/>
        <v>q_51e.1</v>
      </c>
      <c r="H269" s="14">
        <f ca="1">IF(G269&lt;&gt;"",IFERROR( IsVariableNameLegal(G269),0),0)+IF(COUNTIF(INDIRECT(wew!$C$13),G269)&gt;1,10,0)</f>
        <v>0</v>
      </c>
      <c r="I269" s="14">
        <f ca="1">IF(E269&lt;&gt;"",IF(LEN(E269)&gt;150,1,0)+IF(COUNTIF(INDIRECT(wew!$C$15),E269)&gt;1,10,0),0)</f>
        <v>0</v>
      </c>
      <c r="J269" s="14" t="b">
        <f t="shared" ca="1" si="66"/>
        <v>1</v>
      </c>
      <c r="K269" s="14" t="str">
        <f ca="1">ADDRESS(3,(B269+1)*2-1,4,,"[" &amp; wew!$G$7 &amp; "]" &amp; _sheetname_labels) &amp; ":" &amp; ADDRESS(2+ster!$B$20,(B269+1)*2-1,4)</f>
        <v>'[dane surowe2c.xlsm]labels'!TO3:TO36</v>
      </c>
      <c r="L269" s="14" t="str">
        <f ca="1">IF(F269&gt;0,ADDRESS(3,(B269+1)*2-1,4,,"[" &amp; wew!$G$7 &amp; "]" &amp; _sheetname_labels) &amp; ":" &amp; ADDRESS(2+F269,(B269+1)*2-1,4),"")</f>
        <v>'[dane surowe2c.xlsm]labels'!TO3:TO4</v>
      </c>
      <c r="M269" s="14" t="str">
        <f ca="1">IF(F269&gt;0,ADDRESS(3,(B269+1)*2,4,,"["&amp;wew!$G$7&amp;"]"&amp;_sheetname_labels)&amp;":"&amp;ADDRESS(2+F269,(B269+1)*2,4),"")</f>
        <v>'[dane surowe2c.xlsm]labels'!TP3:TP4</v>
      </c>
      <c r="N269" s="14" t="str">
        <f ca="1">ADDRESS(3,B269+1,4,,"[" &amp; wew!$G$7 &amp; "]" &amp;_sheetname_dataframe) &amp; ":" &amp; ADDRESS(2+ster!$C$14,B269+1,4)</f>
        <v>'[dane surowe2c.xlsm]data_frame'!JH3:JH35</v>
      </c>
      <c r="O269" s="14">
        <f t="shared" ca="1" si="67"/>
        <v>32</v>
      </c>
      <c r="P269" s="14">
        <f ca="1">IF(AND($AD269,$S269=1),IF(wew!$B$3,MIN(INDIRECT($N269)),"&lt;włącz podświetlanie wartości&gt;"),"—")</f>
        <v>2</v>
      </c>
      <c r="Q269" s="14">
        <f ca="1">IF(AND($AD269,$S269=1),IF(wew!$B$3,MAX(INDIRECT($N269)),"&lt;włącz podświetlanie wartości&gt;"),"—")</f>
        <v>2</v>
      </c>
      <c r="R269" s="14">
        <f ca="1">IF(AD269,ster!$C$14- (COUNTIF( INDIRECT(N269),"" )+ COUNT(INDIRECT(N269)) +COUNTIF( INDIRECT(N269),"NA" )),"")</f>
        <v>0</v>
      </c>
      <c r="S269" s="12">
        <f ca="1">IF(AD269,IF(COUNTA(INDIRECT(N269))=0,0, 1-(ster!$C$14- COUNT(INDIRECT(N269)) -COUNTIF( INDIRECT(N269),"" )) /COUNTA(INDIRECT(N269))),"")</f>
        <v>1</v>
      </c>
      <c r="T269" s="17">
        <f t="array" aca="1" ref="T269" ca="1">IF(L269&lt;&gt;"",SUM(IF(INDIRECT(L269)&lt;&gt;INT(INDIRECT(L269)),1,0)),"")</f>
        <v>0</v>
      </c>
      <c r="U269" s="17">
        <f t="array" aca="1" ref="U269" ca="1">IF(S269=1,SUM(IF(ISNUMBER(INDIRECT(N269)),IF(INDIRECT(N269)&lt;&gt;INT(INDIRECT(N269)),1,0),0)),"")</f>
        <v>0</v>
      </c>
      <c r="V269" s="17">
        <f t="shared" ca="1" si="68"/>
        <v>1</v>
      </c>
      <c r="W269" s="17">
        <f t="shared" ca="1" si="69"/>
        <v>0</v>
      </c>
      <c r="X269" s="24">
        <f t="array" aca="1" ref="X269" ca="1">IF(AD269,IF(AG269&lt;&gt;"",AG269,IF(J269,MIN(INDIRECT( K269)),"")),"")</f>
        <v>1</v>
      </c>
      <c r="Y269" s="17">
        <f t="array" aca="1" ref="Y269" ca="1">IF(AD269,IF(AH269&lt;&gt;"",AH269,IF(J269,MAX(INDIRECT( K269)),"")),"")</f>
        <v>2</v>
      </c>
      <c r="Z269" s="17" t="b">
        <f t="shared" ca="1" si="70"/>
        <v>1</v>
      </c>
      <c r="AC269" s="17" t="b">
        <f t="shared" ca="1" si="71"/>
        <v>0</v>
      </c>
      <c r="AD269" s="14" t="b">
        <f t="shared" ca="1" si="72"/>
        <v>1</v>
      </c>
      <c r="AE269" s="15" t="b">
        <f t="shared" ca="1" si="73"/>
        <v>1</v>
      </c>
      <c r="AF269" s="16"/>
      <c r="AG269" s="16"/>
      <c r="AH269" s="16"/>
      <c r="AI269" s="16"/>
      <c r="AJ269" s="16"/>
      <c r="AK269" s="16"/>
      <c r="AL269" s="16"/>
      <c r="AM269" s="16"/>
    </row>
    <row r="270" spans="2:39">
      <c r="B270" s="14">
        <f t="shared" si="62"/>
        <v>268</v>
      </c>
      <c r="C270" s="14" t="str">
        <f t="shared" ca="1" si="63"/>
        <v>I</v>
      </c>
      <c r="D270" s="14" t="str">
        <f t="shared" ca="1" si="64"/>
        <v>q_51e.2</v>
      </c>
      <c r="E270" s="14" t="str">
        <f t="shared" ca="1" si="61"/>
        <v>How long mild Dancing activity</v>
      </c>
      <c r="F270" s="14">
        <f t="shared" ca="1" si="60"/>
        <v>0</v>
      </c>
      <c r="G270" s="14" t="str">
        <f t="shared" ca="1" si="65"/>
        <v>q_51e.2</v>
      </c>
      <c r="H270" s="14">
        <f ca="1">IF(G270&lt;&gt;"",IFERROR( IsVariableNameLegal(G270),0),0)+IF(COUNTIF(INDIRECT(wew!$C$13),G270)&gt;1,10,0)</f>
        <v>0</v>
      </c>
      <c r="I270" s="14">
        <f ca="1">IF(E270&lt;&gt;"",IF(LEN(E270)&gt;150,1,0)+IF(COUNTIF(INDIRECT(wew!$C$15),E270)&gt;1,10,0),0)</f>
        <v>0</v>
      </c>
      <c r="J270" s="14" t="b">
        <f t="shared" ca="1" si="66"/>
        <v>0</v>
      </c>
      <c r="K270" s="14" t="str">
        <f ca="1">ADDRESS(3,(B270+1)*2-1,4,,"[" &amp; wew!$G$7 &amp; "]" &amp; _sheetname_labels) &amp; ":" &amp; ADDRESS(2+ster!$B$20,(B270+1)*2-1,4)</f>
        <v>'[dane surowe2c.xlsm]labels'!TQ3:TQ36</v>
      </c>
      <c r="L270" s="14" t="str">
        <f ca="1">IF(F270&gt;0,ADDRESS(3,(B270+1)*2-1,4,,"[" &amp; wew!$G$7 &amp; "]" &amp; _sheetname_labels) &amp; ":" &amp; ADDRESS(2+F270,(B270+1)*2-1,4),"")</f>
        <v/>
      </c>
      <c r="M270" s="14" t="str">
        <f ca="1">IF(F270&gt;0,ADDRESS(3,(B270+1)*2,4,,"["&amp;wew!$G$7&amp;"]"&amp;_sheetname_labels)&amp;":"&amp;ADDRESS(2+F270,(B270+1)*2,4),"")</f>
        <v/>
      </c>
      <c r="N270" s="14" t="str">
        <f ca="1">ADDRESS(3,B270+1,4,,"[" &amp; wew!$G$7 &amp; "]" &amp;_sheetname_dataframe) &amp; ":" &amp; ADDRESS(2+ster!$C$14,B270+1,4)</f>
        <v>'[dane surowe2c.xlsm]data_frame'!JI3:JI35</v>
      </c>
      <c r="O270" s="14">
        <f t="shared" ca="1" si="67"/>
        <v>0</v>
      </c>
      <c r="P270" s="14" t="str">
        <f ca="1">IF(AND($AD270,$S270=1),IF(wew!$B$3,MIN(INDIRECT($N270)),"&lt;włącz podświetlanie wartości&gt;"),"—")</f>
        <v>—</v>
      </c>
      <c r="Q270" s="14" t="str">
        <f ca="1">IF(AND($AD270,$S270=1),IF(wew!$B$3,MAX(INDIRECT($N270)),"&lt;włącz podświetlanie wartości&gt;"),"—")</f>
        <v>—</v>
      </c>
      <c r="R270" s="14">
        <f ca="1">IF(AD270,ster!$C$14- (COUNTIF( INDIRECT(N270),"" )+ COUNT(INDIRECT(N270)) +COUNTIF( INDIRECT(N270),"NA" )),"")</f>
        <v>0</v>
      </c>
      <c r="S270" s="12">
        <f ca="1">IF(AD270,IF(COUNTA(INDIRECT(N270))=0,0, 1-(ster!$C$14- COUNT(INDIRECT(N270)) -COUNTIF( INDIRECT(N270),"" )) /COUNTA(INDIRECT(N270))),"")</f>
        <v>0</v>
      </c>
      <c r="T270" s="17" t="str">
        <f t="array" aca="1" ref="T270" ca="1">IF(L270&lt;&gt;"",SUM(IF(INDIRECT(L270)&lt;&gt;INT(INDIRECT(L270)),1,0)),"")</f>
        <v/>
      </c>
      <c r="U270" s="17" t="str">
        <f t="array" aca="1" ref="U270" ca="1">IF(S270=1,SUM(IF(ISNUMBER(INDIRECT(N270)),IF(INDIRECT(N270)&lt;&gt;INT(INDIRECT(N270)),1,0),0)),"")</f>
        <v/>
      </c>
      <c r="V270" s="17">
        <f t="shared" ca="1" si="68"/>
        <v>0</v>
      </c>
      <c r="W270" s="17">
        <f t="shared" ca="1" si="69"/>
        <v>0</v>
      </c>
      <c r="X270" s="24" t="str">
        <f t="array" aca="1" ref="X270" ca="1">IF(AD270,IF(AG270&lt;&gt;"",AG270,IF(J270,MIN(INDIRECT( K270)),"")),"")</f>
        <v/>
      </c>
      <c r="Y270" s="17" t="str">
        <f t="array" aca="1" ref="Y270" ca="1">IF(AD270,IF(AH270&lt;&gt;"",AH270,IF(J270,MAX(INDIRECT( K270)),"")),"")</f>
        <v/>
      </c>
      <c r="Z270" s="17" t="b">
        <f t="shared" ca="1" si="70"/>
        <v>0</v>
      </c>
      <c r="AC270" s="17" t="b">
        <f t="shared" ca="1" si="71"/>
        <v>0</v>
      </c>
      <c r="AD270" s="14" t="b">
        <f t="shared" ca="1" si="72"/>
        <v>1</v>
      </c>
      <c r="AE270" s="15" t="b">
        <f t="shared" ca="1" si="73"/>
        <v>0</v>
      </c>
      <c r="AF270" s="16"/>
      <c r="AG270" s="16"/>
      <c r="AH270" s="16"/>
      <c r="AI270" s="16"/>
      <c r="AJ270" s="16"/>
      <c r="AK270" s="16"/>
      <c r="AL270" s="16"/>
      <c r="AM270" s="16"/>
    </row>
    <row r="271" spans="2:39">
      <c r="B271" s="14">
        <f t="shared" si="62"/>
        <v>269</v>
      </c>
      <c r="C271" s="14" t="str">
        <f t="shared" ca="1" si="63"/>
        <v>D</v>
      </c>
      <c r="D271" s="14" t="str">
        <f t="shared" ca="1" si="64"/>
        <v>q_51f.1</v>
      </c>
      <c r="E271" s="14" t="str">
        <f t="shared" ca="1" si="61"/>
        <v>Mild Diving activity</v>
      </c>
      <c r="F271" s="14">
        <f t="shared" ca="1" si="60"/>
        <v>2</v>
      </c>
      <c r="G271" s="14" t="str">
        <f t="shared" ca="1" si="65"/>
        <v>q_51f.1</v>
      </c>
      <c r="H271" s="14">
        <f ca="1">IF(G271&lt;&gt;"",IFERROR( IsVariableNameLegal(G271),0),0)+IF(COUNTIF(INDIRECT(wew!$C$13),G271)&gt;1,10,0)</f>
        <v>0</v>
      </c>
      <c r="I271" s="14">
        <f ca="1">IF(E271&lt;&gt;"",IF(LEN(E271)&gt;150,1,0)+IF(COUNTIF(INDIRECT(wew!$C$15),E271)&gt;1,10,0),0)</f>
        <v>0</v>
      </c>
      <c r="J271" s="14" t="b">
        <f t="shared" ca="1" si="66"/>
        <v>1</v>
      </c>
      <c r="K271" s="14" t="str">
        <f ca="1">ADDRESS(3,(B271+1)*2-1,4,,"[" &amp; wew!$G$7 &amp; "]" &amp; _sheetname_labels) &amp; ":" &amp; ADDRESS(2+ster!$B$20,(B271+1)*2-1,4)</f>
        <v>'[dane surowe2c.xlsm]labels'!TS3:TS36</v>
      </c>
      <c r="L271" s="14" t="str">
        <f ca="1">IF(F271&gt;0,ADDRESS(3,(B271+1)*2-1,4,,"[" &amp; wew!$G$7 &amp; "]" &amp; _sheetname_labels) &amp; ":" &amp; ADDRESS(2+F271,(B271+1)*2-1,4),"")</f>
        <v>'[dane surowe2c.xlsm]labels'!TS3:TS4</v>
      </c>
      <c r="M271" s="14" t="str">
        <f ca="1">IF(F271&gt;0,ADDRESS(3,(B271+1)*2,4,,"["&amp;wew!$G$7&amp;"]"&amp;_sheetname_labels)&amp;":"&amp;ADDRESS(2+F271,(B271+1)*2,4),"")</f>
        <v>'[dane surowe2c.xlsm]labels'!TT3:TT4</v>
      </c>
      <c r="N271" s="14" t="str">
        <f ca="1">ADDRESS(3,B271+1,4,,"[" &amp; wew!$G$7 &amp; "]" &amp;_sheetname_dataframe) &amp; ":" &amp; ADDRESS(2+ster!$C$14,B271+1,4)</f>
        <v>'[dane surowe2c.xlsm]data_frame'!JJ3:JJ35</v>
      </c>
      <c r="O271" s="14">
        <f t="shared" ca="1" si="67"/>
        <v>32</v>
      </c>
      <c r="P271" s="14">
        <f ca="1">IF(AND($AD271,$S271=1),IF(wew!$B$3,MIN(INDIRECT($N271)),"&lt;włącz podświetlanie wartości&gt;"),"—")</f>
        <v>1</v>
      </c>
      <c r="Q271" s="14">
        <f ca="1">IF(AND($AD271,$S271=1),IF(wew!$B$3,MAX(INDIRECT($N271)),"&lt;włącz podświetlanie wartości&gt;"),"—")</f>
        <v>2</v>
      </c>
      <c r="R271" s="14">
        <f ca="1">IF(AD271,ster!$C$14- (COUNTIF( INDIRECT(N271),"" )+ COUNT(INDIRECT(N271)) +COUNTIF( INDIRECT(N271),"NA" )),"")</f>
        <v>0</v>
      </c>
      <c r="S271" s="12">
        <f ca="1">IF(AD271,IF(COUNTA(INDIRECT(N271))=0,0, 1-(ster!$C$14- COUNT(INDIRECT(N271)) -COUNTIF( INDIRECT(N271),"" )) /COUNTA(INDIRECT(N271))),"")</f>
        <v>1</v>
      </c>
      <c r="T271" s="17">
        <f t="array" aca="1" ref="T271" ca="1">IF(L271&lt;&gt;"",SUM(IF(INDIRECT(L271)&lt;&gt;INT(INDIRECT(L271)),1,0)),"")</f>
        <v>0</v>
      </c>
      <c r="U271" s="17">
        <f t="array" aca="1" ref="U271" ca="1">IF(S271=1,SUM(IF(ISNUMBER(INDIRECT(N271)),IF(INDIRECT(N271)&lt;&gt;INT(INDIRECT(N271)),1,0),0)),"")</f>
        <v>0</v>
      </c>
      <c r="V271" s="17">
        <f t="shared" ca="1" si="68"/>
        <v>1</v>
      </c>
      <c r="W271" s="17">
        <f t="shared" ca="1" si="69"/>
        <v>0</v>
      </c>
      <c r="X271" s="24">
        <f t="array" aca="1" ref="X271" ca="1">IF(AD271,IF(AG271&lt;&gt;"",AG271,IF(J271,MIN(INDIRECT( K271)),"")),"")</f>
        <v>1</v>
      </c>
      <c r="Y271" s="17">
        <f t="array" aca="1" ref="Y271" ca="1">IF(AD271,IF(AH271&lt;&gt;"",AH271,IF(J271,MAX(INDIRECT( K271)),"")),"")</f>
        <v>2</v>
      </c>
      <c r="Z271" s="17" t="b">
        <f t="shared" ca="1" si="70"/>
        <v>1</v>
      </c>
      <c r="AC271" s="17" t="b">
        <f t="shared" ca="1" si="71"/>
        <v>0</v>
      </c>
      <c r="AD271" s="14" t="b">
        <f t="shared" ca="1" si="72"/>
        <v>1</v>
      </c>
      <c r="AE271" s="15" t="b">
        <f t="shared" ca="1" si="73"/>
        <v>1</v>
      </c>
      <c r="AF271" s="16"/>
      <c r="AG271" s="16"/>
      <c r="AH271" s="16"/>
      <c r="AI271" s="16"/>
      <c r="AJ271" s="16"/>
      <c r="AK271" s="16"/>
      <c r="AL271" s="16"/>
      <c r="AM271" s="16"/>
    </row>
    <row r="272" spans="2:39">
      <c r="B272" s="14">
        <f t="shared" si="62"/>
        <v>270</v>
      </c>
      <c r="C272" s="14" t="str">
        <f t="shared" ca="1" si="63"/>
        <v>I</v>
      </c>
      <c r="D272" s="14" t="str">
        <f t="shared" ca="1" si="64"/>
        <v>q_51f.2</v>
      </c>
      <c r="E272" s="14" t="str">
        <f t="shared" ca="1" si="61"/>
        <v>How long mild Diving activity</v>
      </c>
      <c r="F272" s="14">
        <f t="shared" ca="1" si="60"/>
        <v>0</v>
      </c>
      <c r="G272" s="14" t="str">
        <f t="shared" ca="1" si="65"/>
        <v>q_51f.2</v>
      </c>
      <c r="H272" s="14">
        <f ca="1">IF(G272&lt;&gt;"",IFERROR( IsVariableNameLegal(G272),0),0)+IF(COUNTIF(INDIRECT(wew!$C$13),G272)&gt;1,10,0)</f>
        <v>0</v>
      </c>
      <c r="I272" s="14">
        <f ca="1">IF(E272&lt;&gt;"",IF(LEN(E272)&gt;150,1,0)+IF(COUNTIF(INDIRECT(wew!$C$15),E272)&gt;1,10,0),0)</f>
        <v>0</v>
      </c>
      <c r="J272" s="14" t="b">
        <f t="shared" ca="1" si="66"/>
        <v>0</v>
      </c>
      <c r="K272" s="14" t="str">
        <f ca="1">ADDRESS(3,(B272+1)*2-1,4,,"[" &amp; wew!$G$7 &amp; "]" &amp; _sheetname_labels) &amp; ":" &amp; ADDRESS(2+ster!$B$20,(B272+1)*2-1,4)</f>
        <v>'[dane surowe2c.xlsm]labels'!TU3:TU36</v>
      </c>
      <c r="L272" s="14" t="str">
        <f ca="1">IF(F272&gt;0,ADDRESS(3,(B272+1)*2-1,4,,"[" &amp; wew!$G$7 &amp; "]" &amp; _sheetname_labels) &amp; ":" &amp; ADDRESS(2+F272,(B272+1)*2-1,4),"")</f>
        <v/>
      </c>
      <c r="M272" s="14" t="str">
        <f ca="1">IF(F272&gt;0,ADDRESS(3,(B272+1)*2,4,,"["&amp;wew!$G$7&amp;"]"&amp;_sheetname_labels)&amp;":"&amp;ADDRESS(2+F272,(B272+1)*2,4),"")</f>
        <v/>
      </c>
      <c r="N272" s="14" t="str">
        <f ca="1">ADDRESS(3,B272+1,4,,"[" &amp; wew!$G$7 &amp; "]" &amp;_sheetname_dataframe) &amp; ":" &amp; ADDRESS(2+ster!$C$14,B272+1,4)</f>
        <v>'[dane surowe2c.xlsm]data_frame'!JK3:JK35</v>
      </c>
      <c r="O272" s="14">
        <f t="shared" ca="1" si="67"/>
        <v>2</v>
      </c>
      <c r="P272" s="14">
        <f ca="1">IF(AND($AD272,$S272=1),IF(wew!$B$3,MIN(INDIRECT($N272)),"&lt;włącz podświetlanie wartości&gt;"),"—")</f>
        <v>5</v>
      </c>
      <c r="Q272" s="14">
        <f ca="1">IF(AND($AD272,$S272=1),IF(wew!$B$3,MAX(INDIRECT($N272)),"&lt;włącz podświetlanie wartości&gt;"),"—")</f>
        <v>5</v>
      </c>
      <c r="R272" s="14">
        <f ca="1">IF(AD272,ster!$C$14- (COUNTIF( INDIRECT(N272),"" )+ COUNT(INDIRECT(N272)) +COUNTIF( INDIRECT(N272),"NA" )),"")</f>
        <v>0</v>
      </c>
      <c r="S272" s="12">
        <f ca="1">IF(AD272,IF(COUNTA(INDIRECT(N272))=0,0, 1-(ster!$C$14- COUNT(INDIRECT(N272)) -COUNTIF( INDIRECT(N272),"" )) /COUNTA(INDIRECT(N272))),"")</f>
        <v>1</v>
      </c>
      <c r="T272" s="17" t="str">
        <f t="array" aca="1" ref="T272" ca="1">IF(L272&lt;&gt;"",SUM(IF(INDIRECT(L272)&lt;&gt;INT(INDIRECT(L272)),1,0)),"")</f>
        <v/>
      </c>
      <c r="U272" s="17">
        <f t="array" aca="1" ref="U272" ca="1">IF(S272=1,SUM(IF(ISNUMBER(INDIRECT(N272)),IF(INDIRECT(N272)&lt;&gt;INT(INDIRECT(N272)),1,0),0)),"")</f>
        <v>0</v>
      </c>
      <c r="V272" s="17">
        <f t="shared" ca="1" si="68"/>
        <v>1</v>
      </c>
      <c r="W272" s="17">
        <f t="shared" ca="1" si="69"/>
        <v>0</v>
      </c>
      <c r="X272" s="24" t="str">
        <f t="array" aca="1" ref="X272" ca="1">IF(AD272,IF(AG272&lt;&gt;"",AG272,IF(J272,MIN(INDIRECT( K272)),"")),"")</f>
        <v/>
      </c>
      <c r="Y272" s="17" t="str">
        <f t="array" aca="1" ref="Y272" ca="1">IF(AD272,IF(AH272&lt;&gt;"",AH272,IF(J272,MAX(INDIRECT( K272)),"")),"")</f>
        <v/>
      </c>
      <c r="Z272" s="17" t="b">
        <f t="shared" ca="1" si="70"/>
        <v>0</v>
      </c>
      <c r="AC272" s="17" t="b">
        <f t="shared" ca="1" si="71"/>
        <v>0</v>
      </c>
      <c r="AD272" s="14" t="b">
        <f t="shared" ca="1" si="72"/>
        <v>1</v>
      </c>
      <c r="AE272" s="15" t="b">
        <f t="shared" ca="1" si="73"/>
        <v>0</v>
      </c>
      <c r="AF272" s="16"/>
      <c r="AG272" s="16"/>
      <c r="AH272" s="16"/>
      <c r="AI272" s="16"/>
      <c r="AJ272" s="16"/>
      <c r="AK272" s="16"/>
      <c r="AL272" s="16"/>
      <c r="AM272" s="16"/>
    </row>
    <row r="273" spans="2:39">
      <c r="B273" s="14">
        <f t="shared" si="62"/>
        <v>271</v>
      </c>
      <c r="C273" s="14" t="str">
        <f t="shared" ca="1" si="63"/>
        <v>D</v>
      </c>
      <c r="D273" s="14" t="str">
        <f t="shared" ca="1" si="64"/>
        <v>q_51g.1</v>
      </c>
      <c r="E273" s="14" t="str">
        <f t="shared" ca="1" si="61"/>
        <v>Mild Fast walking activity</v>
      </c>
      <c r="F273" s="14">
        <f t="shared" ca="1" si="60"/>
        <v>2</v>
      </c>
      <c r="G273" s="14" t="str">
        <f t="shared" ca="1" si="65"/>
        <v>q_51g.1</v>
      </c>
      <c r="H273" s="14">
        <f ca="1">IF(G273&lt;&gt;"",IFERROR( IsVariableNameLegal(G273),0),0)+IF(COUNTIF(INDIRECT(wew!$C$13),G273)&gt;1,10,0)</f>
        <v>0</v>
      </c>
      <c r="I273" s="14">
        <f ca="1">IF(E273&lt;&gt;"",IF(LEN(E273)&gt;150,1,0)+IF(COUNTIF(INDIRECT(wew!$C$15),E273)&gt;1,10,0),0)</f>
        <v>0</v>
      </c>
      <c r="J273" s="14" t="b">
        <f t="shared" ca="1" si="66"/>
        <v>1</v>
      </c>
      <c r="K273" s="14" t="str">
        <f ca="1">ADDRESS(3,(B273+1)*2-1,4,,"[" &amp; wew!$G$7 &amp; "]" &amp; _sheetname_labels) &amp; ":" &amp; ADDRESS(2+ster!$B$20,(B273+1)*2-1,4)</f>
        <v>'[dane surowe2c.xlsm]labels'!TW3:TW36</v>
      </c>
      <c r="L273" s="14" t="str">
        <f ca="1">IF(F273&gt;0,ADDRESS(3,(B273+1)*2-1,4,,"[" &amp; wew!$G$7 &amp; "]" &amp; _sheetname_labels) &amp; ":" &amp; ADDRESS(2+F273,(B273+1)*2-1,4),"")</f>
        <v>'[dane surowe2c.xlsm]labels'!TW3:TW4</v>
      </c>
      <c r="M273" s="14" t="str">
        <f ca="1">IF(F273&gt;0,ADDRESS(3,(B273+1)*2,4,,"["&amp;wew!$G$7&amp;"]"&amp;_sheetname_labels)&amp;":"&amp;ADDRESS(2+F273,(B273+1)*2,4),"")</f>
        <v>'[dane surowe2c.xlsm]labels'!TX3:TX4</v>
      </c>
      <c r="N273" s="14" t="str">
        <f ca="1">ADDRESS(3,B273+1,4,,"[" &amp; wew!$G$7 &amp; "]" &amp;_sheetname_dataframe) &amp; ":" &amp; ADDRESS(2+ster!$C$14,B273+1,4)</f>
        <v>'[dane surowe2c.xlsm]data_frame'!JL3:JL35</v>
      </c>
      <c r="O273" s="14">
        <f t="shared" ca="1" si="67"/>
        <v>32</v>
      </c>
      <c r="P273" s="14">
        <f ca="1">IF(AND($AD273,$S273=1),IF(wew!$B$3,MIN(INDIRECT($N273)),"&lt;włącz podświetlanie wartości&gt;"),"—")</f>
        <v>1</v>
      </c>
      <c r="Q273" s="14">
        <f ca="1">IF(AND($AD273,$S273=1),IF(wew!$B$3,MAX(INDIRECT($N273)),"&lt;włącz podświetlanie wartości&gt;"),"—")</f>
        <v>2</v>
      </c>
      <c r="R273" s="14">
        <f ca="1">IF(AD273,ster!$C$14- (COUNTIF( INDIRECT(N273),"" )+ COUNT(INDIRECT(N273)) +COUNTIF( INDIRECT(N273),"NA" )),"")</f>
        <v>0</v>
      </c>
      <c r="S273" s="12">
        <f ca="1">IF(AD273,IF(COUNTA(INDIRECT(N273))=0,0, 1-(ster!$C$14- COUNT(INDIRECT(N273)) -COUNTIF( INDIRECT(N273),"" )) /COUNTA(INDIRECT(N273))),"")</f>
        <v>1</v>
      </c>
      <c r="T273" s="17">
        <f t="array" aca="1" ref="T273" ca="1">IF(L273&lt;&gt;"",SUM(IF(INDIRECT(L273)&lt;&gt;INT(INDIRECT(L273)),1,0)),"")</f>
        <v>0</v>
      </c>
      <c r="U273" s="17">
        <f t="array" aca="1" ref="U273" ca="1">IF(S273=1,SUM(IF(ISNUMBER(INDIRECT(N273)),IF(INDIRECT(N273)&lt;&gt;INT(INDIRECT(N273)),1,0),0)),"")</f>
        <v>0</v>
      </c>
      <c r="V273" s="17">
        <f t="shared" ca="1" si="68"/>
        <v>1</v>
      </c>
      <c r="W273" s="17">
        <f t="shared" ca="1" si="69"/>
        <v>0</v>
      </c>
      <c r="X273" s="24">
        <f t="array" aca="1" ref="X273" ca="1">IF(AD273,IF(AG273&lt;&gt;"",AG273,IF(J273,MIN(INDIRECT( K273)),"")),"")</f>
        <v>1</v>
      </c>
      <c r="Y273" s="17">
        <f t="array" aca="1" ref="Y273" ca="1">IF(AD273,IF(AH273&lt;&gt;"",AH273,IF(J273,MAX(INDIRECT( K273)),"")),"")</f>
        <v>2</v>
      </c>
      <c r="Z273" s="17" t="b">
        <f t="shared" ca="1" si="70"/>
        <v>1</v>
      </c>
      <c r="AC273" s="17" t="b">
        <f t="shared" ca="1" si="71"/>
        <v>0</v>
      </c>
      <c r="AD273" s="14" t="b">
        <f t="shared" ca="1" si="72"/>
        <v>1</v>
      </c>
      <c r="AE273" s="15" t="b">
        <f t="shared" ca="1" si="73"/>
        <v>1</v>
      </c>
      <c r="AF273" s="16"/>
      <c r="AG273" s="16"/>
      <c r="AH273" s="16"/>
      <c r="AI273" s="16"/>
      <c r="AJ273" s="16"/>
      <c r="AK273" s="16"/>
      <c r="AL273" s="16"/>
      <c r="AM273" s="16"/>
    </row>
    <row r="274" spans="2:39">
      <c r="B274" s="14">
        <f t="shared" si="62"/>
        <v>272</v>
      </c>
      <c r="C274" s="14" t="str">
        <f t="shared" ca="1" si="63"/>
        <v>I</v>
      </c>
      <c r="D274" s="14" t="str">
        <f t="shared" ca="1" si="64"/>
        <v>q_51g.2</v>
      </c>
      <c r="E274" s="14" t="str">
        <f t="shared" ca="1" si="61"/>
        <v>How long mild Fast walking activity</v>
      </c>
      <c r="F274" s="14">
        <f t="shared" ca="1" si="60"/>
        <v>0</v>
      </c>
      <c r="G274" s="14" t="str">
        <f t="shared" ca="1" si="65"/>
        <v>q_51g.2</v>
      </c>
      <c r="H274" s="14">
        <f ca="1">IF(G274&lt;&gt;"",IFERROR( IsVariableNameLegal(G274),0),0)+IF(COUNTIF(INDIRECT(wew!$C$13),G274)&gt;1,10,0)</f>
        <v>0</v>
      </c>
      <c r="I274" s="14">
        <f ca="1">IF(E274&lt;&gt;"",IF(LEN(E274)&gt;150,1,0)+IF(COUNTIF(INDIRECT(wew!$C$15),E274)&gt;1,10,0),0)</f>
        <v>0</v>
      </c>
      <c r="J274" s="14" t="b">
        <f t="shared" ca="1" si="66"/>
        <v>0</v>
      </c>
      <c r="K274" s="14" t="str">
        <f ca="1">ADDRESS(3,(B274+1)*2-1,4,,"[" &amp; wew!$G$7 &amp; "]" &amp; _sheetname_labels) &amp; ":" &amp; ADDRESS(2+ster!$B$20,(B274+1)*2-1,4)</f>
        <v>'[dane surowe2c.xlsm]labels'!TY3:TY36</v>
      </c>
      <c r="L274" s="14" t="str">
        <f ca="1">IF(F274&gt;0,ADDRESS(3,(B274+1)*2-1,4,,"[" &amp; wew!$G$7 &amp; "]" &amp; _sheetname_labels) &amp; ":" &amp; ADDRESS(2+F274,(B274+1)*2-1,4),"")</f>
        <v/>
      </c>
      <c r="M274" s="14" t="str">
        <f ca="1">IF(F274&gt;0,ADDRESS(3,(B274+1)*2,4,,"["&amp;wew!$G$7&amp;"]"&amp;_sheetname_labels)&amp;":"&amp;ADDRESS(2+F274,(B274+1)*2,4),"")</f>
        <v/>
      </c>
      <c r="N274" s="14" t="str">
        <f ca="1">ADDRESS(3,B274+1,4,,"[" &amp; wew!$G$7 &amp; "]" &amp;_sheetname_dataframe) &amp; ":" &amp; ADDRESS(2+ster!$C$14,B274+1,4)</f>
        <v>'[dane surowe2c.xlsm]data_frame'!JM3:JM35</v>
      </c>
      <c r="O274" s="14">
        <f t="shared" ca="1" si="67"/>
        <v>1</v>
      </c>
      <c r="P274" s="14">
        <f ca="1">IF(AND($AD274,$S274=1),IF(wew!$B$3,MIN(INDIRECT($N274)),"&lt;włącz podświetlanie wartości&gt;"),"—")</f>
        <v>10</v>
      </c>
      <c r="Q274" s="14">
        <f ca="1">IF(AND($AD274,$S274=1),IF(wew!$B$3,MAX(INDIRECT($N274)),"&lt;włącz podświetlanie wartości&gt;"),"—")</f>
        <v>10</v>
      </c>
      <c r="R274" s="14">
        <f ca="1">IF(AD274,ster!$C$14- (COUNTIF( INDIRECT(N274),"" )+ COUNT(INDIRECT(N274)) +COUNTIF( INDIRECT(N274),"NA" )),"")</f>
        <v>0</v>
      </c>
      <c r="S274" s="12">
        <f ca="1">IF(AD274,IF(COUNTA(INDIRECT(N274))=0,0, 1-(ster!$C$14- COUNT(INDIRECT(N274)) -COUNTIF( INDIRECT(N274),"" )) /COUNTA(INDIRECT(N274))),"")</f>
        <v>1</v>
      </c>
      <c r="T274" s="17" t="str">
        <f t="array" aca="1" ref="T274" ca="1">IF(L274&lt;&gt;"",SUM(IF(INDIRECT(L274)&lt;&gt;INT(INDIRECT(L274)),1,0)),"")</f>
        <v/>
      </c>
      <c r="U274" s="17">
        <f t="array" aca="1" ref="U274" ca="1">IF(S274=1,SUM(IF(ISNUMBER(INDIRECT(N274)),IF(INDIRECT(N274)&lt;&gt;INT(INDIRECT(N274)),1,0),0)),"")</f>
        <v>0</v>
      </c>
      <c r="V274" s="17">
        <f t="shared" ca="1" si="68"/>
        <v>1</v>
      </c>
      <c r="W274" s="17">
        <f t="shared" ca="1" si="69"/>
        <v>0</v>
      </c>
      <c r="X274" s="24" t="str">
        <f t="array" aca="1" ref="X274" ca="1">IF(AD274,IF(AG274&lt;&gt;"",AG274,IF(J274,MIN(INDIRECT( K274)),"")),"")</f>
        <v/>
      </c>
      <c r="Y274" s="17" t="str">
        <f t="array" aca="1" ref="Y274" ca="1">IF(AD274,IF(AH274&lt;&gt;"",AH274,IF(J274,MAX(INDIRECT( K274)),"")),"")</f>
        <v/>
      </c>
      <c r="Z274" s="17" t="b">
        <f t="shared" ca="1" si="70"/>
        <v>0</v>
      </c>
      <c r="AC274" s="17" t="b">
        <f t="shared" ca="1" si="71"/>
        <v>0</v>
      </c>
      <c r="AD274" s="14" t="b">
        <f t="shared" ca="1" si="72"/>
        <v>1</v>
      </c>
      <c r="AE274" s="15" t="b">
        <f t="shared" ca="1" si="73"/>
        <v>0</v>
      </c>
      <c r="AF274" s="16"/>
      <c r="AG274" s="16"/>
      <c r="AH274" s="16"/>
      <c r="AI274" s="16"/>
      <c r="AJ274" s="16"/>
      <c r="AK274" s="16"/>
      <c r="AL274" s="16"/>
      <c r="AM274" s="16"/>
    </row>
    <row r="275" spans="2:39">
      <c r="B275" s="14">
        <f t="shared" si="62"/>
        <v>273</v>
      </c>
      <c r="C275" s="14" t="str">
        <f t="shared" ca="1" si="63"/>
        <v>D</v>
      </c>
      <c r="D275" s="14" t="str">
        <f t="shared" ca="1" si="64"/>
        <v>q_51h.1</v>
      </c>
      <c r="E275" s="14" t="str">
        <f t="shared" ca="1" si="61"/>
        <v>Mild Fencing activity</v>
      </c>
      <c r="F275" s="14">
        <f t="shared" ca="1" si="60"/>
        <v>2</v>
      </c>
      <c r="G275" s="14" t="str">
        <f t="shared" ca="1" si="65"/>
        <v>q_51h.1</v>
      </c>
      <c r="H275" s="14">
        <f ca="1">IF(G275&lt;&gt;"",IFERROR( IsVariableNameLegal(G275),0),0)+IF(COUNTIF(INDIRECT(wew!$C$13),G275)&gt;1,10,0)</f>
        <v>0</v>
      </c>
      <c r="I275" s="14">
        <f ca="1">IF(E275&lt;&gt;"",IF(LEN(E275)&gt;150,1,0)+IF(COUNTIF(INDIRECT(wew!$C$15),E275)&gt;1,10,0),0)</f>
        <v>0</v>
      </c>
      <c r="J275" s="14" t="b">
        <f t="shared" ca="1" si="66"/>
        <v>1</v>
      </c>
      <c r="K275" s="14" t="str">
        <f ca="1">ADDRESS(3,(B275+1)*2-1,4,,"[" &amp; wew!$G$7 &amp; "]" &amp; _sheetname_labels) &amp; ":" &amp; ADDRESS(2+ster!$B$20,(B275+1)*2-1,4)</f>
        <v>'[dane surowe2c.xlsm]labels'!UA3:UA36</v>
      </c>
      <c r="L275" s="14" t="str">
        <f ca="1">IF(F275&gt;0,ADDRESS(3,(B275+1)*2-1,4,,"[" &amp; wew!$G$7 &amp; "]" &amp; _sheetname_labels) &amp; ":" &amp; ADDRESS(2+F275,(B275+1)*2-1,4),"")</f>
        <v>'[dane surowe2c.xlsm]labels'!UA3:UA4</v>
      </c>
      <c r="M275" s="14" t="str">
        <f ca="1">IF(F275&gt;0,ADDRESS(3,(B275+1)*2,4,,"["&amp;wew!$G$7&amp;"]"&amp;_sheetname_labels)&amp;":"&amp;ADDRESS(2+F275,(B275+1)*2,4),"")</f>
        <v>'[dane surowe2c.xlsm]labels'!UB3:UB4</v>
      </c>
      <c r="N275" s="14" t="str">
        <f ca="1">ADDRESS(3,B275+1,4,,"[" &amp; wew!$G$7 &amp; "]" &amp;_sheetname_dataframe) &amp; ":" &amp; ADDRESS(2+ster!$C$14,B275+1,4)</f>
        <v>'[dane surowe2c.xlsm]data_frame'!JN3:JN35</v>
      </c>
      <c r="O275" s="14">
        <f t="shared" ca="1" si="67"/>
        <v>32</v>
      </c>
      <c r="P275" s="14">
        <f ca="1">IF(AND($AD275,$S275=1),IF(wew!$B$3,MIN(INDIRECT($N275)),"&lt;włącz podświetlanie wartości&gt;"),"—")</f>
        <v>2</v>
      </c>
      <c r="Q275" s="14">
        <f ca="1">IF(AND($AD275,$S275=1),IF(wew!$B$3,MAX(INDIRECT($N275)),"&lt;włącz podświetlanie wartości&gt;"),"—")</f>
        <v>2</v>
      </c>
      <c r="R275" s="14">
        <f ca="1">IF(AD275,ster!$C$14- (COUNTIF( INDIRECT(N275),"" )+ COUNT(INDIRECT(N275)) +COUNTIF( INDIRECT(N275),"NA" )),"")</f>
        <v>0</v>
      </c>
      <c r="S275" s="12">
        <f ca="1">IF(AD275,IF(COUNTA(INDIRECT(N275))=0,0, 1-(ster!$C$14- COUNT(INDIRECT(N275)) -COUNTIF( INDIRECT(N275),"" )) /COUNTA(INDIRECT(N275))),"")</f>
        <v>1</v>
      </c>
      <c r="T275" s="17">
        <f t="array" aca="1" ref="T275" ca="1">IF(L275&lt;&gt;"",SUM(IF(INDIRECT(L275)&lt;&gt;INT(INDIRECT(L275)),1,0)),"")</f>
        <v>0</v>
      </c>
      <c r="U275" s="17">
        <f t="array" aca="1" ref="U275" ca="1">IF(S275=1,SUM(IF(ISNUMBER(INDIRECT(N275)),IF(INDIRECT(N275)&lt;&gt;INT(INDIRECT(N275)),1,0),0)),"")</f>
        <v>0</v>
      </c>
      <c r="V275" s="17">
        <f t="shared" ca="1" si="68"/>
        <v>1</v>
      </c>
      <c r="W275" s="17">
        <f t="shared" ca="1" si="69"/>
        <v>0</v>
      </c>
      <c r="X275" s="24">
        <f t="array" aca="1" ref="X275" ca="1">IF(AD275,IF(AG275&lt;&gt;"",AG275,IF(J275,MIN(INDIRECT( K275)),"")),"")</f>
        <v>1</v>
      </c>
      <c r="Y275" s="17">
        <f t="array" aca="1" ref="Y275" ca="1">IF(AD275,IF(AH275&lt;&gt;"",AH275,IF(J275,MAX(INDIRECT( K275)),"")),"")</f>
        <v>2</v>
      </c>
      <c r="Z275" s="17" t="b">
        <f t="shared" ca="1" si="70"/>
        <v>1</v>
      </c>
      <c r="AC275" s="17" t="b">
        <f t="shared" ca="1" si="71"/>
        <v>0</v>
      </c>
      <c r="AD275" s="14" t="b">
        <f t="shared" ca="1" si="72"/>
        <v>1</v>
      </c>
      <c r="AE275" s="15" t="b">
        <f t="shared" ca="1" si="73"/>
        <v>1</v>
      </c>
      <c r="AF275" s="16"/>
      <c r="AG275" s="16"/>
      <c r="AH275" s="16"/>
      <c r="AI275" s="16"/>
      <c r="AJ275" s="16"/>
      <c r="AK275" s="16"/>
      <c r="AL275" s="16"/>
      <c r="AM275" s="16"/>
    </row>
    <row r="276" spans="2:39">
      <c r="B276" s="14">
        <f t="shared" si="62"/>
        <v>274</v>
      </c>
      <c r="C276" s="14" t="str">
        <f t="shared" ca="1" si="63"/>
        <v>I</v>
      </c>
      <c r="D276" s="14" t="str">
        <f t="shared" ca="1" si="64"/>
        <v>q_51h.2</v>
      </c>
      <c r="E276" s="14" t="str">
        <f t="shared" ca="1" si="61"/>
        <v>How long mild Fencing activity</v>
      </c>
      <c r="F276" s="14">
        <f t="shared" ca="1" si="60"/>
        <v>0</v>
      </c>
      <c r="G276" s="14" t="str">
        <f t="shared" ca="1" si="65"/>
        <v>q_51h.2</v>
      </c>
      <c r="H276" s="14">
        <f ca="1">IF(G276&lt;&gt;"",IFERROR( IsVariableNameLegal(G276),0),0)+IF(COUNTIF(INDIRECT(wew!$C$13),G276)&gt;1,10,0)</f>
        <v>0</v>
      </c>
      <c r="I276" s="14">
        <f ca="1">IF(E276&lt;&gt;"",IF(LEN(E276)&gt;150,1,0)+IF(COUNTIF(INDIRECT(wew!$C$15),E276)&gt;1,10,0),0)</f>
        <v>0</v>
      </c>
      <c r="J276" s="14" t="b">
        <f t="shared" ca="1" si="66"/>
        <v>0</v>
      </c>
      <c r="K276" s="14" t="str">
        <f ca="1">ADDRESS(3,(B276+1)*2-1,4,,"[" &amp; wew!$G$7 &amp; "]" &amp; _sheetname_labels) &amp; ":" &amp; ADDRESS(2+ster!$B$20,(B276+1)*2-1,4)</f>
        <v>'[dane surowe2c.xlsm]labels'!UC3:UC36</v>
      </c>
      <c r="L276" s="14" t="str">
        <f ca="1">IF(F276&gt;0,ADDRESS(3,(B276+1)*2-1,4,,"[" &amp; wew!$G$7 &amp; "]" &amp; _sheetname_labels) &amp; ":" &amp; ADDRESS(2+F276,(B276+1)*2-1,4),"")</f>
        <v/>
      </c>
      <c r="M276" s="14" t="str">
        <f ca="1">IF(F276&gt;0,ADDRESS(3,(B276+1)*2,4,,"["&amp;wew!$G$7&amp;"]"&amp;_sheetname_labels)&amp;":"&amp;ADDRESS(2+F276,(B276+1)*2,4),"")</f>
        <v/>
      </c>
      <c r="N276" s="14" t="str">
        <f ca="1">ADDRESS(3,B276+1,4,,"[" &amp; wew!$G$7 &amp; "]" &amp;_sheetname_dataframe) &amp; ":" &amp; ADDRESS(2+ster!$C$14,B276+1,4)</f>
        <v>'[dane surowe2c.xlsm]data_frame'!JO3:JO35</v>
      </c>
      <c r="O276" s="14">
        <f t="shared" ca="1" si="67"/>
        <v>0</v>
      </c>
      <c r="P276" s="14" t="str">
        <f ca="1">IF(AND($AD276,$S276=1),IF(wew!$B$3,MIN(INDIRECT($N276)),"&lt;włącz podświetlanie wartości&gt;"),"—")</f>
        <v>—</v>
      </c>
      <c r="Q276" s="14" t="str">
        <f ca="1">IF(AND($AD276,$S276=1),IF(wew!$B$3,MAX(INDIRECT($N276)),"&lt;włącz podświetlanie wartości&gt;"),"—")</f>
        <v>—</v>
      </c>
      <c r="R276" s="14">
        <f ca="1">IF(AD276,ster!$C$14- (COUNTIF( INDIRECT(N276),"" )+ COUNT(INDIRECT(N276)) +COUNTIF( INDIRECT(N276),"NA" )),"")</f>
        <v>0</v>
      </c>
      <c r="S276" s="12">
        <f ca="1">IF(AD276,IF(COUNTA(INDIRECT(N276))=0,0, 1-(ster!$C$14- COUNT(INDIRECT(N276)) -COUNTIF( INDIRECT(N276),"" )) /COUNTA(INDIRECT(N276))),"")</f>
        <v>0</v>
      </c>
      <c r="T276" s="17" t="str">
        <f t="array" aca="1" ref="T276" ca="1">IF(L276&lt;&gt;"",SUM(IF(INDIRECT(L276)&lt;&gt;INT(INDIRECT(L276)),1,0)),"")</f>
        <v/>
      </c>
      <c r="U276" s="17" t="str">
        <f t="array" aca="1" ref="U276" ca="1">IF(S276=1,SUM(IF(ISNUMBER(INDIRECT(N276)),IF(INDIRECT(N276)&lt;&gt;INT(INDIRECT(N276)),1,0),0)),"")</f>
        <v/>
      </c>
      <c r="V276" s="17">
        <f t="shared" ca="1" si="68"/>
        <v>0</v>
      </c>
      <c r="W276" s="17">
        <f t="shared" ca="1" si="69"/>
        <v>0</v>
      </c>
      <c r="X276" s="24" t="str">
        <f t="array" aca="1" ref="X276" ca="1">IF(AD276,IF(AG276&lt;&gt;"",AG276,IF(J276,MIN(INDIRECT( K276)),"")),"")</f>
        <v/>
      </c>
      <c r="Y276" s="17" t="str">
        <f t="array" aca="1" ref="Y276" ca="1">IF(AD276,IF(AH276&lt;&gt;"",AH276,IF(J276,MAX(INDIRECT( K276)),"")),"")</f>
        <v/>
      </c>
      <c r="Z276" s="17" t="b">
        <f t="shared" ca="1" si="70"/>
        <v>0</v>
      </c>
      <c r="AC276" s="17" t="b">
        <f t="shared" ca="1" si="71"/>
        <v>0</v>
      </c>
      <c r="AD276" s="14" t="b">
        <f t="shared" ca="1" si="72"/>
        <v>1</v>
      </c>
      <c r="AE276" s="15" t="b">
        <f t="shared" ca="1" si="73"/>
        <v>0</v>
      </c>
      <c r="AF276" s="16"/>
      <c r="AG276" s="16"/>
      <c r="AH276" s="16"/>
      <c r="AI276" s="16"/>
      <c r="AJ276" s="16"/>
      <c r="AK276" s="16"/>
      <c r="AL276" s="16"/>
      <c r="AM276" s="16"/>
    </row>
    <row r="277" spans="2:39">
      <c r="B277" s="14">
        <f t="shared" si="62"/>
        <v>275</v>
      </c>
      <c r="C277" s="14" t="str">
        <f t="shared" ca="1" si="63"/>
        <v>D</v>
      </c>
      <c r="D277" s="14" t="str">
        <f t="shared" ca="1" si="64"/>
        <v>q_51i.1</v>
      </c>
      <c r="E277" s="14" t="str">
        <f t="shared" ca="1" si="61"/>
        <v>Mild Fitness activity</v>
      </c>
      <c r="F277" s="14">
        <f t="shared" ca="1" si="60"/>
        <v>2</v>
      </c>
      <c r="G277" s="14" t="str">
        <f t="shared" ca="1" si="65"/>
        <v>q_51i.1</v>
      </c>
      <c r="H277" s="14">
        <f ca="1">IF(G277&lt;&gt;"",IFERROR( IsVariableNameLegal(G277),0),0)+IF(COUNTIF(INDIRECT(wew!$C$13),G277)&gt;1,10,0)</f>
        <v>0</v>
      </c>
      <c r="I277" s="14">
        <f ca="1">IF(E277&lt;&gt;"",IF(LEN(E277)&gt;150,1,0)+IF(COUNTIF(INDIRECT(wew!$C$15),E277)&gt;1,10,0),0)</f>
        <v>0</v>
      </c>
      <c r="J277" s="14" t="b">
        <f t="shared" ca="1" si="66"/>
        <v>1</v>
      </c>
      <c r="K277" s="14" t="str">
        <f ca="1">ADDRESS(3,(B277+1)*2-1,4,,"[" &amp; wew!$G$7 &amp; "]" &amp; _sheetname_labels) &amp; ":" &amp; ADDRESS(2+ster!$B$20,(B277+1)*2-1,4)</f>
        <v>'[dane surowe2c.xlsm]labels'!UE3:UE36</v>
      </c>
      <c r="L277" s="14" t="str">
        <f ca="1">IF(F277&gt;0,ADDRESS(3,(B277+1)*2-1,4,,"[" &amp; wew!$G$7 &amp; "]" &amp; _sheetname_labels) &amp; ":" &amp; ADDRESS(2+F277,(B277+1)*2-1,4),"")</f>
        <v>'[dane surowe2c.xlsm]labels'!UE3:UE4</v>
      </c>
      <c r="M277" s="14" t="str">
        <f ca="1">IF(F277&gt;0,ADDRESS(3,(B277+1)*2,4,,"["&amp;wew!$G$7&amp;"]"&amp;_sheetname_labels)&amp;":"&amp;ADDRESS(2+F277,(B277+1)*2,4),"")</f>
        <v>'[dane surowe2c.xlsm]labels'!UF3:UF4</v>
      </c>
      <c r="N277" s="14" t="str">
        <f ca="1">ADDRESS(3,B277+1,4,,"[" &amp; wew!$G$7 &amp; "]" &amp;_sheetname_dataframe) &amp; ":" &amp; ADDRESS(2+ster!$C$14,B277+1,4)</f>
        <v>'[dane surowe2c.xlsm]data_frame'!JP3:JP35</v>
      </c>
      <c r="O277" s="14">
        <f t="shared" ca="1" si="67"/>
        <v>32</v>
      </c>
      <c r="P277" s="14">
        <f ca="1">IF(AND($AD277,$S277=1),IF(wew!$B$3,MIN(INDIRECT($N277)),"&lt;włącz podświetlanie wartości&gt;"),"—")</f>
        <v>1</v>
      </c>
      <c r="Q277" s="14">
        <f ca="1">IF(AND($AD277,$S277=1),IF(wew!$B$3,MAX(INDIRECT($N277)),"&lt;włącz podświetlanie wartości&gt;"),"—")</f>
        <v>2</v>
      </c>
      <c r="R277" s="14">
        <f ca="1">IF(AD277,ster!$C$14- (COUNTIF( INDIRECT(N277),"" )+ COUNT(INDIRECT(N277)) +COUNTIF( INDIRECT(N277),"NA" )),"")</f>
        <v>0</v>
      </c>
      <c r="S277" s="12">
        <f ca="1">IF(AD277,IF(COUNTA(INDIRECT(N277))=0,0, 1-(ster!$C$14- COUNT(INDIRECT(N277)) -COUNTIF( INDIRECT(N277),"" )) /COUNTA(INDIRECT(N277))),"")</f>
        <v>1</v>
      </c>
      <c r="T277" s="17">
        <f t="array" aca="1" ref="T277" ca="1">IF(L277&lt;&gt;"",SUM(IF(INDIRECT(L277)&lt;&gt;INT(INDIRECT(L277)),1,0)),"")</f>
        <v>0</v>
      </c>
      <c r="U277" s="17">
        <f t="array" aca="1" ref="U277" ca="1">IF(S277=1,SUM(IF(ISNUMBER(INDIRECT(N277)),IF(INDIRECT(N277)&lt;&gt;INT(INDIRECT(N277)),1,0),0)),"")</f>
        <v>0</v>
      </c>
      <c r="V277" s="17">
        <f t="shared" ca="1" si="68"/>
        <v>1</v>
      </c>
      <c r="W277" s="17">
        <f t="shared" ca="1" si="69"/>
        <v>0</v>
      </c>
      <c r="X277" s="24">
        <f t="array" aca="1" ref="X277" ca="1">IF(AD277,IF(AG277&lt;&gt;"",AG277,IF(J277,MIN(INDIRECT( K277)),"")),"")</f>
        <v>1</v>
      </c>
      <c r="Y277" s="17">
        <f t="array" aca="1" ref="Y277" ca="1">IF(AD277,IF(AH277&lt;&gt;"",AH277,IF(J277,MAX(INDIRECT( K277)),"")),"")</f>
        <v>2</v>
      </c>
      <c r="Z277" s="17" t="b">
        <f t="shared" ca="1" si="70"/>
        <v>1</v>
      </c>
      <c r="AC277" s="17" t="b">
        <f t="shared" ca="1" si="71"/>
        <v>0</v>
      </c>
      <c r="AD277" s="14" t="b">
        <f t="shared" ca="1" si="72"/>
        <v>1</v>
      </c>
      <c r="AE277" s="15" t="b">
        <f t="shared" ca="1" si="73"/>
        <v>1</v>
      </c>
      <c r="AF277" s="16"/>
      <c r="AG277" s="16"/>
      <c r="AH277" s="16"/>
      <c r="AI277" s="16"/>
      <c r="AJ277" s="16"/>
      <c r="AK277" s="16"/>
      <c r="AL277" s="16"/>
      <c r="AM277" s="16"/>
    </row>
    <row r="278" spans="2:39">
      <c r="B278" s="14">
        <f t="shared" si="62"/>
        <v>276</v>
      </c>
      <c r="C278" s="14" t="str">
        <f t="shared" ca="1" si="63"/>
        <v>I</v>
      </c>
      <c r="D278" s="14" t="str">
        <f t="shared" ca="1" si="64"/>
        <v>q_51i.2</v>
      </c>
      <c r="E278" s="14" t="str">
        <f t="shared" ca="1" si="61"/>
        <v>How long mild Fitness activity</v>
      </c>
      <c r="F278" s="14">
        <f t="shared" ca="1" si="60"/>
        <v>0</v>
      </c>
      <c r="G278" s="14" t="str">
        <f t="shared" ca="1" si="65"/>
        <v>q_51i.2</v>
      </c>
      <c r="H278" s="14">
        <f ca="1">IF(G278&lt;&gt;"",IFERROR( IsVariableNameLegal(G278),0),0)+IF(COUNTIF(INDIRECT(wew!$C$13),G278)&gt;1,10,0)</f>
        <v>0</v>
      </c>
      <c r="I278" s="14">
        <f ca="1">IF(E278&lt;&gt;"",IF(LEN(E278)&gt;150,1,0)+IF(COUNTIF(INDIRECT(wew!$C$15),E278)&gt;1,10,0),0)</f>
        <v>0</v>
      </c>
      <c r="J278" s="14" t="b">
        <f t="shared" ca="1" si="66"/>
        <v>0</v>
      </c>
      <c r="K278" s="14" t="str">
        <f ca="1">ADDRESS(3,(B278+1)*2-1,4,,"[" &amp; wew!$G$7 &amp; "]" &amp; _sheetname_labels) &amp; ":" &amp; ADDRESS(2+ster!$B$20,(B278+1)*2-1,4)</f>
        <v>'[dane surowe2c.xlsm]labels'!UG3:UG36</v>
      </c>
      <c r="L278" s="14" t="str">
        <f ca="1">IF(F278&gt;0,ADDRESS(3,(B278+1)*2-1,4,,"[" &amp; wew!$G$7 &amp; "]" &amp; _sheetname_labels) &amp; ":" &amp; ADDRESS(2+F278,(B278+1)*2-1,4),"")</f>
        <v/>
      </c>
      <c r="M278" s="14" t="str">
        <f ca="1">IF(F278&gt;0,ADDRESS(3,(B278+1)*2,4,,"["&amp;wew!$G$7&amp;"]"&amp;_sheetname_labels)&amp;":"&amp;ADDRESS(2+F278,(B278+1)*2,4),"")</f>
        <v/>
      </c>
      <c r="N278" s="14" t="str">
        <f ca="1">ADDRESS(3,B278+1,4,,"[" &amp; wew!$G$7 &amp; "]" &amp;_sheetname_dataframe) &amp; ":" &amp; ADDRESS(2+ster!$C$14,B278+1,4)</f>
        <v>'[dane surowe2c.xlsm]data_frame'!JQ3:JQ35</v>
      </c>
      <c r="O278" s="14">
        <f t="shared" ca="1" si="67"/>
        <v>2</v>
      </c>
      <c r="P278" s="14">
        <f ca="1">IF(AND($AD278,$S278=1),IF(wew!$B$3,MIN(INDIRECT($N278)),"&lt;włącz podświetlanie wartości&gt;"),"—")</f>
        <v>4</v>
      </c>
      <c r="Q278" s="14">
        <f ca="1">IF(AND($AD278,$S278=1),IF(wew!$B$3,MAX(INDIRECT($N278)),"&lt;włącz podświetlanie wartości&gt;"),"—")</f>
        <v>15</v>
      </c>
      <c r="R278" s="14">
        <f ca="1">IF(AD278,ster!$C$14- (COUNTIF( INDIRECT(N278),"" )+ COUNT(INDIRECT(N278)) +COUNTIF( INDIRECT(N278),"NA" )),"")</f>
        <v>0</v>
      </c>
      <c r="S278" s="12">
        <f ca="1">IF(AD278,IF(COUNTA(INDIRECT(N278))=0,0, 1-(ster!$C$14- COUNT(INDIRECT(N278)) -COUNTIF( INDIRECT(N278),"" )) /COUNTA(INDIRECT(N278))),"")</f>
        <v>1</v>
      </c>
      <c r="T278" s="17" t="str">
        <f t="array" aca="1" ref="T278" ca="1">IF(L278&lt;&gt;"",SUM(IF(INDIRECT(L278)&lt;&gt;INT(INDIRECT(L278)),1,0)),"")</f>
        <v/>
      </c>
      <c r="U278" s="17">
        <f t="array" aca="1" ref="U278" ca="1">IF(S278=1,SUM(IF(ISNUMBER(INDIRECT(N278)),IF(INDIRECT(N278)&lt;&gt;INT(INDIRECT(N278)),1,0),0)),"")</f>
        <v>0</v>
      </c>
      <c r="V278" s="17">
        <f t="shared" ca="1" si="68"/>
        <v>1</v>
      </c>
      <c r="W278" s="17">
        <f t="shared" ca="1" si="69"/>
        <v>0</v>
      </c>
      <c r="X278" s="24" t="str">
        <f t="array" aca="1" ref="X278" ca="1">IF(AD278,IF(AG278&lt;&gt;"",AG278,IF(J278,MIN(INDIRECT( K278)),"")),"")</f>
        <v/>
      </c>
      <c r="Y278" s="17" t="str">
        <f t="array" aca="1" ref="Y278" ca="1">IF(AD278,IF(AH278&lt;&gt;"",AH278,IF(J278,MAX(INDIRECT( K278)),"")),"")</f>
        <v/>
      </c>
      <c r="Z278" s="17" t="b">
        <f t="shared" ca="1" si="70"/>
        <v>0</v>
      </c>
      <c r="AC278" s="17" t="b">
        <f t="shared" ca="1" si="71"/>
        <v>0</v>
      </c>
      <c r="AD278" s="14" t="b">
        <f t="shared" ca="1" si="72"/>
        <v>1</v>
      </c>
      <c r="AE278" s="15" t="b">
        <f t="shared" ca="1" si="73"/>
        <v>0</v>
      </c>
      <c r="AF278" s="16"/>
      <c r="AG278" s="16"/>
      <c r="AH278" s="16"/>
      <c r="AI278" s="16"/>
      <c r="AJ278" s="16"/>
      <c r="AK278" s="16"/>
      <c r="AL278" s="16"/>
      <c r="AM278" s="16"/>
    </row>
    <row r="279" spans="2:39">
      <c r="B279" s="14">
        <f t="shared" si="62"/>
        <v>277</v>
      </c>
      <c r="C279" s="14" t="str">
        <f t="shared" ca="1" si="63"/>
        <v>D</v>
      </c>
      <c r="D279" s="14" t="str">
        <f t="shared" ca="1" si="64"/>
        <v>q_51j.1</v>
      </c>
      <c r="E279" s="14" t="str">
        <f t="shared" ca="1" si="61"/>
        <v>Mild Football activity</v>
      </c>
      <c r="F279" s="14">
        <f t="shared" ca="1" si="60"/>
        <v>2</v>
      </c>
      <c r="G279" s="14" t="str">
        <f t="shared" ca="1" si="65"/>
        <v>q_51j.1</v>
      </c>
      <c r="H279" s="14">
        <f ca="1">IF(G279&lt;&gt;"",IFERROR( IsVariableNameLegal(G279),0),0)+IF(COUNTIF(INDIRECT(wew!$C$13),G279)&gt;1,10,0)</f>
        <v>0</v>
      </c>
      <c r="I279" s="14">
        <f ca="1">IF(E279&lt;&gt;"",IF(LEN(E279)&gt;150,1,0)+IF(COUNTIF(INDIRECT(wew!$C$15),E279)&gt;1,10,0),0)</f>
        <v>0</v>
      </c>
      <c r="J279" s="14" t="b">
        <f t="shared" ca="1" si="66"/>
        <v>1</v>
      </c>
      <c r="K279" s="14" t="str">
        <f ca="1">ADDRESS(3,(B279+1)*2-1,4,,"[" &amp; wew!$G$7 &amp; "]" &amp; _sheetname_labels) &amp; ":" &amp; ADDRESS(2+ster!$B$20,(B279+1)*2-1,4)</f>
        <v>'[dane surowe2c.xlsm]labels'!UI3:UI36</v>
      </c>
      <c r="L279" s="14" t="str">
        <f ca="1">IF(F279&gt;0,ADDRESS(3,(B279+1)*2-1,4,,"[" &amp; wew!$G$7 &amp; "]" &amp; _sheetname_labels) &amp; ":" &amp; ADDRESS(2+F279,(B279+1)*2-1,4),"")</f>
        <v>'[dane surowe2c.xlsm]labels'!UI3:UI4</v>
      </c>
      <c r="M279" s="14" t="str">
        <f ca="1">IF(F279&gt;0,ADDRESS(3,(B279+1)*2,4,,"["&amp;wew!$G$7&amp;"]"&amp;_sheetname_labels)&amp;":"&amp;ADDRESS(2+F279,(B279+1)*2,4),"")</f>
        <v>'[dane surowe2c.xlsm]labels'!UJ3:UJ4</v>
      </c>
      <c r="N279" s="14" t="str">
        <f ca="1">ADDRESS(3,B279+1,4,,"[" &amp; wew!$G$7 &amp; "]" &amp;_sheetname_dataframe) &amp; ":" &amp; ADDRESS(2+ster!$C$14,B279+1,4)</f>
        <v>'[dane surowe2c.xlsm]data_frame'!JR3:JR35</v>
      </c>
      <c r="O279" s="14">
        <f t="shared" ca="1" si="67"/>
        <v>32</v>
      </c>
      <c r="P279" s="14">
        <f ca="1">IF(AND($AD279,$S279=1),IF(wew!$B$3,MIN(INDIRECT($N279)),"&lt;włącz podświetlanie wartości&gt;"),"—")</f>
        <v>2</v>
      </c>
      <c r="Q279" s="14">
        <f ca="1">IF(AND($AD279,$S279=1),IF(wew!$B$3,MAX(INDIRECT($N279)),"&lt;włącz podświetlanie wartości&gt;"),"—")</f>
        <v>2</v>
      </c>
      <c r="R279" s="14">
        <f ca="1">IF(AD279,ster!$C$14- (COUNTIF( INDIRECT(N279),"" )+ COUNT(INDIRECT(N279)) +COUNTIF( INDIRECT(N279),"NA" )),"")</f>
        <v>0</v>
      </c>
      <c r="S279" s="12">
        <f ca="1">IF(AD279,IF(COUNTA(INDIRECT(N279))=0,0, 1-(ster!$C$14- COUNT(INDIRECT(N279)) -COUNTIF( INDIRECT(N279),"" )) /COUNTA(INDIRECT(N279))),"")</f>
        <v>1</v>
      </c>
      <c r="T279" s="17">
        <f t="array" aca="1" ref="T279" ca="1">IF(L279&lt;&gt;"",SUM(IF(INDIRECT(L279)&lt;&gt;INT(INDIRECT(L279)),1,0)),"")</f>
        <v>0</v>
      </c>
      <c r="U279" s="17">
        <f t="array" aca="1" ref="U279" ca="1">IF(S279=1,SUM(IF(ISNUMBER(INDIRECT(N279)),IF(INDIRECT(N279)&lt;&gt;INT(INDIRECT(N279)),1,0),0)),"")</f>
        <v>0</v>
      </c>
      <c r="V279" s="17">
        <f t="shared" ca="1" si="68"/>
        <v>1</v>
      </c>
      <c r="W279" s="17">
        <f t="shared" ca="1" si="69"/>
        <v>0</v>
      </c>
      <c r="X279" s="24">
        <f t="array" aca="1" ref="X279" ca="1">IF(AD279,IF(AG279&lt;&gt;"",AG279,IF(J279,MIN(INDIRECT( K279)),"")),"")</f>
        <v>1</v>
      </c>
      <c r="Y279" s="17">
        <f t="array" aca="1" ref="Y279" ca="1">IF(AD279,IF(AH279&lt;&gt;"",AH279,IF(J279,MAX(INDIRECT( K279)),"")),"")</f>
        <v>2</v>
      </c>
      <c r="Z279" s="17" t="b">
        <f t="shared" ca="1" si="70"/>
        <v>1</v>
      </c>
      <c r="AC279" s="17" t="b">
        <f t="shared" ca="1" si="71"/>
        <v>0</v>
      </c>
      <c r="AD279" s="14" t="b">
        <f t="shared" ca="1" si="72"/>
        <v>1</v>
      </c>
      <c r="AE279" s="15" t="b">
        <f t="shared" ca="1" si="73"/>
        <v>1</v>
      </c>
      <c r="AF279" s="16"/>
      <c r="AG279" s="16"/>
      <c r="AH279" s="16"/>
      <c r="AI279" s="16"/>
      <c r="AJ279" s="16"/>
      <c r="AK279" s="16"/>
      <c r="AL279" s="16"/>
      <c r="AM279" s="16"/>
    </row>
    <row r="280" spans="2:39">
      <c r="B280" s="14">
        <f t="shared" si="62"/>
        <v>278</v>
      </c>
      <c r="C280" s="14" t="str">
        <f t="shared" ca="1" si="63"/>
        <v>I</v>
      </c>
      <c r="D280" s="14" t="str">
        <f t="shared" ca="1" si="64"/>
        <v>q_51j.2</v>
      </c>
      <c r="E280" s="14" t="str">
        <f t="shared" ca="1" si="61"/>
        <v>How long mild Football activity</v>
      </c>
      <c r="F280" s="14">
        <f t="shared" ca="1" si="60"/>
        <v>0</v>
      </c>
      <c r="G280" s="14" t="str">
        <f t="shared" ca="1" si="65"/>
        <v>q_51j.2</v>
      </c>
      <c r="H280" s="14">
        <f ca="1">IF(G280&lt;&gt;"",IFERROR( IsVariableNameLegal(G280),0),0)+IF(COUNTIF(INDIRECT(wew!$C$13),G280)&gt;1,10,0)</f>
        <v>0</v>
      </c>
      <c r="I280" s="14">
        <f ca="1">IF(E280&lt;&gt;"",IF(LEN(E280)&gt;150,1,0)+IF(COUNTIF(INDIRECT(wew!$C$15),E280)&gt;1,10,0),0)</f>
        <v>0</v>
      </c>
      <c r="J280" s="14" t="b">
        <f t="shared" ca="1" si="66"/>
        <v>0</v>
      </c>
      <c r="K280" s="14" t="str">
        <f ca="1">ADDRESS(3,(B280+1)*2-1,4,,"[" &amp; wew!$G$7 &amp; "]" &amp; _sheetname_labels) &amp; ":" &amp; ADDRESS(2+ster!$B$20,(B280+1)*2-1,4)</f>
        <v>'[dane surowe2c.xlsm]labels'!UK3:UK36</v>
      </c>
      <c r="L280" s="14" t="str">
        <f ca="1">IF(F280&gt;0,ADDRESS(3,(B280+1)*2-1,4,,"[" &amp; wew!$G$7 &amp; "]" &amp; _sheetname_labels) &amp; ":" &amp; ADDRESS(2+F280,(B280+1)*2-1,4),"")</f>
        <v/>
      </c>
      <c r="M280" s="14" t="str">
        <f ca="1">IF(F280&gt;0,ADDRESS(3,(B280+1)*2,4,,"["&amp;wew!$G$7&amp;"]"&amp;_sheetname_labels)&amp;":"&amp;ADDRESS(2+F280,(B280+1)*2,4),"")</f>
        <v/>
      </c>
      <c r="N280" s="14" t="str">
        <f ca="1">ADDRESS(3,B280+1,4,,"[" &amp; wew!$G$7 &amp; "]" &amp;_sheetname_dataframe) &amp; ":" &amp; ADDRESS(2+ster!$C$14,B280+1,4)</f>
        <v>'[dane surowe2c.xlsm]data_frame'!JS3:JS35</v>
      </c>
      <c r="O280" s="14">
        <f t="shared" ca="1" si="67"/>
        <v>0</v>
      </c>
      <c r="P280" s="14" t="str">
        <f ca="1">IF(AND($AD280,$S280=1),IF(wew!$B$3,MIN(INDIRECT($N280)),"&lt;włącz podświetlanie wartości&gt;"),"—")</f>
        <v>—</v>
      </c>
      <c r="Q280" s="14" t="str">
        <f ca="1">IF(AND($AD280,$S280=1),IF(wew!$B$3,MAX(INDIRECT($N280)),"&lt;włącz podświetlanie wartości&gt;"),"—")</f>
        <v>—</v>
      </c>
      <c r="R280" s="14">
        <f ca="1">IF(AD280,ster!$C$14- (COUNTIF( INDIRECT(N280),"" )+ COUNT(INDIRECT(N280)) +COUNTIF( INDIRECT(N280),"NA" )),"")</f>
        <v>0</v>
      </c>
      <c r="S280" s="12">
        <f ca="1">IF(AD280,IF(COUNTA(INDIRECT(N280))=0,0, 1-(ster!$C$14- COUNT(INDIRECT(N280)) -COUNTIF( INDIRECT(N280),"" )) /COUNTA(INDIRECT(N280))),"")</f>
        <v>0</v>
      </c>
      <c r="T280" s="17" t="str">
        <f t="array" aca="1" ref="T280" ca="1">IF(L280&lt;&gt;"",SUM(IF(INDIRECT(L280)&lt;&gt;INT(INDIRECT(L280)),1,0)),"")</f>
        <v/>
      </c>
      <c r="U280" s="17" t="str">
        <f t="array" aca="1" ref="U280" ca="1">IF(S280=1,SUM(IF(ISNUMBER(INDIRECT(N280)),IF(INDIRECT(N280)&lt;&gt;INT(INDIRECT(N280)),1,0),0)),"")</f>
        <v/>
      </c>
      <c r="V280" s="17">
        <f t="shared" ca="1" si="68"/>
        <v>0</v>
      </c>
      <c r="W280" s="17">
        <f t="shared" ca="1" si="69"/>
        <v>0</v>
      </c>
      <c r="X280" s="24" t="str">
        <f t="array" aca="1" ref="X280" ca="1">IF(AD280,IF(AG280&lt;&gt;"",AG280,IF(J280,MIN(INDIRECT( K280)),"")),"")</f>
        <v/>
      </c>
      <c r="Y280" s="17" t="str">
        <f t="array" aca="1" ref="Y280" ca="1">IF(AD280,IF(AH280&lt;&gt;"",AH280,IF(J280,MAX(INDIRECT( K280)),"")),"")</f>
        <v/>
      </c>
      <c r="Z280" s="17" t="b">
        <f t="shared" ca="1" si="70"/>
        <v>0</v>
      </c>
      <c r="AC280" s="17" t="b">
        <f t="shared" ca="1" si="71"/>
        <v>0</v>
      </c>
      <c r="AD280" s="14" t="b">
        <f t="shared" ca="1" si="72"/>
        <v>1</v>
      </c>
      <c r="AE280" s="15" t="b">
        <f t="shared" ca="1" si="73"/>
        <v>0</v>
      </c>
      <c r="AF280" s="16"/>
      <c r="AG280" s="16"/>
      <c r="AH280" s="16"/>
      <c r="AI280" s="16"/>
      <c r="AJ280" s="16"/>
      <c r="AK280" s="16"/>
      <c r="AL280" s="16"/>
      <c r="AM280" s="16"/>
    </row>
    <row r="281" spans="2:39">
      <c r="B281" s="14">
        <f t="shared" si="62"/>
        <v>279</v>
      </c>
      <c r="C281" s="14" t="str">
        <f t="shared" ca="1" si="63"/>
        <v>D</v>
      </c>
      <c r="D281" s="14" t="str">
        <f t="shared" ca="1" si="64"/>
        <v>q_51k.1</v>
      </c>
      <c r="E281" s="14" t="str">
        <f t="shared" ca="1" si="61"/>
        <v>Mild Golf activity</v>
      </c>
      <c r="F281" s="14">
        <f t="shared" ca="1" si="60"/>
        <v>2</v>
      </c>
      <c r="G281" s="14" t="str">
        <f t="shared" ca="1" si="65"/>
        <v>q_51k.1</v>
      </c>
      <c r="H281" s="14">
        <f ca="1">IF(G281&lt;&gt;"",IFERROR( IsVariableNameLegal(G281),0),0)+IF(COUNTIF(INDIRECT(wew!$C$13),G281)&gt;1,10,0)</f>
        <v>0</v>
      </c>
      <c r="I281" s="14">
        <f ca="1">IF(E281&lt;&gt;"",IF(LEN(E281)&gt;150,1,0)+IF(COUNTIF(INDIRECT(wew!$C$15),E281)&gt;1,10,0),0)</f>
        <v>0</v>
      </c>
      <c r="J281" s="14" t="b">
        <f t="shared" ca="1" si="66"/>
        <v>1</v>
      </c>
      <c r="K281" s="14" t="str">
        <f ca="1">ADDRESS(3,(B281+1)*2-1,4,,"[" &amp; wew!$G$7 &amp; "]" &amp; _sheetname_labels) &amp; ":" &amp; ADDRESS(2+ster!$B$20,(B281+1)*2-1,4)</f>
        <v>'[dane surowe2c.xlsm]labels'!UM3:UM36</v>
      </c>
      <c r="L281" s="14" t="str">
        <f ca="1">IF(F281&gt;0,ADDRESS(3,(B281+1)*2-1,4,,"[" &amp; wew!$G$7 &amp; "]" &amp; _sheetname_labels) &amp; ":" &amp; ADDRESS(2+F281,(B281+1)*2-1,4),"")</f>
        <v>'[dane surowe2c.xlsm]labels'!UM3:UM4</v>
      </c>
      <c r="M281" s="14" t="str">
        <f ca="1">IF(F281&gt;0,ADDRESS(3,(B281+1)*2,4,,"["&amp;wew!$G$7&amp;"]"&amp;_sheetname_labels)&amp;":"&amp;ADDRESS(2+F281,(B281+1)*2,4),"")</f>
        <v>'[dane surowe2c.xlsm]labels'!UN3:UN4</v>
      </c>
      <c r="N281" s="14" t="str">
        <f ca="1">ADDRESS(3,B281+1,4,,"[" &amp; wew!$G$7 &amp; "]" &amp;_sheetname_dataframe) &amp; ":" &amp; ADDRESS(2+ster!$C$14,B281+1,4)</f>
        <v>'[dane surowe2c.xlsm]data_frame'!JT3:JT35</v>
      </c>
      <c r="O281" s="14">
        <f t="shared" ca="1" si="67"/>
        <v>32</v>
      </c>
      <c r="P281" s="14">
        <f ca="1">IF(AND($AD281,$S281=1),IF(wew!$B$3,MIN(INDIRECT($N281)),"&lt;włącz podświetlanie wartości&gt;"),"—")</f>
        <v>2</v>
      </c>
      <c r="Q281" s="14">
        <f ca="1">IF(AND($AD281,$S281=1),IF(wew!$B$3,MAX(INDIRECT($N281)),"&lt;włącz podświetlanie wartości&gt;"),"—")</f>
        <v>2</v>
      </c>
      <c r="R281" s="14">
        <f ca="1">IF(AD281,ster!$C$14- (COUNTIF( INDIRECT(N281),"" )+ COUNT(INDIRECT(N281)) +COUNTIF( INDIRECT(N281),"NA" )),"")</f>
        <v>0</v>
      </c>
      <c r="S281" s="12">
        <f ca="1">IF(AD281,IF(COUNTA(INDIRECT(N281))=0,0, 1-(ster!$C$14- COUNT(INDIRECT(N281)) -COUNTIF( INDIRECT(N281),"" )) /COUNTA(INDIRECT(N281))),"")</f>
        <v>1</v>
      </c>
      <c r="T281" s="17">
        <f t="array" aca="1" ref="T281" ca="1">IF(L281&lt;&gt;"",SUM(IF(INDIRECT(L281)&lt;&gt;INT(INDIRECT(L281)),1,0)),"")</f>
        <v>0</v>
      </c>
      <c r="U281" s="17">
        <f t="array" aca="1" ref="U281" ca="1">IF(S281=1,SUM(IF(ISNUMBER(INDIRECT(N281)),IF(INDIRECT(N281)&lt;&gt;INT(INDIRECT(N281)),1,0),0)),"")</f>
        <v>0</v>
      </c>
      <c r="V281" s="17">
        <f t="shared" ca="1" si="68"/>
        <v>1</v>
      </c>
      <c r="W281" s="17">
        <f t="shared" ca="1" si="69"/>
        <v>0</v>
      </c>
      <c r="X281" s="24">
        <f t="array" aca="1" ref="X281" ca="1">IF(AD281,IF(AG281&lt;&gt;"",AG281,IF(J281,MIN(INDIRECT( K281)),"")),"")</f>
        <v>1</v>
      </c>
      <c r="Y281" s="17">
        <f t="array" aca="1" ref="Y281" ca="1">IF(AD281,IF(AH281&lt;&gt;"",AH281,IF(J281,MAX(INDIRECT( K281)),"")),"")</f>
        <v>2</v>
      </c>
      <c r="Z281" s="17" t="b">
        <f t="shared" ca="1" si="70"/>
        <v>1</v>
      </c>
      <c r="AC281" s="17" t="b">
        <f t="shared" ca="1" si="71"/>
        <v>0</v>
      </c>
      <c r="AD281" s="14" t="b">
        <f t="shared" ca="1" si="72"/>
        <v>1</v>
      </c>
      <c r="AE281" s="15" t="b">
        <f t="shared" ca="1" si="73"/>
        <v>1</v>
      </c>
      <c r="AF281" s="16"/>
      <c r="AG281" s="16"/>
      <c r="AH281" s="16"/>
      <c r="AI281" s="16"/>
      <c r="AJ281" s="16"/>
      <c r="AK281" s="16"/>
      <c r="AL281" s="16"/>
      <c r="AM281" s="16"/>
    </row>
    <row r="282" spans="2:39">
      <c r="B282" s="14">
        <f t="shared" si="62"/>
        <v>280</v>
      </c>
      <c r="C282" s="14" t="str">
        <f t="shared" ca="1" si="63"/>
        <v>I</v>
      </c>
      <c r="D282" s="14" t="str">
        <f t="shared" ca="1" si="64"/>
        <v>q_51k.2</v>
      </c>
      <c r="E282" s="14" t="str">
        <f t="shared" ca="1" si="61"/>
        <v>How long mild Golf activity</v>
      </c>
      <c r="F282" s="14">
        <f t="shared" ca="1" si="60"/>
        <v>0</v>
      </c>
      <c r="G282" s="14" t="str">
        <f t="shared" ca="1" si="65"/>
        <v>q_51k.2</v>
      </c>
      <c r="H282" s="14">
        <f ca="1">IF(G282&lt;&gt;"",IFERROR( IsVariableNameLegal(G282),0),0)+IF(COUNTIF(INDIRECT(wew!$C$13),G282)&gt;1,10,0)</f>
        <v>0</v>
      </c>
      <c r="I282" s="14">
        <f ca="1">IF(E282&lt;&gt;"",IF(LEN(E282)&gt;150,1,0)+IF(COUNTIF(INDIRECT(wew!$C$15),E282)&gt;1,10,0),0)</f>
        <v>0</v>
      </c>
      <c r="J282" s="14" t="b">
        <f t="shared" ca="1" si="66"/>
        <v>0</v>
      </c>
      <c r="K282" s="14" t="str">
        <f ca="1">ADDRESS(3,(B282+1)*2-1,4,,"[" &amp; wew!$G$7 &amp; "]" &amp; _sheetname_labels) &amp; ":" &amp; ADDRESS(2+ster!$B$20,(B282+1)*2-1,4)</f>
        <v>'[dane surowe2c.xlsm]labels'!UO3:UO36</v>
      </c>
      <c r="L282" s="14" t="str">
        <f ca="1">IF(F282&gt;0,ADDRESS(3,(B282+1)*2-1,4,,"[" &amp; wew!$G$7 &amp; "]" &amp; _sheetname_labels) &amp; ":" &amp; ADDRESS(2+F282,(B282+1)*2-1,4),"")</f>
        <v/>
      </c>
      <c r="M282" s="14" t="str">
        <f ca="1">IF(F282&gt;0,ADDRESS(3,(B282+1)*2,4,,"["&amp;wew!$G$7&amp;"]"&amp;_sheetname_labels)&amp;":"&amp;ADDRESS(2+F282,(B282+1)*2,4),"")</f>
        <v/>
      </c>
      <c r="N282" s="14" t="str">
        <f ca="1">ADDRESS(3,B282+1,4,,"[" &amp; wew!$G$7 &amp; "]" &amp;_sheetname_dataframe) &amp; ":" &amp; ADDRESS(2+ster!$C$14,B282+1,4)</f>
        <v>'[dane surowe2c.xlsm]data_frame'!JU3:JU35</v>
      </c>
      <c r="O282" s="14">
        <f t="shared" ca="1" si="67"/>
        <v>0</v>
      </c>
      <c r="P282" s="14" t="str">
        <f ca="1">IF(AND($AD282,$S282=1),IF(wew!$B$3,MIN(INDIRECT($N282)),"&lt;włącz podświetlanie wartości&gt;"),"—")</f>
        <v>—</v>
      </c>
      <c r="Q282" s="14" t="str">
        <f ca="1">IF(AND($AD282,$S282=1),IF(wew!$B$3,MAX(INDIRECT($N282)),"&lt;włącz podświetlanie wartości&gt;"),"—")</f>
        <v>—</v>
      </c>
      <c r="R282" s="14">
        <f ca="1">IF(AD282,ster!$C$14- (COUNTIF( INDIRECT(N282),"" )+ COUNT(INDIRECT(N282)) +COUNTIF( INDIRECT(N282),"NA" )),"")</f>
        <v>0</v>
      </c>
      <c r="S282" s="12">
        <f ca="1">IF(AD282,IF(COUNTA(INDIRECT(N282))=0,0, 1-(ster!$C$14- COUNT(INDIRECT(N282)) -COUNTIF( INDIRECT(N282),"" )) /COUNTA(INDIRECT(N282))),"")</f>
        <v>0</v>
      </c>
      <c r="T282" s="17" t="str">
        <f t="array" aca="1" ref="T282" ca="1">IF(L282&lt;&gt;"",SUM(IF(INDIRECT(L282)&lt;&gt;INT(INDIRECT(L282)),1,0)),"")</f>
        <v/>
      </c>
      <c r="U282" s="17" t="str">
        <f t="array" aca="1" ref="U282" ca="1">IF(S282=1,SUM(IF(ISNUMBER(INDIRECT(N282)),IF(INDIRECT(N282)&lt;&gt;INT(INDIRECT(N282)),1,0),0)),"")</f>
        <v/>
      </c>
      <c r="V282" s="17">
        <f t="shared" ca="1" si="68"/>
        <v>0</v>
      </c>
      <c r="W282" s="17">
        <f t="shared" ca="1" si="69"/>
        <v>0</v>
      </c>
      <c r="X282" s="24" t="str">
        <f t="array" aca="1" ref="X282" ca="1">IF(AD282,IF(AG282&lt;&gt;"",AG282,IF(J282,MIN(INDIRECT( K282)),"")),"")</f>
        <v/>
      </c>
      <c r="Y282" s="17" t="str">
        <f t="array" aca="1" ref="Y282" ca="1">IF(AD282,IF(AH282&lt;&gt;"",AH282,IF(J282,MAX(INDIRECT( K282)),"")),"")</f>
        <v/>
      </c>
      <c r="Z282" s="17" t="b">
        <f t="shared" ca="1" si="70"/>
        <v>0</v>
      </c>
      <c r="AC282" s="17" t="b">
        <f t="shared" ca="1" si="71"/>
        <v>0</v>
      </c>
      <c r="AD282" s="14" t="b">
        <f t="shared" ca="1" si="72"/>
        <v>1</v>
      </c>
      <c r="AE282" s="15" t="b">
        <f t="shared" ca="1" si="73"/>
        <v>0</v>
      </c>
      <c r="AF282" s="16"/>
      <c r="AG282" s="16"/>
      <c r="AH282" s="16"/>
      <c r="AI282" s="16"/>
      <c r="AJ282" s="16"/>
      <c r="AK282" s="16"/>
      <c r="AL282" s="16"/>
      <c r="AM282" s="16"/>
    </row>
    <row r="283" spans="2:39">
      <c r="B283" s="14">
        <f t="shared" si="62"/>
        <v>281</v>
      </c>
      <c r="C283" s="14" t="str">
        <f t="shared" ca="1" si="63"/>
        <v>D</v>
      </c>
      <c r="D283" s="14" t="str">
        <f t="shared" ca="1" si="64"/>
        <v>q_51l.1</v>
      </c>
      <c r="E283" s="14" t="str">
        <f t="shared" ca="1" si="61"/>
        <v>Mild Handball activity</v>
      </c>
      <c r="F283" s="14">
        <f t="shared" ca="1" si="60"/>
        <v>2</v>
      </c>
      <c r="G283" s="14" t="str">
        <f t="shared" ca="1" si="65"/>
        <v>q_51l.1</v>
      </c>
      <c r="H283" s="14">
        <f ca="1">IF(G283&lt;&gt;"",IFERROR( IsVariableNameLegal(G283),0),0)+IF(COUNTIF(INDIRECT(wew!$C$13),G283)&gt;1,10,0)</f>
        <v>0</v>
      </c>
      <c r="I283" s="14">
        <f ca="1">IF(E283&lt;&gt;"",IF(LEN(E283)&gt;150,1,0)+IF(COUNTIF(INDIRECT(wew!$C$15),E283)&gt;1,10,0),0)</f>
        <v>0</v>
      </c>
      <c r="J283" s="14" t="b">
        <f t="shared" ca="1" si="66"/>
        <v>1</v>
      </c>
      <c r="K283" s="14" t="str">
        <f ca="1">ADDRESS(3,(B283+1)*2-1,4,,"[" &amp; wew!$G$7 &amp; "]" &amp; _sheetname_labels) &amp; ":" &amp; ADDRESS(2+ster!$B$20,(B283+1)*2-1,4)</f>
        <v>'[dane surowe2c.xlsm]labels'!UQ3:UQ36</v>
      </c>
      <c r="L283" s="14" t="str">
        <f ca="1">IF(F283&gt;0,ADDRESS(3,(B283+1)*2-1,4,,"[" &amp; wew!$G$7 &amp; "]" &amp; _sheetname_labels) &amp; ":" &amp; ADDRESS(2+F283,(B283+1)*2-1,4),"")</f>
        <v>'[dane surowe2c.xlsm]labels'!UQ3:UQ4</v>
      </c>
      <c r="M283" s="14" t="str">
        <f ca="1">IF(F283&gt;0,ADDRESS(3,(B283+1)*2,4,,"["&amp;wew!$G$7&amp;"]"&amp;_sheetname_labels)&amp;":"&amp;ADDRESS(2+F283,(B283+1)*2,4),"")</f>
        <v>'[dane surowe2c.xlsm]labels'!UR3:UR4</v>
      </c>
      <c r="N283" s="14" t="str">
        <f ca="1">ADDRESS(3,B283+1,4,,"[" &amp; wew!$G$7 &amp; "]" &amp;_sheetname_dataframe) &amp; ":" &amp; ADDRESS(2+ster!$C$14,B283+1,4)</f>
        <v>'[dane surowe2c.xlsm]data_frame'!JV3:JV35</v>
      </c>
      <c r="O283" s="14">
        <f t="shared" ca="1" si="67"/>
        <v>32</v>
      </c>
      <c r="P283" s="14">
        <f ca="1">IF(AND($AD283,$S283=1),IF(wew!$B$3,MIN(INDIRECT($N283)),"&lt;włącz podświetlanie wartości&gt;"),"—")</f>
        <v>2</v>
      </c>
      <c r="Q283" s="14">
        <f ca="1">IF(AND($AD283,$S283=1),IF(wew!$B$3,MAX(INDIRECT($N283)),"&lt;włącz podświetlanie wartości&gt;"),"—")</f>
        <v>2</v>
      </c>
      <c r="R283" s="14">
        <f ca="1">IF(AD283,ster!$C$14- (COUNTIF( INDIRECT(N283),"" )+ COUNT(INDIRECT(N283)) +COUNTIF( INDIRECT(N283),"NA" )),"")</f>
        <v>0</v>
      </c>
      <c r="S283" s="12">
        <f ca="1">IF(AD283,IF(COUNTA(INDIRECT(N283))=0,0, 1-(ster!$C$14- COUNT(INDIRECT(N283)) -COUNTIF( INDIRECT(N283),"" )) /COUNTA(INDIRECT(N283))),"")</f>
        <v>1</v>
      </c>
      <c r="T283" s="17">
        <f t="array" aca="1" ref="T283" ca="1">IF(L283&lt;&gt;"",SUM(IF(INDIRECT(L283)&lt;&gt;INT(INDIRECT(L283)),1,0)),"")</f>
        <v>0</v>
      </c>
      <c r="U283" s="17">
        <f t="array" aca="1" ref="U283" ca="1">IF(S283=1,SUM(IF(ISNUMBER(INDIRECT(N283)),IF(INDIRECT(N283)&lt;&gt;INT(INDIRECT(N283)),1,0),0)),"")</f>
        <v>0</v>
      </c>
      <c r="V283" s="17">
        <f t="shared" ca="1" si="68"/>
        <v>1</v>
      </c>
      <c r="W283" s="17">
        <f t="shared" ca="1" si="69"/>
        <v>0</v>
      </c>
      <c r="X283" s="24">
        <f t="array" aca="1" ref="X283" ca="1">IF(AD283,IF(AG283&lt;&gt;"",AG283,IF(J283,MIN(INDIRECT( K283)),"")),"")</f>
        <v>1</v>
      </c>
      <c r="Y283" s="17">
        <f t="array" aca="1" ref="Y283" ca="1">IF(AD283,IF(AH283&lt;&gt;"",AH283,IF(J283,MAX(INDIRECT( K283)),"")),"")</f>
        <v>2</v>
      </c>
      <c r="Z283" s="17" t="b">
        <f t="shared" ca="1" si="70"/>
        <v>1</v>
      </c>
      <c r="AC283" s="17" t="b">
        <f t="shared" ca="1" si="71"/>
        <v>0</v>
      </c>
      <c r="AD283" s="14" t="b">
        <f t="shared" ca="1" si="72"/>
        <v>1</v>
      </c>
      <c r="AE283" s="15" t="b">
        <f t="shared" ca="1" si="73"/>
        <v>1</v>
      </c>
      <c r="AF283" s="16"/>
      <c r="AG283" s="16"/>
      <c r="AH283" s="16"/>
      <c r="AI283" s="16"/>
      <c r="AJ283" s="16"/>
      <c r="AK283" s="16"/>
      <c r="AL283" s="16"/>
      <c r="AM283" s="16"/>
    </row>
    <row r="284" spans="2:39">
      <c r="B284" s="14">
        <f t="shared" si="62"/>
        <v>282</v>
      </c>
      <c r="C284" s="14" t="str">
        <f t="shared" ca="1" si="63"/>
        <v>I</v>
      </c>
      <c r="D284" s="14" t="str">
        <f t="shared" ca="1" si="64"/>
        <v>q_51l.2</v>
      </c>
      <c r="E284" s="14" t="str">
        <f t="shared" ca="1" si="61"/>
        <v>How long mild Handball activity</v>
      </c>
      <c r="F284" s="14">
        <f t="shared" ca="1" si="60"/>
        <v>0</v>
      </c>
      <c r="G284" s="14" t="str">
        <f t="shared" ca="1" si="65"/>
        <v>q_51l.2</v>
      </c>
      <c r="H284" s="14">
        <f ca="1">IF(G284&lt;&gt;"",IFERROR( IsVariableNameLegal(G284),0),0)+IF(COUNTIF(INDIRECT(wew!$C$13),G284)&gt;1,10,0)</f>
        <v>0</v>
      </c>
      <c r="I284" s="14">
        <f ca="1">IF(E284&lt;&gt;"",IF(LEN(E284)&gt;150,1,0)+IF(COUNTIF(INDIRECT(wew!$C$15),E284)&gt;1,10,0),0)</f>
        <v>0</v>
      </c>
      <c r="J284" s="14" t="b">
        <f t="shared" ca="1" si="66"/>
        <v>0</v>
      </c>
      <c r="K284" s="14" t="str">
        <f ca="1">ADDRESS(3,(B284+1)*2-1,4,,"[" &amp; wew!$G$7 &amp; "]" &amp; _sheetname_labels) &amp; ":" &amp; ADDRESS(2+ster!$B$20,(B284+1)*2-1,4)</f>
        <v>'[dane surowe2c.xlsm]labels'!US3:US36</v>
      </c>
      <c r="L284" s="14" t="str">
        <f ca="1">IF(F284&gt;0,ADDRESS(3,(B284+1)*2-1,4,,"[" &amp; wew!$G$7 &amp; "]" &amp; _sheetname_labels) &amp; ":" &amp; ADDRESS(2+F284,(B284+1)*2-1,4),"")</f>
        <v/>
      </c>
      <c r="M284" s="14" t="str">
        <f ca="1">IF(F284&gt;0,ADDRESS(3,(B284+1)*2,4,,"["&amp;wew!$G$7&amp;"]"&amp;_sheetname_labels)&amp;":"&amp;ADDRESS(2+F284,(B284+1)*2,4),"")</f>
        <v/>
      </c>
      <c r="N284" s="14" t="str">
        <f ca="1">ADDRESS(3,B284+1,4,,"[" &amp; wew!$G$7 &amp; "]" &amp;_sheetname_dataframe) &amp; ":" &amp; ADDRESS(2+ster!$C$14,B284+1,4)</f>
        <v>'[dane surowe2c.xlsm]data_frame'!JW3:JW35</v>
      </c>
      <c r="O284" s="14">
        <f t="shared" ca="1" si="67"/>
        <v>0</v>
      </c>
      <c r="P284" s="14" t="str">
        <f ca="1">IF(AND($AD284,$S284=1),IF(wew!$B$3,MIN(INDIRECT($N284)),"&lt;włącz podświetlanie wartości&gt;"),"—")</f>
        <v>—</v>
      </c>
      <c r="Q284" s="14" t="str">
        <f ca="1">IF(AND($AD284,$S284=1),IF(wew!$B$3,MAX(INDIRECT($N284)),"&lt;włącz podświetlanie wartości&gt;"),"—")</f>
        <v>—</v>
      </c>
      <c r="R284" s="14">
        <f ca="1">IF(AD284,ster!$C$14- (COUNTIF( INDIRECT(N284),"" )+ COUNT(INDIRECT(N284)) +COUNTIF( INDIRECT(N284),"NA" )),"")</f>
        <v>0</v>
      </c>
      <c r="S284" s="12">
        <f ca="1">IF(AD284,IF(COUNTA(INDIRECT(N284))=0,0, 1-(ster!$C$14- COUNT(INDIRECT(N284)) -COUNTIF( INDIRECT(N284),"" )) /COUNTA(INDIRECT(N284))),"")</f>
        <v>0</v>
      </c>
      <c r="T284" s="17" t="str">
        <f t="array" aca="1" ref="T284" ca="1">IF(L284&lt;&gt;"",SUM(IF(INDIRECT(L284)&lt;&gt;INT(INDIRECT(L284)),1,0)),"")</f>
        <v/>
      </c>
      <c r="U284" s="17" t="str">
        <f t="array" aca="1" ref="U284" ca="1">IF(S284=1,SUM(IF(ISNUMBER(INDIRECT(N284)),IF(INDIRECT(N284)&lt;&gt;INT(INDIRECT(N284)),1,0),0)),"")</f>
        <v/>
      </c>
      <c r="V284" s="17">
        <f t="shared" ca="1" si="68"/>
        <v>0</v>
      </c>
      <c r="W284" s="17">
        <f t="shared" ca="1" si="69"/>
        <v>0</v>
      </c>
      <c r="X284" s="24" t="str">
        <f t="array" aca="1" ref="X284" ca="1">IF(AD284,IF(AG284&lt;&gt;"",AG284,IF(J284,MIN(INDIRECT( K284)),"")),"")</f>
        <v/>
      </c>
      <c r="Y284" s="17" t="str">
        <f t="array" aca="1" ref="Y284" ca="1">IF(AD284,IF(AH284&lt;&gt;"",AH284,IF(J284,MAX(INDIRECT( K284)),"")),"")</f>
        <v/>
      </c>
      <c r="Z284" s="17" t="b">
        <f t="shared" ca="1" si="70"/>
        <v>0</v>
      </c>
      <c r="AC284" s="17" t="b">
        <f t="shared" ca="1" si="71"/>
        <v>0</v>
      </c>
      <c r="AD284" s="14" t="b">
        <f t="shared" ca="1" si="72"/>
        <v>1</v>
      </c>
      <c r="AE284" s="15" t="b">
        <f t="shared" ca="1" si="73"/>
        <v>0</v>
      </c>
      <c r="AF284" s="16"/>
      <c r="AG284" s="16"/>
      <c r="AH284" s="16"/>
      <c r="AI284" s="16"/>
      <c r="AJ284" s="16"/>
      <c r="AK284" s="16"/>
      <c r="AL284" s="16"/>
      <c r="AM284" s="16"/>
    </row>
    <row r="285" spans="2:39">
      <c r="B285" s="14">
        <f t="shared" si="62"/>
        <v>283</v>
      </c>
      <c r="C285" s="14" t="str">
        <f t="shared" ca="1" si="63"/>
        <v>D</v>
      </c>
      <c r="D285" s="14" t="str">
        <f t="shared" ca="1" si="64"/>
        <v>q_51m.1</v>
      </c>
      <c r="E285" s="14" t="str">
        <f t="shared" ca="1" si="61"/>
        <v>Mild Hockey activity</v>
      </c>
      <c r="F285" s="14">
        <f t="shared" ca="1" si="60"/>
        <v>2</v>
      </c>
      <c r="G285" s="14" t="str">
        <f t="shared" ca="1" si="65"/>
        <v>q_51m.1</v>
      </c>
      <c r="H285" s="14">
        <f ca="1">IF(G285&lt;&gt;"",IFERROR( IsVariableNameLegal(G285),0),0)+IF(COUNTIF(INDIRECT(wew!$C$13),G285)&gt;1,10,0)</f>
        <v>0</v>
      </c>
      <c r="I285" s="14">
        <f ca="1">IF(E285&lt;&gt;"",IF(LEN(E285)&gt;150,1,0)+IF(COUNTIF(INDIRECT(wew!$C$15),E285)&gt;1,10,0),0)</f>
        <v>0</v>
      </c>
      <c r="J285" s="14" t="b">
        <f t="shared" ca="1" si="66"/>
        <v>1</v>
      </c>
      <c r="K285" s="14" t="str">
        <f ca="1">ADDRESS(3,(B285+1)*2-1,4,,"[" &amp; wew!$G$7 &amp; "]" &amp; _sheetname_labels) &amp; ":" &amp; ADDRESS(2+ster!$B$20,(B285+1)*2-1,4)</f>
        <v>'[dane surowe2c.xlsm]labels'!UU3:UU36</v>
      </c>
      <c r="L285" s="14" t="str">
        <f ca="1">IF(F285&gt;0,ADDRESS(3,(B285+1)*2-1,4,,"[" &amp; wew!$G$7 &amp; "]" &amp; _sheetname_labels) &amp; ":" &amp; ADDRESS(2+F285,(B285+1)*2-1,4),"")</f>
        <v>'[dane surowe2c.xlsm]labels'!UU3:UU4</v>
      </c>
      <c r="M285" s="14" t="str">
        <f ca="1">IF(F285&gt;0,ADDRESS(3,(B285+1)*2,4,,"["&amp;wew!$G$7&amp;"]"&amp;_sheetname_labels)&amp;":"&amp;ADDRESS(2+F285,(B285+1)*2,4),"")</f>
        <v>'[dane surowe2c.xlsm]labels'!UV3:UV4</v>
      </c>
      <c r="N285" s="14" t="str">
        <f ca="1">ADDRESS(3,B285+1,4,,"[" &amp; wew!$G$7 &amp; "]" &amp;_sheetname_dataframe) &amp; ":" &amp; ADDRESS(2+ster!$C$14,B285+1,4)</f>
        <v>'[dane surowe2c.xlsm]data_frame'!JX3:JX35</v>
      </c>
      <c r="O285" s="14">
        <f t="shared" ca="1" si="67"/>
        <v>32</v>
      </c>
      <c r="P285" s="14">
        <f ca="1">IF(AND($AD285,$S285=1),IF(wew!$B$3,MIN(INDIRECT($N285)),"&lt;włącz podświetlanie wartości&gt;"),"—")</f>
        <v>2</v>
      </c>
      <c r="Q285" s="14">
        <f ca="1">IF(AND($AD285,$S285=1),IF(wew!$B$3,MAX(INDIRECT($N285)),"&lt;włącz podświetlanie wartości&gt;"),"—")</f>
        <v>2</v>
      </c>
      <c r="R285" s="14">
        <f ca="1">IF(AD285,ster!$C$14- (COUNTIF( INDIRECT(N285),"" )+ COUNT(INDIRECT(N285)) +COUNTIF( INDIRECT(N285),"NA" )),"")</f>
        <v>0</v>
      </c>
      <c r="S285" s="12">
        <f ca="1">IF(AD285,IF(COUNTA(INDIRECT(N285))=0,0, 1-(ster!$C$14- COUNT(INDIRECT(N285)) -COUNTIF( INDIRECT(N285),"" )) /COUNTA(INDIRECT(N285))),"")</f>
        <v>1</v>
      </c>
      <c r="T285" s="17">
        <f t="array" aca="1" ref="T285" ca="1">IF(L285&lt;&gt;"",SUM(IF(INDIRECT(L285)&lt;&gt;INT(INDIRECT(L285)),1,0)),"")</f>
        <v>0</v>
      </c>
      <c r="U285" s="17">
        <f t="array" aca="1" ref="U285" ca="1">IF(S285=1,SUM(IF(ISNUMBER(INDIRECT(N285)),IF(INDIRECT(N285)&lt;&gt;INT(INDIRECT(N285)),1,0),0)),"")</f>
        <v>0</v>
      </c>
      <c r="V285" s="17">
        <f t="shared" ca="1" si="68"/>
        <v>1</v>
      </c>
      <c r="W285" s="17">
        <f t="shared" ca="1" si="69"/>
        <v>0</v>
      </c>
      <c r="X285" s="24">
        <f t="array" aca="1" ref="X285" ca="1">IF(AD285,IF(AG285&lt;&gt;"",AG285,IF(J285,MIN(INDIRECT( K285)),"")),"")</f>
        <v>1</v>
      </c>
      <c r="Y285" s="17">
        <f t="array" aca="1" ref="Y285" ca="1">IF(AD285,IF(AH285&lt;&gt;"",AH285,IF(J285,MAX(INDIRECT( K285)),"")),"")</f>
        <v>2</v>
      </c>
      <c r="Z285" s="17" t="b">
        <f t="shared" ca="1" si="70"/>
        <v>1</v>
      </c>
      <c r="AC285" s="17" t="b">
        <f t="shared" ca="1" si="71"/>
        <v>0</v>
      </c>
      <c r="AD285" s="14" t="b">
        <f t="shared" ca="1" si="72"/>
        <v>1</v>
      </c>
      <c r="AE285" s="15" t="b">
        <f t="shared" ca="1" si="73"/>
        <v>1</v>
      </c>
      <c r="AF285" s="16"/>
      <c r="AG285" s="16"/>
      <c r="AH285" s="16"/>
      <c r="AI285" s="16"/>
      <c r="AJ285" s="16"/>
      <c r="AK285" s="16"/>
      <c r="AL285" s="16"/>
      <c r="AM285" s="16"/>
    </row>
    <row r="286" spans="2:39">
      <c r="B286" s="14">
        <f t="shared" si="62"/>
        <v>284</v>
      </c>
      <c r="C286" s="14" t="str">
        <f t="shared" ca="1" si="63"/>
        <v>I</v>
      </c>
      <c r="D286" s="14" t="str">
        <f t="shared" ca="1" si="64"/>
        <v>q_51m.2</v>
      </c>
      <c r="E286" s="14" t="str">
        <f t="shared" ca="1" si="61"/>
        <v>How long mild Hockey activity</v>
      </c>
      <c r="F286" s="14">
        <f t="shared" ca="1" si="60"/>
        <v>0</v>
      </c>
      <c r="G286" s="14" t="str">
        <f t="shared" ca="1" si="65"/>
        <v>q_51m.2</v>
      </c>
      <c r="H286" s="14">
        <f ca="1">IF(G286&lt;&gt;"",IFERROR( IsVariableNameLegal(G286),0),0)+IF(COUNTIF(INDIRECT(wew!$C$13),G286)&gt;1,10,0)</f>
        <v>0</v>
      </c>
      <c r="I286" s="14">
        <f ca="1">IF(E286&lt;&gt;"",IF(LEN(E286)&gt;150,1,0)+IF(COUNTIF(INDIRECT(wew!$C$15),E286)&gt;1,10,0),0)</f>
        <v>0</v>
      </c>
      <c r="J286" s="14" t="b">
        <f t="shared" ca="1" si="66"/>
        <v>0</v>
      </c>
      <c r="K286" s="14" t="str">
        <f ca="1">ADDRESS(3,(B286+1)*2-1,4,,"[" &amp; wew!$G$7 &amp; "]" &amp; _sheetname_labels) &amp; ":" &amp; ADDRESS(2+ster!$B$20,(B286+1)*2-1,4)</f>
        <v>'[dane surowe2c.xlsm]labels'!UW3:UW36</v>
      </c>
      <c r="L286" s="14" t="str">
        <f ca="1">IF(F286&gt;0,ADDRESS(3,(B286+1)*2-1,4,,"[" &amp; wew!$G$7 &amp; "]" &amp; _sheetname_labels) &amp; ":" &amp; ADDRESS(2+F286,(B286+1)*2-1,4),"")</f>
        <v/>
      </c>
      <c r="M286" s="14" t="str">
        <f ca="1">IF(F286&gt;0,ADDRESS(3,(B286+1)*2,4,,"["&amp;wew!$G$7&amp;"]"&amp;_sheetname_labels)&amp;":"&amp;ADDRESS(2+F286,(B286+1)*2,4),"")</f>
        <v/>
      </c>
      <c r="N286" s="14" t="str">
        <f ca="1">ADDRESS(3,B286+1,4,,"[" &amp; wew!$G$7 &amp; "]" &amp;_sheetname_dataframe) &amp; ":" &amp; ADDRESS(2+ster!$C$14,B286+1,4)</f>
        <v>'[dane surowe2c.xlsm]data_frame'!JY3:JY35</v>
      </c>
      <c r="O286" s="14">
        <f t="shared" ca="1" si="67"/>
        <v>0</v>
      </c>
      <c r="P286" s="14" t="str">
        <f ca="1">IF(AND($AD286,$S286=1),IF(wew!$B$3,MIN(INDIRECT($N286)),"&lt;włącz podświetlanie wartości&gt;"),"—")</f>
        <v>—</v>
      </c>
      <c r="Q286" s="14" t="str">
        <f ca="1">IF(AND($AD286,$S286=1),IF(wew!$B$3,MAX(INDIRECT($N286)),"&lt;włącz podświetlanie wartości&gt;"),"—")</f>
        <v>—</v>
      </c>
      <c r="R286" s="14">
        <f ca="1">IF(AD286,ster!$C$14- (COUNTIF( INDIRECT(N286),"" )+ COUNT(INDIRECT(N286)) +COUNTIF( INDIRECT(N286),"NA" )),"")</f>
        <v>0</v>
      </c>
      <c r="S286" s="12">
        <f ca="1">IF(AD286,IF(COUNTA(INDIRECT(N286))=0,0, 1-(ster!$C$14- COUNT(INDIRECT(N286)) -COUNTIF( INDIRECT(N286),"" )) /COUNTA(INDIRECT(N286))),"")</f>
        <v>0</v>
      </c>
      <c r="T286" s="17" t="str">
        <f t="array" aca="1" ref="T286" ca="1">IF(L286&lt;&gt;"",SUM(IF(INDIRECT(L286)&lt;&gt;INT(INDIRECT(L286)),1,0)),"")</f>
        <v/>
      </c>
      <c r="U286" s="17" t="str">
        <f t="array" aca="1" ref="U286" ca="1">IF(S286=1,SUM(IF(ISNUMBER(INDIRECT(N286)),IF(INDIRECT(N286)&lt;&gt;INT(INDIRECT(N286)),1,0),0)),"")</f>
        <v/>
      </c>
      <c r="V286" s="17">
        <f t="shared" ca="1" si="68"/>
        <v>0</v>
      </c>
      <c r="W286" s="17">
        <f t="shared" ca="1" si="69"/>
        <v>0</v>
      </c>
      <c r="X286" s="24" t="str">
        <f t="array" aca="1" ref="X286" ca="1">IF(AD286,IF(AG286&lt;&gt;"",AG286,IF(J286,MIN(INDIRECT( K286)),"")),"")</f>
        <v/>
      </c>
      <c r="Y286" s="17" t="str">
        <f t="array" aca="1" ref="Y286" ca="1">IF(AD286,IF(AH286&lt;&gt;"",AH286,IF(J286,MAX(INDIRECT( K286)),"")),"")</f>
        <v/>
      </c>
      <c r="Z286" s="17" t="b">
        <f t="shared" ca="1" si="70"/>
        <v>0</v>
      </c>
      <c r="AC286" s="17" t="b">
        <f t="shared" ca="1" si="71"/>
        <v>0</v>
      </c>
      <c r="AD286" s="14" t="b">
        <f t="shared" ca="1" si="72"/>
        <v>1</v>
      </c>
      <c r="AE286" s="15" t="b">
        <f t="shared" ca="1" si="73"/>
        <v>0</v>
      </c>
      <c r="AF286" s="16"/>
      <c r="AG286" s="16"/>
      <c r="AH286" s="16"/>
      <c r="AI286" s="16"/>
      <c r="AJ286" s="16"/>
      <c r="AK286" s="16"/>
      <c r="AL286" s="16"/>
      <c r="AM286" s="16"/>
    </row>
    <row r="287" spans="2:39">
      <c r="B287" s="14">
        <f t="shared" si="62"/>
        <v>285</v>
      </c>
      <c r="C287" s="14" t="str">
        <f t="shared" ca="1" si="63"/>
        <v>D</v>
      </c>
      <c r="D287" s="14" t="str">
        <f t="shared" ca="1" si="64"/>
        <v>q_51n.1</v>
      </c>
      <c r="E287" s="14" t="str">
        <f t="shared" ca="1" si="61"/>
        <v>Mild Rowing activity</v>
      </c>
      <c r="F287" s="14">
        <f t="shared" ca="1" si="60"/>
        <v>2</v>
      </c>
      <c r="G287" s="14" t="str">
        <f t="shared" ca="1" si="65"/>
        <v>q_51n.1</v>
      </c>
      <c r="H287" s="14">
        <f ca="1">IF(G287&lt;&gt;"",IFERROR( IsVariableNameLegal(G287),0),0)+IF(COUNTIF(INDIRECT(wew!$C$13),G287)&gt;1,10,0)</f>
        <v>0</v>
      </c>
      <c r="I287" s="14">
        <f ca="1">IF(E287&lt;&gt;"",IF(LEN(E287)&gt;150,1,0)+IF(COUNTIF(INDIRECT(wew!$C$15),E287)&gt;1,10,0),0)</f>
        <v>0</v>
      </c>
      <c r="J287" s="14" t="b">
        <f t="shared" ca="1" si="66"/>
        <v>1</v>
      </c>
      <c r="K287" s="14" t="str">
        <f ca="1">ADDRESS(3,(B287+1)*2-1,4,,"[" &amp; wew!$G$7 &amp; "]" &amp; _sheetname_labels) &amp; ":" &amp; ADDRESS(2+ster!$B$20,(B287+1)*2-1,4)</f>
        <v>'[dane surowe2c.xlsm]labels'!UY3:UY36</v>
      </c>
      <c r="L287" s="14" t="str">
        <f ca="1">IF(F287&gt;0,ADDRESS(3,(B287+1)*2-1,4,,"[" &amp; wew!$G$7 &amp; "]" &amp; _sheetname_labels) &amp; ":" &amp; ADDRESS(2+F287,(B287+1)*2-1,4),"")</f>
        <v>'[dane surowe2c.xlsm]labels'!UY3:UY4</v>
      </c>
      <c r="M287" s="14" t="str">
        <f ca="1">IF(F287&gt;0,ADDRESS(3,(B287+1)*2,4,,"["&amp;wew!$G$7&amp;"]"&amp;_sheetname_labels)&amp;":"&amp;ADDRESS(2+F287,(B287+1)*2,4),"")</f>
        <v>'[dane surowe2c.xlsm]labels'!UZ3:UZ4</v>
      </c>
      <c r="N287" s="14" t="str">
        <f ca="1">ADDRESS(3,B287+1,4,,"[" &amp; wew!$G$7 &amp; "]" &amp;_sheetname_dataframe) &amp; ":" &amp; ADDRESS(2+ster!$C$14,B287+1,4)</f>
        <v>'[dane surowe2c.xlsm]data_frame'!JZ3:JZ35</v>
      </c>
      <c r="O287" s="14">
        <f t="shared" ca="1" si="67"/>
        <v>32</v>
      </c>
      <c r="P287" s="14">
        <f ca="1">IF(AND($AD287,$S287=1),IF(wew!$B$3,MIN(INDIRECT($N287)),"&lt;włącz podświetlanie wartości&gt;"),"—")</f>
        <v>2</v>
      </c>
      <c r="Q287" s="14">
        <f ca="1">IF(AND($AD287,$S287=1),IF(wew!$B$3,MAX(INDIRECT($N287)),"&lt;włącz podświetlanie wartości&gt;"),"—")</f>
        <v>2</v>
      </c>
      <c r="R287" s="14">
        <f ca="1">IF(AD287,ster!$C$14- (COUNTIF( INDIRECT(N287),"" )+ COUNT(INDIRECT(N287)) +COUNTIF( INDIRECT(N287),"NA" )),"")</f>
        <v>0</v>
      </c>
      <c r="S287" s="12">
        <f ca="1">IF(AD287,IF(COUNTA(INDIRECT(N287))=0,0, 1-(ster!$C$14- COUNT(INDIRECT(N287)) -COUNTIF( INDIRECT(N287),"" )) /COUNTA(INDIRECT(N287))),"")</f>
        <v>1</v>
      </c>
      <c r="T287" s="17">
        <f t="array" aca="1" ref="T287" ca="1">IF(L287&lt;&gt;"",SUM(IF(INDIRECT(L287)&lt;&gt;INT(INDIRECT(L287)),1,0)),"")</f>
        <v>0</v>
      </c>
      <c r="U287" s="17">
        <f t="array" aca="1" ref="U287" ca="1">IF(S287=1,SUM(IF(ISNUMBER(INDIRECT(N287)),IF(INDIRECT(N287)&lt;&gt;INT(INDIRECT(N287)),1,0),0)),"")</f>
        <v>0</v>
      </c>
      <c r="V287" s="17">
        <f t="shared" ca="1" si="68"/>
        <v>1</v>
      </c>
      <c r="W287" s="17">
        <f t="shared" ca="1" si="69"/>
        <v>0</v>
      </c>
      <c r="X287" s="24">
        <f t="array" aca="1" ref="X287" ca="1">IF(AD287,IF(AG287&lt;&gt;"",AG287,IF(J287,MIN(INDIRECT( K287)),"")),"")</f>
        <v>1</v>
      </c>
      <c r="Y287" s="17">
        <f t="array" aca="1" ref="Y287" ca="1">IF(AD287,IF(AH287&lt;&gt;"",AH287,IF(J287,MAX(INDIRECT( K287)),"")),"")</f>
        <v>2</v>
      </c>
      <c r="Z287" s="17" t="b">
        <f t="shared" ca="1" si="70"/>
        <v>1</v>
      </c>
      <c r="AC287" s="17" t="b">
        <f t="shared" ca="1" si="71"/>
        <v>0</v>
      </c>
      <c r="AD287" s="14" t="b">
        <f t="shared" ca="1" si="72"/>
        <v>1</v>
      </c>
      <c r="AE287" s="15" t="b">
        <f t="shared" ca="1" si="73"/>
        <v>1</v>
      </c>
      <c r="AF287" s="16"/>
      <c r="AG287" s="16"/>
      <c r="AH287" s="16"/>
      <c r="AI287" s="16"/>
      <c r="AJ287" s="16"/>
      <c r="AK287" s="16"/>
      <c r="AL287" s="16"/>
      <c r="AM287" s="16"/>
    </row>
    <row r="288" spans="2:39">
      <c r="B288" s="14">
        <f t="shared" si="62"/>
        <v>286</v>
      </c>
      <c r="C288" s="14" t="str">
        <f t="shared" ca="1" si="63"/>
        <v>I</v>
      </c>
      <c r="D288" s="14" t="str">
        <f t="shared" ca="1" si="64"/>
        <v>q_51n.2</v>
      </c>
      <c r="E288" s="14" t="str">
        <f t="shared" ca="1" si="61"/>
        <v>How long mild Rowing activity</v>
      </c>
      <c r="F288" s="14">
        <f t="shared" ca="1" si="60"/>
        <v>0</v>
      </c>
      <c r="G288" s="14" t="str">
        <f t="shared" ca="1" si="65"/>
        <v>q_51n.2</v>
      </c>
      <c r="H288" s="14">
        <f ca="1">IF(G288&lt;&gt;"",IFERROR( IsVariableNameLegal(G288),0),0)+IF(COUNTIF(INDIRECT(wew!$C$13),G288)&gt;1,10,0)</f>
        <v>0</v>
      </c>
      <c r="I288" s="14">
        <f ca="1">IF(E288&lt;&gt;"",IF(LEN(E288)&gt;150,1,0)+IF(COUNTIF(INDIRECT(wew!$C$15),E288)&gt;1,10,0),0)</f>
        <v>0</v>
      </c>
      <c r="J288" s="14" t="b">
        <f t="shared" ca="1" si="66"/>
        <v>0</v>
      </c>
      <c r="K288" s="14" t="str">
        <f ca="1">ADDRESS(3,(B288+1)*2-1,4,,"[" &amp; wew!$G$7 &amp; "]" &amp; _sheetname_labels) &amp; ":" &amp; ADDRESS(2+ster!$B$20,(B288+1)*2-1,4)</f>
        <v>'[dane surowe2c.xlsm]labels'!VA3:VA36</v>
      </c>
      <c r="L288" s="14" t="str">
        <f ca="1">IF(F288&gt;0,ADDRESS(3,(B288+1)*2-1,4,,"[" &amp; wew!$G$7 &amp; "]" &amp; _sheetname_labels) &amp; ":" &amp; ADDRESS(2+F288,(B288+1)*2-1,4),"")</f>
        <v/>
      </c>
      <c r="M288" s="14" t="str">
        <f ca="1">IF(F288&gt;0,ADDRESS(3,(B288+1)*2,4,,"["&amp;wew!$G$7&amp;"]"&amp;_sheetname_labels)&amp;":"&amp;ADDRESS(2+F288,(B288+1)*2,4),"")</f>
        <v/>
      </c>
      <c r="N288" s="14" t="str">
        <f ca="1">ADDRESS(3,B288+1,4,,"[" &amp; wew!$G$7 &amp; "]" &amp;_sheetname_dataframe) &amp; ":" &amp; ADDRESS(2+ster!$C$14,B288+1,4)</f>
        <v>'[dane surowe2c.xlsm]data_frame'!KA3:KA35</v>
      </c>
      <c r="O288" s="14">
        <f t="shared" ca="1" si="67"/>
        <v>0</v>
      </c>
      <c r="P288" s="14" t="str">
        <f ca="1">IF(AND($AD288,$S288=1),IF(wew!$B$3,MIN(INDIRECT($N288)),"&lt;włącz podświetlanie wartości&gt;"),"—")</f>
        <v>—</v>
      </c>
      <c r="Q288" s="14" t="str">
        <f ca="1">IF(AND($AD288,$S288=1),IF(wew!$B$3,MAX(INDIRECT($N288)),"&lt;włącz podświetlanie wartości&gt;"),"—")</f>
        <v>—</v>
      </c>
      <c r="R288" s="14">
        <f ca="1">IF(AD288,ster!$C$14- (COUNTIF( INDIRECT(N288),"" )+ COUNT(INDIRECT(N288)) +COUNTIF( INDIRECT(N288),"NA" )),"")</f>
        <v>0</v>
      </c>
      <c r="S288" s="12">
        <f ca="1">IF(AD288,IF(COUNTA(INDIRECT(N288))=0,0, 1-(ster!$C$14- COUNT(INDIRECT(N288)) -COUNTIF( INDIRECT(N288),"" )) /COUNTA(INDIRECT(N288))),"")</f>
        <v>0</v>
      </c>
      <c r="T288" s="17" t="str">
        <f t="array" aca="1" ref="T288" ca="1">IF(L288&lt;&gt;"",SUM(IF(INDIRECT(L288)&lt;&gt;INT(INDIRECT(L288)),1,0)),"")</f>
        <v/>
      </c>
      <c r="U288" s="17" t="str">
        <f t="array" aca="1" ref="U288" ca="1">IF(S288=1,SUM(IF(ISNUMBER(INDIRECT(N288)),IF(INDIRECT(N288)&lt;&gt;INT(INDIRECT(N288)),1,0),0)),"")</f>
        <v/>
      </c>
      <c r="V288" s="17">
        <f t="shared" ca="1" si="68"/>
        <v>0</v>
      </c>
      <c r="W288" s="17">
        <f t="shared" ca="1" si="69"/>
        <v>0</v>
      </c>
      <c r="X288" s="24" t="str">
        <f t="array" aca="1" ref="X288" ca="1">IF(AD288,IF(AG288&lt;&gt;"",AG288,IF(J288,MIN(INDIRECT( K288)),"")),"")</f>
        <v/>
      </c>
      <c r="Y288" s="17" t="str">
        <f t="array" aca="1" ref="Y288" ca="1">IF(AD288,IF(AH288&lt;&gt;"",AH288,IF(J288,MAX(INDIRECT( K288)),"")),"")</f>
        <v/>
      </c>
      <c r="Z288" s="17" t="b">
        <f t="shared" ca="1" si="70"/>
        <v>0</v>
      </c>
      <c r="AC288" s="17" t="b">
        <f t="shared" ca="1" si="71"/>
        <v>0</v>
      </c>
      <c r="AD288" s="14" t="b">
        <f t="shared" ca="1" si="72"/>
        <v>1</v>
      </c>
      <c r="AE288" s="15" t="b">
        <f t="shared" ca="1" si="73"/>
        <v>0</v>
      </c>
      <c r="AF288" s="16"/>
      <c r="AG288" s="16"/>
      <c r="AH288" s="16"/>
      <c r="AI288" s="16"/>
      <c r="AJ288" s="16"/>
      <c r="AK288" s="16"/>
      <c r="AL288" s="16"/>
      <c r="AM288" s="16"/>
    </row>
    <row r="289" spans="2:39">
      <c r="B289" s="14">
        <f t="shared" si="62"/>
        <v>287</v>
      </c>
      <c r="C289" s="14" t="str">
        <f t="shared" ca="1" si="63"/>
        <v>D</v>
      </c>
      <c r="D289" s="14" t="str">
        <f t="shared" ca="1" si="64"/>
        <v>q_51o.1</v>
      </c>
      <c r="E289" s="14" t="str">
        <f t="shared" ca="1" si="61"/>
        <v>Mild Rugby activity</v>
      </c>
      <c r="F289" s="14">
        <f t="shared" ca="1" si="60"/>
        <v>2</v>
      </c>
      <c r="G289" s="14" t="str">
        <f t="shared" ca="1" si="65"/>
        <v>q_51o.1</v>
      </c>
      <c r="H289" s="14">
        <f ca="1">IF(G289&lt;&gt;"",IFERROR( IsVariableNameLegal(G289),0),0)+IF(COUNTIF(INDIRECT(wew!$C$13),G289)&gt;1,10,0)</f>
        <v>0</v>
      </c>
      <c r="I289" s="14">
        <f ca="1">IF(E289&lt;&gt;"",IF(LEN(E289)&gt;150,1,0)+IF(COUNTIF(INDIRECT(wew!$C$15),E289)&gt;1,10,0),0)</f>
        <v>0</v>
      </c>
      <c r="J289" s="14" t="b">
        <f t="shared" ca="1" si="66"/>
        <v>1</v>
      </c>
      <c r="K289" s="14" t="str">
        <f ca="1">ADDRESS(3,(B289+1)*2-1,4,,"[" &amp; wew!$G$7 &amp; "]" &amp; _sheetname_labels) &amp; ":" &amp; ADDRESS(2+ster!$B$20,(B289+1)*2-1,4)</f>
        <v>'[dane surowe2c.xlsm]labels'!VC3:VC36</v>
      </c>
      <c r="L289" s="14" t="str">
        <f ca="1">IF(F289&gt;0,ADDRESS(3,(B289+1)*2-1,4,,"[" &amp; wew!$G$7 &amp; "]" &amp; _sheetname_labels) &amp; ":" &amp; ADDRESS(2+F289,(B289+1)*2-1,4),"")</f>
        <v>'[dane surowe2c.xlsm]labels'!VC3:VC4</v>
      </c>
      <c r="M289" s="14" t="str">
        <f ca="1">IF(F289&gt;0,ADDRESS(3,(B289+1)*2,4,,"["&amp;wew!$G$7&amp;"]"&amp;_sheetname_labels)&amp;":"&amp;ADDRESS(2+F289,(B289+1)*2,4),"")</f>
        <v>'[dane surowe2c.xlsm]labels'!VD3:VD4</v>
      </c>
      <c r="N289" s="14" t="str">
        <f ca="1">ADDRESS(3,B289+1,4,,"[" &amp; wew!$G$7 &amp; "]" &amp;_sheetname_dataframe) &amp; ":" &amp; ADDRESS(2+ster!$C$14,B289+1,4)</f>
        <v>'[dane surowe2c.xlsm]data_frame'!KB3:KB35</v>
      </c>
      <c r="O289" s="14">
        <f t="shared" ca="1" si="67"/>
        <v>32</v>
      </c>
      <c r="P289" s="14">
        <f ca="1">IF(AND($AD289,$S289=1),IF(wew!$B$3,MIN(INDIRECT($N289)),"&lt;włącz podświetlanie wartości&gt;"),"—")</f>
        <v>2</v>
      </c>
      <c r="Q289" s="14">
        <f ca="1">IF(AND($AD289,$S289=1),IF(wew!$B$3,MAX(INDIRECT($N289)),"&lt;włącz podświetlanie wartości&gt;"),"—")</f>
        <v>2</v>
      </c>
      <c r="R289" s="14">
        <f ca="1">IF(AD289,ster!$C$14- (COUNTIF( INDIRECT(N289),"" )+ COUNT(INDIRECT(N289)) +COUNTIF( INDIRECT(N289),"NA" )),"")</f>
        <v>0</v>
      </c>
      <c r="S289" s="12">
        <f ca="1">IF(AD289,IF(COUNTA(INDIRECT(N289))=0,0, 1-(ster!$C$14- COUNT(INDIRECT(N289)) -COUNTIF( INDIRECT(N289),"" )) /COUNTA(INDIRECT(N289))),"")</f>
        <v>1</v>
      </c>
      <c r="T289" s="17">
        <f t="array" aca="1" ref="T289" ca="1">IF(L289&lt;&gt;"",SUM(IF(INDIRECT(L289)&lt;&gt;INT(INDIRECT(L289)),1,0)),"")</f>
        <v>0</v>
      </c>
      <c r="U289" s="17">
        <f t="array" aca="1" ref="U289" ca="1">IF(S289=1,SUM(IF(ISNUMBER(INDIRECT(N289)),IF(INDIRECT(N289)&lt;&gt;INT(INDIRECT(N289)),1,0),0)),"")</f>
        <v>0</v>
      </c>
      <c r="V289" s="17">
        <f t="shared" ca="1" si="68"/>
        <v>1</v>
      </c>
      <c r="W289" s="17">
        <f t="shared" ca="1" si="69"/>
        <v>0</v>
      </c>
      <c r="X289" s="24">
        <f t="array" aca="1" ref="X289" ca="1">IF(AD289,IF(AG289&lt;&gt;"",AG289,IF(J289,MIN(INDIRECT( K289)),"")),"")</f>
        <v>1</v>
      </c>
      <c r="Y289" s="17">
        <f t="array" aca="1" ref="Y289" ca="1">IF(AD289,IF(AH289&lt;&gt;"",AH289,IF(J289,MAX(INDIRECT( K289)),"")),"")</f>
        <v>2</v>
      </c>
      <c r="Z289" s="17" t="b">
        <f t="shared" ca="1" si="70"/>
        <v>1</v>
      </c>
      <c r="AC289" s="17" t="b">
        <f t="shared" ca="1" si="71"/>
        <v>0</v>
      </c>
      <c r="AD289" s="14" t="b">
        <f t="shared" ca="1" si="72"/>
        <v>1</v>
      </c>
      <c r="AE289" s="15" t="b">
        <f t="shared" ca="1" si="73"/>
        <v>1</v>
      </c>
      <c r="AF289" s="16"/>
      <c r="AG289" s="16"/>
      <c r="AH289" s="16"/>
      <c r="AI289" s="16"/>
      <c r="AJ289" s="16"/>
      <c r="AK289" s="16"/>
      <c r="AL289" s="16"/>
      <c r="AM289" s="16"/>
    </row>
    <row r="290" spans="2:39">
      <c r="B290" s="14">
        <f t="shared" si="62"/>
        <v>288</v>
      </c>
      <c r="C290" s="14" t="str">
        <f t="shared" ca="1" si="63"/>
        <v>I</v>
      </c>
      <c r="D290" s="14" t="str">
        <f t="shared" ca="1" si="64"/>
        <v>q_51o.2</v>
      </c>
      <c r="E290" s="14" t="str">
        <f t="shared" ca="1" si="61"/>
        <v>How long mild Rugby activity</v>
      </c>
      <c r="F290" s="14">
        <f t="shared" ca="1" si="60"/>
        <v>0</v>
      </c>
      <c r="G290" s="14" t="str">
        <f t="shared" ca="1" si="65"/>
        <v>q_51o.2</v>
      </c>
      <c r="H290" s="14">
        <f ca="1">IF(G290&lt;&gt;"",IFERROR( IsVariableNameLegal(G290),0),0)+IF(COUNTIF(INDIRECT(wew!$C$13),G290)&gt;1,10,0)</f>
        <v>0</v>
      </c>
      <c r="I290" s="14">
        <f ca="1">IF(E290&lt;&gt;"",IF(LEN(E290)&gt;150,1,0)+IF(COUNTIF(INDIRECT(wew!$C$15),E290)&gt;1,10,0),0)</f>
        <v>0</v>
      </c>
      <c r="J290" s="14" t="b">
        <f t="shared" ca="1" si="66"/>
        <v>0</v>
      </c>
      <c r="K290" s="14" t="str">
        <f ca="1">ADDRESS(3,(B290+1)*2-1,4,,"[" &amp; wew!$G$7 &amp; "]" &amp; _sheetname_labels) &amp; ":" &amp; ADDRESS(2+ster!$B$20,(B290+1)*2-1,4)</f>
        <v>'[dane surowe2c.xlsm]labels'!VE3:VE36</v>
      </c>
      <c r="L290" s="14" t="str">
        <f ca="1">IF(F290&gt;0,ADDRESS(3,(B290+1)*2-1,4,,"[" &amp; wew!$G$7 &amp; "]" &amp; _sheetname_labels) &amp; ":" &amp; ADDRESS(2+F290,(B290+1)*2-1,4),"")</f>
        <v/>
      </c>
      <c r="M290" s="14" t="str">
        <f ca="1">IF(F290&gt;0,ADDRESS(3,(B290+1)*2,4,,"["&amp;wew!$G$7&amp;"]"&amp;_sheetname_labels)&amp;":"&amp;ADDRESS(2+F290,(B290+1)*2,4),"")</f>
        <v/>
      </c>
      <c r="N290" s="14" t="str">
        <f ca="1">ADDRESS(3,B290+1,4,,"[" &amp; wew!$G$7 &amp; "]" &amp;_sheetname_dataframe) &amp; ":" &amp; ADDRESS(2+ster!$C$14,B290+1,4)</f>
        <v>'[dane surowe2c.xlsm]data_frame'!KC3:KC35</v>
      </c>
      <c r="O290" s="14">
        <f t="shared" ca="1" si="67"/>
        <v>0</v>
      </c>
      <c r="P290" s="14" t="str">
        <f ca="1">IF(AND($AD290,$S290=1),IF(wew!$B$3,MIN(INDIRECT($N290)),"&lt;włącz podświetlanie wartości&gt;"),"—")</f>
        <v>—</v>
      </c>
      <c r="Q290" s="14" t="str">
        <f ca="1">IF(AND($AD290,$S290=1),IF(wew!$B$3,MAX(INDIRECT($N290)),"&lt;włącz podświetlanie wartości&gt;"),"—")</f>
        <v>—</v>
      </c>
      <c r="R290" s="14">
        <f ca="1">IF(AD290,ster!$C$14- (COUNTIF( INDIRECT(N290),"" )+ COUNT(INDIRECT(N290)) +COUNTIF( INDIRECT(N290),"NA" )),"")</f>
        <v>0</v>
      </c>
      <c r="S290" s="12">
        <f ca="1">IF(AD290,IF(COUNTA(INDIRECT(N290))=0,0, 1-(ster!$C$14- COUNT(INDIRECT(N290)) -COUNTIF( INDIRECT(N290),"" )) /COUNTA(INDIRECT(N290))),"")</f>
        <v>0</v>
      </c>
      <c r="T290" s="17" t="str">
        <f t="array" aca="1" ref="T290" ca="1">IF(L290&lt;&gt;"",SUM(IF(INDIRECT(L290)&lt;&gt;INT(INDIRECT(L290)),1,0)),"")</f>
        <v/>
      </c>
      <c r="U290" s="17" t="str">
        <f t="array" aca="1" ref="U290" ca="1">IF(S290=1,SUM(IF(ISNUMBER(INDIRECT(N290)),IF(INDIRECT(N290)&lt;&gt;INT(INDIRECT(N290)),1,0),0)),"")</f>
        <v/>
      </c>
      <c r="V290" s="17">
        <f t="shared" ca="1" si="68"/>
        <v>0</v>
      </c>
      <c r="W290" s="17">
        <f t="shared" ca="1" si="69"/>
        <v>0</v>
      </c>
      <c r="X290" s="24" t="str">
        <f t="array" aca="1" ref="X290" ca="1">IF(AD290,IF(AG290&lt;&gt;"",AG290,IF(J290,MIN(INDIRECT( K290)),"")),"")</f>
        <v/>
      </c>
      <c r="Y290" s="17" t="str">
        <f t="array" aca="1" ref="Y290" ca="1">IF(AD290,IF(AH290&lt;&gt;"",AH290,IF(J290,MAX(INDIRECT( K290)),"")),"")</f>
        <v/>
      </c>
      <c r="Z290" s="17" t="b">
        <f t="shared" ca="1" si="70"/>
        <v>0</v>
      </c>
      <c r="AC290" s="17" t="b">
        <f t="shared" ca="1" si="71"/>
        <v>0</v>
      </c>
      <c r="AD290" s="14" t="b">
        <f t="shared" ca="1" si="72"/>
        <v>1</v>
      </c>
      <c r="AE290" s="15" t="b">
        <f t="shared" ca="1" si="73"/>
        <v>0</v>
      </c>
      <c r="AF290" s="16"/>
      <c r="AG290" s="16"/>
      <c r="AH290" s="16"/>
      <c r="AI290" s="16"/>
      <c r="AJ290" s="16"/>
      <c r="AK290" s="16"/>
      <c r="AL290" s="16"/>
      <c r="AM290" s="16"/>
    </row>
    <row r="291" spans="2:39">
      <c r="B291" s="14">
        <f t="shared" si="62"/>
        <v>289</v>
      </c>
      <c r="C291" s="14" t="str">
        <f t="shared" ca="1" si="63"/>
        <v>D</v>
      </c>
      <c r="D291" s="14" t="str">
        <f t="shared" ca="1" si="64"/>
        <v>q_51p.1</v>
      </c>
      <c r="E291" s="14" t="str">
        <f t="shared" ca="1" si="61"/>
        <v>Mild Running activity</v>
      </c>
      <c r="F291" s="14">
        <f t="shared" ref="F291:F354" ca="1" si="74">IF(AD291,COUNT(INDIRECT(K291)),0)</f>
        <v>2</v>
      </c>
      <c r="G291" s="14" t="str">
        <f t="shared" ca="1" si="65"/>
        <v>q_51p.1</v>
      </c>
      <c r="H291" s="14">
        <f ca="1">IF(G291&lt;&gt;"",IFERROR( IsVariableNameLegal(G291),0),0)+IF(COUNTIF(INDIRECT(wew!$C$13),G291)&gt;1,10,0)</f>
        <v>0</v>
      </c>
      <c r="I291" s="14">
        <f ca="1">IF(E291&lt;&gt;"",IF(LEN(E291)&gt;150,1,0)+IF(COUNTIF(INDIRECT(wew!$C$15),E291)&gt;1,10,0),0)</f>
        <v>0</v>
      </c>
      <c r="J291" s="14" t="b">
        <f t="shared" ca="1" si="66"/>
        <v>1</v>
      </c>
      <c r="K291" s="14" t="str">
        <f ca="1">ADDRESS(3,(B291+1)*2-1,4,,"[" &amp; wew!$G$7 &amp; "]" &amp; _sheetname_labels) &amp; ":" &amp; ADDRESS(2+ster!$B$20,(B291+1)*2-1,4)</f>
        <v>'[dane surowe2c.xlsm]labels'!VG3:VG36</v>
      </c>
      <c r="L291" s="14" t="str">
        <f ca="1">IF(F291&gt;0,ADDRESS(3,(B291+1)*2-1,4,,"[" &amp; wew!$G$7 &amp; "]" &amp; _sheetname_labels) &amp; ":" &amp; ADDRESS(2+F291,(B291+1)*2-1,4),"")</f>
        <v>'[dane surowe2c.xlsm]labels'!VG3:VG4</v>
      </c>
      <c r="M291" s="14" t="str">
        <f ca="1">IF(F291&gt;0,ADDRESS(3,(B291+1)*2,4,,"["&amp;wew!$G$7&amp;"]"&amp;_sheetname_labels)&amp;":"&amp;ADDRESS(2+F291,(B291+1)*2,4),"")</f>
        <v>'[dane surowe2c.xlsm]labels'!VH3:VH4</v>
      </c>
      <c r="N291" s="14" t="str">
        <f ca="1">ADDRESS(3,B291+1,4,,"[" &amp; wew!$G$7 &amp; "]" &amp;_sheetname_dataframe) &amp; ":" &amp; ADDRESS(2+ster!$C$14,B291+1,4)</f>
        <v>'[dane surowe2c.xlsm]data_frame'!KD3:KD35</v>
      </c>
      <c r="O291" s="14">
        <f t="shared" ca="1" si="67"/>
        <v>32</v>
      </c>
      <c r="P291" s="14">
        <f ca="1">IF(AND($AD291,$S291=1),IF(wew!$B$3,MIN(INDIRECT($N291)),"&lt;włącz podświetlanie wartości&gt;"),"—")</f>
        <v>2</v>
      </c>
      <c r="Q291" s="14">
        <f ca="1">IF(AND($AD291,$S291=1),IF(wew!$B$3,MAX(INDIRECT($N291)),"&lt;włącz podświetlanie wartości&gt;"),"—")</f>
        <v>2</v>
      </c>
      <c r="R291" s="14">
        <f ca="1">IF(AD291,ster!$C$14- (COUNTIF( INDIRECT(N291),"" )+ COUNT(INDIRECT(N291)) +COUNTIF( INDIRECT(N291),"NA" )),"")</f>
        <v>0</v>
      </c>
      <c r="S291" s="12">
        <f ca="1">IF(AD291,IF(COUNTA(INDIRECT(N291))=0,0, 1-(ster!$C$14- COUNT(INDIRECT(N291)) -COUNTIF( INDIRECT(N291),"" )) /COUNTA(INDIRECT(N291))),"")</f>
        <v>1</v>
      </c>
      <c r="T291" s="17">
        <f t="array" aca="1" ref="T291" ca="1">IF(L291&lt;&gt;"",SUM(IF(INDIRECT(L291)&lt;&gt;INT(INDIRECT(L291)),1,0)),"")</f>
        <v>0</v>
      </c>
      <c r="U291" s="17">
        <f t="array" aca="1" ref="U291" ca="1">IF(S291=1,SUM(IF(ISNUMBER(INDIRECT(N291)),IF(INDIRECT(N291)&lt;&gt;INT(INDIRECT(N291)),1,0),0)),"")</f>
        <v>0</v>
      </c>
      <c r="V291" s="17">
        <f t="shared" ca="1" si="68"/>
        <v>1</v>
      </c>
      <c r="W291" s="17">
        <f t="shared" ca="1" si="69"/>
        <v>0</v>
      </c>
      <c r="X291" s="24">
        <f t="array" aca="1" ref="X291" ca="1">IF(AD291,IF(AG291&lt;&gt;"",AG291,IF(J291,MIN(INDIRECT( K291)),"")),"")</f>
        <v>1</v>
      </c>
      <c r="Y291" s="17">
        <f t="array" aca="1" ref="Y291" ca="1">IF(AD291,IF(AH291&lt;&gt;"",AH291,IF(J291,MAX(INDIRECT( K291)),"")),"")</f>
        <v>2</v>
      </c>
      <c r="Z291" s="17" t="b">
        <f t="shared" ca="1" si="70"/>
        <v>1</v>
      </c>
      <c r="AC291" s="17" t="b">
        <f t="shared" ca="1" si="71"/>
        <v>0</v>
      </c>
      <c r="AD291" s="14" t="b">
        <f t="shared" ca="1" si="72"/>
        <v>1</v>
      </c>
      <c r="AE291" s="15" t="b">
        <f t="shared" ca="1" si="73"/>
        <v>1</v>
      </c>
      <c r="AF291" s="16"/>
      <c r="AG291" s="16"/>
      <c r="AH291" s="16"/>
      <c r="AI291" s="16"/>
      <c r="AJ291" s="16"/>
      <c r="AK291" s="16"/>
      <c r="AL291" s="16"/>
      <c r="AM291" s="16"/>
    </row>
    <row r="292" spans="2:39">
      <c r="B292" s="14">
        <f t="shared" si="62"/>
        <v>290</v>
      </c>
      <c r="C292" s="14" t="str">
        <f t="shared" ca="1" si="63"/>
        <v>I</v>
      </c>
      <c r="D292" s="14" t="str">
        <f t="shared" ca="1" si="64"/>
        <v>q_51p.2</v>
      </c>
      <c r="E292" s="14" t="str">
        <f t="shared" ca="1" si="61"/>
        <v>How long mild Running activity</v>
      </c>
      <c r="F292" s="14">
        <f t="shared" ca="1" si="74"/>
        <v>0</v>
      </c>
      <c r="G292" s="14" t="str">
        <f t="shared" ca="1" si="65"/>
        <v>q_51p.2</v>
      </c>
      <c r="H292" s="14">
        <f ca="1">IF(G292&lt;&gt;"",IFERROR( IsVariableNameLegal(G292),0),0)+IF(COUNTIF(INDIRECT(wew!$C$13),G292)&gt;1,10,0)</f>
        <v>0</v>
      </c>
      <c r="I292" s="14">
        <f ca="1">IF(E292&lt;&gt;"",IF(LEN(E292)&gt;150,1,0)+IF(COUNTIF(INDIRECT(wew!$C$15),E292)&gt;1,10,0),0)</f>
        <v>0</v>
      </c>
      <c r="J292" s="14" t="b">
        <f t="shared" ca="1" si="66"/>
        <v>0</v>
      </c>
      <c r="K292" s="14" t="str">
        <f ca="1">ADDRESS(3,(B292+1)*2-1,4,,"[" &amp; wew!$G$7 &amp; "]" &amp; _sheetname_labels) &amp; ":" &amp; ADDRESS(2+ster!$B$20,(B292+1)*2-1,4)</f>
        <v>'[dane surowe2c.xlsm]labels'!VI3:VI36</v>
      </c>
      <c r="L292" s="14" t="str">
        <f ca="1">IF(F292&gt;0,ADDRESS(3,(B292+1)*2-1,4,,"[" &amp; wew!$G$7 &amp; "]" &amp; _sheetname_labels) &amp; ":" &amp; ADDRESS(2+F292,(B292+1)*2-1,4),"")</f>
        <v/>
      </c>
      <c r="M292" s="14" t="str">
        <f ca="1">IF(F292&gt;0,ADDRESS(3,(B292+1)*2,4,,"["&amp;wew!$G$7&amp;"]"&amp;_sheetname_labels)&amp;":"&amp;ADDRESS(2+F292,(B292+1)*2,4),"")</f>
        <v/>
      </c>
      <c r="N292" s="14" t="str">
        <f ca="1">ADDRESS(3,B292+1,4,,"[" &amp; wew!$G$7 &amp; "]" &amp;_sheetname_dataframe) &amp; ":" &amp; ADDRESS(2+ster!$C$14,B292+1,4)</f>
        <v>'[dane surowe2c.xlsm]data_frame'!KE3:KE35</v>
      </c>
      <c r="O292" s="14">
        <f t="shared" ca="1" si="67"/>
        <v>0</v>
      </c>
      <c r="P292" s="14" t="str">
        <f ca="1">IF(AND($AD292,$S292=1),IF(wew!$B$3,MIN(INDIRECT($N292)),"&lt;włącz podświetlanie wartości&gt;"),"—")</f>
        <v>—</v>
      </c>
      <c r="Q292" s="14" t="str">
        <f ca="1">IF(AND($AD292,$S292=1),IF(wew!$B$3,MAX(INDIRECT($N292)),"&lt;włącz podświetlanie wartości&gt;"),"—")</f>
        <v>—</v>
      </c>
      <c r="R292" s="14">
        <f ca="1">IF(AD292,ster!$C$14- (COUNTIF( INDIRECT(N292),"" )+ COUNT(INDIRECT(N292)) +COUNTIF( INDIRECT(N292),"NA" )),"")</f>
        <v>0</v>
      </c>
      <c r="S292" s="12">
        <f ca="1">IF(AD292,IF(COUNTA(INDIRECT(N292))=0,0, 1-(ster!$C$14- COUNT(INDIRECT(N292)) -COUNTIF( INDIRECT(N292),"" )) /COUNTA(INDIRECT(N292))),"")</f>
        <v>0</v>
      </c>
      <c r="T292" s="17" t="str">
        <f t="array" aca="1" ref="T292" ca="1">IF(L292&lt;&gt;"",SUM(IF(INDIRECT(L292)&lt;&gt;INT(INDIRECT(L292)),1,0)),"")</f>
        <v/>
      </c>
      <c r="U292" s="17" t="str">
        <f t="array" aca="1" ref="U292" ca="1">IF(S292=1,SUM(IF(ISNUMBER(INDIRECT(N292)),IF(INDIRECT(N292)&lt;&gt;INT(INDIRECT(N292)),1,0),0)),"")</f>
        <v/>
      </c>
      <c r="V292" s="17">
        <f t="shared" ca="1" si="68"/>
        <v>0</v>
      </c>
      <c r="W292" s="17">
        <f t="shared" ca="1" si="69"/>
        <v>0</v>
      </c>
      <c r="X292" s="24" t="str">
        <f t="array" aca="1" ref="X292" ca="1">IF(AD292,IF(AG292&lt;&gt;"",AG292,IF(J292,MIN(INDIRECT( K292)),"")),"")</f>
        <v/>
      </c>
      <c r="Y292" s="17" t="str">
        <f t="array" aca="1" ref="Y292" ca="1">IF(AD292,IF(AH292&lt;&gt;"",AH292,IF(J292,MAX(INDIRECT( K292)),"")),"")</f>
        <v/>
      </c>
      <c r="Z292" s="17" t="b">
        <f t="shared" ca="1" si="70"/>
        <v>0</v>
      </c>
      <c r="AC292" s="17" t="b">
        <f t="shared" ca="1" si="71"/>
        <v>0</v>
      </c>
      <c r="AD292" s="14" t="b">
        <f t="shared" ca="1" si="72"/>
        <v>1</v>
      </c>
      <c r="AE292" s="15" t="b">
        <f t="shared" ca="1" si="73"/>
        <v>0</v>
      </c>
      <c r="AF292" s="16"/>
      <c r="AG292" s="16"/>
      <c r="AH292" s="16"/>
      <c r="AI292" s="16"/>
      <c r="AJ292" s="16"/>
      <c r="AK292" s="16"/>
      <c r="AL292" s="16"/>
      <c r="AM292" s="16"/>
    </row>
    <row r="293" spans="2:39">
      <c r="B293" s="14">
        <f t="shared" si="62"/>
        <v>291</v>
      </c>
      <c r="C293" s="14" t="str">
        <f t="shared" ca="1" si="63"/>
        <v>D</v>
      </c>
      <c r="D293" s="14" t="str">
        <f t="shared" ca="1" si="64"/>
        <v>q_51q.1</v>
      </c>
      <c r="E293" s="14" t="str">
        <f t="shared" ca="1" si="61"/>
        <v>Mild Skiing activity</v>
      </c>
      <c r="F293" s="14">
        <f t="shared" ca="1" si="74"/>
        <v>2</v>
      </c>
      <c r="G293" s="14" t="str">
        <f t="shared" ca="1" si="65"/>
        <v>q_51q.1</v>
      </c>
      <c r="H293" s="14">
        <f ca="1">IF(G293&lt;&gt;"",IFERROR( IsVariableNameLegal(G293),0),0)+IF(COUNTIF(INDIRECT(wew!$C$13),G293)&gt;1,10,0)</f>
        <v>0</v>
      </c>
      <c r="I293" s="14">
        <f ca="1">IF(E293&lt;&gt;"",IF(LEN(E293)&gt;150,1,0)+IF(COUNTIF(INDIRECT(wew!$C$15),E293)&gt;1,10,0),0)</f>
        <v>0</v>
      </c>
      <c r="J293" s="14" t="b">
        <f t="shared" ca="1" si="66"/>
        <v>1</v>
      </c>
      <c r="K293" s="14" t="str">
        <f ca="1">ADDRESS(3,(B293+1)*2-1,4,,"[" &amp; wew!$G$7 &amp; "]" &amp; _sheetname_labels) &amp; ":" &amp; ADDRESS(2+ster!$B$20,(B293+1)*2-1,4)</f>
        <v>'[dane surowe2c.xlsm]labels'!VK3:VK36</v>
      </c>
      <c r="L293" s="14" t="str">
        <f ca="1">IF(F293&gt;0,ADDRESS(3,(B293+1)*2-1,4,,"[" &amp; wew!$G$7 &amp; "]" &amp; _sheetname_labels) &amp; ":" &amp; ADDRESS(2+F293,(B293+1)*2-1,4),"")</f>
        <v>'[dane surowe2c.xlsm]labels'!VK3:VK4</v>
      </c>
      <c r="M293" s="14" t="str">
        <f ca="1">IF(F293&gt;0,ADDRESS(3,(B293+1)*2,4,,"["&amp;wew!$G$7&amp;"]"&amp;_sheetname_labels)&amp;":"&amp;ADDRESS(2+F293,(B293+1)*2,4),"")</f>
        <v>'[dane surowe2c.xlsm]labels'!VL3:VL4</v>
      </c>
      <c r="N293" s="14" t="str">
        <f ca="1">ADDRESS(3,B293+1,4,,"[" &amp; wew!$G$7 &amp; "]" &amp;_sheetname_dataframe) &amp; ":" &amp; ADDRESS(2+ster!$C$14,B293+1,4)</f>
        <v>'[dane surowe2c.xlsm]data_frame'!KF3:KF35</v>
      </c>
      <c r="O293" s="14">
        <f t="shared" ca="1" si="67"/>
        <v>32</v>
      </c>
      <c r="P293" s="14">
        <f ca="1">IF(AND($AD293,$S293=1),IF(wew!$B$3,MIN(INDIRECT($N293)),"&lt;włącz podświetlanie wartości&gt;"),"—")</f>
        <v>2</v>
      </c>
      <c r="Q293" s="14">
        <f ca="1">IF(AND($AD293,$S293=1),IF(wew!$B$3,MAX(INDIRECT($N293)),"&lt;włącz podświetlanie wartości&gt;"),"—")</f>
        <v>2</v>
      </c>
      <c r="R293" s="14">
        <f ca="1">IF(AD293,ster!$C$14- (COUNTIF( INDIRECT(N293),"" )+ COUNT(INDIRECT(N293)) +COUNTIF( INDIRECT(N293),"NA" )),"")</f>
        <v>0</v>
      </c>
      <c r="S293" s="12">
        <f ca="1">IF(AD293,IF(COUNTA(INDIRECT(N293))=0,0, 1-(ster!$C$14- COUNT(INDIRECT(N293)) -COUNTIF( INDIRECT(N293),"" )) /COUNTA(INDIRECT(N293))),"")</f>
        <v>1</v>
      </c>
      <c r="T293" s="17">
        <f t="array" aca="1" ref="T293" ca="1">IF(L293&lt;&gt;"",SUM(IF(INDIRECT(L293)&lt;&gt;INT(INDIRECT(L293)),1,0)),"")</f>
        <v>0</v>
      </c>
      <c r="U293" s="17">
        <f t="array" aca="1" ref="U293" ca="1">IF(S293=1,SUM(IF(ISNUMBER(INDIRECT(N293)),IF(INDIRECT(N293)&lt;&gt;INT(INDIRECT(N293)),1,0),0)),"")</f>
        <v>0</v>
      </c>
      <c r="V293" s="17">
        <f t="shared" ca="1" si="68"/>
        <v>1</v>
      </c>
      <c r="W293" s="17">
        <f t="shared" ca="1" si="69"/>
        <v>0</v>
      </c>
      <c r="X293" s="24">
        <f t="array" aca="1" ref="X293" ca="1">IF(AD293,IF(AG293&lt;&gt;"",AG293,IF(J293,MIN(INDIRECT( K293)),"")),"")</f>
        <v>1</v>
      </c>
      <c r="Y293" s="17">
        <f t="array" aca="1" ref="Y293" ca="1">IF(AD293,IF(AH293&lt;&gt;"",AH293,IF(J293,MAX(INDIRECT( K293)),"")),"")</f>
        <v>2</v>
      </c>
      <c r="Z293" s="17" t="b">
        <f t="shared" ca="1" si="70"/>
        <v>1</v>
      </c>
      <c r="AC293" s="17" t="b">
        <f t="shared" ca="1" si="71"/>
        <v>0</v>
      </c>
      <c r="AD293" s="14" t="b">
        <f t="shared" ca="1" si="72"/>
        <v>1</v>
      </c>
      <c r="AE293" s="15" t="b">
        <f t="shared" ca="1" si="73"/>
        <v>1</v>
      </c>
      <c r="AF293" s="16"/>
      <c r="AG293" s="16"/>
      <c r="AH293" s="16"/>
      <c r="AI293" s="16"/>
      <c r="AJ293" s="16"/>
      <c r="AK293" s="16"/>
      <c r="AL293" s="16"/>
      <c r="AM293" s="16"/>
    </row>
    <row r="294" spans="2:39">
      <c r="B294" s="14">
        <f t="shared" si="62"/>
        <v>292</v>
      </c>
      <c r="C294" s="14" t="str">
        <f t="shared" ca="1" si="63"/>
        <v>I</v>
      </c>
      <c r="D294" s="14" t="str">
        <f t="shared" ca="1" si="64"/>
        <v>q_51q.2</v>
      </c>
      <c r="E294" s="14" t="str">
        <f t="shared" ca="1" si="61"/>
        <v>How long mild Skiing activity</v>
      </c>
      <c r="F294" s="14">
        <f t="shared" ca="1" si="74"/>
        <v>0</v>
      </c>
      <c r="G294" s="14" t="str">
        <f t="shared" ca="1" si="65"/>
        <v>q_51q.2</v>
      </c>
      <c r="H294" s="14">
        <f ca="1">IF(G294&lt;&gt;"",IFERROR( IsVariableNameLegal(G294),0),0)+IF(COUNTIF(INDIRECT(wew!$C$13),G294)&gt;1,10,0)</f>
        <v>0</v>
      </c>
      <c r="I294" s="14">
        <f ca="1">IF(E294&lt;&gt;"",IF(LEN(E294)&gt;150,1,0)+IF(COUNTIF(INDIRECT(wew!$C$15),E294)&gt;1,10,0),0)</f>
        <v>0</v>
      </c>
      <c r="J294" s="14" t="b">
        <f t="shared" ca="1" si="66"/>
        <v>0</v>
      </c>
      <c r="K294" s="14" t="str">
        <f ca="1">ADDRESS(3,(B294+1)*2-1,4,,"[" &amp; wew!$G$7 &amp; "]" &amp; _sheetname_labels) &amp; ":" &amp; ADDRESS(2+ster!$B$20,(B294+1)*2-1,4)</f>
        <v>'[dane surowe2c.xlsm]labels'!VM3:VM36</v>
      </c>
      <c r="L294" s="14" t="str">
        <f ca="1">IF(F294&gt;0,ADDRESS(3,(B294+1)*2-1,4,,"[" &amp; wew!$G$7 &amp; "]" &amp; _sheetname_labels) &amp; ":" &amp; ADDRESS(2+F294,(B294+1)*2-1,4),"")</f>
        <v/>
      </c>
      <c r="M294" s="14" t="str">
        <f ca="1">IF(F294&gt;0,ADDRESS(3,(B294+1)*2,4,,"["&amp;wew!$G$7&amp;"]"&amp;_sheetname_labels)&amp;":"&amp;ADDRESS(2+F294,(B294+1)*2,4),"")</f>
        <v/>
      </c>
      <c r="N294" s="14" t="str">
        <f ca="1">ADDRESS(3,B294+1,4,,"[" &amp; wew!$G$7 &amp; "]" &amp;_sheetname_dataframe) &amp; ":" &amp; ADDRESS(2+ster!$C$14,B294+1,4)</f>
        <v>'[dane surowe2c.xlsm]data_frame'!KG3:KG35</v>
      </c>
      <c r="O294" s="14">
        <f t="shared" ca="1" si="67"/>
        <v>0</v>
      </c>
      <c r="P294" s="14" t="str">
        <f ca="1">IF(AND($AD294,$S294=1),IF(wew!$B$3,MIN(INDIRECT($N294)),"&lt;włącz podświetlanie wartości&gt;"),"—")</f>
        <v>—</v>
      </c>
      <c r="Q294" s="14" t="str">
        <f ca="1">IF(AND($AD294,$S294=1),IF(wew!$B$3,MAX(INDIRECT($N294)),"&lt;włącz podświetlanie wartości&gt;"),"—")</f>
        <v>—</v>
      </c>
      <c r="R294" s="14">
        <f ca="1">IF(AD294,ster!$C$14- (COUNTIF( INDIRECT(N294),"" )+ COUNT(INDIRECT(N294)) +COUNTIF( INDIRECT(N294),"NA" )),"")</f>
        <v>0</v>
      </c>
      <c r="S294" s="12">
        <f ca="1">IF(AD294,IF(COUNTA(INDIRECT(N294))=0,0, 1-(ster!$C$14- COUNT(INDIRECT(N294)) -COUNTIF( INDIRECT(N294),"" )) /COUNTA(INDIRECT(N294))),"")</f>
        <v>0</v>
      </c>
      <c r="T294" s="17" t="str">
        <f t="array" aca="1" ref="T294" ca="1">IF(L294&lt;&gt;"",SUM(IF(INDIRECT(L294)&lt;&gt;INT(INDIRECT(L294)),1,0)),"")</f>
        <v/>
      </c>
      <c r="U294" s="17" t="str">
        <f t="array" aca="1" ref="U294" ca="1">IF(S294=1,SUM(IF(ISNUMBER(INDIRECT(N294)),IF(INDIRECT(N294)&lt;&gt;INT(INDIRECT(N294)),1,0),0)),"")</f>
        <v/>
      </c>
      <c r="V294" s="17">
        <f t="shared" ca="1" si="68"/>
        <v>0</v>
      </c>
      <c r="W294" s="17">
        <f t="shared" ca="1" si="69"/>
        <v>0</v>
      </c>
      <c r="X294" s="24" t="str">
        <f t="array" aca="1" ref="X294" ca="1">IF(AD294,IF(AG294&lt;&gt;"",AG294,IF(J294,MIN(INDIRECT( K294)),"")),"")</f>
        <v/>
      </c>
      <c r="Y294" s="17" t="str">
        <f t="array" aca="1" ref="Y294" ca="1">IF(AD294,IF(AH294&lt;&gt;"",AH294,IF(J294,MAX(INDIRECT( K294)),"")),"")</f>
        <v/>
      </c>
      <c r="Z294" s="17" t="b">
        <f t="shared" ca="1" si="70"/>
        <v>0</v>
      </c>
      <c r="AC294" s="17" t="b">
        <f t="shared" ca="1" si="71"/>
        <v>0</v>
      </c>
      <c r="AD294" s="14" t="b">
        <f t="shared" ca="1" si="72"/>
        <v>1</v>
      </c>
      <c r="AE294" s="15" t="b">
        <f t="shared" ca="1" si="73"/>
        <v>0</v>
      </c>
      <c r="AF294" s="16"/>
      <c r="AG294" s="16"/>
      <c r="AH294" s="16"/>
      <c r="AI294" s="16"/>
      <c r="AJ294" s="16"/>
      <c r="AK294" s="16"/>
      <c r="AL294" s="16"/>
      <c r="AM294" s="16"/>
    </row>
    <row r="295" spans="2:39">
      <c r="B295" s="14">
        <f t="shared" si="62"/>
        <v>293</v>
      </c>
      <c r="C295" s="14" t="str">
        <f t="shared" ca="1" si="63"/>
        <v>D</v>
      </c>
      <c r="D295" s="14" t="str">
        <f t="shared" ca="1" si="64"/>
        <v>q_51r.1</v>
      </c>
      <c r="E295" s="14" t="str">
        <f t="shared" ca="1" si="61"/>
        <v>Mild Swimming activity</v>
      </c>
      <c r="F295" s="14">
        <f t="shared" ca="1" si="74"/>
        <v>2</v>
      </c>
      <c r="G295" s="14" t="str">
        <f t="shared" ca="1" si="65"/>
        <v>q_51r.1</v>
      </c>
      <c r="H295" s="14">
        <f ca="1">IF(G295&lt;&gt;"",IFERROR( IsVariableNameLegal(G295),0),0)+IF(COUNTIF(INDIRECT(wew!$C$13),G295)&gt;1,10,0)</f>
        <v>0</v>
      </c>
      <c r="I295" s="14">
        <f ca="1">IF(E295&lt;&gt;"",IF(LEN(E295)&gt;150,1,0)+IF(COUNTIF(INDIRECT(wew!$C$15),E295)&gt;1,10,0),0)</f>
        <v>0</v>
      </c>
      <c r="J295" s="14" t="b">
        <f t="shared" ca="1" si="66"/>
        <v>1</v>
      </c>
      <c r="K295" s="14" t="str">
        <f ca="1">ADDRESS(3,(B295+1)*2-1,4,,"[" &amp; wew!$G$7 &amp; "]" &amp; _sheetname_labels) &amp; ":" &amp; ADDRESS(2+ster!$B$20,(B295+1)*2-1,4)</f>
        <v>'[dane surowe2c.xlsm]labels'!VO3:VO36</v>
      </c>
      <c r="L295" s="14" t="str">
        <f ca="1">IF(F295&gt;0,ADDRESS(3,(B295+1)*2-1,4,,"[" &amp; wew!$G$7 &amp; "]" &amp; _sheetname_labels) &amp; ":" &amp; ADDRESS(2+F295,(B295+1)*2-1,4),"")</f>
        <v>'[dane surowe2c.xlsm]labels'!VO3:VO4</v>
      </c>
      <c r="M295" s="14" t="str">
        <f ca="1">IF(F295&gt;0,ADDRESS(3,(B295+1)*2,4,,"["&amp;wew!$G$7&amp;"]"&amp;_sheetname_labels)&amp;":"&amp;ADDRESS(2+F295,(B295+1)*2,4),"")</f>
        <v>'[dane surowe2c.xlsm]labels'!VP3:VP4</v>
      </c>
      <c r="N295" s="14" t="str">
        <f ca="1">ADDRESS(3,B295+1,4,,"[" &amp; wew!$G$7 &amp; "]" &amp;_sheetname_dataframe) &amp; ":" &amp; ADDRESS(2+ster!$C$14,B295+1,4)</f>
        <v>'[dane surowe2c.xlsm]data_frame'!KH3:KH35</v>
      </c>
      <c r="O295" s="14">
        <f t="shared" ca="1" si="67"/>
        <v>32</v>
      </c>
      <c r="P295" s="14">
        <f ca="1">IF(AND($AD295,$S295=1),IF(wew!$B$3,MIN(INDIRECT($N295)),"&lt;włącz podświetlanie wartości&gt;"),"—")</f>
        <v>2</v>
      </c>
      <c r="Q295" s="14">
        <f ca="1">IF(AND($AD295,$S295=1),IF(wew!$B$3,MAX(INDIRECT($N295)),"&lt;włącz podświetlanie wartości&gt;"),"—")</f>
        <v>2</v>
      </c>
      <c r="R295" s="14">
        <f ca="1">IF(AD295,ster!$C$14- (COUNTIF( INDIRECT(N295),"" )+ COUNT(INDIRECT(N295)) +COUNTIF( INDIRECT(N295),"NA" )),"")</f>
        <v>0</v>
      </c>
      <c r="S295" s="12">
        <f ca="1">IF(AD295,IF(COUNTA(INDIRECT(N295))=0,0, 1-(ster!$C$14- COUNT(INDIRECT(N295)) -COUNTIF( INDIRECT(N295),"" )) /COUNTA(INDIRECT(N295))),"")</f>
        <v>1</v>
      </c>
      <c r="T295" s="17">
        <f t="array" aca="1" ref="T295" ca="1">IF(L295&lt;&gt;"",SUM(IF(INDIRECT(L295)&lt;&gt;INT(INDIRECT(L295)),1,0)),"")</f>
        <v>0</v>
      </c>
      <c r="U295" s="17">
        <f t="array" aca="1" ref="U295" ca="1">IF(S295=1,SUM(IF(ISNUMBER(INDIRECT(N295)),IF(INDIRECT(N295)&lt;&gt;INT(INDIRECT(N295)),1,0),0)),"")</f>
        <v>0</v>
      </c>
      <c r="V295" s="17">
        <f t="shared" ca="1" si="68"/>
        <v>1</v>
      </c>
      <c r="W295" s="17">
        <f t="shared" ca="1" si="69"/>
        <v>0</v>
      </c>
      <c r="X295" s="24">
        <f t="array" aca="1" ref="X295" ca="1">IF(AD295,IF(AG295&lt;&gt;"",AG295,IF(J295,MIN(INDIRECT( K295)),"")),"")</f>
        <v>1</v>
      </c>
      <c r="Y295" s="17">
        <f t="array" aca="1" ref="Y295" ca="1">IF(AD295,IF(AH295&lt;&gt;"",AH295,IF(J295,MAX(INDIRECT( K295)),"")),"")</f>
        <v>2</v>
      </c>
      <c r="Z295" s="17" t="b">
        <f t="shared" ca="1" si="70"/>
        <v>1</v>
      </c>
      <c r="AC295" s="17" t="b">
        <f t="shared" ca="1" si="71"/>
        <v>0</v>
      </c>
      <c r="AD295" s="14" t="b">
        <f t="shared" ca="1" si="72"/>
        <v>1</v>
      </c>
      <c r="AE295" s="15" t="b">
        <f t="shared" ca="1" si="73"/>
        <v>1</v>
      </c>
      <c r="AF295" s="16"/>
      <c r="AG295" s="16"/>
      <c r="AH295" s="16"/>
      <c r="AI295" s="16"/>
      <c r="AJ295" s="16"/>
      <c r="AK295" s="16"/>
      <c r="AL295" s="16"/>
      <c r="AM295" s="16"/>
    </row>
    <row r="296" spans="2:39">
      <c r="B296" s="14">
        <f t="shared" si="62"/>
        <v>294</v>
      </c>
      <c r="C296" s="14" t="str">
        <f t="shared" ca="1" si="63"/>
        <v>I</v>
      </c>
      <c r="D296" s="14" t="str">
        <f t="shared" ca="1" si="64"/>
        <v>q_51r.2</v>
      </c>
      <c r="E296" s="14" t="str">
        <f t="shared" ca="1" si="61"/>
        <v>How long mild Swimming activity</v>
      </c>
      <c r="F296" s="14">
        <f t="shared" ca="1" si="74"/>
        <v>0</v>
      </c>
      <c r="G296" s="14" t="str">
        <f t="shared" ca="1" si="65"/>
        <v>q_51r.2</v>
      </c>
      <c r="H296" s="14">
        <f ca="1">IF(G296&lt;&gt;"",IFERROR( IsVariableNameLegal(G296),0),0)+IF(COUNTIF(INDIRECT(wew!$C$13),G296)&gt;1,10,0)</f>
        <v>0</v>
      </c>
      <c r="I296" s="14">
        <f ca="1">IF(E296&lt;&gt;"",IF(LEN(E296)&gt;150,1,0)+IF(COUNTIF(INDIRECT(wew!$C$15),E296)&gt;1,10,0),0)</f>
        <v>0</v>
      </c>
      <c r="J296" s="14" t="b">
        <f t="shared" ca="1" si="66"/>
        <v>0</v>
      </c>
      <c r="K296" s="14" t="str">
        <f ca="1">ADDRESS(3,(B296+1)*2-1,4,,"[" &amp; wew!$G$7 &amp; "]" &amp; _sheetname_labels) &amp; ":" &amp; ADDRESS(2+ster!$B$20,(B296+1)*2-1,4)</f>
        <v>'[dane surowe2c.xlsm]labels'!VQ3:VQ36</v>
      </c>
      <c r="L296" s="14" t="str">
        <f ca="1">IF(F296&gt;0,ADDRESS(3,(B296+1)*2-1,4,,"[" &amp; wew!$G$7 &amp; "]" &amp; _sheetname_labels) &amp; ":" &amp; ADDRESS(2+F296,(B296+1)*2-1,4),"")</f>
        <v/>
      </c>
      <c r="M296" s="14" t="str">
        <f ca="1">IF(F296&gt;0,ADDRESS(3,(B296+1)*2,4,,"["&amp;wew!$G$7&amp;"]"&amp;_sheetname_labels)&amp;":"&amp;ADDRESS(2+F296,(B296+1)*2,4),"")</f>
        <v/>
      </c>
      <c r="N296" s="14" t="str">
        <f ca="1">ADDRESS(3,B296+1,4,,"[" &amp; wew!$G$7 &amp; "]" &amp;_sheetname_dataframe) &amp; ":" &amp; ADDRESS(2+ster!$C$14,B296+1,4)</f>
        <v>'[dane surowe2c.xlsm]data_frame'!KI3:KI35</v>
      </c>
      <c r="O296" s="14">
        <f t="shared" ca="1" si="67"/>
        <v>0</v>
      </c>
      <c r="P296" s="14" t="str">
        <f ca="1">IF(AND($AD296,$S296=1),IF(wew!$B$3,MIN(INDIRECT($N296)),"&lt;włącz podświetlanie wartości&gt;"),"—")</f>
        <v>—</v>
      </c>
      <c r="Q296" s="14" t="str">
        <f ca="1">IF(AND($AD296,$S296=1),IF(wew!$B$3,MAX(INDIRECT($N296)),"&lt;włącz podświetlanie wartości&gt;"),"—")</f>
        <v>—</v>
      </c>
      <c r="R296" s="14">
        <f ca="1">IF(AD296,ster!$C$14- (COUNTIF( INDIRECT(N296),"" )+ COUNT(INDIRECT(N296)) +COUNTIF( INDIRECT(N296),"NA" )),"")</f>
        <v>0</v>
      </c>
      <c r="S296" s="12">
        <f ca="1">IF(AD296,IF(COUNTA(INDIRECT(N296))=0,0, 1-(ster!$C$14- COUNT(INDIRECT(N296)) -COUNTIF( INDIRECT(N296),"" )) /COUNTA(INDIRECT(N296))),"")</f>
        <v>0</v>
      </c>
      <c r="T296" s="17" t="str">
        <f t="array" aca="1" ref="T296" ca="1">IF(L296&lt;&gt;"",SUM(IF(INDIRECT(L296)&lt;&gt;INT(INDIRECT(L296)),1,0)),"")</f>
        <v/>
      </c>
      <c r="U296" s="17" t="str">
        <f t="array" aca="1" ref="U296" ca="1">IF(S296=1,SUM(IF(ISNUMBER(INDIRECT(N296)),IF(INDIRECT(N296)&lt;&gt;INT(INDIRECT(N296)),1,0),0)),"")</f>
        <v/>
      </c>
      <c r="V296" s="17">
        <f t="shared" ca="1" si="68"/>
        <v>0</v>
      </c>
      <c r="W296" s="17">
        <f t="shared" ca="1" si="69"/>
        <v>0</v>
      </c>
      <c r="X296" s="24" t="str">
        <f t="array" aca="1" ref="X296" ca="1">IF(AD296,IF(AG296&lt;&gt;"",AG296,IF(J296,MIN(INDIRECT( K296)),"")),"")</f>
        <v/>
      </c>
      <c r="Y296" s="17" t="str">
        <f t="array" aca="1" ref="Y296" ca="1">IF(AD296,IF(AH296&lt;&gt;"",AH296,IF(J296,MAX(INDIRECT( K296)),"")),"")</f>
        <v/>
      </c>
      <c r="Z296" s="17" t="b">
        <f t="shared" ca="1" si="70"/>
        <v>0</v>
      </c>
      <c r="AC296" s="17" t="b">
        <f t="shared" ca="1" si="71"/>
        <v>0</v>
      </c>
      <c r="AD296" s="14" t="b">
        <f t="shared" ca="1" si="72"/>
        <v>1</v>
      </c>
      <c r="AE296" s="15" t="b">
        <f t="shared" ca="1" si="73"/>
        <v>0</v>
      </c>
      <c r="AF296" s="16"/>
      <c r="AG296" s="16"/>
      <c r="AH296" s="16"/>
      <c r="AI296" s="16"/>
      <c r="AJ296" s="16"/>
      <c r="AK296" s="16"/>
      <c r="AL296" s="16"/>
      <c r="AM296" s="16"/>
    </row>
    <row r="297" spans="2:39">
      <c r="B297" s="14">
        <f t="shared" si="62"/>
        <v>295</v>
      </c>
      <c r="C297" s="14" t="str">
        <f t="shared" ca="1" si="63"/>
        <v>D</v>
      </c>
      <c r="D297" s="14" t="str">
        <f t="shared" ca="1" si="64"/>
        <v>q_51s.1</v>
      </c>
      <c r="E297" s="14" t="str">
        <f t="shared" ca="1" si="61"/>
        <v>Mild Tennis activity</v>
      </c>
      <c r="F297" s="14">
        <f t="shared" ca="1" si="74"/>
        <v>2</v>
      </c>
      <c r="G297" s="14" t="str">
        <f t="shared" ca="1" si="65"/>
        <v>q_51s.1</v>
      </c>
      <c r="H297" s="14">
        <f ca="1">IF(G297&lt;&gt;"",IFERROR( IsVariableNameLegal(G297),0),0)+IF(COUNTIF(INDIRECT(wew!$C$13),G297)&gt;1,10,0)</f>
        <v>0</v>
      </c>
      <c r="I297" s="14">
        <f ca="1">IF(E297&lt;&gt;"",IF(LEN(E297)&gt;150,1,0)+IF(COUNTIF(INDIRECT(wew!$C$15),E297)&gt;1,10,0),0)</f>
        <v>0</v>
      </c>
      <c r="J297" s="14" t="b">
        <f t="shared" ca="1" si="66"/>
        <v>1</v>
      </c>
      <c r="K297" s="14" t="str">
        <f ca="1">ADDRESS(3,(B297+1)*2-1,4,,"[" &amp; wew!$G$7 &amp; "]" &amp; _sheetname_labels) &amp; ":" &amp; ADDRESS(2+ster!$B$20,(B297+1)*2-1,4)</f>
        <v>'[dane surowe2c.xlsm]labels'!VS3:VS36</v>
      </c>
      <c r="L297" s="14" t="str">
        <f ca="1">IF(F297&gt;0,ADDRESS(3,(B297+1)*2-1,4,,"[" &amp; wew!$G$7 &amp; "]" &amp; _sheetname_labels) &amp; ":" &amp; ADDRESS(2+F297,(B297+1)*2-1,4),"")</f>
        <v>'[dane surowe2c.xlsm]labels'!VS3:VS4</v>
      </c>
      <c r="M297" s="14" t="str">
        <f ca="1">IF(F297&gt;0,ADDRESS(3,(B297+1)*2,4,,"["&amp;wew!$G$7&amp;"]"&amp;_sheetname_labels)&amp;":"&amp;ADDRESS(2+F297,(B297+1)*2,4),"")</f>
        <v>'[dane surowe2c.xlsm]labels'!VT3:VT4</v>
      </c>
      <c r="N297" s="14" t="str">
        <f ca="1">ADDRESS(3,B297+1,4,,"[" &amp; wew!$G$7 &amp; "]" &amp;_sheetname_dataframe) &amp; ":" &amp; ADDRESS(2+ster!$C$14,B297+1,4)</f>
        <v>'[dane surowe2c.xlsm]data_frame'!KJ3:KJ35</v>
      </c>
      <c r="O297" s="14">
        <f t="shared" ca="1" si="67"/>
        <v>32</v>
      </c>
      <c r="P297" s="14">
        <f ca="1">IF(AND($AD297,$S297=1),IF(wew!$B$3,MIN(INDIRECT($N297)),"&lt;włącz podświetlanie wartości&gt;"),"—")</f>
        <v>2</v>
      </c>
      <c r="Q297" s="14">
        <f ca="1">IF(AND($AD297,$S297=1),IF(wew!$B$3,MAX(INDIRECT($N297)),"&lt;włącz podświetlanie wartości&gt;"),"—")</f>
        <v>2</v>
      </c>
      <c r="R297" s="14">
        <f ca="1">IF(AD297,ster!$C$14- (COUNTIF( INDIRECT(N297),"" )+ COUNT(INDIRECT(N297)) +COUNTIF( INDIRECT(N297),"NA" )),"")</f>
        <v>0</v>
      </c>
      <c r="S297" s="12">
        <f ca="1">IF(AD297,IF(COUNTA(INDIRECT(N297))=0,0, 1-(ster!$C$14- COUNT(INDIRECT(N297)) -COUNTIF( INDIRECT(N297),"" )) /COUNTA(INDIRECT(N297))),"")</f>
        <v>1</v>
      </c>
      <c r="T297" s="17">
        <f t="array" aca="1" ref="T297" ca="1">IF(L297&lt;&gt;"",SUM(IF(INDIRECT(L297)&lt;&gt;INT(INDIRECT(L297)),1,0)),"")</f>
        <v>0</v>
      </c>
      <c r="U297" s="17">
        <f t="array" aca="1" ref="U297" ca="1">IF(S297=1,SUM(IF(ISNUMBER(INDIRECT(N297)),IF(INDIRECT(N297)&lt;&gt;INT(INDIRECT(N297)),1,0),0)),"")</f>
        <v>0</v>
      </c>
      <c r="V297" s="17">
        <f t="shared" ca="1" si="68"/>
        <v>1</v>
      </c>
      <c r="W297" s="17">
        <f t="shared" ca="1" si="69"/>
        <v>0</v>
      </c>
      <c r="X297" s="24">
        <f t="array" aca="1" ref="X297" ca="1">IF(AD297,IF(AG297&lt;&gt;"",AG297,IF(J297,MIN(INDIRECT( K297)),"")),"")</f>
        <v>1</v>
      </c>
      <c r="Y297" s="17">
        <f t="array" aca="1" ref="Y297" ca="1">IF(AD297,IF(AH297&lt;&gt;"",AH297,IF(J297,MAX(INDIRECT( K297)),"")),"")</f>
        <v>2</v>
      </c>
      <c r="Z297" s="17" t="b">
        <f t="shared" ca="1" si="70"/>
        <v>1</v>
      </c>
      <c r="AC297" s="17" t="b">
        <f t="shared" ca="1" si="71"/>
        <v>0</v>
      </c>
      <c r="AD297" s="14" t="b">
        <f t="shared" ca="1" si="72"/>
        <v>1</v>
      </c>
      <c r="AE297" s="15" t="b">
        <f t="shared" ca="1" si="73"/>
        <v>1</v>
      </c>
      <c r="AF297" s="16"/>
      <c r="AG297" s="16"/>
      <c r="AH297" s="16"/>
      <c r="AI297" s="16"/>
      <c r="AJ297" s="16"/>
      <c r="AK297" s="16"/>
      <c r="AL297" s="16"/>
      <c r="AM297" s="16"/>
    </row>
    <row r="298" spans="2:39">
      <c r="B298" s="14">
        <f t="shared" si="62"/>
        <v>296</v>
      </c>
      <c r="C298" s="14" t="str">
        <f t="shared" ca="1" si="63"/>
        <v>I</v>
      </c>
      <c r="D298" s="14" t="str">
        <f t="shared" ca="1" si="64"/>
        <v>q_51s.2</v>
      </c>
      <c r="E298" s="14" t="str">
        <f t="shared" ca="1" si="61"/>
        <v>How long mild Tennis activity</v>
      </c>
      <c r="F298" s="14">
        <f t="shared" ca="1" si="74"/>
        <v>0</v>
      </c>
      <c r="G298" s="14" t="str">
        <f t="shared" ca="1" si="65"/>
        <v>q_51s.2</v>
      </c>
      <c r="H298" s="14">
        <f ca="1">IF(G298&lt;&gt;"",IFERROR( IsVariableNameLegal(G298),0),0)+IF(COUNTIF(INDIRECT(wew!$C$13),G298)&gt;1,10,0)</f>
        <v>0</v>
      </c>
      <c r="I298" s="14">
        <f ca="1">IF(E298&lt;&gt;"",IF(LEN(E298)&gt;150,1,0)+IF(COUNTIF(INDIRECT(wew!$C$15),E298)&gt;1,10,0),0)</f>
        <v>0</v>
      </c>
      <c r="J298" s="14" t="b">
        <f t="shared" ca="1" si="66"/>
        <v>0</v>
      </c>
      <c r="K298" s="14" t="str">
        <f ca="1">ADDRESS(3,(B298+1)*2-1,4,,"[" &amp; wew!$G$7 &amp; "]" &amp; _sheetname_labels) &amp; ":" &amp; ADDRESS(2+ster!$B$20,(B298+1)*2-1,4)</f>
        <v>'[dane surowe2c.xlsm]labels'!VU3:VU36</v>
      </c>
      <c r="L298" s="14" t="str">
        <f ca="1">IF(F298&gt;0,ADDRESS(3,(B298+1)*2-1,4,,"[" &amp; wew!$G$7 &amp; "]" &amp; _sheetname_labels) &amp; ":" &amp; ADDRESS(2+F298,(B298+1)*2-1,4),"")</f>
        <v/>
      </c>
      <c r="M298" s="14" t="str">
        <f ca="1">IF(F298&gt;0,ADDRESS(3,(B298+1)*2,4,,"["&amp;wew!$G$7&amp;"]"&amp;_sheetname_labels)&amp;":"&amp;ADDRESS(2+F298,(B298+1)*2,4),"")</f>
        <v/>
      </c>
      <c r="N298" s="14" t="str">
        <f ca="1">ADDRESS(3,B298+1,4,,"[" &amp; wew!$G$7 &amp; "]" &amp;_sheetname_dataframe) &amp; ":" &amp; ADDRESS(2+ster!$C$14,B298+1,4)</f>
        <v>'[dane surowe2c.xlsm]data_frame'!KK3:KK35</v>
      </c>
      <c r="O298" s="14">
        <f t="shared" ca="1" si="67"/>
        <v>0</v>
      </c>
      <c r="P298" s="14" t="str">
        <f ca="1">IF(AND($AD298,$S298=1),IF(wew!$B$3,MIN(INDIRECT($N298)),"&lt;włącz podświetlanie wartości&gt;"),"—")</f>
        <v>—</v>
      </c>
      <c r="Q298" s="14" t="str">
        <f ca="1">IF(AND($AD298,$S298=1),IF(wew!$B$3,MAX(INDIRECT($N298)),"&lt;włącz podświetlanie wartości&gt;"),"—")</f>
        <v>—</v>
      </c>
      <c r="R298" s="14">
        <f ca="1">IF(AD298,ster!$C$14- (COUNTIF( INDIRECT(N298),"" )+ COUNT(INDIRECT(N298)) +COUNTIF( INDIRECT(N298),"NA" )),"")</f>
        <v>0</v>
      </c>
      <c r="S298" s="12">
        <f ca="1">IF(AD298,IF(COUNTA(INDIRECT(N298))=0,0, 1-(ster!$C$14- COUNT(INDIRECT(N298)) -COUNTIF( INDIRECT(N298),"" )) /COUNTA(INDIRECT(N298))),"")</f>
        <v>0</v>
      </c>
      <c r="T298" s="17" t="str">
        <f t="array" aca="1" ref="T298" ca="1">IF(L298&lt;&gt;"",SUM(IF(INDIRECT(L298)&lt;&gt;INT(INDIRECT(L298)),1,0)),"")</f>
        <v/>
      </c>
      <c r="U298" s="17" t="str">
        <f t="array" aca="1" ref="U298" ca="1">IF(S298=1,SUM(IF(ISNUMBER(INDIRECT(N298)),IF(INDIRECT(N298)&lt;&gt;INT(INDIRECT(N298)),1,0),0)),"")</f>
        <v/>
      </c>
      <c r="V298" s="17">
        <f t="shared" ca="1" si="68"/>
        <v>0</v>
      </c>
      <c r="W298" s="17">
        <f t="shared" ca="1" si="69"/>
        <v>0</v>
      </c>
      <c r="X298" s="24" t="str">
        <f t="array" aca="1" ref="X298" ca="1">IF(AD298,IF(AG298&lt;&gt;"",AG298,IF(J298,MIN(INDIRECT( K298)),"")),"")</f>
        <v/>
      </c>
      <c r="Y298" s="17" t="str">
        <f t="array" aca="1" ref="Y298" ca="1">IF(AD298,IF(AH298&lt;&gt;"",AH298,IF(J298,MAX(INDIRECT( K298)),"")),"")</f>
        <v/>
      </c>
      <c r="Z298" s="17" t="b">
        <f t="shared" ca="1" si="70"/>
        <v>0</v>
      </c>
      <c r="AC298" s="17" t="b">
        <f t="shared" ca="1" si="71"/>
        <v>0</v>
      </c>
      <c r="AD298" s="14" t="b">
        <f t="shared" ca="1" si="72"/>
        <v>1</v>
      </c>
      <c r="AE298" s="15" t="b">
        <f t="shared" ca="1" si="73"/>
        <v>0</v>
      </c>
      <c r="AF298" s="16"/>
      <c r="AG298" s="16"/>
      <c r="AH298" s="16"/>
      <c r="AI298" s="16"/>
      <c r="AJ298" s="16"/>
      <c r="AK298" s="16"/>
      <c r="AL298" s="16"/>
      <c r="AM298" s="16"/>
    </row>
    <row r="299" spans="2:39">
      <c r="B299" s="14">
        <f t="shared" si="62"/>
        <v>297</v>
      </c>
      <c r="C299" s="14" t="str">
        <f t="shared" ca="1" si="63"/>
        <v>D</v>
      </c>
      <c r="D299" s="14" t="str">
        <f t="shared" ca="1" si="64"/>
        <v>q_51t.1</v>
      </c>
      <c r="E299" s="14" t="str">
        <f t="shared" ca="1" si="61"/>
        <v>Mild Volleyball activity</v>
      </c>
      <c r="F299" s="14">
        <f t="shared" ca="1" si="74"/>
        <v>2</v>
      </c>
      <c r="G299" s="14" t="str">
        <f t="shared" ca="1" si="65"/>
        <v>q_51t.1</v>
      </c>
      <c r="H299" s="14">
        <f ca="1">IF(G299&lt;&gt;"",IFERROR( IsVariableNameLegal(G299),0),0)+IF(COUNTIF(INDIRECT(wew!$C$13),G299)&gt;1,10,0)</f>
        <v>0</v>
      </c>
      <c r="I299" s="14">
        <f ca="1">IF(E299&lt;&gt;"",IF(LEN(E299)&gt;150,1,0)+IF(COUNTIF(INDIRECT(wew!$C$15),E299)&gt;1,10,0),0)</f>
        <v>0</v>
      </c>
      <c r="J299" s="14" t="b">
        <f t="shared" ca="1" si="66"/>
        <v>1</v>
      </c>
      <c r="K299" s="14" t="str">
        <f ca="1">ADDRESS(3,(B299+1)*2-1,4,,"[" &amp; wew!$G$7 &amp; "]" &amp; _sheetname_labels) &amp; ":" &amp; ADDRESS(2+ster!$B$20,(B299+1)*2-1,4)</f>
        <v>'[dane surowe2c.xlsm]labels'!VW3:VW36</v>
      </c>
      <c r="L299" s="14" t="str">
        <f ca="1">IF(F299&gt;0,ADDRESS(3,(B299+1)*2-1,4,,"[" &amp; wew!$G$7 &amp; "]" &amp; _sheetname_labels) &amp; ":" &amp; ADDRESS(2+F299,(B299+1)*2-1,4),"")</f>
        <v>'[dane surowe2c.xlsm]labels'!VW3:VW4</v>
      </c>
      <c r="M299" s="14" t="str">
        <f ca="1">IF(F299&gt;0,ADDRESS(3,(B299+1)*2,4,,"["&amp;wew!$G$7&amp;"]"&amp;_sheetname_labels)&amp;":"&amp;ADDRESS(2+F299,(B299+1)*2,4),"")</f>
        <v>'[dane surowe2c.xlsm]labels'!VX3:VX4</v>
      </c>
      <c r="N299" s="14" t="str">
        <f ca="1">ADDRESS(3,B299+1,4,,"[" &amp; wew!$G$7 &amp; "]" &amp;_sheetname_dataframe) &amp; ":" &amp; ADDRESS(2+ster!$C$14,B299+1,4)</f>
        <v>'[dane surowe2c.xlsm]data_frame'!KL3:KL35</v>
      </c>
      <c r="O299" s="14">
        <f t="shared" ca="1" si="67"/>
        <v>32</v>
      </c>
      <c r="P299" s="14">
        <f ca="1">IF(AND($AD299,$S299=1),IF(wew!$B$3,MIN(INDIRECT($N299)),"&lt;włącz podświetlanie wartości&gt;"),"—")</f>
        <v>2</v>
      </c>
      <c r="Q299" s="14">
        <f ca="1">IF(AND($AD299,$S299=1),IF(wew!$B$3,MAX(INDIRECT($N299)),"&lt;włącz podświetlanie wartości&gt;"),"—")</f>
        <v>2</v>
      </c>
      <c r="R299" s="14">
        <f ca="1">IF(AD299,ster!$C$14- (COUNTIF( INDIRECT(N299),"" )+ COUNT(INDIRECT(N299)) +COUNTIF( INDIRECT(N299),"NA" )),"")</f>
        <v>0</v>
      </c>
      <c r="S299" s="12">
        <f ca="1">IF(AD299,IF(COUNTA(INDIRECT(N299))=0,0, 1-(ster!$C$14- COUNT(INDIRECT(N299)) -COUNTIF( INDIRECT(N299),"" )) /COUNTA(INDIRECT(N299))),"")</f>
        <v>1</v>
      </c>
      <c r="T299" s="17">
        <f t="array" aca="1" ref="T299" ca="1">IF(L299&lt;&gt;"",SUM(IF(INDIRECT(L299)&lt;&gt;INT(INDIRECT(L299)),1,0)),"")</f>
        <v>0</v>
      </c>
      <c r="U299" s="17">
        <f t="array" aca="1" ref="U299" ca="1">IF(S299=1,SUM(IF(ISNUMBER(INDIRECT(N299)),IF(INDIRECT(N299)&lt;&gt;INT(INDIRECT(N299)),1,0),0)),"")</f>
        <v>0</v>
      </c>
      <c r="V299" s="17">
        <f t="shared" ca="1" si="68"/>
        <v>1</v>
      </c>
      <c r="W299" s="17">
        <f t="shared" ca="1" si="69"/>
        <v>0</v>
      </c>
      <c r="X299" s="24">
        <f t="array" aca="1" ref="X299" ca="1">IF(AD299,IF(AG299&lt;&gt;"",AG299,IF(J299,MIN(INDIRECT( K299)),"")),"")</f>
        <v>1</v>
      </c>
      <c r="Y299" s="17">
        <f t="array" aca="1" ref="Y299" ca="1">IF(AD299,IF(AH299&lt;&gt;"",AH299,IF(J299,MAX(INDIRECT( K299)),"")),"")</f>
        <v>2</v>
      </c>
      <c r="Z299" s="17" t="b">
        <f t="shared" ca="1" si="70"/>
        <v>1</v>
      </c>
      <c r="AC299" s="17" t="b">
        <f t="shared" ca="1" si="71"/>
        <v>0</v>
      </c>
      <c r="AD299" s="14" t="b">
        <f t="shared" ca="1" si="72"/>
        <v>1</v>
      </c>
      <c r="AE299" s="15" t="b">
        <f t="shared" ca="1" si="73"/>
        <v>1</v>
      </c>
      <c r="AF299" s="16"/>
      <c r="AG299" s="16"/>
      <c r="AH299" s="16"/>
      <c r="AI299" s="16"/>
      <c r="AJ299" s="16"/>
      <c r="AK299" s="16"/>
      <c r="AL299" s="16"/>
      <c r="AM299" s="16"/>
    </row>
    <row r="300" spans="2:39">
      <c r="B300" s="14">
        <f t="shared" si="62"/>
        <v>298</v>
      </c>
      <c r="C300" s="14" t="str">
        <f t="shared" ca="1" si="63"/>
        <v>I</v>
      </c>
      <c r="D300" s="14" t="str">
        <f t="shared" ca="1" si="64"/>
        <v>q_51t.2</v>
      </c>
      <c r="E300" s="14" t="str">
        <f t="shared" ca="1" si="61"/>
        <v>How long mild Volleyball activity</v>
      </c>
      <c r="F300" s="14">
        <f t="shared" ca="1" si="74"/>
        <v>0</v>
      </c>
      <c r="G300" s="14" t="str">
        <f t="shared" ca="1" si="65"/>
        <v>q_51t.2</v>
      </c>
      <c r="H300" s="14">
        <f ca="1">IF(G300&lt;&gt;"",IFERROR( IsVariableNameLegal(G300),0),0)+IF(COUNTIF(INDIRECT(wew!$C$13),G300)&gt;1,10,0)</f>
        <v>0</v>
      </c>
      <c r="I300" s="14">
        <f ca="1">IF(E300&lt;&gt;"",IF(LEN(E300)&gt;150,1,0)+IF(COUNTIF(INDIRECT(wew!$C$15),E300)&gt;1,10,0),0)</f>
        <v>0</v>
      </c>
      <c r="J300" s="14" t="b">
        <f t="shared" ca="1" si="66"/>
        <v>0</v>
      </c>
      <c r="K300" s="14" t="str">
        <f ca="1">ADDRESS(3,(B300+1)*2-1,4,,"[" &amp; wew!$G$7 &amp; "]" &amp; _sheetname_labels) &amp; ":" &amp; ADDRESS(2+ster!$B$20,(B300+1)*2-1,4)</f>
        <v>'[dane surowe2c.xlsm]labels'!VY3:VY36</v>
      </c>
      <c r="L300" s="14" t="str">
        <f ca="1">IF(F300&gt;0,ADDRESS(3,(B300+1)*2-1,4,,"[" &amp; wew!$G$7 &amp; "]" &amp; _sheetname_labels) &amp; ":" &amp; ADDRESS(2+F300,(B300+1)*2-1,4),"")</f>
        <v/>
      </c>
      <c r="M300" s="14" t="str">
        <f ca="1">IF(F300&gt;0,ADDRESS(3,(B300+1)*2,4,,"["&amp;wew!$G$7&amp;"]"&amp;_sheetname_labels)&amp;":"&amp;ADDRESS(2+F300,(B300+1)*2,4),"")</f>
        <v/>
      </c>
      <c r="N300" s="14" t="str">
        <f ca="1">ADDRESS(3,B300+1,4,,"[" &amp; wew!$G$7 &amp; "]" &amp;_sheetname_dataframe) &amp; ":" &amp; ADDRESS(2+ster!$C$14,B300+1,4)</f>
        <v>'[dane surowe2c.xlsm]data_frame'!KM3:KM35</v>
      </c>
      <c r="O300" s="14">
        <f t="shared" ca="1" si="67"/>
        <v>0</v>
      </c>
      <c r="P300" s="14" t="str">
        <f ca="1">IF(AND($AD300,$S300=1),IF(wew!$B$3,MIN(INDIRECT($N300)),"&lt;włącz podświetlanie wartości&gt;"),"—")</f>
        <v>—</v>
      </c>
      <c r="Q300" s="14" t="str">
        <f ca="1">IF(AND($AD300,$S300=1),IF(wew!$B$3,MAX(INDIRECT($N300)),"&lt;włącz podświetlanie wartości&gt;"),"—")</f>
        <v>—</v>
      </c>
      <c r="R300" s="14">
        <f ca="1">IF(AD300,ster!$C$14- (COUNTIF( INDIRECT(N300),"" )+ COUNT(INDIRECT(N300)) +COUNTIF( INDIRECT(N300),"NA" )),"")</f>
        <v>0</v>
      </c>
      <c r="S300" s="12">
        <f ca="1">IF(AD300,IF(COUNTA(INDIRECT(N300))=0,0, 1-(ster!$C$14- COUNT(INDIRECT(N300)) -COUNTIF( INDIRECT(N300),"" )) /COUNTA(INDIRECT(N300))),"")</f>
        <v>0</v>
      </c>
      <c r="T300" s="17" t="str">
        <f t="array" aca="1" ref="T300" ca="1">IF(L300&lt;&gt;"",SUM(IF(INDIRECT(L300)&lt;&gt;INT(INDIRECT(L300)),1,0)),"")</f>
        <v/>
      </c>
      <c r="U300" s="17" t="str">
        <f t="array" aca="1" ref="U300" ca="1">IF(S300=1,SUM(IF(ISNUMBER(INDIRECT(N300)),IF(INDIRECT(N300)&lt;&gt;INT(INDIRECT(N300)),1,0),0)),"")</f>
        <v/>
      </c>
      <c r="V300" s="17">
        <f t="shared" ca="1" si="68"/>
        <v>0</v>
      </c>
      <c r="W300" s="17">
        <f t="shared" ca="1" si="69"/>
        <v>0</v>
      </c>
      <c r="X300" s="24" t="str">
        <f t="array" aca="1" ref="X300" ca="1">IF(AD300,IF(AG300&lt;&gt;"",AG300,IF(J300,MIN(INDIRECT( K300)),"")),"")</f>
        <v/>
      </c>
      <c r="Y300" s="17" t="str">
        <f t="array" aca="1" ref="Y300" ca="1">IF(AD300,IF(AH300&lt;&gt;"",AH300,IF(J300,MAX(INDIRECT( K300)),"")),"")</f>
        <v/>
      </c>
      <c r="Z300" s="17" t="b">
        <f t="shared" ca="1" si="70"/>
        <v>0</v>
      </c>
      <c r="AC300" s="17" t="b">
        <f t="shared" ca="1" si="71"/>
        <v>0</v>
      </c>
      <c r="AD300" s="14" t="b">
        <f t="shared" ca="1" si="72"/>
        <v>1</v>
      </c>
      <c r="AE300" s="15" t="b">
        <f t="shared" ca="1" si="73"/>
        <v>0</v>
      </c>
      <c r="AF300" s="16"/>
      <c r="AG300" s="16"/>
      <c r="AH300" s="16"/>
      <c r="AI300" s="16"/>
      <c r="AJ300" s="16"/>
      <c r="AK300" s="16"/>
      <c r="AL300" s="16"/>
      <c r="AM300" s="16"/>
    </row>
    <row r="301" spans="2:39">
      <c r="B301" s="14">
        <f t="shared" si="62"/>
        <v>299</v>
      </c>
      <c r="C301" s="14" t="str">
        <f t="shared" ca="1" si="63"/>
        <v>D</v>
      </c>
      <c r="D301" s="14" t="str">
        <f t="shared" ca="1" si="64"/>
        <v>q_51u.1</v>
      </c>
      <c r="E301" s="14" t="str">
        <f t="shared" ca="1" si="61"/>
        <v>Mild Weightlifting activity</v>
      </c>
      <c r="F301" s="14">
        <f t="shared" ca="1" si="74"/>
        <v>2</v>
      </c>
      <c r="G301" s="14" t="str">
        <f t="shared" ca="1" si="65"/>
        <v>q_51u.1</v>
      </c>
      <c r="H301" s="14">
        <f ca="1">IF(G301&lt;&gt;"",IFERROR( IsVariableNameLegal(G301),0),0)+IF(COUNTIF(INDIRECT(wew!$C$13),G301)&gt;1,10,0)</f>
        <v>0</v>
      </c>
      <c r="I301" s="14">
        <f ca="1">IF(E301&lt;&gt;"",IF(LEN(E301)&gt;150,1,0)+IF(COUNTIF(INDIRECT(wew!$C$15),E301)&gt;1,10,0),0)</f>
        <v>0</v>
      </c>
      <c r="J301" s="14" t="b">
        <f t="shared" ca="1" si="66"/>
        <v>1</v>
      </c>
      <c r="K301" s="14" t="str">
        <f ca="1">ADDRESS(3,(B301+1)*2-1,4,,"[" &amp; wew!$G$7 &amp; "]" &amp; _sheetname_labels) &amp; ":" &amp; ADDRESS(2+ster!$B$20,(B301+1)*2-1,4)</f>
        <v>'[dane surowe2c.xlsm]labels'!WA3:WA36</v>
      </c>
      <c r="L301" s="14" t="str">
        <f ca="1">IF(F301&gt;0,ADDRESS(3,(B301+1)*2-1,4,,"[" &amp; wew!$G$7 &amp; "]" &amp; _sheetname_labels) &amp; ":" &amp; ADDRESS(2+F301,(B301+1)*2-1,4),"")</f>
        <v>'[dane surowe2c.xlsm]labels'!WA3:WA4</v>
      </c>
      <c r="M301" s="14" t="str">
        <f ca="1">IF(F301&gt;0,ADDRESS(3,(B301+1)*2,4,,"["&amp;wew!$G$7&amp;"]"&amp;_sheetname_labels)&amp;":"&amp;ADDRESS(2+F301,(B301+1)*2,4),"")</f>
        <v>'[dane surowe2c.xlsm]labels'!WB3:WB4</v>
      </c>
      <c r="N301" s="14" t="str">
        <f ca="1">ADDRESS(3,B301+1,4,,"[" &amp; wew!$G$7 &amp; "]" &amp;_sheetname_dataframe) &amp; ":" &amp; ADDRESS(2+ster!$C$14,B301+1,4)</f>
        <v>'[dane surowe2c.xlsm]data_frame'!KN3:KN35</v>
      </c>
      <c r="O301" s="14">
        <f t="shared" ca="1" si="67"/>
        <v>32</v>
      </c>
      <c r="P301" s="14">
        <f ca="1">IF(AND($AD301,$S301=1),IF(wew!$B$3,MIN(INDIRECT($N301)),"&lt;włącz podświetlanie wartości&gt;"),"—")</f>
        <v>2</v>
      </c>
      <c r="Q301" s="14">
        <f ca="1">IF(AND($AD301,$S301=1),IF(wew!$B$3,MAX(INDIRECT($N301)),"&lt;włącz podświetlanie wartości&gt;"),"—")</f>
        <v>2</v>
      </c>
      <c r="R301" s="14">
        <f ca="1">IF(AD301,ster!$C$14- (COUNTIF( INDIRECT(N301),"" )+ COUNT(INDIRECT(N301)) +COUNTIF( INDIRECT(N301),"NA" )),"")</f>
        <v>0</v>
      </c>
      <c r="S301" s="12">
        <f ca="1">IF(AD301,IF(COUNTA(INDIRECT(N301))=0,0, 1-(ster!$C$14- COUNT(INDIRECT(N301)) -COUNTIF( INDIRECT(N301),"" )) /COUNTA(INDIRECT(N301))),"")</f>
        <v>1</v>
      </c>
      <c r="T301" s="17">
        <f t="array" aca="1" ref="T301" ca="1">IF(L301&lt;&gt;"",SUM(IF(INDIRECT(L301)&lt;&gt;INT(INDIRECT(L301)),1,0)),"")</f>
        <v>0</v>
      </c>
      <c r="U301" s="17">
        <f t="array" aca="1" ref="U301" ca="1">IF(S301=1,SUM(IF(ISNUMBER(INDIRECT(N301)),IF(INDIRECT(N301)&lt;&gt;INT(INDIRECT(N301)),1,0),0)),"")</f>
        <v>0</v>
      </c>
      <c r="V301" s="17">
        <f t="shared" ca="1" si="68"/>
        <v>1</v>
      </c>
      <c r="W301" s="17">
        <f t="shared" ca="1" si="69"/>
        <v>0</v>
      </c>
      <c r="X301" s="24">
        <f t="array" aca="1" ref="X301" ca="1">IF(AD301,IF(AG301&lt;&gt;"",AG301,IF(J301,MIN(INDIRECT( K301)),"")),"")</f>
        <v>1</v>
      </c>
      <c r="Y301" s="17">
        <f t="array" aca="1" ref="Y301" ca="1">IF(AD301,IF(AH301&lt;&gt;"",AH301,IF(J301,MAX(INDIRECT( K301)),"")),"")</f>
        <v>2</v>
      </c>
      <c r="Z301" s="17" t="b">
        <f t="shared" ca="1" si="70"/>
        <v>1</v>
      </c>
      <c r="AC301" s="17" t="b">
        <f t="shared" ca="1" si="71"/>
        <v>0</v>
      </c>
      <c r="AD301" s="14" t="b">
        <f t="shared" ca="1" si="72"/>
        <v>1</v>
      </c>
      <c r="AE301" s="15" t="b">
        <f t="shared" ca="1" si="73"/>
        <v>1</v>
      </c>
      <c r="AF301" s="16"/>
      <c r="AG301" s="16"/>
      <c r="AH301" s="16"/>
      <c r="AI301" s="16"/>
      <c r="AJ301" s="16"/>
      <c r="AK301" s="16"/>
      <c r="AL301" s="16"/>
      <c r="AM301" s="16"/>
    </row>
    <row r="302" spans="2:39">
      <c r="B302" s="14">
        <f t="shared" si="62"/>
        <v>300</v>
      </c>
      <c r="C302" s="14" t="str">
        <f t="shared" ca="1" si="63"/>
        <v>I</v>
      </c>
      <c r="D302" s="14" t="str">
        <f t="shared" ca="1" si="64"/>
        <v>q_51u.2</v>
      </c>
      <c r="E302" s="14" t="str">
        <f t="shared" ca="1" si="61"/>
        <v>How long mild Weightlifting activity</v>
      </c>
      <c r="F302" s="14">
        <f t="shared" ca="1" si="74"/>
        <v>0</v>
      </c>
      <c r="G302" s="14" t="str">
        <f t="shared" ca="1" si="65"/>
        <v>q_51u.2</v>
      </c>
      <c r="H302" s="14">
        <f ca="1">IF(G302&lt;&gt;"",IFERROR( IsVariableNameLegal(G302),0),0)+IF(COUNTIF(INDIRECT(wew!$C$13),G302)&gt;1,10,0)</f>
        <v>0</v>
      </c>
      <c r="I302" s="14">
        <f ca="1">IF(E302&lt;&gt;"",IF(LEN(E302)&gt;150,1,0)+IF(COUNTIF(INDIRECT(wew!$C$15),E302)&gt;1,10,0),0)</f>
        <v>0</v>
      </c>
      <c r="J302" s="14" t="b">
        <f t="shared" ca="1" si="66"/>
        <v>0</v>
      </c>
      <c r="K302" s="14" t="str">
        <f ca="1">ADDRESS(3,(B302+1)*2-1,4,,"[" &amp; wew!$G$7 &amp; "]" &amp; _sheetname_labels) &amp; ":" &amp; ADDRESS(2+ster!$B$20,(B302+1)*2-1,4)</f>
        <v>'[dane surowe2c.xlsm]labels'!WC3:WC36</v>
      </c>
      <c r="L302" s="14" t="str">
        <f ca="1">IF(F302&gt;0,ADDRESS(3,(B302+1)*2-1,4,,"[" &amp; wew!$G$7 &amp; "]" &amp; _sheetname_labels) &amp; ":" &amp; ADDRESS(2+F302,(B302+1)*2-1,4),"")</f>
        <v/>
      </c>
      <c r="M302" s="14" t="str">
        <f ca="1">IF(F302&gt;0,ADDRESS(3,(B302+1)*2,4,,"["&amp;wew!$G$7&amp;"]"&amp;_sheetname_labels)&amp;":"&amp;ADDRESS(2+F302,(B302+1)*2,4),"")</f>
        <v/>
      </c>
      <c r="N302" s="14" t="str">
        <f ca="1">ADDRESS(3,B302+1,4,,"[" &amp; wew!$G$7 &amp; "]" &amp;_sheetname_dataframe) &amp; ":" &amp; ADDRESS(2+ster!$C$14,B302+1,4)</f>
        <v>'[dane surowe2c.xlsm]data_frame'!KO3:KO35</v>
      </c>
      <c r="O302" s="14">
        <f t="shared" ca="1" si="67"/>
        <v>0</v>
      </c>
      <c r="P302" s="14" t="str">
        <f ca="1">IF(AND($AD302,$S302=1),IF(wew!$B$3,MIN(INDIRECT($N302)),"&lt;włącz podświetlanie wartości&gt;"),"—")</f>
        <v>—</v>
      </c>
      <c r="Q302" s="14" t="str">
        <f ca="1">IF(AND($AD302,$S302=1),IF(wew!$B$3,MAX(INDIRECT($N302)),"&lt;włącz podświetlanie wartości&gt;"),"—")</f>
        <v>—</v>
      </c>
      <c r="R302" s="14">
        <f ca="1">IF(AD302,ster!$C$14- (COUNTIF( INDIRECT(N302),"" )+ COUNT(INDIRECT(N302)) +COUNTIF( INDIRECT(N302),"NA" )),"")</f>
        <v>0</v>
      </c>
      <c r="S302" s="12">
        <f ca="1">IF(AD302,IF(COUNTA(INDIRECT(N302))=0,0, 1-(ster!$C$14- COUNT(INDIRECT(N302)) -COUNTIF( INDIRECT(N302),"" )) /COUNTA(INDIRECT(N302))),"")</f>
        <v>0</v>
      </c>
      <c r="T302" s="17" t="str">
        <f t="array" aca="1" ref="T302" ca="1">IF(L302&lt;&gt;"",SUM(IF(INDIRECT(L302)&lt;&gt;INT(INDIRECT(L302)),1,0)),"")</f>
        <v/>
      </c>
      <c r="U302" s="17" t="str">
        <f t="array" aca="1" ref="U302" ca="1">IF(S302=1,SUM(IF(ISNUMBER(INDIRECT(N302)),IF(INDIRECT(N302)&lt;&gt;INT(INDIRECT(N302)),1,0),0)),"")</f>
        <v/>
      </c>
      <c r="V302" s="17">
        <f t="shared" ca="1" si="68"/>
        <v>0</v>
      </c>
      <c r="W302" s="17">
        <f t="shared" ca="1" si="69"/>
        <v>0</v>
      </c>
      <c r="X302" s="24" t="str">
        <f t="array" aca="1" ref="X302" ca="1">IF(AD302,IF(AG302&lt;&gt;"",AG302,IF(J302,MIN(INDIRECT( K302)),"")),"")</f>
        <v/>
      </c>
      <c r="Y302" s="17" t="str">
        <f t="array" aca="1" ref="Y302" ca="1">IF(AD302,IF(AH302&lt;&gt;"",AH302,IF(J302,MAX(INDIRECT( K302)),"")),"")</f>
        <v/>
      </c>
      <c r="Z302" s="17" t="b">
        <f t="shared" ca="1" si="70"/>
        <v>0</v>
      </c>
      <c r="AC302" s="17" t="b">
        <f t="shared" ca="1" si="71"/>
        <v>0</v>
      </c>
      <c r="AD302" s="14" t="b">
        <f t="shared" ca="1" si="72"/>
        <v>1</v>
      </c>
      <c r="AE302" s="15" t="b">
        <f t="shared" ca="1" si="73"/>
        <v>0</v>
      </c>
      <c r="AF302" s="16"/>
      <c r="AG302" s="16"/>
      <c r="AH302" s="16"/>
      <c r="AI302" s="16"/>
      <c r="AJ302" s="16"/>
      <c r="AK302" s="16"/>
      <c r="AL302" s="16"/>
      <c r="AM302" s="16"/>
    </row>
    <row r="303" spans="2:39">
      <c r="B303" s="14">
        <f t="shared" si="62"/>
        <v>301</v>
      </c>
      <c r="C303" s="14" t="str">
        <f t="shared" ca="1" si="63"/>
        <v>S</v>
      </c>
      <c r="D303" s="14" t="str">
        <f t="shared" ca="1" si="64"/>
        <v>q_51v.1</v>
      </c>
      <c r="E303" s="14" t="str">
        <f t="shared" ca="1" si="61"/>
        <v>Other mild activity</v>
      </c>
      <c r="F303" s="14">
        <f t="shared" ca="1" si="74"/>
        <v>0</v>
      </c>
      <c r="G303" s="14" t="str">
        <f t="shared" ca="1" si="65"/>
        <v>q_51v.1</v>
      </c>
      <c r="H303" s="14">
        <f ca="1">IF(G303&lt;&gt;"",IFERROR( IsVariableNameLegal(G303),0),0)+IF(COUNTIF(INDIRECT(wew!$C$13),G303)&gt;1,10,0)</f>
        <v>0</v>
      </c>
      <c r="I303" s="14">
        <f ca="1">IF(E303&lt;&gt;"",IF(LEN(E303)&gt;150,1,0)+IF(COUNTIF(INDIRECT(wew!$C$15),E303)&gt;1,10,0),0)</f>
        <v>0</v>
      </c>
      <c r="J303" s="14" t="b">
        <f t="shared" ca="1" si="66"/>
        <v>0</v>
      </c>
      <c r="K303" s="14" t="str">
        <f ca="1">ADDRESS(3,(B303+1)*2-1,4,,"[" &amp; wew!$G$7 &amp; "]" &amp; _sheetname_labels) &amp; ":" &amp; ADDRESS(2+ster!$B$20,(B303+1)*2-1,4)</f>
        <v>'[dane surowe2c.xlsm]labels'!WE3:WE36</v>
      </c>
      <c r="L303" s="14" t="str">
        <f ca="1">IF(F303&gt;0,ADDRESS(3,(B303+1)*2-1,4,,"[" &amp; wew!$G$7 &amp; "]" &amp; _sheetname_labels) &amp; ":" &amp; ADDRESS(2+F303,(B303+1)*2-1,4),"")</f>
        <v/>
      </c>
      <c r="M303" s="14" t="str">
        <f ca="1">IF(F303&gt;0,ADDRESS(3,(B303+1)*2,4,,"["&amp;wew!$G$7&amp;"]"&amp;_sheetname_labels)&amp;":"&amp;ADDRESS(2+F303,(B303+1)*2,4),"")</f>
        <v/>
      </c>
      <c r="N303" s="14" t="str">
        <f ca="1">ADDRESS(3,B303+1,4,,"[" &amp; wew!$G$7 &amp; "]" &amp;_sheetname_dataframe) &amp; ":" &amp; ADDRESS(2+ster!$C$14,B303+1,4)</f>
        <v>'[dane surowe2c.xlsm]data_frame'!KP3:KP35</v>
      </c>
      <c r="O303" s="14">
        <f t="shared" ca="1" si="67"/>
        <v>0</v>
      </c>
      <c r="P303" s="14" t="str">
        <f ca="1">IF(AND($AD303,$S303=1),IF(wew!$B$3,MIN(INDIRECT($N303)),"&lt;włącz podświetlanie wartości&gt;"),"—")</f>
        <v>—</v>
      </c>
      <c r="Q303" s="14" t="str">
        <f ca="1">IF(AND($AD303,$S303=1),IF(wew!$B$3,MAX(INDIRECT($N303)),"&lt;włącz podświetlanie wartości&gt;"),"—")</f>
        <v>—</v>
      </c>
      <c r="R303" s="14">
        <f ca="1">IF(AD303,ster!$C$14- (COUNTIF( INDIRECT(N303),"" )+ COUNT(INDIRECT(N303)) +COUNTIF( INDIRECT(N303),"NA" )),"")</f>
        <v>32</v>
      </c>
      <c r="S303" s="12">
        <f ca="1">IF(AD303,IF(COUNTA(INDIRECT(N303))=0,0, 1-(ster!$C$14- COUNT(INDIRECT(N303)) -COUNTIF( INDIRECT(N303),"" )) /COUNTA(INDIRECT(N303))),"")</f>
        <v>0</v>
      </c>
      <c r="T303" s="17" t="str">
        <f t="array" aca="1" ref="T303" ca="1">IF(L303&lt;&gt;"",SUM(IF(INDIRECT(L303)&lt;&gt;INT(INDIRECT(L303)),1,0)),"")</f>
        <v/>
      </c>
      <c r="U303" s="17" t="str">
        <f t="array" aca="1" ref="U303" ca="1">IF(S303=1,SUM(IF(ISNUMBER(INDIRECT(N303)),IF(INDIRECT(N303)&lt;&gt;INT(INDIRECT(N303)),1,0),0)),"")</f>
        <v/>
      </c>
      <c r="V303" s="17">
        <f t="shared" ca="1" si="68"/>
        <v>0</v>
      </c>
      <c r="W303" s="17">
        <f t="shared" ca="1" si="69"/>
        <v>0</v>
      </c>
      <c r="X303" s="24" t="str">
        <f t="array" aca="1" ref="X303" ca="1">IF(AD303,IF(AG303&lt;&gt;"",AG303,IF(J303,MIN(INDIRECT( K303)),"")),"")</f>
        <v/>
      </c>
      <c r="Y303" s="17" t="str">
        <f t="array" aca="1" ref="Y303" ca="1">IF(AD303,IF(AH303&lt;&gt;"",AH303,IF(J303,MAX(INDIRECT( K303)),"")),"")</f>
        <v/>
      </c>
      <c r="Z303" s="17" t="b">
        <f t="shared" ca="1" si="70"/>
        <v>0</v>
      </c>
      <c r="AC303" s="17" t="b">
        <f t="shared" ca="1" si="71"/>
        <v>1</v>
      </c>
      <c r="AD303" s="14" t="b">
        <f t="shared" ca="1" si="72"/>
        <v>1</v>
      </c>
      <c r="AE303" s="15" t="b">
        <f t="shared" ca="1" si="73"/>
        <v>0</v>
      </c>
      <c r="AF303" s="16"/>
      <c r="AG303" s="16"/>
      <c r="AH303" s="16"/>
      <c r="AI303" s="16"/>
      <c r="AJ303" s="16"/>
      <c r="AK303" s="16"/>
      <c r="AL303" s="16"/>
      <c r="AM303" s="16"/>
    </row>
    <row r="304" spans="2:39">
      <c r="B304" s="14">
        <f t="shared" si="62"/>
        <v>302</v>
      </c>
      <c r="C304" s="14" t="str">
        <f t="shared" ca="1" si="63"/>
        <v>I</v>
      </c>
      <c r="D304" s="14" t="str">
        <f t="shared" ca="1" si="64"/>
        <v>q_51v.2</v>
      </c>
      <c r="E304" s="14" t="str">
        <f t="shared" ca="1" si="61"/>
        <v>How long other mild activity</v>
      </c>
      <c r="F304" s="14">
        <f t="shared" ca="1" si="74"/>
        <v>0</v>
      </c>
      <c r="G304" s="14" t="str">
        <f t="shared" ca="1" si="65"/>
        <v>q_51v.2</v>
      </c>
      <c r="H304" s="14">
        <f ca="1">IF(G304&lt;&gt;"",IFERROR( IsVariableNameLegal(G304),0),0)+IF(COUNTIF(INDIRECT(wew!$C$13),G304)&gt;1,10,0)</f>
        <v>0</v>
      </c>
      <c r="I304" s="14">
        <f ca="1">IF(E304&lt;&gt;"",IF(LEN(E304)&gt;150,1,0)+IF(COUNTIF(INDIRECT(wew!$C$15),E304)&gt;1,10,0),0)</f>
        <v>0</v>
      </c>
      <c r="J304" s="14" t="b">
        <f t="shared" ca="1" si="66"/>
        <v>0</v>
      </c>
      <c r="K304" s="14" t="str">
        <f ca="1">ADDRESS(3,(B304+1)*2-1,4,,"[" &amp; wew!$G$7 &amp; "]" &amp; _sheetname_labels) &amp; ":" &amp; ADDRESS(2+ster!$B$20,(B304+1)*2-1,4)</f>
        <v>'[dane surowe2c.xlsm]labels'!WG3:WG36</v>
      </c>
      <c r="L304" s="14" t="str">
        <f ca="1">IF(F304&gt;0,ADDRESS(3,(B304+1)*2-1,4,,"[" &amp; wew!$G$7 &amp; "]" &amp; _sheetname_labels) &amp; ":" &amp; ADDRESS(2+F304,(B304+1)*2-1,4),"")</f>
        <v/>
      </c>
      <c r="M304" s="14" t="str">
        <f ca="1">IF(F304&gt;0,ADDRESS(3,(B304+1)*2,4,,"["&amp;wew!$G$7&amp;"]"&amp;_sheetname_labels)&amp;":"&amp;ADDRESS(2+F304,(B304+1)*2,4),"")</f>
        <v/>
      </c>
      <c r="N304" s="14" t="str">
        <f ca="1">ADDRESS(3,B304+1,4,,"[" &amp; wew!$G$7 &amp; "]" &amp;_sheetname_dataframe) &amp; ":" &amp; ADDRESS(2+ster!$C$14,B304+1,4)</f>
        <v>'[dane surowe2c.xlsm]data_frame'!KQ3:KQ35</v>
      </c>
      <c r="O304" s="14">
        <f t="shared" ca="1" si="67"/>
        <v>0</v>
      </c>
      <c r="P304" s="14" t="str">
        <f ca="1">IF(AND($AD304,$S304=1),IF(wew!$B$3,MIN(INDIRECT($N304)),"&lt;włącz podświetlanie wartości&gt;"),"—")</f>
        <v>—</v>
      </c>
      <c r="Q304" s="14" t="str">
        <f ca="1">IF(AND($AD304,$S304=1),IF(wew!$B$3,MAX(INDIRECT($N304)),"&lt;włącz podświetlanie wartości&gt;"),"—")</f>
        <v>—</v>
      </c>
      <c r="R304" s="14">
        <f ca="1">IF(AD304,ster!$C$14- (COUNTIF( INDIRECT(N304),"" )+ COUNT(INDIRECT(N304)) +COUNTIF( INDIRECT(N304),"NA" )),"")</f>
        <v>0</v>
      </c>
      <c r="S304" s="12">
        <f ca="1">IF(AD304,IF(COUNTA(INDIRECT(N304))=0,0, 1-(ster!$C$14- COUNT(INDIRECT(N304)) -COUNTIF( INDIRECT(N304),"" )) /COUNTA(INDIRECT(N304))),"")</f>
        <v>0</v>
      </c>
      <c r="T304" s="17" t="str">
        <f t="array" aca="1" ref="T304" ca="1">IF(L304&lt;&gt;"",SUM(IF(INDIRECT(L304)&lt;&gt;INT(INDIRECT(L304)),1,0)),"")</f>
        <v/>
      </c>
      <c r="U304" s="17" t="str">
        <f t="array" aca="1" ref="U304" ca="1">IF(S304=1,SUM(IF(ISNUMBER(INDIRECT(N304)),IF(INDIRECT(N304)&lt;&gt;INT(INDIRECT(N304)),1,0),0)),"")</f>
        <v/>
      </c>
      <c r="V304" s="17">
        <f t="shared" ca="1" si="68"/>
        <v>0</v>
      </c>
      <c r="W304" s="17">
        <f t="shared" ca="1" si="69"/>
        <v>0</v>
      </c>
      <c r="X304" s="24" t="str">
        <f t="array" aca="1" ref="X304" ca="1">IF(AD304,IF(AG304&lt;&gt;"",AG304,IF(J304,MIN(INDIRECT( K304)),"")),"")</f>
        <v/>
      </c>
      <c r="Y304" s="17" t="str">
        <f t="array" aca="1" ref="Y304" ca="1">IF(AD304,IF(AH304&lt;&gt;"",AH304,IF(J304,MAX(INDIRECT( K304)),"")),"")</f>
        <v/>
      </c>
      <c r="Z304" s="17" t="b">
        <f t="shared" ca="1" si="70"/>
        <v>0</v>
      </c>
      <c r="AC304" s="17" t="b">
        <f t="shared" ca="1" si="71"/>
        <v>0</v>
      </c>
      <c r="AD304" s="14" t="b">
        <f t="shared" ca="1" si="72"/>
        <v>1</v>
      </c>
      <c r="AE304" s="15" t="b">
        <f t="shared" ca="1" si="73"/>
        <v>0</v>
      </c>
      <c r="AF304" s="16"/>
      <c r="AG304" s="16"/>
      <c r="AH304" s="16"/>
      <c r="AI304" s="16"/>
      <c r="AJ304" s="16"/>
      <c r="AK304" s="16"/>
      <c r="AL304" s="16"/>
      <c r="AM304" s="16"/>
    </row>
    <row r="305" spans="2:39">
      <c r="B305" s="14">
        <f t="shared" si="62"/>
        <v>303</v>
      </c>
      <c r="C305" s="14" t="str">
        <f t="shared" ca="1" si="63"/>
        <v>N</v>
      </c>
      <c r="D305" s="14" t="str">
        <f t="shared" ca="1" si="64"/>
        <v>q_52</v>
      </c>
      <c r="E305" s="14" t="str">
        <f t="shared" ca="1" si="61"/>
        <v>Regular specific diet</v>
      </c>
      <c r="F305" s="14">
        <f t="shared" ca="1" si="74"/>
        <v>8</v>
      </c>
      <c r="G305" s="14" t="str">
        <f t="shared" ca="1" si="65"/>
        <v>q_52</v>
      </c>
      <c r="H305" s="14">
        <f ca="1">IF(G305&lt;&gt;"",IFERROR( IsVariableNameLegal(G305),0),0)+IF(COUNTIF(INDIRECT(wew!$C$13),G305)&gt;1,10,0)</f>
        <v>0</v>
      </c>
      <c r="I305" s="14">
        <f ca="1">IF(E305&lt;&gt;"",IF(LEN(E305)&gt;150,1,0)+IF(COUNTIF(INDIRECT(wew!$C$15),E305)&gt;1,10,0),0)</f>
        <v>0</v>
      </c>
      <c r="J305" s="14" t="b">
        <f t="shared" ca="1" si="66"/>
        <v>1</v>
      </c>
      <c r="K305" s="14" t="str">
        <f ca="1">ADDRESS(3,(B305+1)*2-1,4,,"[" &amp; wew!$G$7 &amp; "]" &amp; _sheetname_labels) &amp; ":" &amp; ADDRESS(2+ster!$B$20,(B305+1)*2-1,4)</f>
        <v>'[dane surowe2c.xlsm]labels'!WI3:WI36</v>
      </c>
      <c r="L305" s="14" t="str">
        <f ca="1">IF(F305&gt;0,ADDRESS(3,(B305+1)*2-1,4,,"[" &amp; wew!$G$7 &amp; "]" &amp; _sheetname_labels) &amp; ":" &amp; ADDRESS(2+F305,(B305+1)*2-1,4),"")</f>
        <v>'[dane surowe2c.xlsm]labels'!WI3:WI10</v>
      </c>
      <c r="M305" s="14" t="str">
        <f ca="1">IF(F305&gt;0,ADDRESS(3,(B305+1)*2,4,,"["&amp;wew!$G$7&amp;"]"&amp;_sheetname_labels)&amp;":"&amp;ADDRESS(2+F305,(B305+1)*2,4),"")</f>
        <v>'[dane surowe2c.xlsm]labels'!WJ3:WJ10</v>
      </c>
      <c r="N305" s="14" t="str">
        <f ca="1">ADDRESS(3,B305+1,4,,"[" &amp; wew!$G$7 &amp; "]" &amp;_sheetname_dataframe) &amp; ":" &amp; ADDRESS(2+ster!$C$14,B305+1,4)</f>
        <v>'[dane surowe2c.xlsm]data_frame'!KR3:KR35</v>
      </c>
      <c r="O305" s="14">
        <f t="shared" ca="1" si="67"/>
        <v>32</v>
      </c>
      <c r="P305" s="14">
        <f ca="1">IF(AND($AD305,$S305=1),IF(wew!$B$3,MIN(INDIRECT($N305)),"&lt;włącz podświetlanie wartości&gt;"),"—")</f>
        <v>1</v>
      </c>
      <c r="Q305" s="14">
        <f ca="1">IF(AND($AD305,$S305=1),IF(wew!$B$3,MAX(INDIRECT($N305)),"&lt;włącz podświetlanie wartości&gt;"),"—")</f>
        <v>3</v>
      </c>
      <c r="R305" s="14">
        <f ca="1">IF(AD305,ster!$C$14- (COUNTIF( INDIRECT(N305),"" )+ COUNT(INDIRECT(N305)) +COUNTIF( INDIRECT(N305),"NA" )),"")</f>
        <v>0</v>
      </c>
      <c r="S305" s="12">
        <f ca="1">IF(AD305,IF(COUNTA(INDIRECT(N305))=0,0, 1-(ster!$C$14- COUNT(INDIRECT(N305)) -COUNTIF( INDIRECT(N305),"" )) /COUNTA(INDIRECT(N305))),"")</f>
        <v>1</v>
      </c>
      <c r="T305" s="17">
        <f t="array" aca="1" ref="T305" ca="1">IF(L305&lt;&gt;"",SUM(IF(INDIRECT(L305)&lt;&gt;INT(INDIRECT(L305)),1,0)),"")</f>
        <v>0</v>
      </c>
      <c r="U305" s="17">
        <f t="array" aca="1" ref="U305" ca="1">IF(S305=1,SUM(IF(ISNUMBER(INDIRECT(N305)),IF(INDIRECT(N305)&lt;&gt;INT(INDIRECT(N305)),1,0),0)),"")</f>
        <v>0</v>
      </c>
      <c r="V305" s="17">
        <f t="shared" ca="1" si="68"/>
        <v>1</v>
      </c>
      <c r="W305" s="17">
        <f t="shared" ca="1" si="69"/>
        <v>0</v>
      </c>
      <c r="X305" s="24">
        <f t="array" aca="1" ref="X305" ca="1">IF(AD305,IF(AG305&lt;&gt;"",AG305,IF(J305,MIN(INDIRECT( K305)),"")),"")</f>
        <v>1</v>
      </c>
      <c r="Y305" s="17">
        <f t="array" aca="1" ref="Y305" ca="1">IF(AD305,IF(AH305&lt;&gt;"",AH305,IF(J305,MAX(INDIRECT( K305)),"")),"")</f>
        <v>8</v>
      </c>
      <c r="Z305" s="17" t="b">
        <f t="shared" ca="1" si="70"/>
        <v>1</v>
      </c>
      <c r="AC305" s="17" t="b">
        <f t="shared" ca="1" si="71"/>
        <v>0</v>
      </c>
      <c r="AD305" s="14" t="b">
        <f t="shared" ca="1" si="72"/>
        <v>1</v>
      </c>
      <c r="AE305" s="15" t="b">
        <f t="shared" ca="1" si="73"/>
        <v>1</v>
      </c>
      <c r="AF305" s="16"/>
      <c r="AG305" s="16"/>
      <c r="AH305" s="16"/>
      <c r="AI305" s="16"/>
      <c r="AJ305" s="16"/>
      <c r="AK305" s="16"/>
      <c r="AL305" s="16"/>
      <c r="AM305" s="16"/>
    </row>
    <row r="306" spans="2:39">
      <c r="B306" s="14">
        <f t="shared" si="62"/>
        <v>304</v>
      </c>
      <c r="C306" s="14" t="str">
        <f t="shared" ca="1" si="63"/>
        <v>D</v>
      </c>
      <c r="D306" s="14" t="str">
        <f t="shared" ca="1" si="64"/>
        <v>q_53</v>
      </c>
      <c r="E306" s="14" t="str">
        <f t="shared" ca="1" si="61"/>
        <v>Head/Neck trauma in the last 5 years</v>
      </c>
      <c r="F306" s="14">
        <f t="shared" ca="1" si="74"/>
        <v>2</v>
      </c>
      <c r="G306" s="14" t="str">
        <f t="shared" ca="1" si="65"/>
        <v>q_53</v>
      </c>
      <c r="H306" s="14">
        <f ca="1">IF(G306&lt;&gt;"",IFERROR( IsVariableNameLegal(G306),0),0)+IF(COUNTIF(INDIRECT(wew!$C$13),G306)&gt;1,10,0)</f>
        <v>0</v>
      </c>
      <c r="I306" s="14">
        <f ca="1">IF(E306&lt;&gt;"",IF(LEN(E306)&gt;150,1,0)+IF(COUNTIF(INDIRECT(wew!$C$15),E306)&gt;1,10,0),0)</f>
        <v>0</v>
      </c>
      <c r="J306" s="14" t="b">
        <f t="shared" ca="1" si="66"/>
        <v>1</v>
      </c>
      <c r="K306" s="14" t="str">
        <f ca="1">ADDRESS(3,(B306+1)*2-1,4,,"[" &amp; wew!$G$7 &amp; "]" &amp; _sheetname_labels) &amp; ":" &amp; ADDRESS(2+ster!$B$20,(B306+1)*2-1,4)</f>
        <v>'[dane surowe2c.xlsm]labels'!WK3:WK36</v>
      </c>
      <c r="L306" s="14" t="str">
        <f ca="1">IF(F306&gt;0,ADDRESS(3,(B306+1)*2-1,4,,"[" &amp; wew!$G$7 &amp; "]" &amp; _sheetname_labels) &amp; ":" &amp; ADDRESS(2+F306,(B306+1)*2-1,4),"")</f>
        <v>'[dane surowe2c.xlsm]labels'!WK3:WK4</v>
      </c>
      <c r="M306" s="14" t="str">
        <f ca="1">IF(F306&gt;0,ADDRESS(3,(B306+1)*2,4,,"["&amp;wew!$G$7&amp;"]"&amp;_sheetname_labels)&amp;":"&amp;ADDRESS(2+F306,(B306+1)*2,4),"")</f>
        <v>'[dane surowe2c.xlsm]labels'!WL3:WL4</v>
      </c>
      <c r="N306" s="14" t="str">
        <f ca="1">ADDRESS(3,B306+1,4,,"[" &amp; wew!$G$7 &amp; "]" &amp;_sheetname_dataframe) &amp; ":" &amp; ADDRESS(2+ster!$C$14,B306+1,4)</f>
        <v>'[dane surowe2c.xlsm]data_frame'!KS3:KS35</v>
      </c>
      <c r="O306" s="14">
        <f t="shared" ca="1" si="67"/>
        <v>32</v>
      </c>
      <c r="P306" s="14">
        <f ca="1">IF(AND($AD306,$S306=1),IF(wew!$B$3,MIN(INDIRECT($N306)),"&lt;włącz podświetlanie wartości&gt;"),"—")</f>
        <v>1</v>
      </c>
      <c r="Q306" s="14">
        <f ca="1">IF(AND($AD306,$S306=1),IF(wew!$B$3,MAX(INDIRECT($N306)),"&lt;włącz podświetlanie wartości&gt;"),"—")</f>
        <v>2</v>
      </c>
      <c r="R306" s="14">
        <f ca="1">IF(AD306,ster!$C$14- (COUNTIF( INDIRECT(N306),"" )+ COUNT(INDIRECT(N306)) +COUNTIF( INDIRECT(N306),"NA" )),"")</f>
        <v>0</v>
      </c>
      <c r="S306" s="12">
        <f ca="1">IF(AD306,IF(COUNTA(INDIRECT(N306))=0,0, 1-(ster!$C$14- COUNT(INDIRECT(N306)) -COUNTIF( INDIRECT(N306),"" )) /COUNTA(INDIRECT(N306))),"")</f>
        <v>1</v>
      </c>
      <c r="T306" s="17">
        <f t="array" aca="1" ref="T306" ca="1">IF(L306&lt;&gt;"",SUM(IF(INDIRECT(L306)&lt;&gt;INT(INDIRECT(L306)),1,0)),"")</f>
        <v>0</v>
      </c>
      <c r="U306" s="17">
        <f t="array" aca="1" ref="U306" ca="1">IF(S306=1,SUM(IF(ISNUMBER(INDIRECT(N306)),IF(INDIRECT(N306)&lt;&gt;INT(INDIRECT(N306)),1,0),0)),"")</f>
        <v>0</v>
      </c>
      <c r="V306" s="17">
        <f t="shared" ca="1" si="68"/>
        <v>1</v>
      </c>
      <c r="W306" s="17">
        <f t="shared" ca="1" si="69"/>
        <v>0</v>
      </c>
      <c r="X306" s="24">
        <f t="array" aca="1" ref="X306" ca="1">IF(AD306,IF(AG306&lt;&gt;"",AG306,IF(J306,MIN(INDIRECT( K306)),"")),"")</f>
        <v>1</v>
      </c>
      <c r="Y306" s="17">
        <f t="array" aca="1" ref="Y306" ca="1">IF(AD306,IF(AH306&lt;&gt;"",AH306,IF(J306,MAX(INDIRECT( K306)),"")),"")</f>
        <v>2</v>
      </c>
      <c r="Z306" s="17" t="b">
        <f t="shared" ca="1" si="70"/>
        <v>1</v>
      </c>
      <c r="AC306" s="17" t="b">
        <f t="shared" ca="1" si="71"/>
        <v>0</v>
      </c>
      <c r="AD306" s="14" t="b">
        <f t="shared" ca="1" si="72"/>
        <v>1</v>
      </c>
      <c r="AE306" s="15" t="b">
        <f t="shared" ca="1" si="73"/>
        <v>1</v>
      </c>
      <c r="AF306" s="16"/>
      <c r="AG306" s="16"/>
      <c r="AH306" s="16"/>
      <c r="AI306" s="16"/>
      <c r="AJ306" s="16"/>
      <c r="AK306" s="16"/>
      <c r="AL306" s="16"/>
      <c r="AM306" s="16"/>
    </row>
    <row r="307" spans="2:39">
      <c r="B307" s="14">
        <f t="shared" si="62"/>
        <v>305</v>
      </c>
      <c r="C307" s="14" t="str">
        <f t="shared" ca="1" si="63"/>
        <v>D</v>
      </c>
      <c r="D307" s="14" t="str">
        <f t="shared" ca="1" si="64"/>
        <v>q_54</v>
      </c>
      <c r="E307" s="14" t="str">
        <f t="shared" ca="1" si="61"/>
        <v>Head/Neck trauma &gt; 5 years</v>
      </c>
      <c r="F307" s="14">
        <f t="shared" ca="1" si="74"/>
        <v>2</v>
      </c>
      <c r="G307" s="14" t="str">
        <f t="shared" ca="1" si="65"/>
        <v>q_54</v>
      </c>
      <c r="H307" s="14">
        <f ca="1">IF(G307&lt;&gt;"",IFERROR( IsVariableNameLegal(G307),0),0)+IF(COUNTIF(INDIRECT(wew!$C$13),G307)&gt;1,10,0)</f>
        <v>0</v>
      </c>
      <c r="I307" s="14">
        <f ca="1">IF(E307&lt;&gt;"",IF(LEN(E307)&gt;150,1,0)+IF(COUNTIF(INDIRECT(wew!$C$15),E307)&gt;1,10,0),0)</f>
        <v>0</v>
      </c>
      <c r="J307" s="14" t="b">
        <f t="shared" ca="1" si="66"/>
        <v>1</v>
      </c>
      <c r="K307" s="14" t="str">
        <f ca="1">ADDRESS(3,(B307+1)*2-1,4,,"[" &amp; wew!$G$7 &amp; "]" &amp; _sheetname_labels) &amp; ":" &amp; ADDRESS(2+ster!$B$20,(B307+1)*2-1,4)</f>
        <v>'[dane surowe2c.xlsm]labels'!WM3:WM36</v>
      </c>
      <c r="L307" s="14" t="str">
        <f ca="1">IF(F307&gt;0,ADDRESS(3,(B307+1)*2-1,4,,"[" &amp; wew!$G$7 &amp; "]" &amp; _sheetname_labels) &amp; ":" &amp; ADDRESS(2+F307,(B307+1)*2-1,4),"")</f>
        <v>'[dane surowe2c.xlsm]labels'!WM3:WM4</v>
      </c>
      <c r="M307" s="14" t="str">
        <f ca="1">IF(F307&gt;0,ADDRESS(3,(B307+1)*2,4,,"["&amp;wew!$G$7&amp;"]"&amp;_sheetname_labels)&amp;":"&amp;ADDRESS(2+F307,(B307+1)*2,4),"")</f>
        <v>'[dane surowe2c.xlsm]labels'!WN3:WN4</v>
      </c>
      <c r="N307" s="14" t="str">
        <f ca="1">ADDRESS(3,B307+1,4,,"[" &amp; wew!$G$7 &amp; "]" &amp;_sheetname_dataframe) &amp; ":" &amp; ADDRESS(2+ster!$C$14,B307+1,4)</f>
        <v>'[dane surowe2c.xlsm]data_frame'!KT3:KT35</v>
      </c>
      <c r="O307" s="14">
        <f t="shared" ca="1" si="67"/>
        <v>32</v>
      </c>
      <c r="P307" s="14">
        <f ca="1">IF(AND($AD307,$S307=1),IF(wew!$B$3,MIN(INDIRECT($N307)),"&lt;włącz podświetlanie wartości&gt;"),"—")</f>
        <v>1</v>
      </c>
      <c r="Q307" s="14">
        <f ca="1">IF(AND($AD307,$S307=1),IF(wew!$B$3,MAX(INDIRECT($N307)),"&lt;włącz podświetlanie wartości&gt;"),"—")</f>
        <v>2</v>
      </c>
      <c r="R307" s="14">
        <f ca="1">IF(AD307,ster!$C$14- (COUNTIF( INDIRECT(N307),"" )+ COUNT(INDIRECT(N307)) +COUNTIF( INDIRECT(N307),"NA" )),"")</f>
        <v>0</v>
      </c>
      <c r="S307" s="12">
        <f ca="1">IF(AD307,IF(COUNTA(INDIRECT(N307))=0,0, 1-(ster!$C$14- COUNT(INDIRECT(N307)) -COUNTIF( INDIRECT(N307),"" )) /COUNTA(INDIRECT(N307))),"")</f>
        <v>1</v>
      </c>
      <c r="T307" s="17">
        <f t="array" aca="1" ref="T307" ca="1">IF(L307&lt;&gt;"",SUM(IF(INDIRECT(L307)&lt;&gt;INT(INDIRECT(L307)),1,0)),"")</f>
        <v>0</v>
      </c>
      <c r="U307" s="17">
        <f t="array" aca="1" ref="U307" ca="1">IF(S307=1,SUM(IF(ISNUMBER(INDIRECT(N307)),IF(INDIRECT(N307)&lt;&gt;INT(INDIRECT(N307)),1,0),0)),"")</f>
        <v>0</v>
      </c>
      <c r="V307" s="17">
        <f t="shared" ca="1" si="68"/>
        <v>1</v>
      </c>
      <c r="W307" s="17">
        <f t="shared" ca="1" si="69"/>
        <v>0</v>
      </c>
      <c r="X307" s="24">
        <f t="array" aca="1" ref="X307" ca="1">IF(AD307,IF(AG307&lt;&gt;"",AG307,IF(J307,MIN(INDIRECT( K307)),"")),"")</f>
        <v>1</v>
      </c>
      <c r="Y307" s="17">
        <f t="array" aca="1" ref="Y307" ca="1">IF(AD307,IF(AH307&lt;&gt;"",AH307,IF(J307,MAX(INDIRECT( K307)),"")),"")</f>
        <v>2</v>
      </c>
      <c r="Z307" s="17" t="b">
        <f t="shared" ca="1" si="70"/>
        <v>1</v>
      </c>
      <c r="AC307" s="17" t="b">
        <f t="shared" ca="1" si="71"/>
        <v>0</v>
      </c>
      <c r="AD307" s="14" t="b">
        <f t="shared" ca="1" si="72"/>
        <v>1</v>
      </c>
      <c r="AE307" s="15" t="b">
        <f t="shared" ca="1" si="73"/>
        <v>1</v>
      </c>
      <c r="AF307" s="16"/>
      <c r="AG307" s="16"/>
      <c r="AH307" s="16"/>
      <c r="AI307" s="16"/>
      <c r="AJ307" s="16"/>
      <c r="AK307" s="16"/>
      <c r="AL307" s="16"/>
      <c r="AM307" s="16"/>
    </row>
    <row r="308" spans="2:39">
      <c r="B308" s="14">
        <f t="shared" si="62"/>
        <v>306</v>
      </c>
      <c r="C308" s="14" t="str">
        <f t="shared" ca="1" si="63"/>
        <v>D</v>
      </c>
      <c r="D308" s="14" t="str">
        <f t="shared" ca="1" si="64"/>
        <v>q_55a</v>
      </c>
      <c r="E308" s="14" t="str">
        <f t="shared" ca="1" si="61"/>
        <v>Other Cervical trauma in the last 5 years</v>
      </c>
      <c r="F308" s="14">
        <f t="shared" ca="1" si="74"/>
        <v>2</v>
      </c>
      <c r="G308" s="14" t="str">
        <f t="shared" ca="1" si="65"/>
        <v>q_55a</v>
      </c>
      <c r="H308" s="14">
        <f ca="1">IF(G308&lt;&gt;"",IFERROR( IsVariableNameLegal(G308),0),0)+IF(COUNTIF(INDIRECT(wew!$C$13),G308)&gt;1,10,0)</f>
        <v>0</v>
      </c>
      <c r="I308" s="14">
        <f ca="1">IF(E308&lt;&gt;"",IF(LEN(E308)&gt;150,1,0)+IF(COUNTIF(INDIRECT(wew!$C$15),E308)&gt;1,10,0),0)</f>
        <v>0</v>
      </c>
      <c r="J308" s="14" t="b">
        <f t="shared" ca="1" si="66"/>
        <v>1</v>
      </c>
      <c r="K308" s="14" t="str">
        <f ca="1">ADDRESS(3,(B308+1)*2-1,4,,"[" &amp; wew!$G$7 &amp; "]" &amp; _sheetname_labels) &amp; ":" &amp; ADDRESS(2+ster!$B$20,(B308+1)*2-1,4)</f>
        <v>'[dane surowe2c.xlsm]labels'!WO3:WO36</v>
      </c>
      <c r="L308" s="14" t="str">
        <f ca="1">IF(F308&gt;0,ADDRESS(3,(B308+1)*2-1,4,,"[" &amp; wew!$G$7 &amp; "]" &amp; _sheetname_labels) &amp; ":" &amp; ADDRESS(2+F308,(B308+1)*2-1,4),"")</f>
        <v>'[dane surowe2c.xlsm]labels'!WO3:WO4</v>
      </c>
      <c r="M308" s="14" t="str">
        <f ca="1">IF(F308&gt;0,ADDRESS(3,(B308+1)*2,4,,"["&amp;wew!$G$7&amp;"]"&amp;_sheetname_labels)&amp;":"&amp;ADDRESS(2+F308,(B308+1)*2,4),"")</f>
        <v>'[dane surowe2c.xlsm]labels'!WP3:WP4</v>
      </c>
      <c r="N308" s="14" t="str">
        <f ca="1">ADDRESS(3,B308+1,4,,"[" &amp; wew!$G$7 &amp; "]" &amp;_sheetname_dataframe) &amp; ":" &amp; ADDRESS(2+ster!$C$14,B308+1,4)</f>
        <v>'[dane surowe2c.xlsm]data_frame'!KU3:KU35</v>
      </c>
      <c r="O308" s="14">
        <f t="shared" ca="1" si="67"/>
        <v>32</v>
      </c>
      <c r="P308" s="14">
        <f ca="1">IF(AND($AD308,$S308=1),IF(wew!$B$3,MIN(INDIRECT($N308)),"&lt;włącz podświetlanie wartości&gt;"),"—")</f>
        <v>2</v>
      </c>
      <c r="Q308" s="14">
        <f ca="1">IF(AND($AD308,$S308=1),IF(wew!$B$3,MAX(INDIRECT($N308)),"&lt;włącz podświetlanie wartości&gt;"),"—")</f>
        <v>2</v>
      </c>
      <c r="R308" s="14">
        <f ca="1">IF(AD308,ster!$C$14- (COUNTIF( INDIRECT(N308),"" )+ COUNT(INDIRECT(N308)) +COUNTIF( INDIRECT(N308),"NA" )),"")</f>
        <v>0</v>
      </c>
      <c r="S308" s="12">
        <f ca="1">IF(AD308,IF(COUNTA(INDIRECT(N308))=0,0, 1-(ster!$C$14- COUNT(INDIRECT(N308)) -COUNTIF( INDIRECT(N308),"" )) /COUNTA(INDIRECT(N308))),"")</f>
        <v>1</v>
      </c>
      <c r="T308" s="17">
        <f t="array" aca="1" ref="T308" ca="1">IF(L308&lt;&gt;"",SUM(IF(INDIRECT(L308)&lt;&gt;INT(INDIRECT(L308)),1,0)),"")</f>
        <v>0</v>
      </c>
      <c r="U308" s="17">
        <f t="array" aca="1" ref="U308" ca="1">IF(S308=1,SUM(IF(ISNUMBER(INDIRECT(N308)),IF(INDIRECT(N308)&lt;&gt;INT(INDIRECT(N308)),1,0),0)),"")</f>
        <v>0</v>
      </c>
      <c r="V308" s="17">
        <f t="shared" ca="1" si="68"/>
        <v>1</v>
      </c>
      <c r="W308" s="17">
        <f t="shared" ca="1" si="69"/>
        <v>0</v>
      </c>
      <c r="X308" s="24">
        <f t="array" aca="1" ref="X308" ca="1">IF(AD308,IF(AG308&lt;&gt;"",AG308,IF(J308,MIN(INDIRECT( K308)),"")),"")</f>
        <v>1</v>
      </c>
      <c r="Y308" s="17">
        <f t="array" aca="1" ref="Y308" ca="1">IF(AD308,IF(AH308&lt;&gt;"",AH308,IF(J308,MAX(INDIRECT( K308)),"")),"")</f>
        <v>2</v>
      </c>
      <c r="Z308" s="17" t="b">
        <f t="shared" ca="1" si="70"/>
        <v>1</v>
      </c>
      <c r="AC308" s="17" t="b">
        <f t="shared" ca="1" si="71"/>
        <v>0</v>
      </c>
      <c r="AD308" s="14" t="b">
        <f t="shared" ca="1" si="72"/>
        <v>1</v>
      </c>
      <c r="AE308" s="15" t="b">
        <f t="shared" ca="1" si="73"/>
        <v>1</v>
      </c>
      <c r="AF308" s="16"/>
      <c r="AG308" s="16"/>
      <c r="AH308" s="16"/>
      <c r="AI308" s="16"/>
      <c r="AJ308" s="16"/>
      <c r="AK308" s="16"/>
      <c r="AL308" s="16"/>
      <c r="AM308" s="16"/>
    </row>
    <row r="309" spans="2:39">
      <c r="B309" s="14">
        <f t="shared" si="62"/>
        <v>307</v>
      </c>
      <c r="C309" s="14" t="str">
        <f t="shared" ca="1" si="63"/>
        <v>D</v>
      </c>
      <c r="D309" s="14" t="str">
        <f t="shared" ca="1" si="64"/>
        <v>q_55b</v>
      </c>
      <c r="E309" s="14" t="str">
        <f t="shared" ca="1" si="61"/>
        <v>Other Thoracic trauma in the last 5 years</v>
      </c>
      <c r="F309" s="14">
        <f t="shared" ca="1" si="74"/>
        <v>2</v>
      </c>
      <c r="G309" s="14" t="str">
        <f t="shared" ca="1" si="65"/>
        <v>q_55b</v>
      </c>
      <c r="H309" s="14">
        <f ca="1">IF(G309&lt;&gt;"",IFERROR( IsVariableNameLegal(G309),0),0)+IF(COUNTIF(INDIRECT(wew!$C$13),G309)&gt;1,10,0)</f>
        <v>0</v>
      </c>
      <c r="I309" s="14">
        <f ca="1">IF(E309&lt;&gt;"",IF(LEN(E309)&gt;150,1,0)+IF(COUNTIF(INDIRECT(wew!$C$15),E309)&gt;1,10,0),0)</f>
        <v>0</v>
      </c>
      <c r="J309" s="14" t="b">
        <f t="shared" ca="1" si="66"/>
        <v>1</v>
      </c>
      <c r="K309" s="14" t="str">
        <f ca="1">ADDRESS(3,(B309+1)*2-1,4,,"[" &amp; wew!$G$7 &amp; "]" &amp; _sheetname_labels) &amp; ":" &amp; ADDRESS(2+ster!$B$20,(B309+1)*2-1,4)</f>
        <v>'[dane surowe2c.xlsm]labels'!WQ3:WQ36</v>
      </c>
      <c r="L309" s="14" t="str">
        <f ca="1">IF(F309&gt;0,ADDRESS(3,(B309+1)*2-1,4,,"[" &amp; wew!$G$7 &amp; "]" &amp; _sheetname_labels) &amp; ":" &amp; ADDRESS(2+F309,(B309+1)*2-1,4),"")</f>
        <v>'[dane surowe2c.xlsm]labels'!WQ3:WQ4</v>
      </c>
      <c r="M309" s="14" t="str">
        <f ca="1">IF(F309&gt;0,ADDRESS(3,(B309+1)*2,4,,"["&amp;wew!$G$7&amp;"]"&amp;_sheetname_labels)&amp;":"&amp;ADDRESS(2+F309,(B309+1)*2,4),"")</f>
        <v>'[dane surowe2c.xlsm]labels'!WR3:WR4</v>
      </c>
      <c r="N309" s="14" t="str">
        <f ca="1">ADDRESS(3,B309+1,4,,"[" &amp; wew!$G$7 &amp; "]" &amp;_sheetname_dataframe) &amp; ":" &amp; ADDRESS(2+ster!$C$14,B309+1,4)</f>
        <v>'[dane surowe2c.xlsm]data_frame'!KV3:KV35</v>
      </c>
      <c r="O309" s="14">
        <f t="shared" ca="1" si="67"/>
        <v>32</v>
      </c>
      <c r="P309" s="14">
        <f ca="1">IF(AND($AD309,$S309=1),IF(wew!$B$3,MIN(INDIRECT($N309)),"&lt;włącz podświetlanie wartości&gt;"),"—")</f>
        <v>2</v>
      </c>
      <c r="Q309" s="14">
        <f ca="1">IF(AND($AD309,$S309=1),IF(wew!$B$3,MAX(INDIRECT($N309)),"&lt;włącz podświetlanie wartości&gt;"),"—")</f>
        <v>2</v>
      </c>
      <c r="R309" s="14">
        <f ca="1">IF(AD309,ster!$C$14- (COUNTIF( INDIRECT(N309),"" )+ COUNT(INDIRECT(N309)) +COUNTIF( INDIRECT(N309),"NA" )),"")</f>
        <v>0</v>
      </c>
      <c r="S309" s="12">
        <f ca="1">IF(AD309,IF(COUNTA(INDIRECT(N309))=0,0, 1-(ster!$C$14- COUNT(INDIRECT(N309)) -COUNTIF( INDIRECT(N309),"" )) /COUNTA(INDIRECT(N309))),"")</f>
        <v>1</v>
      </c>
      <c r="T309" s="17">
        <f t="array" aca="1" ref="T309" ca="1">IF(L309&lt;&gt;"",SUM(IF(INDIRECT(L309)&lt;&gt;INT(INDIRECT(L309)),1,0)),"")</f>
        <v>0</v>
      </c>
      <c r="U309" s="17">
        <f t="array" aca="1" ref="U309" ca="1">IF(S309=1,SUM(IF(ISNUMBER(INDIRECT(N309)),IF(INDIRECT(N309)&lt;&gt;INT(INDIRECT(N309)),1,0),0)),"")</f>
        <v>0</v>
      </c>
      <c r="V309" s="17">
        <f t="shared" ca="1" si="68"/>
        <v>1</v>
      </c>
      <c r="W309" s="17">
        <f t="shared" ca="1" si="69"/>
        <v>0</v>
      </c>
      <c r="X309" s="24">
        <f t="array" aca="1" ref="X309" ca="1">IF(AD309,IF(AG309&lt;&gt;"",AG309,IF(J309,MIN(INDIRECT( K309)),"")),"")</f>
        <v>1</v>
      </c>
      <c r="Y309" s="17">
        <f t="array" aca="1" ref="Y309" ca="1">IF(AD309,IF(AH309&lt;&gt;"",AH309,IF(J309,MAX(INDIRECT( K309)),"")),"")</f>
        <v>2</v>
      </c>
      <c r="Z309" s="17" t="b">
        <f t="shared" ca="1" si="70"/>
        <v>1</v>
      </c>
      <c r="AC309" s="17" t="b">
        <f t="shared" ca="1" si="71"/>
        <v>0</v>
      </c>
      <c r="AD309" s="14" t="b">
        <f t="shared" ca="1" si="72"/>
        <v>1</v>
      </c>
      <c r="AE309" s="15" t="b">
        <f t="shared" ca="1" si="73"/>
        <v>1</v>
      </c>
      <c r="AF309" s="16"/>
      <c r="AG309" s="16"/>
      <c r="AH309" s="16"/>
      <c r="AI309" s="16"/>
      <c r="AJ309" s="16"/>
      <c r="AK309" s="16"/>
      <c r="AL309" s="16"/>
      <c r="AM309" s="16"/>
    </row>
    <row r="310" spans="2:39">
      <c r="B310" s="14">
        <f t="shared" si="62"/>
        <v>308</v>
      </c>
      <c r="C310" s="14" t="str">
        <f t="shared" ca="1" si="63"/>
        <v>D</v>
      </c>
      <c r="D310" s="14" t="str">
        <f t="shared" ca="1" si="64"/>
        <v>q_55c</v>
      </c>
      <c r="E310" s="14" t="str">
        <f t="shared" ca="1" si="61"/>
        <v>Other Lumbo-sacral trauma in the last 5 years</v>
      </c>
      <c r="F310" s="14">
        <f t="shared" ca="1" si="74"/>
        <v>2</v>
      </c>
      <c r="G310" s="14" t="str">
        <f t="shared" ca="1" si="65"/>
        <v>q_55c</v>
      </c>
      <c r="H310" s="14">
        <f ca="1">IF(G310&lt;&gt;"",IFERROR( IsVariableNameLegal(G310),0),0)+IF(COUNTIF(INDIRECT(wew!$C$13),G310)&gt;1,10,0)</f>
        <v>0</v>
      </c>
      <c r="I310" s="14">
        <f ca="1">IF(E310&lt;&gt;"",IF(LEN(E310)&gt;150,1,0)+IF(COUNTIF(INDIRECT(wew!$C$15),E310)&gt;1,10,0),0)</f>
        <v>0</v>
      </c>
      <c r="J310" s="14" t="b">
        <f t="shared" ca="1" si="66"/>
        <v>1</v>
      </c>
      <c r="K310" s="14" t="str">
        <f ca="1">ADDRESS(3,(B310+1)*2-1,4,,"[" &amp; wew!$G$7 &amp; "]" &amp; _sheetname_labels) &amp; ":" &amp; ADDRESS(2+ster!$B$20,(B310+1)*2-1,4)</f>
        <v>'[dane surowe2c.xlsm]labels'!WS3:WS36</v>
      </c>
      <c r="L310" s="14" t="str">
        <f ca="1">IF(F310&gt;0,ADDRESS(3,(B310+1)*2-1,4,,"[" &amp; wew!$G$7 &amp; "]" &amp; _sheetname_labels) &amp; ":" &amp; ADDRESS(2+F310,(B310+1)*2-1,4),"")</f>
        <v>'[dane surowe2c.xlsm]labels'!WS3:WS4</v>
      </c>
      <c r="M310" s="14" t="str">
        <f ca="1">IF(F310&gt;0,ADDRESS(3,(B310+1)*2,4,,"["&amp;wew!$G$7&amp;"]"&amp;_sheetname_labels)&amp;":"&amp;ADDRESS(2+F310,(B310+1)*2,4),"")</f>
        <v>'[dane surowe2c.xlsm]labels'!WT3:WT4</v>
      </c>
      <c r="N310" s="14" t="str">
        <f ca="1">ADDRESS(3,B310+1,4,,"[" &amp; wew!$G$7 &amp; "]" &amp;_sheetname_dataframe) &amp; ":" &amp; ADDRESS(2+ster!$C$14,B310+1,4)</f>
        <v>'[dane surowe2c.xlsm]data_frame'!KW3:KW35</v>
      </c>
      <c r="O310" s="14">
        <f t="shared" ca="1" si="67"/>
        <v>32</v>
      </c>
      <c r="P310" s="14">
        <f ca="1">IF(AND($AD310,$S310=1),IF(wew!$B$3,MIN(INDIRECT($N310)),"&lt;włącz podświetlanie wartości&gt;"),"—")</f>
        <v>1</v>
      </c>
      <c r="Q310" s="14">
        <f ca="1">IF(AND($AD310,$S310=1),IF(wew!$B$3,MAX(INDIRECT($N310)),"&lt;włącz podświetlanie wartości&gt;"),"—")</f>
        <v>2</v>
      </c>
      <c r="R310" s="14">
        <f ca="1">IF(AD310,ster!$C$14- (COUNTIF( INDIRECT(N310),"" )+ COUNT(INDIRECT(N310)) +COUNTIF( INDIRECT(N310),"NA" )),"")</f>
        <v>0</v>
      </c>
      <c r="S310" s="12">
        <f ca="1">IF(AD310,IF(COUNTA(INDIRECT(N310))=0,0, 1-(ster!$C$14- COUNT(INDIRECT(N310)) -COUNTIF( INDIRECT(N310),"" )) /COUNTA(INDIRECT(N310))),"")</f>
        <v>1</v>
      </c>
      <c r="T310" s="17">
        <f t="array" aca="1" ref="T310" ca="1">IF(L310&lt;&gt;"",SUM(IF(INDIRECT(L310)&lt;&gt;INT(INDIRECT(L310)),1,0)),"")</f>
        <v>0</v>
      </c>
      <c r="U310" s="17">
        <f t="array" aca="1" ref="U310" ca="1">IF(S310=1,SUM(IF(ISNUMBER(INDIRECT(N310)),IF(INDIRECT(N310)&lt;&gt;INT(INDIRECT(N310)),1,0),0)),"")</f>
        <v>0</v>
      </c>
      <c r="V310" s="17">
        <f t="shared" ca="1" si="68"/>
        <v>1</v>
      </c>
      <c r="W310" s="17">
        <f t="shared" ca="1" si="69"/>
        <v>0</v>
      </c>
      <c r="X310" s="24">
        <f t="array" aca="1" ref="X310" ca="1">IF(AD310,IF(AG310&lt;&gt;"",AG310,IF(J310,MIN(INDIRECT( K310)),"")),"")</f>
        <v>1</v>
      </c>
      <c r="Y310" s="17">
        <f t="array" aca="1" ref="Y310" ca="1">IF(AD310,IF(AH310&lt;&gt;"",AH310,IF(J310,MAX(INDIRECT( K310)),"")),"")</f>
        <v>2</v>
      </c>
      <c r="Z310" s="17" t="b">
        <f t="shared" ca="1" si="70"/>
        <v>1</v>
      </c>
      <c r="AC310" s="17" t="b">
        <f t="shared" ca="1" si="71"/>
        <v>0</v>
      </c>
      <c r="AD310" s="14" t="b">
        <f t="shared" ca="1" si="72"/>
        <v>1</v>
      </c>
      <c r="AE310" s="15" t="b">
        <f t="shared" ca="1" si="73"/>
        <v>1</v>
      </c>
      <c r="AF310" s="16"/>
      <c r="AG310" s="16"/>
      <c r="AH310" s="16"/>
      <c r="AI310" s="16"/>
      <c r="AJ310" s="16"/>
      <c r="AK310" s="16"/>
      <c r="AL310" s="16"/>
      <c r="AM310" s="16"/>
    </row>
    <row r="311" spans="2:39">
      <c r="B311" s="14">
        <f t="shared" si="62"/>
        <v>309</v>
      </c>
      <c r="C311" s="14" t="str">
        <f t="shared" ca="1" si="63"/>
        <v>D</v>
      </c>
      <c r="D311" s="14" t="str">
        <f t="shared" ca="1" si="64"/>
        <v>q_56a</v>
      </c>
      <c r="E311" s="14" t="str">
        <f t="shared" ca="1" si="61"/>
        <v>Other Cervical trauma &gt; 5 years</v>
      </c>
      <c r="F311" s="14">
        <f t="shared" ca="1" si="74"/>
        <v>2</v>
      </c>
      <c r="G311" s="14" t="str">
        <f t="shared" ca="1" si="65"/>
        <v>q_56a</v>
      </c>
      <c r="H311" s="14">
        <f ca="1">IF(G311&lt;&gt;"",IFERROR( IsVariableNameLegal(G311),0),0)+IF(COUNTIF(INDIRECT(wew!$C$13),G311)&gt;1,10,0)</f>
        <v>0</v>
      </c>
      <c r="I311" s="14">
        <f ca="1">IF(E311&lt;&gt;"",IF(LEN(E311)&gt;150,1,0)+IF(COUNTIF(INDIRECT(wew!$C$15),E311)&gt;1,10,0),0)</f>
        <v>0</v>
      </c>
      <c r="J311" s="14" t="b">
        <f t="shared" ca="1" si="66"/>
        <v>1</v>
      </c>
      <c r="K311" s="14" t="str">
        <f ca="1">ADDRESS(3,(B311+1)*2-1,4,,"[" &amp; wew!$G$7 &amp; "]" &amp; _sheetname_labels) &amp; ":" &amp; ADDRESS(2+ster!$B$20,(B311+1)*2-1,4)</f>
        <v>'[dane surowe2c.xlsm]labels'!WU3:WU36</v>
      </c>
      <c r="L311" s="14" t="str">
        <f ca="1">IF(F311&gt;0,ADDRESS(3,(B311+1)*2-1,4,,"[" &amp; wew!$G$7 &amp; "]" &amp; _sheetname_labels) &amp; ":" &amp; ADDRESS(2+F311,(B311+1)*2-1,4),"")</f>
        <v>'[dane surowe2c.xlsm]labels'!WU3:WU4</v>
      </c>
      <c r="M311" s="14" t="str">
        <f ca="1">IF(F311&gt;0,ADDRESS(3,(B311+1)*2,4,,"["&amp;wew!$G$7&amp;"]"&amp;_sheetname_labels)&amp;":"&amp;ADDRESS(2+F311,(B311+1)*2,4),"")</f>
        <v>'[dane surowe2c.xlsm]labels'!WV3:WV4</v>
      </c>
      <c r="N311" s="14" t="str">
        <f ca="1">ADDRESS(3,B311+1,4,,"[" &amp; wew!$G$7 &amp; "]" &amp;_sheetname_dataframe) &amp; ":" &amp; ADDRESS(2+ster!$C$14,B311+1,4)</f>
        <v>'[dane surowe2c.xlsm]data_frame'!KX3:KX35</v>
      </c>
      <c r="O311" s="14">
        <f t="shared" ca="1" si="67"/>
        <v>32</v>
      </c>
      <c r="P311" s="14">
        <f ca="1">IF(AND($AD311,$S311=1),IF(wew!$B$3,MIN(INDIRECT($N311)),"&lt;włącz podświetlanie wartości&gt;"),"—")</f>
        <v>2</v>
      </c>
      <c r="Q311" s="14">
        <f ca="1">IF(AND($AD311,$S311=1),IF(wew!$B$3,MAX(INDIRECT($N311)),"&lt;włącz podświetlanie wartości&gt;"),"—")</f>
        <v>2</v>
      </c>
      <c r="R311" s="14">
        <f ca="1">IF(AD311,ster!$C$14- (COUNTIF( INDIRECT(N311),"" )+ COUNT(INDIRECT(N311)) +COUNTIF( INDIRECT(N311),"NA" )),"")</f>
        <v>0</v>
      </c>
      <c r="S311" s="12">
        <f ca="1">IF(AD311,IF(COUNTA(INDIRECT(N311))=0,0, 1-(ster!$C$14- COUNT(INDIRECT(N311)) -COUNTIF( INDIRECT(N311),"" )) /COUNTA(INDIRECT(N311))),"")</f>
        <v>1</v>
      </c>
      <c r="T311" s="17">
        <f t="array" aca="1" ref="T311" ca="1">IF(L311&lt;&gt;"",SUM(IF(INDIRECT(L311)&lt;&gt;INT(INDIRECT(L311)),1,0)),"")</f>
        <v>0</v>
      </c>
      <c r="U311" s="17">
        <f t="array" aca="1" ref="U311" ca="1">IF(S311=1,SUM(IF(ISNUMBER(INDIRECT(N311)),IF(INDIRECT(N311)&lt;&gt;INT(INDIRECT(N311)),1,0),0)),"")</f>
        <v>0</v>
      </c>
      <c r="V311" s="17">
        <f t="shared" ca="1" si="68"/>
        <v>1</v>
      </c>
      <c r="W311" s="17">
        <f t="shared" ca="1" si="69"/>
        <v>0</v>
      </c>
      <c r="X311" s="24">
        <f t="array" aca="1" ref="X311" ca="1">IF(AD311,IF(AG311&lt;&gt;"",AG311,IF(J311,MIN(INDIRECT( K311)),"")),"")</f>
        <v>1</v>
      </c>
      <c r="Y311" s="17">
        <f t="array" aca="1" ref="Y311" ca="1">IF(AD311,IF(AH311&lt;&gt;"",AH311,IF(J311,MAX(INDIRECT( K311)),"")),"")</f>
        <v>2</v>
      </c>
      <c r="Z311" s="17" t="b">
        <f t="shared" ca="1" si="70"/>
        <v>1</v>
      </c>
      <c r="AC311" s="17" t="b">
        <f t="shared" ca="1" si="71"/>
        <v>0</v>
      </c>
      <c r="AD311" s="14" t="b">
        <f t="shared" ca="1" si="72"/>
        <v>1</v>
      </c>
      <c r="AE311" s="15" t="b">
        <f t="shared" ca="1" si="73"/>
        <v>1</v>
      </c>
      <c r="AF311" s="16"/>
      <c r="AG311" s="16"/>
      <c r="AH311" s="16"/>
      <c r="AI311" s="16"/>
      <c r="AJ311" s="16"/>
      <c r="AK311" s="16"/>
      <c r="AL311" s="16"/>
      <c r="AM311" s="16"/>
    </row>
    <row r="312" spans="2:39">
      <c r="B312" s="14">
        <f t="shared" si="62"/>
        <v>310</v>
      </c>
      <c r="C312" s="14" t="str">
        <f t="shared" ca="1" si="63"/>
        <v>D</v>
      </c>
      <c r="D312" s="14" t="str">
        <f t="shared" ca="1" si="64"/>
        <v>q_56b</v>
      </c>
      <c r="E312" s="14" t="str">
        <f t="shared" ca="1" si="61"/>
        <v>Other Thoracic trauma &gt; 5 years</v>
      </c>
      <c r="F312" s="14">
        <f t="shared" ca="1" si="74"/>
        <v>2</v>
      </c>
      <c r="G312" s="14" t="str">
        <f t="shared" ca="1" si="65"/>
        <v>q_56b</v>
      </c>
      <c r="H312" s="14">
        <f ca="1">IF(G312&lt;&gt;"",IFERROR( IsVariableNameLegal(G312),0),0)+IF(COUNTIF(INDIRECT(wew!$C$13),G312)&gt;1,10,0)</f>
        <v>0</v>
      </c>
      <c r="I312" s="14">
        <f ca="1">IF(E312&lt;&gt;"",IF(LEN(E312)&gt;150,1,0)+IF(COUNTIF(INDIRECT(wew!$C$15),E312)&gt;1,10,0),0)</f>
        <v>0</v>
      </c>
      <c r="J312" s="14" t="b">
        <f t="shared" ca="1" si="66"/>
        <v>1</v>
      </c>
      <c r="K312" s="14" t="str">
        <f ca="1">ADDRESS(3,(B312+1)*2-1,4,,"[" &amp; wew!$G$7 &amp; "]" &amp; _sheetname_labels) &amp; ":" &amp; ADDRESS(2+ster!$B$20,(B312+1)*2-1,4)</f>
        <v>'[dane surowe2c.xlsm]labels'!WW3:WW36</v>
      </c>
      <c r="L312" s="14" t="str">
        <f ca="1">IF(F312&gt;0,ADDRESS(3,(B312+1)*2-1,4,,"[" &amp; wew!$G$7 &amp; "]" &amp; _sheetname_labels) &amp; ":" &amp; ADDRESS(2+F312,(B312+1)*2-1,4),"")</f>
        <v>'[dane surowe2c.xlsm]labels'!WW3:WW4</v>
      </c>
      <c r="M312" s="14" t="str">
        <f ca="1">IF(F312&gt;0,ADDRESS(3,(B312+1)*2,4,,"["&amp;wew!$G$7&amp;"]"&amp;_sheetname_labels)&amp;":"&amp;ADDRESS(2+F312,(B312+1)*2,4),"")</f>
        <v>'[dane surowe2c.xlsm]labels'!WX3:WX4</v>
      </c>
      <c r="N312" s="14" t="str">
        <f ca="1">ADDRESS(3,B312+1,4,,"[" &amp; wew!$G$7 &amp; "]" &amp;_sheetname_dataframe) &amp; ":" &amp; ADDRESS(2+ster!$C$14,B312+1,4)</f>
        <v>'[dane surowe2c.xlsm]data_frame'!KY3:KY35</v>
      </c>
      <c r="O312" s="14">
        <f t="shared" ca="1" si="67"/>
        <v>32</v>
      </c>
      <c r="P312" s="14">
        <f ca="1">IF(AND($AD312,$S312=1),IF(wew!$B$3,MIN(INDIRECT($N312)),"&lt;włącz podświetlanie wartości&gt;"),"—")</f>
        <v>1</v>
      </c>
      <c r="Q312" s="14">
        <f ca="1">IF(AND($AD312,$S312=1),IF(wew!$B$3,MAX(INDIRECT($N312)),"&lt;włącz podświetlanie wartości&gt;"),"—")</f>
        <v>2</v>
      </c>
      <c r="R312" s="14">
        <f ca="1">IF(AD312,ster!$C$14- (COUNTIF( INDIRECT(N312),"" )+ COUNT(INDIRECT(N312)) +COUNTIF( INDIRECT(N312),"NA" )),"")</f>
        <v>0</v>
      </c>
      <c r="S312" s="12">
        <f ca="1">IF(AD312,IF(COUNTA(INDIRECT(N312))=0,0, 1-(ster!$C$14- COUNT(INDIRECT(N312)) -COUNTIF( INDIRECT(N312),"" )) /COUNTA(INDIRECT(N312))),"")</f>
        <v>1</v>
      </c>
      <c r="T312" s="17">
        <f t="array" aca="1" ref="T312" ca="1">IF(L312&lt;&gt;"",SUM(IF(INDIRECT(L312)&lt;&gt;INT(INDIRECT(L312)),1,0)),"")</f>
        <v>0</v>
      </c>
      <c r="U312" s="17">
        <f t="array" aca="1" ref="U312" ca="1">IF(S312=1,SUM(IF(ISNUMBER(INDIRECT(N312)),IF(INDIRECT(N312)&lt;&gt;INT(INDIRECT(N312)),1,0),0)),"")</f>
        <v>0</v>
      </c>
      <c r="V312" s="17">
        <f t="shared" ca="1" si="68"/>
        <v>1</v>
      </c>
      <c r="W312" s="17">
        <f t="shared" ca="1" si="69"/>
        <v>0</v>
      </c>
      <c r="X312" s="24">
        <f t="array" aca="1" ref="X312" ca="1">IF(AD312,IF(AG312&lt;&gt;"",AG312,IF(J312,MIN(INDIRECT( K312)),"")),"")</f>
        <v>1</v>
      </c>
      <c r="Y312" s="17">
        <f t="array" aca="1" ref="Y312" ca="1">IF(AD312,IF(AH312&lt;&gt;"",AH312,IF(J312,MAX(INDIRECT( K312)),"")),"")</f>
        <v>2</v>
      </c>
      <c r="Z312" s="17" t="b">
        <f t="shared" ca="1" si="70"/>
        <v>1</v>
      </c>
      <c r="AC312" s="17" t="b">
        <f t="shared" ca="1" si="71"/>
        <v>0</v>
      </c>
      <c r="AD312" s="14" t="b">
        <f t="shared" ca="1" si="72"/>
        <v>1</v>
      </c>
      <c r="AE312" s="15" t="b">
        <f t="shared" ca="1" si="73"/>
        <v>1</v>
      </c>
      <c r="AF312" s="16"/>
      <c r="AG312" s="16"/>
      <c r="AH312" s="16"/>
      <c r="AI312" s="16"/>
      <c r="AJ312" s="16"/>
      <c r="AK312" s="16"/>
      <c r="AL312" s="16"/>
      <c r="AM312" s="16"/>
    </row>
    <row r="313" spans="2:39">
      <c r="B313" s="14">
        <f t="shared" si="62"/>
        <v>311</v>
      </c>
      <c r="C313" s="14" t="str">
        <f t="shared" ca="1" si="63"/>
        <v>D</v>
      </c>
      <c r="D313" s="14" t="str">
        <f t="shared" ca="1" si="64"/>
        <v>q_56c</v>
      </c>
      <c r="E313" s="14" t="str">
        <f t="shared" ca="1" si="61"/>
        <v>Other Lumbo-sacral trauma &gt; 5 years</v>
      </c>
      <c r="F313" s="14">
        <f t="shared" ca="1" si="74"/>
        <v>2</v>
      </c>
      <c r="G313" s="14" t="str">
        <f t="shared" ca="1" si="65"/>
        <v>q_56c</v>
      </c>
      <c r="H313" s="14">
        <f ca="1">IF(G313&lt;&gt;"",IFERROR( IsVariableNameLegal(G313),0),0)+IF(COUNTIF(INDIRECT(wew!$C$13),G313)&gt;1,10,0)</f>
        <v>0</v>
      </c>
      <c r="I313" s="14">
        <f ca="1">IF(E313&lt;&gt;"",IF(LEN(E313)&gt;150,1,0)+IF(COUNTIF(INDIRECT(wew!$C$15),E313)&gt;1,10,0),0)</f>
        <v>0</v>
      </c>
      <c r="J313" s="14" t="b">
        <f t="shared" ca="1" si="66"/>
        <v>1</v>
      </c>
      <c r="K313" s="14" t="str">
        <f ca="1">ADDRESS(3,(B313+1)*2-1,4,,"[" &amp; wew!$G$7 &amp; "]" &amp; _sheetname_labels) &amp; ":" &amp; ADDRESS(2+ster!$B$20,(B313+1)*2-1,4)</f>
        <v>'[dane surowe2c.xlsm]labels'!WY3:WY36</v>
      </c>
      <c r="L313" s="14" t="str">
        <f ca="1">IF(F313&gt;0,ADDRESS(3,(B313+1)*2-1,4,,"[" &amp; wew!$G$7 &amp; "]" &amp; _sheetname_labels) &amp; ":" &amp; ADDRESS(2+F313,(B313+1)*2-1,4),"")</f>
        <v>'[dane surowe2c.xlsm]labels'!WY3:WY4</v>
      </c>
      <c r="M313" s="14" t="str">
        <f ca="1">IF(F313&gt;0,ADDRESS(3,(B313+1)*2,4,,"["&amp;wew!$G$7&amp;"]"&amp;_sheetname_labels)&amp;":"&amp;ADDRESS(2+F313,(B313+1)*2,4),"")</f>
        <v>'[dane surowe2c.xlsm]labels'!WZ3:WZ4</v>
      </c>
      <c r="N313" s="14" t="str">
        <f ca="1">ADDRESS(3,B313+1,4,,"[" &amp; wew!$G$7 &amp; "]" &amp;_sheetname_dataframe) &amp; ":" &amp; ADDRESS(2+ster!$C$14,B313+1,4)</f>
        <v>'[dane surowe2c.xlsm]data_frame'!KZ3:KZ35</v>
      </c>
      <c r="O313" s="14">
        <f t="shared" ca="1" si="67"/>
        <v>32</v>
      </c>
      <c r="P313" s="14">
        <f ca="1">IF(AND($AD313,$S313=1),IF(wew!$B$3,MIN(INDIRECT($N313)),"&lt;włącz podświetlanie wartości&gt;"),"—")</f>
        <v>2</v>
      </c>
      <c r="Q313" s="14">
        <f ca="1">IF(AND($AD313,$S313=1),IF(wew!$B$3,MAX(INDIRECT($N313)),"&lt;włącz podświetlanie wartości&gt;"),"—")</f>
        <v>2</v>
      </c>
      <c r="R313" s="14">
        <f ca="1">IF(AD313,ster!$C$14- (COUNTIF( INDIRECT(N313),"" )+ COUNT(INDIRECT(N313)) +COUNTIF( INDIRECT(N313),"NA" )),"")</f>
        <v>0</v>
      </c>
      <c r="S313" s="12">
        <f ca="1">IF(AD313,IF(COUNTA(INDIRECT(N313))=0,0, 1-(ster!$C$14- COUNT(INDIRECT(N313)) -COUNTIF( INDIRECT(N313),"" )) /COUNTA(INDIRECT(N313))),"")</f>
        <v>1</v>
      </c>
      <c r="T313" s="17">
        <f t="array" aca="1" ref="T313" ca="1">IF(L313&lt;&gt;"",SUM(IF(INDIRECT(L313)&lt;&gt;INT(INDIRECT(L313)),1,0)),"")</f>
        <v>0</v>
      </c>
      <c r="U313" s="17">
        <f t="array" aca="1" ref="U313" ca="1">IF(S313=1,SUM(IF(ISNUMBER(INDIRECT(N313)),IF(INDIRECT(N313)&lt;&gt;INT(INDIRECT(N313)),1,0),0)),"")</f>
        <v>0</v>
      </c>
      <c r="V313" s="17">
        <f t="shared" ca="1" si="68"/>
        <v>1</v>
      </c>
      <c r="W313" s="17">
        <f t="shared" ca="1" si="69"/>
        <v>0</v>
      </c>
      <c r="X313" s="24">
        <f t="array" aca="1" ref="X313" ca="1">IF(AD313,IF(AG313&lt;&gt;"",AG313,IF(J313,MIN(INDIRECT( K313)),"")),"")</f>
        <v>1</v>
      </c>
      <c r="Y313" s="17">
        <f t="array" aca="1" ref="Y313" ca="1">IF(AD313,IF(AH313&lt;&gt;"",AH313,IF(J313,MAX(INDIRECT( K313)),"")),"")</f>
        <v>2</v>
      </c>
      <c r="Z313" s="17" t="b">
        <f t="shared" ca="1" si="70"/>
        <v>1</v>
      </c>
      <c r="AC313" s="17" t="b">
        <f t="shared" ca="1" si="71"/>
        <v>0</v>
      </c>
      <c r="AD313" s="14" t="b">
        <f t="shared" ca="1" si="72"/>
        <v>1</v>
      </c>
      <c r="AE313" s="15" t="b">
        <f t="shared" ca="1" si="73"/>
        <v>1</v>
      </c>
      <c r="AF313" s="16"/>
      <c r="AG313" s="16"/>
      <c r="AH313" s="16"/>
      <c r="AI313" s="16"/>
      <c r="AJ313" s="16"/>
      <c r="AK313" s="16"/>
      <c r="AL313" s="16"/>
      <c r="AM313" s="16"/>
    </row>
    <row r="314" spans="2:39">
      <c r="B314" s="14">
        <f t="shared" si="62"/>
        <v>312</v>
      </c>
      <c r="C314" s="14" t="str">
        <f t="shared" ca="1" si="63"/>
        <v>D</v>
      </c>
      <c r="D314" s="14" t="str">
        <f t="shared" ca="1" si="64"/>
        <v>q_57a</v>
      </c>
      <c r="E314" s="14" t="str">
        <f t="shared" ca="1" si="61"/>
        <v>Cervical Spine surgery in the last 5 years</v>
      </c>
      <c r="F314" s="14">
        <f t="shared" ca="1" si="74"/>
        <v>2</v>
      </c>
      <c r="G314" s="14" t="str">
        <f t="shared" ca="1" si="65"/>
        <v>q_57a</v>
      </c>
      <c r="H314" s="14">
        <f ca="1">IF(G314&lt;&gt;"",IFERROR( IsVariableNameLegal(G314),0),0)+IF(COUNTIF(INDIRECT(wew!$C$13),G314)&gt;1,10,0)</f>
        <v>0</v>
      </c>
      <c r="I314" s="14">
        <f ca="1">IF(E314&lt;&gt;"",IF(LEN(E314)&gt;150,1,0)+IF(COUNTIF(INDIRECT(wew!$C$15),E314)&gt;1,10,0),0)</f>
        <v>0</v>
      </c>
      <c r="J314" s="14" t="b">
        <f t="shared" ca="1" si="66"/>
        <v>1</v>
      </c>
      <c r="K314" s="14" t="str">
        <f ca="1">ADDRESS(3,(B314+1)*2-1,4,,"[" &amp; wew!$G$7 &amp; "]" &amp; _sheetname_labels) &amp; ":" &amp; ADDRESS(2+ster!$B$20,(B314+1)*2-1,4)</f>
        <v>'[dane surowe2c.xlsm]labels'!XA3:XA36</v>
      </c>
      <c r="L314" s="14" t="str">
        <f ca="1">IF(F314&gt;0,ADDRESS(3,(B314+1)*2-1,4,,"[" &amp; wew!$G$7 &amp; "]" &amp; _sheetname_labels) &amp; ":" &amp; ADDRESS(2+F314,(B314+1)*2-1,4),"")</f>
        <v>'[dane surowe2c.xlsm]labels'!XA3:XA4</v>
      </c>
      <c r="M314" s="14" t="str">
        <f ca="1">IF(F314&gt;0,ADDRESS(3,(B314+1)*2,4,,"["&amp;wew!$G$7&amp;"]"&amp;_sheetname_labels)&amp;":"&amp;ADDRESS(2+F314,(B314+1)*2,4),"")</f>
        <v>'[dane surowe2c.xlsm]labels'!XB3:XB4</v>
      </c>
      <c r="N314" s="14" t="str">
        <f ca="1">ADDRESS(3,B314+1,4,,"[" &amp; wew!$G$7 &amp; "]" &amp;_sheetname_dataframe) &amp; ":" &amp; ADDRESS(2+ster!$C$14,B314+1,4)</f>
        <v>'[dane surowe2c.xlsm]data_frame'!LA3:LA35</v>
      </c>
      <c r="O314" s="14">
        <f t="shared" ca="1" si="67"/>
        <v>32</v>
      </c>
      <c r="P314" s="14">
        <f ca="1">IF(AND($AD314,$S314=1),IF(wew!$B$3,MIN(INDIRECT($N314)),"&lt;włącz podświetlanie wartości&gt;"),"—")</f>
        <v>2</v>
      </c>
      <c r="Q314" s="14">
        <f ca="1">IF(AND($AD314,$S314=1),IF(wew!$B$3,MAX(INDIRECT($N314)),"&lt;włącz podświetlanie wartości&gt;"),"—")</f>
        <v>2</v>
      </c>
      <c r="R314" s="14">
        <f ca="1">IF(AD314,ster!$C$14- (COUNTIF( INDIRECT(N314),"" )+ COUNT(INDIRECT(N314)) +COUNTIF( INDIRECT(N314),"NA" )),"")</f>
        <v>0</v>
      </c>
      <c r="S314" s="12">
        <f ca="1">IF(AD314,IF(COUNTA(INDIRECT(N314))=0,0, 1-(ster!$C$14- COUNT(INDIRECT(N314)) -COUNTIF( INDIRECT(N314),"" )) /COUNTA(INDIRECT(N314))),"")</f>
        <v>1</v>
      </c>
      <c r="T314" s="17">
        <f t="array" aca="1" ref="T314" ca="1">IF(L314&lt;&gt;"",SUM(IF(INDIRECT(L314)&lt;&gt;INT(INDIRECT(L314)),1,0)),"")</f>
        <v>0</v>
      </c>
      <c r="U314" s="17">
        <f t="array" aca="1" ref="U314" ca="1">IF(S314=1,SUM(IF(ISNUMBER(INDIRECT(N314)),IF(INDIRECT(N314)&lt;&gt;INT(INDIRECT(N314)),1,0),0)),"")</f>
        <v>0</v>
      </c>
      <c r="V314" s="17">
        <f t="shared" ca="1" si="68"/>
        <v>1</v>
      </c>
      <c r="W314" s="17">
        <f t="shared" ca="1" si="69"/>
        <v>0</v>
      </c>
      <c r="X314" s="24">
        <f t="array" aca="1" ref="X314" ca="1">IF(AD314,IF(AG314&lt;&gt;"",AG314,IF(J314,MIN(INDIRECT( K314)),"")),"")</f>
        <v>1</v>
      </c>
      <c r="Y314" s="17">
        <f t="array" aca="1" ref="Y314" ca="1">IF(AD314,IF(AH314&lt;&gt;"",AH314,IF(J314,MAX(INDIRECT( K314)),"")),"")</f>
        <v>2</v>
      </c>
      <c r="Z314" s="17" t="b">
        <f t="shared" ca="1" si="70"/>
        <v>1</v>
      </c>
      <c r="AC314" s="17" t="b">
        <f t="shared" ca="1" si="71"/>
        <v>0</v>
      </c>
      <c r="AD314" s="14" t="b">
        <f t="shared" ca="1" si="72"/>
        <v>1</v>
      </c>
      <c r="AE314" s="15" t="b">
        <f t="shared" ca="1" si="73"/>
        <v>1</v>
      </c>
      <c r="AF314" s="16"/>
      <c r="AG314" s="16"/>
      <c r="AH314" s="16"/>
      <c r="AI314" s="16"/>
      <c r="AJ314" s="16"/>
      <c r="AK314" s="16"/>
      <c r="AL314" s="16"/>
      <c r="AM314" s="16"/>
    </row>
    <row r="315" spans="2:39">
      <c r="B315" s="14">
        <f t="shared" si="62"/>
        <v>313</v>
      </c>
      <c r="C315" s="14" t="str">
        <f t="shared" ca="1" si="63"/>
        <v>D</v>
      </c>
      <c r="D315" s="14" t="str">
        <f t="shared" ca="1" si="64"/>
        <v>q_57b</v>
      </c>
      <c r="E315" s="14" t="str">
        <f t="shared" ca="1" si="61"/>
        <v>Thoracic Spine surgery in the last 5 years</v>
      </c>
      <c r="F315" s="14">
        <f t="shared" ca="1" si="74"/>
        <v>2</v>
      </c>
      <c r="G315" s="14" t="str">
        <f t="shared" ca="1" si="65"/>
        <v>q_57b</v>
      </c>
      <c r="H315" s="14">
        <f ca="1">IF(G315&lt;&gt;"",IFERROR( IsVariableNameLegal(G315),0),0)+IF(COUNTIF(INDIRECT(wew!$C$13),G315)&gt;1,10,0)</f>
        <v>0</v>
      </c>
      <c r="I315" s="14">
        <f ca="1">IF(E315&lt;&gt;"",IF(LEN(E315)&gt;150,1,0)+IF(COUNTIF(INDIRECT(wew!$C$15),E315)&gt;1,10,0),0)</f>
        <v>0</v>
      </c>
      <c r="J315" s="14" t="b">
        <f t="shared" ca="1" si="66"/>
        <v>1</v>
      </c>
      <c r="K315" s="14" t="str">
        <f ca="1">ADDRESS(3,(B315+1)*2-1,4,,"[" &amp; wew!$G$7 &amp; "]" &amp; _sheetname_labels) &amp; ":" &amp; ADDRESS(2+ster!$B$20,(B315+1)*2-1,4)</f>
        <v>'[dane surowe2c.xlsm]labels'!XC3:XC36</v>
      </c>
      <c r="L315" s="14" t="str">
        <f ca="1">IF(F315&gt;0,ADDRESS(3,(B315+1)*2-1,4,,"[" &amp; wew!$G$7 &amp; "]" &amp; _sheetname_labels) &amp; ":" &amp; ADDRESS(2+F315,(B315+1)*2-1,4),"")</f>
        <v>'[dane surowe2c.xlsm]labels'!XC3:XC4</v>
      </c>
      <c r="M315" s="14" t="str">
        <f ca="1">IF(F315&gt;0,ADDRESS(3,(B315+1)*2,4,,"["&amp;wew!$G$7&amp;"]"&amp;_sheetname_labels)&amp;":"&amp;ADDRESS(2+F315,(B315+1)*2,4),"")</f>
        <v>'[dane surowe2c.xlsm]labels'!XD3:XD4</v>
      </c>
      <c r="N315" s="14" t="str">
        <f ca="1">ADDRESS(3,B315+1,4,,"[" &amp; wew!$G$7 &amp; "]" &amp;_sheetname_dataframe) &amp; ":" &amp; ADDRESS(2+ster!$C$14,B315+1,4)</f>
        <v>'[dane surowe2c.xlsm]data_frame'!LB3:LB35</v>
      </c>
      <c r="O315" s="14">
        <f t="shared" ca="1" si="67"/>
        <v>32</v>
      </c>
      <c r="P315" s="14">
        <f ca="1">IF(AND($AD315,$S315=1),IF(wew!$B$3,MIN(INDIRECT($N315)),"&lt;włącz podświetlanie wartości&gt;"),"—")</f>
        <v>2</v>
      </c>
      <c r="Q315" s="14">
        <f ca="1">IF(AND($AD315,$S315=1),IF(wew!$B$3,MAX(INDIRECT($N315)),"&lt;włącz podświetlanie wartości&gt;"),"—")</f>
        <v>2</v>
      </c>
      <c r="R315" s="14">
        <f ca="1">IF(AD315,ster!$C$14- (COUNTIF( INDIRECT(N315),"" )+ COUNT(INDIRECT(N315)) +COUNTIF( INDIRECT(N315),"NA" )),"")</f>
        <v>0</v>
      </c>
      <c r="S315" s="12">
        <f ca="1">IF(AD315,IF(COUNTA(INDIRECT(N315))=0,0, 1-(ster!$C$14- COUNT(INDIRECT(N315)) -COUNTIF( INDIRECT(N315),"" )) /COUNTA(INDIRECT(N315))),"")</f>
        <v>1</v>
      </c>
      <c r="T315" s="17">
        <f t="array" aca="1" ref="T315" ca="1">IF(L315&lt;&gt;"",SUM(IF(INDIRECT(L315)&lt;&gt;INT(INDIRECT(L315)),1,0)),"")</f>
        <v>0</v>
      </c>
      <c r="U315" s="17">
        <f t="array" aca="1" ref="U315" ca="1">IF(S315=1,SUM(IF(ISNUMBER(INDIRECT(N315)),IF(INDIRECT(N315)&lt;&gt;INT(INDIRECT(N315)),1,0),0)),"")</f>
        <v>0</v>
      </c>
      <c r="V315" s="17">
        <f t="shared" ca="1" si="68"/>
        <v>1</v>
      </c>
      <c r="W315" s="17">
        <f t="shared" ca="1" si="69"/>
        <v>0</v>
      </c>
      <c r="X315" s="24">
        <f t="array" aca="1" ref="X315" ca="1">IF(AD315,IF(AG315&lt;&gt;"",AG315,IF(J315,MIN(INDIRECT( K315)),"")),"")</f>
        <v>1</v>
      </c>
      <c r="Y315" s="17">
        <f t="array" aca="1" ref="Y315" ca="1">IF(AD315,IF(AH315&lt;&gt;"",AH315,IF(J315,MAX(INDIRECT( K315)),"")),"")</f>
        <v>2</v>
      </c>
      <c r="Z315" s="17" t="b">
        <f t="shared" ca="1" si="70"/>
        <v>1</v>
      </c>
      <c r="AC315" s="17" t="b">
        <f t="shared" ca="1" si="71"/>
        <v>0</v>
      </c>
      <c r="AD315" s="14" t="b">
        <f t="shared" ca="1" si="72"/>
        <v>1</v>
      </c>
      <c r="AE315" s="15" t="b">
        <f t="shared" ca="1" si="73"/>
        <v>1</v>
      </c>
      <c r="AF315" s="16"/>
      <c r="AG315" s="16"/>
      <c r="AH315" s="16"/>
      <c r="AI315" s="16"/>
      <c r="AJ315" s="16"/>
      <c r="AK315" s="16"/>
      <c r="AL315" s="16"/>
      <c r="AM315" s="16"/>
    </row>
    <row r="316" spans="2:39">
      <c r="B316" s="14">
        <f t="shared" si="62"/>
        <v>314</v>
      </c>
      <c r="C316" s="14" t="str">
        <f t="shared" ca="1" si="63"/>
        <v>D</v>
      </c>
      <c r="D316" s="14" t="str">
        <f t="shared" ca="1" si="64"/>
        <v>q_57c</v>
      </c>
      <c r="E316" s="14" t="str">
        <f t="shared" ca="1" si="61"/>
        <v>Lumbo-Sacral Spine surgery in the last 5 years</v>
      </c>
      <c r="F316" s="14">
        <f t="shared" ca="1" si="74"/>
        <v>2</v>
      </c>
      <c r="G316" s="14" t="str">
        <f t="shared" ca="1" si="65"/>
        <v>q_57c</v>
      </c>
      <c r="H316" s="14">
        <f ca="1">IF(G316&lt;&gt;"",IFERROR( IsVariableNameLegal(G316),0),0)+IF(COUNTIF(INDIRECT(wew!$C$13),G316)&gt;1,10,0)</f>
        <v>0</v>
      </c>
      <c r="I316" s="14">
        <f ca="1">IF(E316&lt;&gt;"",IF(LEN(E316)&gt;150,1,0)+IF(COUNTIF(INDIRECT(wew!$C$15),E316)&gt;1,10,0),0)</f>
        <v>0</v>
      </c>
      <c r="J316" s="14" t="b">
        <f t="shared" ca="1" si="66"/>
        <v>1</v>
      </c>
      <c r="K316" s="14" t="str">
        <f ca="1">ADDRESS(3,(B316+1)*2-1,4,,"[" &amp; wew!$G$7 &amp; "]" &amp; _sheetname_labels) &amp; ":" &amp; ADDRESS(2+ster!$B$20,(B316+1)*2-1,4)</f>
        <v>'[dane surowe2c.xlsm]labels'!XE3:XE36</v>
      </c>
      <c r="L316" s="14" t="str">
        <f ca="1">IF(F316&gt;0,ADDRESS(3,(B316+1)*2-1,4,,"[" &amp; wew!$G$7 &amp; "]" &amp; _sheetname_labels) &amp; ":" &amp; ADDRESS(2+F316,(B316+1)*2-1,4),"")</f>
        <v>'[dane surowe2c.xlsm]labels'!XE3:XE4</v>
      </c>
      <c r="M316" s="14" t="str">
        <f ca="1">IF(F316&gt;0,ADDRESS(3,(B316+1)*2,4,,"["&amp;wew!$G$7&amp;"]"&amp;_sheetname_labels)&amp;":"&amp;ADDRESS(2+F316,(B316+1)*2,4),"")</f>
        <v>'[dane surowe2c.xlsm]labels'!XF3:XF4</v>
      </c>
      <c r="N316" s="14" t="str">
        <f ca="1">ADDRESS(3,B316+1,4,,"[" &amp; wew!$G$7 &amp; "]" &amp;_sheetname_dataframe) &amp; ":" &amp; ADDRESS(2+ster!$C$14,B316+1,4)</f>
        <v>'[dane surowe2c.xlsm]data_frame'!LC3:LC35</v>
      </c>
      <c r="O316" s="14">
        <f t="shared" ca="1" si="67"/>
        <v>32</v>
      </c>
      <c r="P316" s="14">
        <f ca="1">IF(AND($AD316,$S316=1),IF(wew!$B$3,MIN(INDIRECT($N316)),"&lt;włącz podświetlanie wartości&gt;"),"—")</f>
        <v>1</v>
      </c>
      <c r="Q316" s="14">
        <f ca="1">IF(AND($AD316,$S316=1),IF(wew!$B$3,MAX(INDIRECT($N316)),"&lt;włącz podświetlanie wartości&gt;"),"—")</f>
        <v>2</v>
      </c>
      <c r="R316" s="14">
        <f ca="1">IF(AD316,ster!$C$14- (COUNTIF( INDIRECT(N316),"" )+ COUNT(INDIRECT(N316)) +COUNTIF( INDIRECT(N316),"NA" )),"")</f>
        <v>0</v>
      </c>
      <c r="S316" s="12">
        <f ca="1">IF(AD316,IF(COUNTA(INDIRECT(N316))=0,0, 1-(ster!$C$14- COUNT(INDIRECT(N316)) -COUNTIF( INDIRECT(N316),"" )) /COUNTA(INDIRECT(N316))),"")</f>
        <v>1</v>
      </c>
      <c r="T316" s="17">
        <f t="array" aca="1" ref="T316" ca="1">IF(L316&lt;&gt;"",SUM(IF(INDIRECT(L316)&lt;&gt;INT(INDIRECT(L316)),1,0)),"")</f>
        <v>0</v>
      </c>
      <c r="U316" s="17">
        <f t="array" aca="1" ref="U316" ca="1">IF(S316=1,SUM(IF(ISNUMBER(INDIRECT(N316)),IF(INDIRECT(N316)&lt;&gt;INT(INDIRECT(N316)),1,0),0)),"")</f>
        <v>0</v>
      </c>
      <c r="V316" s="17">
        <f t="shared" ca="1" si="68"/>
        <v>1</v>
      </c>
      <c r="W316" s="17">
        <f t="shared" ca="1" si="69"/>
        <v>0</v>
      </c>
      <c r="X316" s="24">
        <f t="array" aca="1" ref="X316" ca="1">IF(AD316,IF(AG316&lt;&gt;"",AG316,IF(J316,MIN(INDIRECT( K316)),"")),"")</f>
        <v>1</v>
      </c>
      <c r="Y316" s="17">
        <f t="array" aca="1" ref="Y316" ca="1">IF(AD316,IF(AH316&lt;&gt;"",AH316,IF(J316,MAX(INDIRECT( K316)),"")),"")</f>
        <v>2</v>
      </c>
      <c r="Z316" s="17" t="b">
        <f t="shared" ca="1" si="70"/>
        <v>1</v>
      </c>
      <c r="AC316" s="17" t="b">
        <f t="shared" ca="1" si="71"/>
        <v>0</v>
      </c>
      <c r="AD316" s="14" t="b">
        <f t="shared" ca="1" si="72"/>
        <v>1</v>
      </c>
      <c r="AE316" s="15" t="b">
        <f t="shared" ca="1" si="73"/>
        <v>1</v>
      </c>
      <c r="AF316" s="16"/>
      <c r="AG316" s="16"/>
      <c r="AH316" s="16"/>
      <c r="AI316" s="16"/>
      <c r="AJ316" s="16"/>
      <c r="AK316" s="16"/>
      <c r="AL316" s="16"/>
      <c r="AM316" s="16"/>
    </row>
    <row r="317" spans="2:39">
      <c r="B317" s="14">
        <f t="shared" si="62"/>
        <v>315</v>
      </c>
      <c r="C317" s="14" t="str">
        <f t="shared" ca="1" si="63"/>
        <v>D</v>
      </c>
      <c r="D317" s="14" t="str">
        <f t="shared" ca="1" si="64"/>
        <v>q_58a</v>
      </c>
      <c r="E317" s="14" t="str">
        <f t="shared" ca="1" si="61"/>
        <v>Cervical Spine surgery &gt; 5 years</v>
      </c>
      <c r="F317" s="14">
        <f t="shared" ca="1" si="74"/>
        <v>2</v>
      </c>
      <c r="G317" s="14" t="str">
        <f t="shared" ca="1" si="65"/>
        <v>q_58a</v>
      </c>
      <c r="H317" s="14">
        <f ca="1">IF(G317&lt;&gt;"",IFERROR( IsVariableNameLegal(G317),0),0)+IF(COUNTIF(INDIRECT(wew!$C$13),G317)&gt;1,10,0)</f>
        <v>0</v>
      </c>
      <c r="I317" s="14">
        <f ca="1">IF(E317&lt;&gt;"",IF(LEN(E317)&gt;150,1,0)+IF(COUNTIF(INDIRECT(wew!$C$15),E317)&gt;1,10,0),0)</f>
        <v>0</v>
      </c>
      <c r="J317" s="14" t="b">
        <f t="shared" ca="1" si="66"/>
        <v>1</v>
      </c>
      <c r="K317" s="14" t="str">
        <f ca="1">ADDRESS(3,(B317+1)*2-1,4,,"[" &amp; wew!$G$7 &amp; "]" &amp; _sheetname_labels) &amp; ":" &amp; ADDRESS(2+ster!$B$20,(B317+1)*2-1,4)</f>
        <v>'[dane surowe2c.xlsm]labels'!XG3:XG36</v>
      </c>
      <c r="L317" s="14" t="str">
        <f ca="1">IF(F317&gt;0,ADDRESS(3,(B317+1)*2-1,4,,"[" &amp; wew!$G$7 &amp; "]" &amp; _sheetname_labels) &amp; ":" &amp; ADDRESS(2+F317,(B317+1)*2-1,4),"")</f>
        <v>'[dane surowe2c.xlsm]labels'!XG3:XG4</v>
      </c>
      <c r="M317" s="14" t="str">
        <f ca="1">IF(F317&gt;0,ADDRESS(3,(B317+1)*2,4,,"["&amp;wew!$G$7&amp;"]"&amp;_sheetname_labels)&amp;":"&amp;ADDRESS(2+F317,(B317+1)*2,4),"")</f>
        <v>'[dane surowe2c.xlsm]labels'!XH3:XH4</v>
      </c>
      <c r="N317" s="14" t="str">
        <f ca="1">ADDRESS(3,B317+1,4,,"[" &amp; wew!$G$7 &amp; "]" &amp;_sheetname_dataframe) &amp; ":" &amp; ADDRESS(2+ster!$C$14,B317+1,4)</f>
        <v>'[dane surowe2c.xlsm]data_frame'!LD3:LD35</v>
      </c>
      <c r="O317" s="14">
        <f t="shared" ca="1" si="67"/>
        <v>32</v>
      </c>
      <c r="P317" s="14">
        <f ca="1">IF(AND($AD317,$S317=1),IF(wew!$B$3,MIN(INDIRECT($N317)),"&lt;włącz podświetlanie wartości&gt;"),"—")</f>
        <v>2</v>
      </c>
      <c r="Q317" s="14">
        <f ca="1">IF(AND($AD317,$S317=1),IF(wew!$B$3,MAX(INDIRECT($N317)),"&lt;włącz podświetlanie wartości&gt;"),"—")</f>
        <v>2</v>
      </c>
      <c r="R317" s="14">
        <f ca="1">IF(AD317,ster!$C$14- (COUNTIF( INDIRECT(N317),"" )+ COUNT(INDIRECT(N317)) +COUNTIF( INDIRECT(N317),"NA" )),"")</f>
        <v>0</v>
      </c>
      <c r="S317" s="12">
        <f ca="1">IF(AD317,IF(COUNTA(INDIRECT(N317))=0,0, 1-(ster!$C$14- COUNT(INDIRECT(N317)) -COUNTIF( INDIRECT(N317),"" )) /COUNTA(INDIRECT(N317))),"")</f>
        <v>1</v>
      </c>
      <c r="T317" s="17">
        <f t="array" aca="1" ref="T317" ca="1">IF(L317&lt;&gt;"",SUM(IF(INDIRECT(L317)&lt;&gt;INT(INDIRECT(L317)),1,0)),"")</f>
        <v>0</v>
      </c>
      <c r="U317" s="17">
        <f t="array" aca="1" ref="U317" ca="1">IF(S317=1,SUM(IF(ISNUMBER(INDIRECT(N317)),IF(INDIRECT(N317)&lt;&gt;INT(INDIRECT(N317)),1,0),0)),"")</f>
        <v>0</v>
      </c>
      <c r="V317" s="17">
        <f t="shared" ca="1" si="68"/>
        <v>1</v>
      </c>
      <c r="W317" s="17">
        <f t="shared" ca="1" si="69"/>
        <v>0</v>
      </c>
      <c r="X317" s="24">
        <f t="array" aca="1" ref="X317" ca="1">IF(AD317,IF(AG317&lt;&gt;"",AG317,IF(J317,MIN(INDIRECT( K317)),"")),"")</f>
        <v>1</v>
      </c>
      <c r="Y317" s="17">
        <f t="array" aca="1" ref="Y317" ca="1">IF(AD317,IF(AH317&lt;&gt;"",AH317,IF(J317,MAX(INDIRECT( K317)),"")),"")</f>
        <v>2</v>
      </c>
      <c r="Z317" s="17" t="b">
        <f t="shared" ca="1" si="70"/>
        <v>1</v>
      </c>
      <c r="AC317" s="17" t="b">
        <f t="shared" ca="1" si="71"/>
        <v>0</v>
      </c>
      <c r="AD317" s="14" t="b">
        <f t="shared" ca="1" si="72"/>
        <v>1</v>
      </c>
      <c r="AE317" s="15" t="b">
        <f t="shared" ca="1" si="73"/>
        <v>1</v>
      </c>
      <c r="AF317" s="16"/>
      <c r="AG317" s="16"/>
      <c r="AH317" s="16"/>
      <c r="AI317" s="16"/>
      <c r="AJ317" s="16"/>
      <c r="AK317" s="16"/>
      <c r="AL317" s="16"/>
      <c r="AM317" s="16"/>
    </row>
    <row r="318" spans="2:39">
      <c r="B318" s="14">
        <f t="shared" si="62"/>
        <v>316</v>
      </c>
      <c r="C318" s="14" t="str">
        <f t="shared" ca="1" si="63"/>
        <v>D</v>
      </c>
      <c r="D318" s="14" t="str">
        <f t="shared" ca="1" si="64"/>
        <v>q_58b</v>
      </c>
      <c r="E318" s="14" t="str">
        <f t="shared" ca="1" si="61"/>
        <v>Thoracic Spine surgery &gt; 5 years</v>
      </c>
      <c r="F318" s="14">
        <f t="shared" ca="1" si="74"/>
        <v>2</v>
      </c>
      <c r="G318" s="14" t="str">
        <f t="shared" ca="1" si="65"/>
        <v>q_58b</v>
      </c>
      <c r="H318" s="14">
        <f ca="1">IF(G318&lt;&gt;"",IFERROR( IsVariableNameLegal(G318),0),0)+IF(COUNTIF(INDIRECT(wew!$C$13),G318)&gt;1,10,0)</f>
        <v>0</v>
      </c>
      <c r="I318" s="14">
        <f ca="1">IF(E318&lt;&gt;"",IF(LEN(E318)&gt;150,1,0)+IF(COUNTIF(INDIRECT(wew!$C$15),E318)&gt;1,10,0),0)</f>
        <v>0</v>
      </c>
      <c r="J318" s="14" t="b">
        <f t="shared" ca="1" si="66"/>
        <v>1</v>
      </c>
      <c r="K318" s="14" t="str">
        <f ca="1">ADDRESS(3,(B318+1)*2-1,4,,"[" &amp; wew!$G$7 &amp; "]" &amp; _sheetname_labels) &amp; ":" &amp; ADDRESS(2+ster!$B$20,(B318+1)*2-1,4)</f>
        <v>'[dane surowe2c.xlsm]labels'!XI3:XI36</v>
      </c>
      <c r="L318" s="14" t="str">
        <f ca="1">IF(F318&gt;0,ADDRESS(3,(B318+1)*2-1,4,,"[" &amp; wew!$G$7 &amp; "]" &amp; _sheetname_labels) &amp; ":" &amp; ADDRESS(2+F318,(B318+1)*2-1,4),"")</f>
        <v>'[dane surowe2c.xlsm]labels'!XI3:XI4</v>
      </c>
      <c r="M318" s="14" t="str">
        <f ca="1">IF(F318&gt;0,ADDRESS(3,(B318+1)*2,4,,"["&amp;wew!$G$7&amp;"]"&amp;_sheetname_labels)&amp;":"&amp;ADDRESS(2+F318,(B318+1)*2,4),"")</f>
        <v>'[dane surowe2c.xlsm]labels'!XJ3:XJ4</v>
      </c>
      <c r="N318" s="14" t="str">
        <f ca="1">ADDRESS(3,B318+1,4,,"[" &amp; wew!$G$7 &amp; "]" &amp;_sheetname_dataframe) &amp; ":" &amp; ADDRESS(2+ster!$C$14,B318+1,4)</f>
        <v>'[dane surowe2c.xlsm]data_frame'!LE3:LE35</v>
      </c>
      <c r="O318" s="14">
        <f t="shared" ca="1" si="67"/>
        <v>32</v>
      </c>
      <c r="P318" s="14">
        <f ca="1">IF(AND($AD318,$S318=1),IF(wew!$B$3,MIN(INDIRECT($N318)),"&lt;włącz podświetlanie wartości&gt;"),"—")</f>
        <v>2</v>
      </c>
      <c r="Q318" s="14">
        <f ca="1">IF(AND($AD318,$S318=1),IF(wew!$B$3,MAX(INDIRECT($N318)),"&lt;włącz podświetlanie wartości&gt;"),"—")</f>
        <v>2</v>
      </c>
      <c r="R318" s="14">
        <f ca="1">IF(AD318,ster!$C$14- (COUNTIF( INDIRECT(N318),"" )+ COUNT(INDIRECT(N318)) +COUNTIF( INDIRECT(N318),"NA" )),"")</f>
        <v>0</v>
      </c>
      <c r="S318" s="12">
        <f ca="1">IF(AD318,IF(COUNTA(INDIRECT(N318))=0,0, 1-(ster!$C$14- COUNT(INDIRECT(N318)) -COUNTIF( INDIRECT(N318),"" )) /COUNTA(INDIRECT(N318))),"")</f>
        <v>1</v>
      </c>
      <c r="T318" s="17">
        <f t="array" aca="1" ref="T318" ca="1">IF(L318&lt;&gt;"",SUM(IF(INDIRECT(L318)&lt;&gt;INT(INDIRECT(L318)),1,0)),"")</f>
        <v>0</v>
      </c>
      <c r="U318" s="17">
        <f t="array" aca="1" ref="U318" ca="1">IF(S318=1,SUM(IF(ISNUMBER(INDIRECT(N318)),IF(INDIRECT(N318)&lt;&gt;INT(INDIRECT(N318)),1,0),0)),"")</f>
        <v>0</v>
      </c>
      <c r="V318" s="17">
        <f t="shared" ca="1" si="68"/>
        <v>1</v>
      </c>
      <c r="W318" s="17">
        <f t="shared" ca="1" si="69"/>
        <v>0</v>
      </c>
      <c r="X318" s="24">
        <f t="array" aca="1" ref="X318" ca="1">IF(AD318,IF(AG318&lt;&gt;"",AG318,IF(J318,MIN(INDIRECT( K318)),"")),"")</f>
        <v>1</v>
      </c>
      <c r="Y318" s="17">
        <f t="array" aca="1" ref="Y318" ca="1">IF(AD318,IF(AH318&lt;&gt;"",AH318,IF(J318,MAX(INDIRECT( K318)),"")),"")</f>
        <v>2</v>
      </c>
      <c r="Z318" s="17" t="b">
        <f t="shared" ca="1" si="70"/>
        <v>1</v>
      </c>
      <c r="AC318" s="17" t="b">
        <f t="shared" ca="1" si="71"/>
        <v>0</v>
      </c>
      <c r="AD318" s="14" t="b">
        <f t="shared" ca="1" si="72"/>
        <v>1</v>
      </c>
      <c r="AE318" s="15" t="b">
        <f t="shared" ca="1" si="73"/>
        <v>1</v>
      </c>
      <c r="AF318" s="16"/>
      <c r="AG318" s="16"/>
      <c r="AH318" s="16"/>
      <c r="AI318" s="16"/>
      <c r="AJ318" s="16"/>
      <c r="AK318" s="16"/>
      <c r="AL318" s="16"/>
      <c r="AM318" s="16"/>
    </row>
    <row r="319" spans="2:39">
      <c r="B319" s="14">
        <f t="shared" si="62"/>
        <v>317</v>
      </c>
      <c r="C319" s="14" t="str">
        <f t="shared" ca="1" si="63"/>
        <v>D</v>
      </c>
      <c r="D319" s="14" t="str">
        <f t="shared" ca="1" si="64"/>
        <v>q_58c</v>
      </c>
      <c r="E319" s="14" t="str">
        <f t="shared" ca="1" si="61"/>
        <v>Lumbo-Sacral Spine surgery &gt; 5 years</v>
      </c>
      <c r="F319" s="14">
        <f t="shared" ca="1" si="74"/>
        <v>2</v>
      </c>
      <c r="G319" s="14" t="str">
        <f t="shared" ca="1" si="65"/>
        <v>q_58c</v>
      </c>
      <c r="H319" s="14">
        <f ca="1">IF(G319&lt;&gt;"",IFERROR( IsVariableNameLegal(G319),0),0)+IF(COUNTIF(INDIRECT(wew!$C$13),G319)&gt;1,10,0)</f>
        <v>0</v>
      </c>
      <c r="I319" s="14">
        <f ca="1">IF(E319&lt;&gt;"",IF(LEN(E319)&gt;150,1,0)+IF(COUNTIF(INDIRECT(wew!$C$15),E319)&gt;1,10,0),0)</f>
        <v>0</v>
      </c>
      <c r="J319" s="14" t="b">
        <f t="shared" ca="1" si="66"/>
        <v>1</v>
      </c>
      <c r="K319" s="14" t="str">
        <f ca="1">ADDRESS(3,(B319+1)*2-1,4,,"[" &amp; wew!$G$7 &amp; "]" &amp; _sheetname_labels) &amp; ":" &amp; ADDRESS(2+ster!$B$20,(B319+1)*2-1,4)</f>
        <v>'[dane surowe2c.xlsm]labels'!XK3:XK36</v>
      </c>
      <c r="L319" s="14" t="str">
        <f ca="1">IF(F319&gt;0,ADDRESS(3,(B319+1)*2-1,4,,"[" &amp; wew!$G$7 &amp; "]" &amp; _sheetname_labels) &amp; ":" &amp; ADDRESS(2+F319,(B319+1)*2-1,4),"")</f>
        <v>'[dane surowe2c.xlsm]labels'!XK3:XK4</v>
      </c>
      <c r="M319" s="14" t="str">
        <f ca="1">IF(F319&gt;0,ADDRESS(3,(B319+1)*2,4,,"["&amp;wew!$G$7&amp;"]"&amp;_sheetname_labels)&amp;":"&amp;ADDRESS(2+F319,(B319+1)*2,4),"")</f>
        <v>'[dane surowe2c.xlsm]labels'!XL3:XL4</v>
      </c>
      <c r="N319" s="14" t="str">
        <f ca="1">ADDRESS(3,B319+1,4,,"[" &amp; wew!$G$7 &amp; "]" &amp;_sheetname_dataframe) &amp; ":" &amp; ADDRESS(2+ster!$C$14,B319+1,4)</f>
        <v>'[dane surowe2c.xlsm]data_frame'!LF3:LF35</v>
      </c>
      <c r="O319" s="14">
        <f t="shared" ca="1" si="67"/>
        <v>32</v>
      </c>
      <c r="P319" s="14">
        <f ca="1">IF(AND($AD319,$S319=1),IF(wew!$B$3,MIN(INDIRECT($N319)),"&lt;włącz podświetlanie wartości&gt;"),"—")</f>
        <v>1</v>
      </c>
      <c r="Q319" s="14">
        <f ca="1">IF(AND($AD319,$S319=1),IF(wew!$B$3,MAX(INDIRECT($N319)),"&lt;włącz podświetlanie wartości&gt;"),"—")</f>
        <v>2</v>
      </c>
      <c r="R319" s="14">
        <f ca="1">IF(AD319,ster!$C$14- (COUNTIF( INDIRECT(N319),"" )+ COUNT(INDIRECT(N319)) +COUNTIF( INDIRECT(N319),"NA" )),"")</f>
        <v>0</v>
      </c>
      <c r="S319" s="12">
        <f ca="1">IF(AD319,IF(COUNTA(INDIRECT(N319))=0,0, 1-(ster!$C$14- COUNT(INDIRECT(N319)) -COUNTIF( INDIRECT(N319),"" )) /COUNTA(INDIRECT(N319))),"")</f>
        <v>1</v>
      </c>
      <c r="T319" s="17">
        <f t="array" aca="1" ref="T319" ca="1">IF(L319&lt;&gt;"",SUM(IF(INDIRECT(L319)&lt;&gt;INT(INDIRECT(L319)),1,0)),"")</f>
        <v>0</v>
      </c>
      <c r="U319" s="17">
        <f t="array" aca="1" ref="U319" ca="1">IF(S319=1,SUM(IF(ISNUMBER(INDIRECT(N319)),IF(INDIRECT(N319)&lt;&gt;INT(INDIRECT(N319)),1,0),0)),"")</f>
        <v>0</v>
      </c>
      <c r="V319" s="17">
        <f t="shared" ca="1" si="68"/>
        <v>1</v>
      </c>
      <c r="W319" s="17">
        <f t="shared" ca="1" si="69"/>
        <v>0</v>
      </c>
      <c r="X319" s="24">
        <f t="array" aca="1" ref="X319" ca="1">IF(AD319,IF(AG319&lt;&gt;"",AG319,IF(J319,MIN(INDIRECT( K319)),"")),"")</f>
        <v>1</v>
      </c>
      <c r="Y319" s="17">
        <f t="array" aca="1" ref="Y319" ca="1">IF(AD319,IF(AH319&lt;&gt;"",AH319,IF(J319,MAX(INDIRECT( K319)),"")),"")</f>
        <v>2</v>
      </c>
      <c r="Z319" s="17" t="b">
        <f t="shared" ca="1" si="70"/>
        <v>1</v>
      </c>
      <c r="AC319" s="17" t="b">
        <f t="shared" ca="1" si="71"/>
        <v>0</v>
      </c>
      <c r="AD319" s="14" t="b">
        <f t="shared" ca="1" si="72"/>
        <v>1</v>
      </c>
      <c r="AE319" s="15" t="b">
        <f t="shared" ca="1" si="73"/>
        <v>1</v>
      </c>
      <c r="AF319" s="16"/>
      <c r="AG319" s="16"/>
      <c r="AH319" s="16"/>
      <c r="AI319" s="16"/>
      <c r="AJ319" s="16"/>
      <c r="AK319" s="16"/>
      <c r="AL319" s="16"/>
      <c r="AM319" s="16"/>
    </row>
    <row r="320" spans="2:39">
      <c r="B320" s="14">
        <f t="shared" si="62"/>
        <v>318</v>
      </c>
      <c r="C320" s="14" t="str">
        <f t="shared" ca="1" si="63"/>
        <v>D</v>
      </c>
      <c r="D320" s="14" t="str">
        <f t="shared" ca="1" si="64"/>
        <v>q_59a</v>
      </c>
      <c r="E320" s="14" t="str">
        <f t="shared" ca="1" si="61"/>
        <v>Upper Limb surgery in the last years</v>
      </c>
      <c r="F320" s="14">
        <f t="shared" ca="1" si="74"/>
        <v>2</v>
      </c>
      <c r="G320" s="14" t="str">
        <f t="shared" ca="1" si="65"/>
        <v>q_59a</v>
      </c>
      <c r="H320" s="14">
        <f ca="1">IF(G320&lt;&gt;"",IFERROR( IsVariableNameLegal(G320),0),0)+IF(COUNTIF(INDIRECT(wew!$C$13),G320)&gt;1,10,0)</f>
        <v>0</v>
      </c>
      <c r="I320" s="14">
        <f ca="1">IF(E320&lt;&gt;"",IF(LEN(E320)&gt;150,1,0)+IF(COUNTIF(INDIRECT(wew!$C$15),E320)&gt;1,10,0),0)</f>
        <v>0</v>
      </c>
      <c r="J320" s="14" t="b">
        <f t="shared" ca="1" si="66"/>
        <v>1</v>
      </c>
      <c r="K320" s="14" t="str">
        <f ca="1">ADDRESS(3,(B320+1)*2-1,4,,"[" &amp; wew!$G$7 &amp; "]" &amp; _sheetname_labels) &amp; ":" &amp; ADDRESS(2+ster!$B$20,(B320+1)*2-1,4)</f>
        <v>'[dane surowe2c.xlsm]labels'!XM3:XM36</v>
      </c>
      <c r="L320" s="14" t="str">
        <f ca="1">IF(F320&gt;0,ADDRESS(3,(B320+1)*2-1,4,,"[" &amp; wew!$G$7 &amp; "]" &amp; _sheetname_labels) &amp; ":" &amp; ADDRESS(2+F320,(B320+1)*2-1,4),"")</f>
        <v>'[dane surowe2c.xlsm]labels'!XM3:XM4</v>
      </c>
      <c r="M320" s="14" t="str">
        <f ca="1">IF(F320&gt;0,ADDRESS(3,(B320+1)*2,4,,"["&amp;wew!$G$7&amp;"]"&amp;_sheetname_labels)&amp;":"&amp;ADDRESS(2+F320,(B320+1)*2,4),"")</f>
        <v>'[dane surowe2c.xlsm]labels'!XN3:XN4</v>
      </c>
      <c r="N320" s="14" t="str">
        <f ca="1">ADDRESS(3,B320+1,4,,"[" &amp; wew!$G$7 &amp; "]" &amp;_sheetname_dataframe) &amp; ":" &amp; ADDRESS(2+ster!$C$14,B320+1,4)</f>
        <v>'[dane surowe2c.xlsm]data_frame'!LG3:LG35</v>
      </c>
      <c r="O320" s="14">
        <f t="shared" ca="1" si="67"/>
        <v>32</v>
      </c>
      <c r="P320" s="14">
        <f ca="1">IF(AND($AD320,$S320=1),IF(wew!$B$3,MIN(INDIRECT($N320)),"&lt;włącz podświetlanie wartości&gt;"),"—")</f>
        <v>2</v>
      </c>
      <c r="Q320" s="14">
        <f ca="1">IF(AND($AD320,$S320=1),IF(wew!$B$3,MAX(INDIRECT($N320)),"&lt;włącz podświetlanie wartości&gt;"),"—")</f>
        <v>2</v>
      </c>
      <c r="R320" s="14">
        <f ca="1">IF(AD320,ster!$C$14- (COUNTIF( INDIRECT(N320),"" )+ COUNT(INDIRECT(N320)) +COUNTIF( INDIRECT(N320),"NA" )),"")</f>
        <v>0</v>
      </c>
      <c r="S320" s="12">
        <f ca="1">IF(AD320,IF(COUNTA(INDIRECT(N320))=0,0, 1-(ster!$C$14- COUNT(INDIRECT(N320)) -COUNTIF( INDIRECT(N320),"" )) /COUNTA(INDIRECT(N320))),"")</f>
        <v>1</v>
      </c>
      <c r="T320" s="17">
        <f t="array" aca="1" ref="T320" ca="1">IF(L320&lt;&gt;"",SUM(IF(INDIRECT(L320)&lt;&gt;INT(INDIRECT(L320)),1,0)),"")</f>
        <v>0</v>
      </c>
      <c r="U320" s="17">
        <f t="array" aca="1" ref="U320" ca="1">IF(S320=1,SUM(IF(ISNUMBER(INDIRECT(N320)),IF(INDIRECT(N320)&lt;&gt;INT(INDIRECT(N320)),1,0),0)),"")</f>
        <v>0</v>
      </c>
      <c r="V320" s="17">
        <f t="shared" ca="1" si="68"/>
        <v>1</v>
      </c>
      <c r="W320" s="17">
        <f t="shared" ca="1" si="69"/>
        <v>0</v>
      </c>
      <c r="X320" s="24">
        <f t="array" aca="1" ref="X320" ca="1">IF(AD320,IF(AG320&lt;&gt;"",AG320,IF(J320,MIN(INDIRECT( K320)),"")),"")</f>
        <v>1</v>
      </c>
      <c r="Y320" s="17">
        <f t="array" aca="1" ref="Y320" ca="1">IF(AD320,IF(AH320&lt;&gt;"",AH320,IF(J320,MAX(INDIRECT( K320)),"")),"")</f>
        <v>2</v>
      </c>
      <c r="Z320" s="17" t="b">
        <f t="shared" ca="1" si="70"/>
        <v>1</v>
      </c>
      <c r="AC320" s="17" t="b">
        <f t="shared" ca="1" si="71"/>
        <v>0</v>
      </c>
      <c r="AD320" s="14" t="b">
        <f t="shared" ca="1" si="72"/>
        <v>1</v>
      </c>
      <c r="AE320" s="15" t="b">
        <f t="shared" ca="1" si="73"/>
        <v>1</v>
      </c>
      <c r="AF320" s="16"/>
      <c r="AG320" s="16"/>
      <c r="AH320" s="16"/>
      <c r="AI320" s="16"/>
      <c r="AJ320" s="16"/>
      <c r="AK320" s="16"/>
      <c r="AL320" s="16"/>
      <c r="AM320" s="16"/>
    </row>
    <row r="321" spans="2:39">
      <c r="B321" s="14">
        <f t="shared" si="62"/>
        <v>319</v>
      </c>
      <c r="C321" s="14" t="str">
        <f t="shared" ca="1" si="63"/>
        <v>D</v>
      </c>
      <c r="D321" s="14" t="str">
        <f t="shared" ca="1" si="64"/>
        <v>q_59b</v>
      </c>
      <c r="E321" s="14" t="str">
        <f t="shared" ca="1" si="61"/>
        <v>Lower Limb surgery in the last 5 years</v>
      </c>
      <c r="F321" s="14">
        <f t="shared" ca="1" si="74"/>
        <v>2</v>
      </c>
      <c r="G321" s="14" t="str">
        <f t="shared" ca="1" si="65"/>
        <v>q_59b</v>
      </c>
      <c r="H321" s="14">
        <f ca="1">IF(G321&lt;&gt;"",IFERROR( IsVariableNameLegal(G321),0),0)+IF(COUNTIF(INDIRECT(wew!$C$13),G321)&gt;1,10,0)</f>
        <v>0</v>
      </c>
      <c r="I321" s="14">
        <f ca="1">IF(E321&lt;&gt;"",IF(LEN(E321)&gt;150,1,0)+IF(COUNTIF(INDIRECT(wew!$C$15),E321)&gt;1,10,0),0)</f>
        <v>0</v>
      </c>
      <c r="J321" s="14" t="b">
        <f t="shared" ca="1" si="66"/>
        <v>1</v>
      </c>
      <c r="K321" s="14" t="str">
        <f ca="1">ADDRESS(3,(B321+1)*2-1,4,,"[" &amp; wew!$G$7 &amp; "]" &amp; _sheetname_labels) &amp; ":" &amp; ADDRESS(2+ster!$B$20,(B321+1)*2-1,4)</f>
        <v>'[dane surowe2c.xlsm]labels'!XO3:XO36</v>
      </c>
      <c r="L321" s="14" t="str">
        <f ca="1">IF(F321&gt;0,ADDRESS(3,(B321+1)*2-1,4,,"[" &amp; wew!$G$7 &amp; "]" &amp; _sheetname_labels) &amp; ":" &amp; ADDRESS(2+F321,(B321+1)*2-1,4),"")</f>
        <v>'[dane surowe2c.xlsm]labels'!XO3:XO4</v>
      </c>
      <c r="M321" s="14" t="str">
        <f ca="1">IF(F321&gt;0,ADDRESS(3,(B321+1)*2,4,,"["&amp;wew!$G$7&amp;"]"&amp;_sheetname_labels)&amp;":"&amp;ADDRESS(2+F321,(B321+1)*2,4),"")</f>
        <v>'[dane surowe2c.xlsm]labels'!XP3:XP4</v>
      </c>
      <c r="N321" s="14" t="str">
        <f ca="1">ADDRESS(3,B321+1,4,,"[" &amp; wew!$G$7 &amp; "]" &amp;_sheetname_dataframe) &amp; ":" &amp; ADDRESS(2+ster!$C$14,B321+1,4)</f>
        <v>'[dane surowe2c.xlsm]data_frame'!LH3:LH35</v>
      </c>
      <c r="O321" s="14">
        <f t="shared" ca="1" si="67"/>
        <v>32</v>
      </c>
      <c r="P321" s="14">
        <f ca="1">IF(AND($AD321,$S321=1),IF(wew!$B$3,MIN(INDIRECT($N321)),"&lt;włącz podświetlanie wartości&gt;"),"—")</f>
        <v>1</v>
      </c>
      <c r="Q321" s="14">
        <f ca="1">IF(AND($AD321,$S321=1),IF(wew!$B$3,MAX(INDIRECT($N321)),"&lt;włącz podświetlanie wartości&gt;"),"—")</f>
        <v>2</v>
      </c>
      <c r="R321" s="14">
        <f ca="1">IF(AD321,ster!$C$14- (COUNTIF( INDIRECT(N321),"" )+ COUNT(INDIRECT(N321)) +COUNTIF( INDIRECT(N321),"NA" )),"")</f>
        <v>0</v>
      </c>
      <c r="S321" s="12">
        <f ca="1">IF(AD321,IF(COUNTA(INDIRECT(N321))=0,0, 1-(ster!$C$14- COUNT(INDIRECT(N321)) -COUNTIF( INDIRECT(N321),"" )) /COUNTA(INDIRECT(N321))),"")</f>
        <v>1</v>
      </c>
      <c r="T321" s="17">
        <f t="array" aca="1" ref="T321" ca="1">IF(L321&lt;&gt;"",SUM(IF(INDIRECT(L321)&lt;&gt;INT(INDIRECT(L321)),1,0)),"")</f>
        <v>0</v>
      </c>
      <c r="U321" s="17">
        <f t="array" aca="1" ref="U321" ca="1">IF(S321=1,SUM(IF(ISNUMBER(INDIRECT(N321)),IF(INDIRECT(N321)&lt;&gt;INT(INDIRECT(N321)),1,0),0)),"")</f>
        <v>0</v>
      </c>
      <c r="V321" s="17">
        <f t="shared" ca="1" si="68"/>
        <v>1</v>
      </c>
      <c r="W321" s="17">
        <f t="shared" ca="1" si="69"/>
        <v>0</v>
      </c>
      <c r="X321" s="24">
        <f t="array" aca="1" ref="X321" ca="1">IF(AD321,IF(AG321&lt;&gt;"",AG321,IF(J321,MIN(INDIRECT( K321)),"")),"")</f>
        <v>1</v>
      </c>
      <c r="Y321" s="17">
        <f t="array" aca="1" ref="Y321" ca="1">IF(AD321,IF(AH321&lt;&gt;"",AH321,IF(J321,MAX(INDIRECT( K321)),"")),"")</f>
        <v>2</v>
      </c>
      <c r="Z321" s="17" t="b">
        <f t="shared" ca="1" si="70"/>
        <v>1</v>
      </c>
      <c r="AC321" s="17" t="b">
        <f t="shared" ca="1" si="71"/>
        <v>0</v>
      </c>
      <c r="AD321" s="14" t="b">
        <f t="shared" ca="1" si="72"/>
        <v>1</v>
      </c>
      <c r="AE321" s="15" t="b">
        <f t="shared" ca="1" si="73"/>
        <v>1</v>
      </c>
      <c r="AF321" s="16"/>
      <c r="AG321" s="16"/>
      <c r="AH321" s="16"/>
      <c r="AI321" s="16"/>
      <c r="AJ321" s="16"/>
      <c r="AK321" s="16"/>
      <c r="AL321" s="16"/>
      <c r="AM321" s="16"/>
    </row>
    <row r="322" spans="2:39">
      <c r="B322" s="14">
        <f t="shared" si="62"/>
        <v>320</v>
      </c>
      <c r="C322" s="14" t="str">
        <f t="shared" ca="1" si="63"/>
        <v>D</v>
      </c>
      <c r="D322" s="14" t="str">
        <f t="shared" ca="1" si="64"/>
        <v>q_60a</v>
      </c>
      <c r="E322" s="14" t="str">
        <f t="shared" ref="E322:E385" ca="1" si="75">IF(AD322,IF(INDIRECT(ADDRESS(1,ROW(A321),,,_sheetname_dataframe))="","",INDIRECT(ADDRESS(1,ROW(A321),,,_sheetname_dataframe))),"")</f>
        <v>Upper Limb surgery &gt; 5 years</v>
      </c>
      <c r="F322" s="14">
        <f t="shared" ca="1" si="74"/>
        <v>2</v>
      </c>
      <c r="G322" s="14" t="str">
        <f t="shared" ca="1" si="65"/>
        <v>q_60a</v>
      </c>
      <c r="H322" s="14">
        <f ca="1">IF(G322&lt;&gt;"",IFERROR( IsVariableNameLegal(G322),0),0)+IF(COUNTIF(INDIRECT(wew!$C$13),G322)&gt;1,10,0)</f>
        <v>0</v>
      </c>
      <c r="I322" s="14">
        <f ca="1">IF(E322&lt;&gt;"",IF(LEN(E322)&gt;150,1,0)+IF(COUNTIF(INDIRECT(wew!$C$15),E322)&gt;1,10,0),0)</f>
        <v>0</v>
      </c>
      <c r="J322" s="14" t="b">
        <f t="shared" ca="1" si="66"/>
        <v>1</v>
      </c>
      <c r="K322" s="14" t="str">
        <f ca="1">ADDRESS(3,(B322+1)*2-1,4,,"[" &amp; wew!$G$7 &amp; "]" &amp; _sheetname_labels) &amp; ":" &amp; ADDRESS(2+ster!$B$20,(B322+1)*2-1,4)</f>
        <v>'[dane surowe2c.xlsm]labels'!XQ3:XQ36</v>
      </c>
      <c r="L322" s="14" t="str">
        <f ca="1">IF(F322&gt;0,ADDRESS(3,(B322+1)*2-1,4,,"[" &amp; wew!$G$7 &amp; "]" &amp; _sheetname_labels) &amp; ":" &amp; ADDRESS(2+F322,(B322+1)*2-1,4),"")</f>
        <v>'[dane surowe2c.xlsm]labels'!XQ3:XQ4</v>
      </c>
      <c r="M322" s="14" t="str">
        <f ca="1">IF(F322&gt;0,ADDRESS(3,(B322+1)*2,4,,"["&amp;wew!$G$7&amp;"]"&amp;_sheetname_labels)&amp;":"&amp;ADDRESS(2+F322,(B322+1)*2,4),"")</f>
        <v>'[dane surowe2c.xlsm]labels'!XR3:XR4</v>
      </c>
      <c r="N322" s="14" t="str">
        <f ca="1">ADDRESS(3,B322+1,4,,"[" &amp; wew!$G$7 &amp; "]" &amp;_sheetname_dataframe) &amp; ":" &amp; ADDRESS(2+ster!$C$14,B322+1,4)</f>
        <v>'[dane surowe2c.xlsm]data_frame'!LI3:LI35</v>
      </c>
      <c r="O322" s="14">
        <f t="shared" ca="1" si="67"/>
        <v>32</v>
      </c>
      <c r="P322" s="14">
        <f ca="1">IF(AND($AD322,$S322=1),IF(wew!$B$3,MIN(INDIRECT($N322)),"&lt;włącz podświetlanie wartości&gt;"),"—")</f>
        <v>1</v>
      </c>
      <c r="Q322" s="14">
        <f ca="1">IF(AND($AD322,$S322=1),IF(wew!$B$3,MAX(INDIRECT($N322)),"&lt;włącz podświetlanie wartości&gt;"),"—")</f>
        <v>2</v>
      </c>
      <c r="R322" s="14">
        <f ca="1">IF(AD322,ster!$C$14- (COUNTIF( INDIRECT(N322),"" )+ COUNT(INDIRECT(N322)) +COUNTIF( INDIRECT(N322),"NA" )),"")</f>
        <v>0</v>
      </c>
      <c r="S322" s="12">
        <f ca="1">IF(AD322,IF(COUNTA(INDIRECT(N322))=0,0, 1-(ster!$C$14- COUNT(INDIRECT(N322)) -COUNTIF( INDIRECT(N322),"" )) /COUNTA(INDIRECT(N322))),"")</f>
        <v>1</v>
      </c>
      <c r="T322" s="17">
        <f t="array" aca="1" ref="T322" ca="1">IF(L322&lt;&gt;"",SUM(IF(INDIRECT(L322)&lt;&gt;INT(INDIRECT(L322)),1,0)),"")</f>
        <v>0</v>
      </c>
      <c r="U322" s="17">
        <f t="array" aca="1" ref="U322" ca="1">IF(S322=1,SUM(IF(ISNUMBER(INDIRECT(N322)),IF(INDIRECT(N322)&lt;&gt;INT(INDIRECT(N322)),1,0),0)),"")</f>
        <v>0</v>
      </c>
      <c r="V322" s="17">
        <f t="shared" ca="1" si="68"/>
        <v>1</v>
      </c>
      <c r="W322" s="17">
        <f t="shared" ca="1" si="69"/>
        <v>0</v>
      </c>
      <c r="X322" s="24">
        <f t="array" aca="1" ref="X322" ca="1">IF(AD322,IF(AG322&lt;&gt;"",AG322,IF(J322,MIN(INDIRECT( K322)),"")),"")</f>
        <v>1</v>
      </c>
      <c r="Y322" s="17">
        <f t="array" aca="1" ref="Y322" ca="1">IF(AD322,IF(AH322&lt;&gt;"",AH322,IF(J322,MAX(INDIRECT( K322)),"")),"")</f>
        <v>2</v>
      </c>
      <c r="Z322" s="17" t="b">
        <f t="shared" ca="1" si="70"/>
        <v>1</v>
      </c>
      <c r="AC322" s="17" t="b">
        <f t="shared" ca="1" si="71"/>
        <v>0</v>
      </c>
      <c r="AD322" s="14" t="b">
        <f t="shared" ca="1" si="72"/>
        <v>1</v>
      </c>
      <c r="AE322" s="15" t="b">
        <f t="shared" ca="1" si="73"/>
        <v>1</v>
      </c>
      <c r="AF322" s="16"/>
      <c r="AG322" s="16"/>
      <c r="AH322" s="16"/>
      <c r="AI322" s="16"/>
      <c r="AJ322" s="16"/>
      <c r="AK322" s="16"/>
      <c r="AL322" s="16"/>
      <c r="AM322" s="16"/>
    </row>
    <row r="323" spans="2:39">
      <c r="B323" s="14">
        <f t="shared" ref="B323:B386" si="76">ROW(A323)-2</f>
        <v>321</v>
      </c>
      <c r="C323" s="14" t="str">
        <f t="shared" ref="C323:C386" ca="1" si="77">IF(OR(E323="",ROW(E323)=2),"",IF(R323&gt;0,"S",IF(J323,IF(F323=2,"D","N"),"I")))</f>
        <v>D</v>
      </c>
      <c r="D323" s="14" t="str">
        <f t="shared" ref="D323:D386" ca="1" si="78">IFERROR(CHOOSE(H323+1,G323,"Nazwa musi zaczynać się od litery:" &amp; G323, "Nazwa nie może kończyć się kropką","Nazwa nie może kończyć się podkreśleniem","Nazwa nie może być dłuższa od 64 znaków","?","Ta nazwa jest zarezerwowana i nie może być użyta"),G323)</f>
        <v>q_60b</v>
      </c>
      <c r="E323" s="14" t="str">
        <f t="shared" ca="1" si="75"/>
        <v>Lower Limb surgery &gt; 5 years</v>
      </c>
      <c r="F323" s="14">
        <f t="shared" ca="1" si="74"/>
        <v>2</v>
      </c>
      <c r="G323" s="14" t="str">
        <f t="shared" ref="G323:G386" ca="1" si="79">IF(AD323,INDIRECT(ADDRESS(2,ROW(A322),,,_sheetname_dataframe)),"")</f>
        <v>q_60b</v>
      </c>
      <c r="H323" s="14">
        <f ca="1">IF(G323&lt;&gt;"",IFERROR( IsVariableNameLegal(G323),0),0)+IF(COUNTIF(INDIRECT(wew!$C$13),G323)&gt;1,10,0)</f>
        <v>0</v>
      </c>
      <c r="I323" s="14">
        <f ca="1">IF(E323&lt;&gt;"",IF(LEN(E323)&gt;150,1,0)+IF(COUNTIF(INDIRECT(wew!$C$15),E323)&gt;1,10,0),0)</f>
        <v>0</v>
      </c>
      <c r="J323" s="14" t="b">
        <f t="shared" ref="J323:J386" ca="1" si="80">F323&gt;0</f>
        <v>1</v>
      </c>
      <c r="K323" s="14" t="str">
        <f ca="1">ADDRESS(3,(B323+1)*2-1,4,,"[" &amp; wew!$G$7 &amp; "]" &amp; _sheetname_labels) &amp; ":" &amp; ADDRESS(2+ster!$B$20,(B323+1)*2-1,4)</f>
        <v>'[dane surowe2c.xlsm]labels'!XS3:XS36</v>
      </c>
      <c r="L323" s="14" t="str">
        <f ca="1">IF(F323&gt;0,ADDRESS(3,(B323+1)*2-1,4,,"[" &amp; wew!$G$7 &amp; "]" &amp; _sheetname_labels) &amp; ":" &amp; ADDRESS(2+F323,(B323+1)*2-1,4),"")</f>
        <v>'[dane surowe2c.xlsm]labels'!XS3:XS4</v>
      </c>
      <c r="M323" s="14" t="str">
        <f ca="1">IF(F323&gt;0,ADDRESS(3,(B323+1)*2,4,,"["&amp;wew!$G$7&amp;"]"&amp;_sheetname_labels)&amp;":"&amp;ADDRESS(2+F323,(B323+1)*2,4),"")</f>
        <v>'[dane surowe2c.xlsm]labels'!XT3:XT4</v>
      </c>
      <c r="N323" s="14" t="str">
        <f ca="1">ADDRESS(3,B323+1,4,,"[" &amp; wew!$G$7 &amp; "]" &amp;_sheetname_dataframe) &amp; ":" &amp; ADDRESS(2+ster!$C$14,B323+1,4)</f>
        <v>'[dane surowe2c.xlsm]data_frame'!LJ3:LJ35</v>
      </c>
      <c r="O323" s="14">
        <f t="shared" ref="O323:O386" ca="1" si="81">IF(AD323,COUNT(INDIRECT(N323)),"")</f>
        <v>32</v>
      </c>
      <c r="P323" s="14">
        <f ca="1">IF(AND($AD323,$S323=1),IF(wew!$B$3,MIN(INDIRECT($N323)),"&lt;włącz podświetlanie wartości&gt;"),"—")</f>
        <v>1</v>
      </c>
      <c r="Q323" s="14">
        <f ca="1">IF(AND($AD323,$S323=1),IF(wew!$B$3,MAX(INDIRECT($N323)),"&lt;włącz podświetlanie wartości&gt;"),"—")</f>
        <v>2</v>
      </c>
      <c r="R323" s="14">
        <f ca="1">IF(AD323,ster!$C$14- (COUNTIF( INDIRECT(N323),"" )+ COUNT(INDIRECT(N323)) +COUNTIF( INDIRECT(N323),"NA" )),"")</f>
        <v>0</v>
      </c>
      <c r="S323" s="12">
        <f ca="1">IF(AD323,IF(COUNTA(INDIRECT(N323))=0,0, 1-(ster!$C$14- COUNT(INDIRECT(N323)) -COUNTIF( INDIRECT(N323),"" )) /COUNTA(INDIRECT(N323))),"")</f>
        <v>1</v>
      </c>
      <c r="T323" s="17">
        <f t="array" aca="1" ref="T323" ca="1">IF(L323&lt;&gt;"",SUM(IF(INDIRECT(L323)&lt;&gt;INT(INDIRECT(L323)),1,0)),"")</f>
        <v>0</v>
      </c>
      <c r="U323" s="17">
        <f t="array" aca="1" ref="U323" ca="1">IF(S323=1,SUM(IF(ISNUMBER(INDIRECT(N323)),IF(INDIRECT(N323)&lt;&gt;INT(INDIRECT(N323)),1,0),0)),"")</f>
        <v>0</v>
      </c>
      <c r="V323" s="17">
        <f t="shared" ref="V323:V386" ca="1" si="82">IF(U323&lt;&gt;"",IF(U323=0,1,IF(U323/O323&lt;0.05,2,3)),0)</f>
        <v>1</v>
      </c>
      <c r="W323" s="17">
        <f t="shared" ref="W323:W386" ca="1" si="83">IF(COUNTA(INDIRECT(N323))=0,0, IF(AND(X323&lt;&gt;"",P323&lt;X323),1,IF(AND(Y323&lt;&gt;"",Q323&gt;Y323),1,IF(AND(Z323,U323&gt;0),2,0))))</f>
        <v>0</v>
      </c>
      <c r="X323" s="24">
        <f t="array" aca="1" ref="X323" ca="1">IF(AD323,IF(AG323&lt;&gt;"",AG323,IF(J323,MIN(INDIRECT( K323)),"")),"")</f>
        <v>1</v>
      </c>
      <c r="Y323" s="17">
        <f t="array" aca="1" ref="Y323" ca="1">IF(AD323,IF(AH323&lt;&gt;"",AH323,IF(J323,MAX(INDIRECT( K323)),"")),"")</f>
        <v>2</v>
      </c>
      <c r="Z323" s="17" t="b">
        <f t="shared" ref="Z323:Z386" ca="1" si="84">IF(AD323,IF(AI323&lt;&gt;"",AI323,T323=0),FALSE)</f>
        <v>1</v>
      </c>
      <c r="AC323" s="17" t="b">
        <f t="shared" ref="AC323:AC386" ca="1" si="85">IF(AD323,C323="S","")</f>
        <v>0</v>
      </c>
      <c r="AD323" s="14" t="b">
        <f t="shared" ref="AD323:AD386" ca="1" si="86">INDIRECT(ADDRESS(2,ROW(A322),,,_sheetname_dataframe))&lt;&gt;""</f>
        <v>1</v>
      </c>
      <c r="AE323" s="15" t="b">
        <f t="shared" ref="AE323:AE386" ca="1" si="87">J323</f>
        <v>1</v>
      </c>
      <c r="AF323" s="16"/>
      <c r="AG323" s="16"/>
      <c r="AH323" s="16"/>
      <c r="AI323" s="16"/>
      <c r="AJ323" s="16"/>
      <c r="AK323" s="16"/>
      <c r="AL323" s="16"/>
      <c r="AM323" s="16"/>
    </row>
    <row r="324" spans="2:39">
      <c r="B324" s="14">
        <f t="shared" si="76"/>
        <v>322</v>
      </c>
      <c r="C324" s="14" t="str">
        <f t="shared" ca="1" si="77"/>
        <v>D</v>
      </c>
      <c r="D324" s="14" t="str">
        <f t="shared" ca="1" si="78"/>
        <v>q_61</v>
      </c>
      <c r="E324" s="14" t="str">
        <f t="shared" ca="1" si="75"/>
        <v>Abdominal surgery in the last 5 years</v>
      </c>
      <c r="F324" s="14">
        <f t="shared" ca="1" si="74"/>
        <v>2</v>
      </c>
      <c r="G324" s="14" t="str">
        <f t="shared" ca="1" si="79"/>
        <v>q_61</v>
      </c>
      <c r="H324" s="14">
        <f ca="1">IF(G324&lt;&gt;"",IFERROR( IsVariableNameLegal(G324),0),0)+IF(COUNTIF(INDIRECT(wew!$C$13),G324)&gt;1,10,0)</f>
        <v>0</v>
      </c>
      <c r="I324" s="14">
        <f ca="1">IF(E324&lt;&gt;"",IF(LEN(E324)&gt;150,1,0)+IF(COUNTIF(INDIRECT(wew!$C$15),E324)&gt;1,10,0),0)</f>
        <v>0</v>
      </c>
      <c r="J324" s="14" t="b">
        <f t="shared" ca="1" si="80"/>
        <v>1</v>
      </c>
      <c r="K324" s="14" t="str">
        <f ca="1">ADDRESS(3,(B324+1)*2-1,4,,"[" &amp; wew!$G$7 &amp; "]" &amp; _sheetname_labels) &amp; ":" &amp; ADDRESS(2+ster!$B$20,(B324+1)*2-1,4)</f>
        <v>'[dane surowe2c.xlsm]labels'!XU3:XU36</v>
      </c>
      <c r="L324" s="14" t="str">
        <f ca="1">IF(F324&gt;0,ADDRESS(3,(B324+1)*2-1,4,,"[" &amp; wew!$G$7 &amp; "]" &amp; _sheetname_labels) &amp; ":" &amp; ADDRESS(2+F324,(B324+1)*2-1,4),"")</f>
        <v>'[dane surowe2c.xlsm]labels'!XU3:XU4</v>
      </c>
      <c r="M324" s="14" t="str">
        <f ca="1">IF(F324&gt;0,ADDRESS(3,(B324+1)*2,4,,"["&amp;wew!$G$7&amp;"]"&amp;_sheetname_labels)&amp;":"&amp;ADDRESS(2+F324,(B324+1)*2,4),"")</f>
        <v>'[dane surowe2c.xlsm]labels'!XV3:XV4</v>
      </c>
      <c r="N324" s="14" t="str">
        <f ca="1">ADDRESS(3,B324+1,4,,"[" &amp; wew!$G$7 &amp; "]" &amp;_sheetname_dataframe) &amp; ":" &amp; ADDRESS(2+ster!$C$14,B324+1,4)</f>
        <v>'[dane surowe2c.xlsm]data_frame'!LK3:LK35</v>
      </c>
      <c r="O324" s="14">
        <f t="shared" ca="1" si="81"/>
        <v>32</v>
      </c>
      <c r="P324" s="14">
        <f ca="1">IF(AND($AD324,$S324=1),IF(wew!$B$3,MIN(INDIRECT($N324)),"&lt;włącz podświetlanie wartości&gt;"),"—")</f>
        <v>1</v>
      </c>
      <c r="Q324" s="14">
        <f ca="1">IF(AND($AD324,$S324=1),IF(wew!$B$3,MAX(INDIRECT($N324)),"&lt;włącz podświetlanie wartości&gt;"),"—")</f>
        <v>2</v>
      </c>
      <c r="R324" s="14">
        <f ca="1">IF(AD324,ster!$C$14- (COUNTIF( INDIRECT(N324),"" )+ COUNT(INDIRECT(N324)) +COUNTIF( INDIRECT(N324),"NA" )),"")</f>
        <v>0</v>
      </c>
      <c r="S324" s="12">
        <f ca="1">IF(AD324,IF(COUNTA(INDIRECT(N324))=0,0, 1-(ster!$C$14- COUNT(INDIRECT(N324)) -COUNTIF( INDIRECT(N324),"" )) /COUNTA(INDIRECT(N324))),"")</f>
        <v>1</v>
      </c>
      <c r="T324" s="17">
        <f t="array" aca="1" ref="T324" ca="1">IF(L324&lt;&gt;"",SUM(IF(INDIRECT(L324)&lt;&gt;INT(INDIRECT(L324)),1,0)),"")</f>
        <v>0</v>
      </c>
      <c r="U324" s="17">
        <f t="array" aca="1" ref="U324" ca="1">IF(S324=1,SUM(IF(ISNUMBER(INDIRECT(N324)),IF(INDIRECT(N324)&lt;&gt;INT(INDIRECT(N324)),1,0),0)),"")</f>
        <v>0</v>
      </c>
      <c r="V324" s="17">
        <f t="shared" ca="1" si="82"/>
        <v>1</v>
      </c>
      <c r="W324" s="17">
        <f t="shared" ca="1" si="83"/>
        <v>0</v>
      </c>
      <c r="X324" s="24">
        <f t="array" aca="1" ref="X324" ca="1">IF(AD324,IF(AG324&lt;&gt;"",AG324,IF(J324,MIN(INDIRECT( K324)),"")),"")</f>
        <v>1</v>
      </c>
      <c r="Y324" s="17">
        <f t="array" aca="1" ref="Y324" ca="1">IF(AD324,IF(AH324&lt;&gt;"",AH324,IF(J324,MAX(INDIRECT( K324)),"")),"")</f>
        <v>2</v>
      </c>
      <c r="Z324" s="17" t="b">
        <f t="shared" ca="1" si="84"/>
        <v>1</v>
      </c>
      <c r="AC324" s="17" t="b">
        <f t="shared" ca="1" si="85"/>
        <v>0</v>
      </c>
      <c r="AD324" s="14" t="b">
        <f t="shared" ca="1" si="86"/>
        <v>1</v>
      </c>
      <c r="AE324" s="15" t="b">
        <f t="shared" ca="1" si="87"/>
        <v>1</v>
      </c>
      <c r="AF324" s="16"/>
      <c r="AG324" s="16"/>
      <c r="AH324" s="16"/>
      <c r="AI324" s="16"/>
      <c r="AJ324" s="16"/>
      <c r="AK324" s="16"/>
      <c r="AL324" s="16"/>
      <c r="AM324" s="16"/>
    </row>
    <row r="325" spans="2:39">
      <c r="B325" s="14">
        <f t="shared" si="76"/>
        <v>323</v>
      </c>
      <c r="C325" s="14" t="str">
        <f t="shared" ca="1" si="77"/>
        <v>D</v>
      </c>
      <c r="D325" s="14" t="str">
        <f t="shared" ca="1" si="78"/>
        <v>q_62</v>
      </c>
      <c r="E325" s="14" t="str">
        <f t="shared" ca="1" si="75"/>
        <v>Abdominal surgery &gt; 5 years</v>
      </c>
      <c r="F325" s="14">
        <f t="shared" ca="1" si="74"/>
        <v>2</v>
      </c>
      <c r="G325" s="14" t="str">
        <f t="shared" ca="1" si="79"/>
        <v>q_62</v>
      </c>
      <c r="H325" s="14">
        <f ca="1">IF(G325&lt;&gt;"",IFERROR( IsVariableNameLegal(G325),0),0)+IF(COUNTIF(INDIRECT(wew!$C$13),G325)&gt;1,10,0)</f>
        <v>0</v>
      </c>
      <c r="I325" s="14">
        <f ca="1">IF(E325&lt;&gt;"",IF(LEN(E325)&gt;150,1,0)+IF(COUNTIF(INDIRECT(wew!$C$15),E325)&gt;1,10,0),0)</f>
        <v>0</v>
      </c>
      <c r="J325" s="14" t="b">
        <f t="shared" ca="1" si="80"/>
        <v>1</v>
      </c>
      <c r="K325" s="14" t="str">
        <f ca="1">ADDRESS(3,(B325+1)*2-1,4,,"[" &amp; wew!$G$7 &amp; "]" &amp; _sheetname_labels) &amp; ":" &amp; ADDRESS(2+ster!$B$20,(B325+1)*2-1,4)</f>
        <v>'[dane surowe2c.xlsm]labels'!XW3:XW36</v>
      </c>
      <c r="L325" s="14" t="str">
        <f ca="1">IF(F325&gt;0,ADDRESS(3,(B325+1)*2-1,4,,"[" &amp; wew!$G$7 &amp; "]" &amp; _sheetname_labels) &amp; ":" &amp; ADDRESS(2+F325,(B325+1)*2-1,4),"")</f>
        <v>'[dane surowe2c.xlsm]labels'!XW3:XW4</v>
      </c>
      <c r="M325" s="14" t="str">
        <f ca="1">IF(F325&gt;0,ADDRESS(3,(B325+1)*2,4,,"["&amp;wew!$G$7&amp;"]"&amp;_sheetname_labels)&amp;":"&amp;ADDRESS(2+F325,(B325+1)*2,4),"")</f>
        <v>'[dane surowe2c.xlsm]labels'!XX3:XX4</v>
      </c>
      <c r="N325" s="14" t="str">
        <f ca="1">ADDRESS(3,B325+1,4,,"[" &amp; wew!$G$7 &amp; "]" &amp;_sheetname_dataframe) &amp; ":" &amp; ADDRESS(2+ster!$C$14,B325+1,4)</f>
        <v>'[dane surowe2c.xlsm]data_frame'!LL3:LL35</v>
      </c>
      <c r="O325" s="14">
        <f t="shared" ca="1" si="81"/>
        <v>32</v>
      </c>
      <c r="P325" s="14">
        <f ca="1">IF(AND($AD325,$S325=1),IF(wew!$B$3,MIN(INDIRECT($N325)),"&lt;włącz podświetlanie wartości&gt;"),"—")</f>
        <v>1</v>
      </c>
      <c r="Q325" s="14">
        <f ca="1">IF(AND($AD325,$S325=1),IF(wew!$B$3,MAX(INDIRECT($N325)),"&lt;włącz podświetlanie wartości&gt;"),"—")</f>
        <v>2</v>
      </c>
      <c r="R325" s="14">
        <f ca="1">IF(AD325,ster!$C$14- (COUNTIF( INDIRECT(N325),"" )+ COUNT(INDIRECT(N325)) +COUNTIF( INDIRECT(N325),"NA" )),"")</f>
        <v>0</v>
      </c>
      <c r="S325" s="12">
        <f ca="1">IF(AD325,IF(COUNTA(INDIRECT(N325))=0,0, 1-(ster!$C$14- COUNT(INDIRECT(N325)) -COUNTIF( INDIRECT(N325),"" )) /COUNTA(INDIRECT(N325))),"")</f>
        <v>1</v>
      </c>
      <c r="T325" s="17">
        <f t="array" aca="1" ref="T325" ca="1">IF(L325&lt;&gt;"",SUM(IF(INDIRECT(L325)&lt;&gt;INT(INDIRECT(L325)),1,0)),"")</f>
        <v>0</v>
      </c>
      <c r="U325" s="17">
        <f t="array" aca="1" ref="U325" ca="1">IF(S325=1,SUM(IF(ISNUMBER(INDIRECT(N325)),IF(INDIRECT(N325)&lt;&gt;INT(INDIRECT(N325)),1,0),0)),"")</f>
        <v>0</v>
      </c>
      <c r="V325" s="17">
        <f t="shared" ca="1" si="82"/>
        <v>1</v>
      </c>
      <c r="W325" s="17">
        <f t="shared" ca="1" si="83"/>
        <v>0</v>
      </c>
      <c r="X325" s="24">
        <f t="array" aca="1" ref="X325" ca="1">IF(AD325,IF(AG325&lt;&gt;"",AG325,IF(J325,MIN(INDIRECT( K325)),"")),"")</f>
        <v>1</v>
      </c>
      <c r="Y325" s="17">
        <f t="array" aca="1" ref="Y325" ca="1">IF(AD325,IF(AH325&lt;&gt;"",AH325,IF(J325,MAX(INDIRECT( K325)),"")),"")</f>
        <v>2</v>
      </c>
      <c r="Z325" s="17" t="b">
        <f t="shared" ca="1" si="84"/>
        <v>1</v>
      </c>
      <c r="AC325" s="17" t="b">
        <f t="shared" ca="1" si="85"/>
        <v>0</v>
      </c>
      <c r="AD325" s="14" t="b">
        <f t="shared" ca="1" si="86"/>
        <v>1</v>
      </c>
      <c r="AE325" s="15" t="b">
        <f t="shared" ca="1" si="87"/>
        <v>1</v>
      </c>
      <c r="AF325" s="16"/>
      <c r="AG325" s="16"/>
      <c r="AH325" s="16"/>
      <c r="AI325" s="16"/>
      <c r="AJ325" s="16"/>
      <c r="AK325" s="16"/>
      <c r="AL325" s="16"/>
      <c r="AM325" s="16"/>
    </row>
    <row r="326" spans="2:39">
      <c r="B326" s="14">
        <f t="shared" si="76"/>
        <v>324</v>
      </c>
      <c r="C326" s="14" t="str">
        <f t="shared" ca="1" si="77"/>
        <v>D</v>
      </c>
      <c r="D326" s="14" t="str">
        <f t="shared" ca="1" si="78"/>
        <v>q_63</v>
      </c>
      <c r="E326" s="14" t="str">
        <f t="shared" ca="1" si="75"/>
        <v>Thoracic surgery in the last 5 years</v>
      </c>
      <c r="F326" s="14">
        <f t="shared" ca="1" si="74"/>
        <v>2</v>
      </c>
      <c r="G326" s="14" t="str">
        <f t="shared" ca="1" si="79"/>
        <v>q_63</v>
      </c>
      <c r="H326" s="14">
        <f ca="1">IF(G326&lt;&gt;"",IFERROR( IsVariableNameLegal(G326),0),0)+IF(COUNTIF(INDIRECT(wew!$C$13),G326)&gt;1,10,0)</f>
        <v>0</v>
      </c>
      <c r="I326" s="14">
        <f ca="1">IF(E326&lt;&gt;"",IF(LEN(E326)&gt;150,1,0)+IF(COUNTIF(INDIRECT(wew!$C$15),E326)&gt;1,10,0),0)</f>
        <v>0</v>
      </c>
      <c r="J326" s="14" t="b">
        <f t="shared" ca="1" si="80"/>
        <v>1</v>
      </c>
      <c r="K326" s="14" t="str">
        <f ca="1">ADDRESS(3,(B326+1)*2-1,4,,"[" &amp; wew!$G$7 &amp; "]" &amp; _sheetname_labels) &amp; ":" &amp; ADDRESS(2+ster!$B$20,(B326+1)*2-1,4)</f>
        <v>'[dane surowe2c.xlsm]labels'!XY3:XY36</v>
      </c>
      <c r="L326" s="14" t="str">
        <f ca="1">IF(F326&gt;0,ADDRESS(3,(B326+1)*2-1,4,,"[" &amp; wew!$G$7 &amp; "]" &amp; _sheetname_labels) &amp; ":" &amp; ADDRESS(2+F326,(B326+1)*2-1,4),"")</f>
        <v>'[dane surowe2c.xlsm]labels'!XY3:XY4</v>
      </c>
      <c r="M326" s="14" t="str">
        <f ca="1">IF(F326&gt;0,ADDRESS(3,(B326+1)*2,4,,"["&amp;wew!$G$7&amp;"]"&amp;_sheetname_labels)&amp;":"&amp;ADDRESS(2+F326,(B326+1)*2,4),"")</f>
        <v>'[dane surowe2c.xlsm]labels'!XZ3:XZ4</v>
      </c>
      <c r="N326" s="14" t="str">
        <f ca="1">ADDRESS(3,B326+1,4,,"[" &amp; wew!$G$7 &amp; "]" &amp;_sheetname_dataframe) &amp; ":" &amp; ADDRESS(2+ster!$C$14,B326+1,4)</f>
        <v>'[dane surowe2c.xlsm]data_frame'!LM3:LM35</v>
      </c>
      <c r="O326" s="14">
        <f t="shared" ca="1" si="81"/>
        <v>32</v>
      </c>
      <c r="P326" s="14">
        <f ca="1">IF(AND($AD326,$S326=1),IF(wew!$B$3,MIN(INDIRECT($N326)),"&lt;włącz podświetlanie wartości&gt;"),"—")</f>
        <v>1</v>
      </c>
      <c r="Q326" s="14">
        <f ca="1">IF(AND($AD326,$S326=1),IF(wew!$B$3,MAX(INDIRECT($N326)),"&lt;włącz podświetlanie wartości&gt;"),"—")</f>
        <v>2</v>
      </c>
      <c r="R326" s="14">
        <f ca="1">IF(AD326,ster!$C$14- (COUNTIF( INDIRECT(N326),"" )+ COUNT(INDIRECT(N326)) +COUNTIF( INDIRECT(N326),"NA" )),"")</f>
        <v>0</v>
      </c>
      <c r="S326" s="12">
        <f ca="1">IF(AD326,IF(COUNTA(INDIRECT(N326))=0,0, 1-(ster!$C$14- COUNT(INDIRECT(N326)) -COUNTIF( INDIRECT(N326),"" )) /COUNTA(INDIRECT(N326))),"")</f>
        <v>1</v>
      </c>
      <c r="T326" s="17">
        <f t="array" aca="1" ref="T326" ca="1">IF(L326&lt;&gt;"",SUM(IF(INDIRECT(L326)&lt;&gt;INT(INDIRECT(L326)),1,0)),"")</f>
        <v>0</v>
      </c>
      <c r="U326" s="17">
        <f t="array" aca="1" ref="U326" ca="1">IF(S326=1,SUM(IF(ISNUMBER(INDIRECT(N326)),IF(INDIRECT(N326)&lt;&gt;INT(INDIRECT(N326)),1,0),0)),"")</f>
        <v>0</v>
      </c>
      <c r="V326" s="17">
        <f t="shared" ca="1" si="82"/>
        <v>1</v>
      </c>
      <c r="W326" s="17">
        <f t="shared" ca="1" si="83"/>
        <v>0</v>
      </c>
      <c r="X326" s="24">
        <f t="array" aca="1" ref="X326" ca="1">IF(AD326,IF(AG326&lt;&gt;"",AG326,IF(J326,MIN(INDIRECT( K326)),"")),"")</f>
        <v>1</v>
      </c>
      <c r="Y326" s="17">
        <f t="array" aca="1" ref="Y326" ca="1">IF(AD326,IF(AH326&lt;&gt;"",AH326,IF(J326,MAX(INDIRECT( K326)),"")),"")</f>
        <v>2</v>
      </c>
      <c r="Z326" s="17" t="b">
        <f t="shared" ca="1" si="84"/>
        <v>1</v>
      </c>
      <c r="AC326" s="17" t="b">
        <f t="shared" ca="1" si="85"/>
        <v>0</v>
      </c>
      <c r="AD326" s="14" t="b">
        <f t="shared" ca="1" si="86"/>
        <v>1</v>
      </c>
      <c r="AE326" s="15" t="b">
        <f t="shared" ca="1" si="87"/>
        <v>1</v>
      </c>
      <c r="AF326" s="16"/>
      <c r="AG326" s="16"/>
      <c r="AH326" s="16"/>
      <c r="AI326" s="16"/>
      <c r="AJ326" s="16"/>
      <c r="AK326" s="16"/>
      <c r="AL326" s="16"/>
      <c r="AM326" s="16"/>
    </row>
    <row r="327" spans="2:39">
      <c r="B327" s="14">
        <f t="shared" si="76"/>
        <v>325</v>
      </c>
      <c r="C327" s="14" t="str">
        <f t="shared" ca="1" si="77"/>
        <v>D</v>
      </c>
      <c r="D327" s="14" t="str">
        <f t="shared" ca="1" si="78"/>
        <v>q_64</v>
      </c>
      <c r="E327" s="14" t="str">
        <f t="shared" ca="1" si="75"/>
        <v>Thoracic surgery &gt; 5 years</v>
      </c>
      <c r="F327" s="14">
        <f t="shared" ca="1" si="74"/>
        <v>2</v>
      </c>
      <c r="G327" s="14" t="str">
        <f t="shared" ca="1" si="79"/>
        <v>q_64</v>
      </c>
      <c r="H327" s="14">
        <f ca="1">IF(G327&lt;&gt;"",IFERROR( IsVariableNameLegal(G327),0),0)+IF(COUNTIF(INDIRECT(wew!$C$13),G327)&gt;1,10,0)</f>
        <v>0</v>
      </c>
      <c r="I327" s="14">
        <f ca="1">IF(E327&lt;&gt;"",IF(LEN(E327)&gt;150,1,0)+IF(COUNTIF(INDIRECT(wew!$C$15),E327)&gt;1,10,0),0)</f>
        <v>0</v>
      </c>
      <c r="J327" s="14" t="b">
        <f t="shared" ca="1" si="80"/>
        <v>1</v>
      </c>
      <c r="K327" s="14" t="str">
        <f ca="1">ADDRESS(3,(B327+1)*2-1,4,,"[" &amp; wew!$G$7 &amp; "]" &amp; _sheetname_labels) &amp; ":" &amp; ADDRESS(2+ster!$B$20,(B327+1)*2-1,4)</f>
        <v>'[dane surowe2c.xlsm]labels'!YA3:YA36</v>
      </c>
      <c r="L327" s="14" t="str">
        <f ca="1">IF(F327&gt;0,ADDRESS(3,(B327+1)*2-1,4,,"[" &amp; wew!$G$7 &amp; "]" &amp; _sheetname_labels) &amp; ":" &amp; ADDRESS(2+F327,(B327+1)*2-1,4),"")</f>
        <v>'[dane surowe2c.xlsm]labels'!YA3:YA4</v>
      </c>
      <c r="M327" s="14" t="str">
        <f ca="1">IF(F327&gt;0,ADDRESS(3,(B327+1)*2,4,,"["&amp;wew!$G$7&amp;"]"&amp;_sheetname_labels)&amp;":"&amp;ADDRESS(2+F327,(B327+1)*2,4),"")</f>
        <v>'[dane surowe2c.xlsm]labels'!YB3:YB4</v>
      </c>
      <c r="N327" s="14" t="str">
        <f ca="1">ADDRESS(3,B327+1,4,,"[" &amp; wew!$G$7 &amp; "]" &amp;_sheetname_dataframe) &amp; ":" &amp; ADDRESS(2+ster!$C$14,B327+1,4)</f>
        <v>'[dane surowe2c.xlsm]data_frame'!LN3:LN35</v>
      </c>
      <c r="O327" s="14">
        <f t="shared" ca="1" si="81"/>
        <v>32</v>
      </c>
      <c r="P327" s="14">
        <f ca="1">IF(AND($AD327,$S327=1),IF(wew!$B$3,MIN(INDIRECT($N327)),"&lt;włącz podświetlanie wartości&gt;"),"—")</f>
        <v>1</v>
      </c>
      <c r="Q327" s="14">
        <f ca="1">IF(AND($AD327,$S327=1),IF(wew!$B$3,MAX(INDIRECT($N327)),"&lt;włącz podświetlanie wartości&gt;"),"—")</f>
        <v>2</v>
      </c>
      <c r="R327" s="14">
        <f ca="1">IF(AD327,ster!$C$14- (COUNTIF( INDIRECT(N327),"" )+ COUNT(INDIRECT(N327)) +COUNTIF( INDIRECT(N327),"NA" )),"")</f>
        <v>0</v>
      </c>
      <c r="S327" s="12">
        <f ca="1">IF(AD327,IF(COUNTA(INDIRECT(N327))=0,0, 1-(ster!$C$14- COUNT(INDIRECT(N327)) -COUNTIF( INDIRECT(N327),"" )) /COUNTA(INDIRECT(N327))),"")</f>
        <v>1</v>
      </c>
      <c r="T327" s="17">
        <f t="array" aca="1" ref="T327" ca="1">IF(L327&lt;&gt;"",SUM(IF(INDIRECT(L327)&lt;&gt;INT(INDIRECT(L327)),1,0)),"")</f>
        <v>0</v>
      </c>
      <c r="U327" s="17">
        <f t="array" aca="1" ref="U327" ca="1">IF(S327=1,SUM(IF(ISNUMBER(INDIRECT(N327)),IF(INDIRECT(N327)&lt;&gt;INT(INDIRECT(N327)),1,0),0)),"")</f>
        <v>0</v>
      </c>
      <c r="V327" s="17">
        <f t="shared" ca="1" si="82"/>
        <v>1</v>
      </c>
      <c r="W327" s="17">
        <f t="shared" ca="1" si="83"/>
        <v>0</v>
      </c>
      <c r="X327" s="24">
        <f t="array" aca="1" ref="X327" ca="1">IF(AD327,IF(AG327&lt;&gt;"",AG327,IF(J327,MIN(INDIRECT( K327)),"")),"")</f>
        <v>1</v>
      </c>
      <c r="Y327" s="17">
        <f t="array" aca="1" ref="Y327" ca="1">IF(AD327,IF(AH327&lt;&gt;"",AH327,IF(J327,MAX(INDIRECT( K327)),"")),"")</f>
        <v>2</v>
      </c>
      <c r="Z327" s="17" t="b">
        <f t="shared" ca="1" si="84"/>
        <v>1</v>
      </c>
      <c r="AC327" s="17" t="b">
        <f t="shared" ca="1" si="85"/>
        <v>0</v>
      </c>
      <c r="AD327" s="14" t="b">
        <f t="shared" ca="1" si="86"/>
        <v>1</v>
      </c>
      <c r="AE327" s="15" t="b">
        <f t="shared" ca="1" si="87"/>
        <v>1</v>
      </c>
      <c r="AF327" s="16"/>
      <c r="AG327" s="16"/>
      <c r="AH327" s="16"/>
      <c r="AI327" s="16"/>
      <c r="AJ327" s="16"/>
      <c r="AK327" s="16"/>
      <c r="AL327" s="16"/>
      <c r="AM327" s="16"/>
    </row>
    <row r="328" spans="2:39">
      <c r="B328" s="14">
        <f t="shared" si="76"/>
        <v>326</v>
      </c>
      <c r="C328" s="14" t="str">
        <f t="shared" ca="1" si="77"/>
        <v>D</v>
      </c>
      <c r="D328" s="14" t="str">
        <f t="shared" ca="1" si="78"/>
        <v>q_65</v>
      </c>
      <c r="E328" s="14" t="str">
        <f t="shared" ca="1" si="75"/>
        <v>Pelvic Surgery in the last 5 years</v>
      </c>
      <c r="F328" s="14">
        <f t="shared" ca="1" si="74"/>
        <v>2</v>
      </c>
      <c r="G328" s="14" t="str">
        <f t="shared" ca="1" si="79"/>
        <v>q_65</v>
      </c>
      <c r="H328" s="14">
        <f ca="1">IF(G328&lt;&gt;"",IFERROR( IsVariableNameLegal(G328),0),0)+IF(COUNTIF(INDIRECT(wew!$C$13),G328)&gt;1,10,0)</f>
        <v>0</v>
      </c>
      <c r="I328" s="14">
        <f ca="1">IF(E328&lt;&gt;"",IF(LEN(E328)&gt;150,1,0)+IF(COUNTIF(INDIRECT(wew!$C$15),E328)&gt;1,10,0),0)</f>
        <v>0</v>
      </c>
      <c r="J328" s="14" t="b">
        <f t="shared" ca="1" si="80"/>
        <v>1</v>
      </c>
      <c r="K328" s="14" t="str">
        <f ca="1">ADDRESS(3,(B328+1)*2-1,4,,"[" &amp; wew!$G$7 &amp; "]" &amp; _sheetname_labels) &amp; ":" &amp; ADDRESS(2+ster!$B$20,(B328+1)*2-1,4)</f>
        <v>'[dane surowe2c.xlsm]labels'!YC3:YC36</v>
      </c>
      <c r="L328" s="14" t="str">
        <f ca="1">IF(F328&gt;0,ADDRESS(3,(B328+1)*2-1,4,,"[" &amp; wew!$G$7 &amp; "]" &amp; _sheetname_labels) &amp; ":" &amp; ADDRESS(2+F328,(B328+1)*2-1,4),"")</f>
        <v>'[dane surowe2c.xlsm]labels'!YC3:YC4</v>
      </c>
      <c r="M328" s="14" t="str">
        <f ca="1">IF(F328&gt;0,ADDRESS(3,(B328+1)*2,4,,"["&amp;wew!$G$7&amp;"]"&amp;_sheetname_labels)&amp;":"&amp;ADDRESS(2+F328,(B328+1)*2,4),"")</f>
        <v>'[dane surowe2c.xlsm]labels'!YD3:YD4</v>
      </c>
      <c r="N328" s="14" t="str">
        <f ca="1">ADDRESS(3,B328+1,4,,"[" &amp; wew!$G$7 &amp; "]" &amp;_sheetname_dataframe) &amp; ":" &amp; ADDRESS(2+ster!$C$14,B328+1,4)</f>
        <v>'[dane surowe2c.xlsm]data_frame'!LO3:LO35</v>
      </c>
      <c r="O328" s="14">
        <f t="shared" ca="1" si="81"/>
        <v>32</v>
      </c>
      <c r="P328" s="14">
        <f ca="1">IF(AND($AD328,$S328=1),IF(wew!$B$3,MIN(INDIRECT($N328)),"&lt;włącz podświetlanie wartości&gt;"),"—")</f>
        <v>1</v>
      </c>
      <c r="Q328" s="14">
        <f ca="1">IF(AND($AD328,$S328=1),IF(wew!$B$3,MAX(INDIRECT($N328)),"&lt;włącz podświetlanie wartości&gt;"),"—")</f>
        <v>2</v>
      </c>
      <c r="R328" s="14">
        <f ca="1">IF(AD328,ster!$C$14- (COUNTIF( INDIRECT(N328),"" )+ COUNT(INDIRECT(N328)) +COUNTIF( INDIRECT(N328),"NA" )),"")</f>
        <v>0</v>
      </c>
      <c r="S328" s="12">
        <f ca="1">IF(AD328,IF(COUNTA(INDIRECT(N328))=0,0, 1-(ster!$C$14- COUNT(INDIRECT(N328)) -COUNTIF( INDIRECT(N328),"" )) /COUNTA(INDIRECT(N328))),"")</f>
        <v>1</v>
      </c>
      <c r="T328" s="17">
        <f t="array" aca="1" ref="T328" ca="1">IF(L328&lt;&gt;"",SUM(IF(INDIRECT(L328)&lt;&gt;INT(INDIRECT(L328)),1,0)),"")</f>
        <v>0</v>
      </c>
      <c r="U328" s="17">
        <f t="array" aca="1" ref="U328" ca="1">IF(S328=1,SUM(IF(ISNUMBER(INDIRECT(N328)),IF(INDIRECT(N328)&lt;&gt;INT(INDIRECT(N328)),1,0),0)),"")</f>
        <v>0</v>
      </c>
      <c r="V328" s="17">
        <f t="shared" ca="1" si="82"/>
        <v>1</v>
      </c>
      <c r="W328" s="17">
        <f t="shared" ca="1" si="83"/>
        <v>0</v>
      </c>
      <c r="X328" s="24">
        <f t="array" aca="1" ref="X328" ca="1">IF(AD328,IF(AG328&lt;&gt;"",AG328,IF(J328,MIN(INDIRECT( K328)),"")),"")</f>
        <v>1</v>
      </c>
      <c r="Y328" s="17">
        <f t="array" aca="1" ref="Y328" ca="1">IF(AD328,IF(AH328&lt;&gt;"",AH328,IF(J328,MAX(INDIRECT( K328)),"")),"")</f>
        <v>2</v>
      </c>
      <c r="Z328" s="17" t="b">
        <f t="shared" ca="1" si="84"/>
        <v>1</v>
      </c>
      <c r="AC328" s="17" t="b">
        <f t="shared" ca="1" si="85"/>
        <v>0</v>
      </c>
      <c r="AD328" s="14" t="b">
        <f t="shared" ca="1" si="86"/>
        <v>1</v>
      </c>
      <c r="AE328" s="15" t="b">
        <f t="shared" ca="1" si="87"/>
        <v>1</v>
      </c>
      <c r="AF328" s="16"/>
      <c r="AG328" s="16"/>
      <c r="AH328" s="16"/>
      <c r="AI328" s="16"/>
      <c r="AJ328" s="16"/>
      <c r="AK328" s="16"/>
      <c r="AL328" s="16"/>
      <c r="AM328" s="16"/>
    </row>
    <row r="329" spans="2:39">
      <c r="B329" s="14">
        <f t="shared" si="76"/>
        <v>327</v>
      </c>
      <c r="C329" s="14" t="str">
        <f t="shared" ca="1" si="77"/>
        <v>D</v>
      </c>
      <c r="D329" s="14" t="str">
        <f t="shared" ca="1" si="78"/>
        <v>q_66</v>
      </c>
      <c r="E329" s="14" t="str">
        <f t="shared" ca="1" si="75"/>
        <v>Pelvic Surgery &gt; 5 years</v>
      </c>
      <c r="F329" s="14">
        <f t="shared" ca="1" si="74"/>
        <v>2</v>
      </c>
      <c r="G329" s="14" t="str">
        <f t="shared" ca="1" si="79"/>
        <v>q_66</v>
      </c>
      <c r="H329" s="14">
        <f ca="1">IF(G329&lt;&gt;"",IFERROR( IsVariableNameLegal(G329),0),0)+IF(COUNTIF(INDIRECT(wew!$C$13),G329)&gt;1,10,0)</f>
        <v>0</v>
      </c>
      <c r="I329" s="14">
        <f ca="1">IF(E329&lt;&gt;"",IF(LEN(E329)&gt;150,1,0)+IF(COUNTIF(INDIRECT(wew!$C$15),E329)&gt;1,10,0),0)</f>
        <v>0</v>
      </c>
      <c r="J329" s="14" t="b">
        <f t="shared" ca="1" si="80"/>
        <v>1</v>
      </c>
      <c r="K329" s="14" t="str">
        <f ca="1">ADDRESS(3,(B329+1)*2-1,4,,"[" &amp; wew!$G$7 &amp; "]" &amp; _sheetname_labels) &amp; ":" &amp; ADDRESS(2+ster!$B$20,(B329+1)*2-1,4)</f>
        <v>'[dane surowe2c.xlsm]labels'!YE3:YE36</v>
      </c>
      <c r="L329" s="14" t="str">
        <f ca="1">IF(F329&gt;0,ADDRESS(3,(B329+1)*2-1,4,,"[" &amp; wew!$G$7 &amp; "]" &amp; _sheetname_labels) &amp; ":" &amp; ADDRESS(2+F329,(B329+1)*2-1,4),"")</f>
        <v>'[dane surowe2c.xlsm]labels'!YE3:YE4</v>
      </c>
      <c r="M329" s="14" t="str">
        <f ca="1">IF(F329&gt;0,ADDRESS(3,(B329+1)*2,4,,"["&amp;wew!$G$7&amp;"]"&amp;_sheetname_labels)&amp;":"&amp;ADDRESS(2+F329,(B329+1)*2,4),"")</f>
        <v>'[dane surowe2c.xlsm]labels'!YF3:YF4</v>
      </c>
      <c r="N329" s="14" t="str">
        <f ca="1">ADDRESS(3,B329+1,4,,"[" &amp; wew!$G$7 &amp; "]" &amp;_sheetname_dataframe) &amp; ":" &amp; ADDRESS(2+ster!$C$14,B329+1,4)</f>
        <v>'[dane surowe2c.xlsm]data_frame'!LP3:LP35</v>
      </c>
      <c r="O329" s="14">
        <f t="shared" ca="1" si="81"/>
        <v>32</v>
      </c>
      <c r="P329" s="14">
        <f ca="1">IF(AND($AD329,$S329=1),IF(wew!$B$3,MIN(INDIRECT($N329)),"&lt;włącz podświetlanie wartości&gt;"),"—")</f>
        <v>1</v>
      </c>
      <c r="Q329" s="14">
        <f ca="1">IF(AND($AD329,$S329=1),IF(wew!$B$3,MAX(INDIRECT($N329)),"&lt;włącz podświetlanie wartości&gt;"),"—")</f>
        <v>2</v>
      </c>
      <c r="R329" s="14">
        <f ca="1">IF(AD329,ster!$C$14- (COUNTIF( INDIRECT(N329),"" )+ COUNT(INDIRECT(N329)) +COUNTIF( INDIRECT(N329),"NA" )),"")</f>
        <v>0</v>
      </c>
      <c r="S329" s="12">
        <f ca="1">IF(AD329,IF(COUNTA(INDIRECT(N329))=0,0, 1-(ster!$C$14- COUNT(INDIRECT(N329)) -COUNTIF( INDIRECT(N329),"" )) /COUNTA(INDIRECT(N329))),"")</f>
        <v>1</v>
      </c>
      <c r="T329" s="17">
        <f t="array" aca="1" ref="T329" ca="1">IF(L329&lt;&gt;"",SUM(IF(INDIRECT(L329)&lt;&gt;INT(INDIRECT(L329)),1,0)),"")</f>
        <v>0</v>
      </c>
      <c r="U329" s="17">
        <f t="array" aca="1" ref="U329" ca="1">IF(S329=1,SUM(IF(ISNUMBER(INDIRECT(N329)),IF(INDIRECT(N329)&lt;&gt;INT(INDIRECT(N329)),1,0),0)),"")</f>
        <v>0</v>
      </c>
      <c r="V329" s="17">
        <f t="shared" ca="1" si="82"/>
        <v>1</v>
      </c>
      <c r="W329" s="17">
        <f t="shared" ca="1" si="83"/>
        <v>0</v>
      </c>
      <c r="X329" s="24">
        <f t="array" aca="1" ref="X329" ca="1">IF(AD329,IF(AG329&lt;&gt;"",AG329,IF(J329,MIN(INDIRECT( K329)),"")),"")</f>
        <v>1</v>
      </c>
      <c r="Y329" s="17">
        <f t="array" aca="1" ref="Y329" ca="1">IF(AD329,IF(AH329&lt;&gt;"",AH329,IF(J329,MAX(INDIRECT( K329)),"")),"")</f>
        <v>2</v>
      </c>
      <c r="Z329" s="17" t="b">
        <f t="shared" ca="1" si="84"/>
        <v>1</v>
      </c>
      <c r="AC329" s="17" t="b">
        <f t="shared" ca="1" si="85"/>
        <v>0</v>
      </c>
      <c r="AD329" s="14" t="b">
        <f t="shared" ca="1" si="86"/>
        <v>1</v>
      </c>
      <c r="AE329" s="15" t="b">
        <f t="shared" ca="1" si="87"/>
        <v>1</v>
      </c>
      <c r="AF329" s="16"/>
      <c r="AG329" s="16"/>
      <c r="AH329" s="16"/>
      <c r="AI329" s="16"/>
      <c r="AJ329" s="16"/>
      <c r="AK329" s="16"/>
      <c r="AL329" s="16"/>
      <c r="AM329" s="16"/>
    </row>
    <row r="330" spans="2:39">
      <c r="B330" s="14">
        <f t="shared" si="76"/>
        <v>328</v>
      </c>
      <c r="C330" s="14" t="str">
        <f t="shared" ca="1" si="77"/>
        <v>D</v>
      </c>
      <c r="D330" s="14" t="str">
        <f t="shared" ca="1" si="78"/>
        <v>q_67</v>
      </c>
      <c r="E330" s="14" t="str">
        <f t="shared" ca="1" si="75"/>
        <v>Head/neck Surgery in the last 5 years</v>
      </c>
      <c r="F330" s="14">
        <f t="shared" ca="1" si="74"/>
        <v>2</v>
      </c>
      <c r="G330" s="14" t="str">
        <f t="shared" ca="1" si="79"/>
        <v>q_67</v>
      </c>
      <c r="H330" s="14">
        <f ca="1">IF(G330&lt;&gt;"",IFERROR( IsVariableNameLegal(G330),0),0)+IF(COUNTIF(INDIRECT(wew!$C$13),G330)&gt;1,10,0)</f>
        <v>0</v>
      </c>
      <c r="I330" s="14">
        <f ca="1">IF(E330&lt;&gt;"",IF(LEN(E330)&gt;150,1,0)+IF(COUNTIF(INDIRECT(wew!$C$15),E330)&gt;1,10,0),0)</f>
        <v>0</v>
      </c>
      <c r="J330" s="14" t="b">
        <f t="shared" ca="1" si="80"/>
        <v>1</v>
      </c>
      <c r="K330" s="14" t="str">
        <f ca="1">ADDRESS(3,(B330+1)*2-1,4,,"[" &amp; wew!$G$7 &amp; "]" &amp; _sheetname_labels) &amp; ":" &amp; ADDRESS(2+ster!$B$20,(B330+1)*2-1,4)</f>
        <v>'[dane surowe2c.xlsm]labels'!YG3:YG36</v>
      </c>
      <c r="L330" s="14" t="str">
        <f ca="1">IF(F330&gt;0,ADDRESS(3,(B330+1)*2-1,4,,"[" &amp; wew!$G$7 &amp; "]" &amp; _sheetname_labels) &amp; ":" &amp; ADDRESS(2+F330,(B330+1)*2-1,4),"")</f>
        <v>'[dane surowe2c.xlsm]labels'!YG3:YG4</v>
      </c>
      <c r="M330" s="14" t="str">
        <f ca="1">IF(F330&gt;0,ADDRESS(3,(B330+1)*2,4,,"["&amp;wew!$G$7&amp;"]"&amp;_sheetname_labels)&amp;":"&amp;ADDRESS(2+F330,(B330+1)*2,4),"")</f>
        <v>'[dane surowe2c.xlsm]labels'!YH3:YH4</v>
      </c>
      <c r="N330" s="14" t="str">
        <f ca="1">ADDRESS(3,B330+1,4,,"[" &amp; wew!$G$7 &amp; "]" &amp;_sheetname_dataframe) &amp; ":" &amp; ADDRESS(2+ster!$C$14,B330+1,4)</f>
        <v>'[dane surowe2c.xlsm]data_frame'!LQ3:LQ35</v>
      </c>
      <c r="O330" s="14">
        <f t="shared" ca="1" si="81"/>
        <v>32</v>
      </c>
      <c r="P330" s="14">
        <f ca="1">IF(AND($AD330,$S330=1),IF(wew!$B$3,MIN(INDIRECT($N330)),"&lt;włącz podświetlanie wartości&gt;"),"—")</f>
        <v>2</v>
      </c>
      <c r="Q330" s="14">
        <f ca="1">IF(AND($AD330,$S330=1),IF(wew!$B$3,MAX(INDIRECT($N330)),"&lt;włącz podświetlanie wartości&gt;"),"—")</f>
        <v>2</v>
      </c>
      <c r="R330" s="14">
        <f ca="1">IF(AD330,ster!$C$14- (COUNTIF( INDIRECT(N330),"" )+ COUNT(INDIRECT(N330)) +COUNTIF( INDIRECT(N330),"NA" )),"")</f>
        <v>0</v>
      </c>
      <c r="S330" s="12">
        <f ca="1">IF(AD330,IF(COUNTA(INDIRECT(N330))=0,0, 1-(ster!$C$14- COUNT(INDIRECT(N330)) -COUNTIF( INDIRECT(N330),"" )) /COUNTA(INDIRECT(N330))),"")</f>
        <v>1</v>
      </c>
      <c r="T330" s="17">
        <f t="array" aca="1" ref="T330" ca="1">IF(L330&lt;&gt;"",SUM(IF(INDIRECT(L330)&lt;&gt;INT(INDIRECT(L330)),1,0)),"")</f>
        <v>0</v>
      </c>
      <c r="U330" s="17">
        <f t="array" aca="1" ref="U330" ca="1">IF(S330=1,SUM(IF(ISNUMBER(INDIRECT(N330)),IF(INDIRECT(N330)&lt;&gt;INT(INDIRECT(N330)),1,0),0)),"")</f>
        <v>0</v>
      </c>
      <c r="V330" s="17">
        <f t="shared" ca="1" si="82"/>
        <v>1</v>
      </c>
      <c r="W330" s="17">
        <f t="shared" ca="1" si="83"/>
        <v>0</v>
      </c>
      <c r="X330" s="24">
        <f t="array" aca="1" ref="X330" ca="1">IF(AD330,IF(AG330&lt;&gt;"",AG330,IF(J330,MIN(INDIRECT( K330)),"")),"")</f>
        <v>1</v>
      </c>
      <c r="Y330" s="17">
        <f t="array" aca="1" ref="Y330" ca="1">IF(AD330,IF(AH330&lt;&gt;"",AH330,IF(J330,MAX(INDIRECT( K330)),"")),"")</f>
        <v>2</v>
      </c>
      <c r="Z330" s="17" t="b">
        <f t="shared" ca="1" si="84"/>
        <v>1</v>
      </c>
      <c r="AC330" s="17" t="b">
        <f t="shared" ca="1" si="85"/>
        <v>0</v>
      </c>
      <c r="AD330" s="14" t="b">
        <f t="shared" ca="1" si="86"/>
        <v>1</v>
      </c>
      <c r="AE330" s="15" t="b">
        <f t="shared" ca="1" si="87"/>
        <v>1</v>
      </c>
      <c r="AF330" s="16"/>
      <c r="AG330" s="16"/>
      <c r="AH330" s="16"/>
      <c r="AI330" s="16"/>
      <c r="AJ330" s="16"/>
      <c r="AK330" s="16"/>
      <c r="AL330" s="16"/>
      <c r="AM330" s="16"/>
    </row>
    <row r="331" spans="2:39">
      <c r="B331" s="14">
        <f t="shared" si="76"/>
        <v>329</v>
      </c>
      <c r="C331" s="14" t="str">
        <f t="shared" ca="1" si="77"/>
        <v>D</v>
      </c>
      <c r="D331" s="14" t="str">
        <f t="shared" ca="1" si="78"/>
        <v>q_68</v>
      </c>
      <c r="E331" s="14" t="str">
        <f t="shared" ca="1" si="75"/>
        <v>Head/neck Surgery &gt; 5 years</v>
      </c>
      <c r="F331" s="14">
        <f t="shared" ca="1" si="74"/>
        <v>2</v>
      </c>
      <c r="G331" s="14" t="str">
        <f t="shared" ca="1" si="79"/>
        <v>q_68</v>
      </c>
      <c r="H331" s="14">
        <f ca="1">IF(G331&lt;&gt;"",IFERROR( IsVariableNameLegal(G331),0),0)+IF(COUNTIF(INDIRECT(wew!$C$13),G331)&gt;1,10,0)</f>
        <v>0</v>
      </c>
      <c r="I331" s="14">
        <f ca="1">IF(E331&lt;&gt;"",IF(LEN(E331)&gt;150,1,0)+IF(COUNTIF(INDIRECT(wew!$C$15),E331)&gt;1,10,0),0)</f>
        <v>0</v>
      </c>
      <c r="J331" s="14" t="b">
        <f t="shared" ca="1" si="80"/>
        <v>1</v>
      </c>
      <c r="K331" s="14" t="str">
        <f ca="1">ADDRESS(3,(B331+1)*2-1,4,,"[" &amp; wew!$G$7 &amp; "]" &amp; _sheetname_labels) &amp; ":" &amp; ADDRESS(2+ster!$B$20,(B331+1)*2-1,4)</f>
        <v>'[dane surowe2c.xlsm]labels'!YI3:YI36</v>
      </c>
      <c r="L331" s="14" t="str">
        <f ca="1">IF(F331&gt;0,ADDRESS(3,(B331+1)*2-1,4,,"[" &amp; wew!$G$7 &amp; "]" &amp; _sheetname_labels) &amp; ":" &amp; ADDRESS(2+F331,(B331+1)*2-1,4),"")</f>
        <v>'[dane surowe2c.xlsm]labels'!YI3:YI4</v>
      </c>
      <c r="M331" s="14" t="str">
        <f ca="1">IF(F331&gt;0,ADDRESS(3,(B331+1)*2,4,,"["&amp;wew!$G$7&amp;"]"&amp;_sheetname_labels)&amp;":"&amp;ADDRESS(2+F331,(B331+1)*2,4),"")</f>
        <v>'[dane surowe2c.xlsm]labels'!YJ3:YJ4</v>
      </c>
      <c r="N331" s="14" t="str">
        <f ca="1">ADDRESS(3,B331+1,4,,"[" &amp; wew!$G$7 &amp; "]" &amp;_sheetname_dataframe) &amp; ":" &amp; ADDRESS(2+ster!$C$14,B331+1,4)</f>
        <v>'[dane surowe2c.xlsm]data_frame'!LR3:LR35</v>
      </c>
      <c r="O331" s="14">
        <f t="shared" ca="1" si="81"/>
        <v>32</v>
      </c>
      <c r="P331" s="14">
        <f ca="1">IF(AND($AD331,$S331=1),IF(wew!$B$3,MIN(INDIRECT($N331)),"&lt;włącz podświetlanie wartości&gt;"),"—")</f>
        <v>1</v>
      </c>
      <c r="Q331" s="14">
        <f ca="1">IF(AND($AD331,$S331=1),IF(wew!$B$3,MAX(INDIRECT($N331)),"&lt;włącz podświetlanie wartości&gt;"),"—")</f>
        <v>2</v>
      </c>
      <c r="R331" s="14">
        <f ca="1">IF(AD331,ster!$C$14- (COUNTIF( INDIRECT(N331),"" )+ COUNT(INDIRECT(N331)) +COUNTIF( INDIRECT(N331),"NA" )),"")</f>
        <v>0</v>
      </c>
      <c r="S331" s="12">
        <f ca="1">IF(AD331,IF(COUNTA(INDIRECT(N331))=0,0, 1-(ster!$C$14- COUNT(INDIRECT(N331)) -COUNTIF( INDIRECT(N331),"" )) /COUNTA(INDIRECT(N331))),"")</f>
        <v>1</v>
      </c>
      <c r="T331" s="17">
        <f t="array" aca="1" ref="T331" ca="1">IF(L331&lt;&gt;"",SUM(IF(INDIRECT(L331)&lt;&gt;INT(INDIRECT(L331)),1,0)),"")</f>
        <v>0</v>
      </c>
      <c r="U331" s="17">
        <f t="array" aca="1" ref="U331" ca="1">IF(S331=1,SUM(IF(ISNUMBER(INDIRECT(N331)),IF(INDIRECT(N331)&lt;&gt;INT(INDIRECT(N331)),1,0),0)),"")</f>
        <v>0</v>
      </c>
      <c r="V331" s="17">
        <f t="shared" ca="1" si="82"/>
        <v>1</v>
      </c>
      <c r="W331" s="17">
        <f t="shared" ca="1" si="83"/>
        <v>0</v>
      </c>
      <c r="X331" s="24">
        <f t="array" aca="1" ref="X331" ca="1">IF(AD331,IF(AG331&lt;&gt;"",AG331,IF(J331,MIN(INDIRECT( K331)),"")),"")</f>
        <v>1</v>
      </c>
      <c r="Y331" s="17">
        <f t="array" aca="1" ref="Y331" ca="1">IF(AD331,IF(AH331&lt;&gt;"",AH331,IF(J331,MAX(INDIRECT( K331)),"")),"")</f>
        <v>2</v>
      </c>
      <c r="Z331" s="17" t="b">
        <f t="shared" ca="1" si="84"/>
        <v>1</v>
      </c>
      <c r="AC331" s="17" t="b">
        <f t="shared" ca="1" si="85"/>
        <v>0</v>
      </c>
      <c r="AD331" s="14" t="b">
        <f t="shared" ca="1" si="86"/>
        <v>1</v>
      </c>
      <c r="AE331" s="15" t="b">
        <f t="shared" ca="1" si="87"/>
        <v>1</v>
      </c>
      <c r="AF331" s="16"/>
      <c r="AG331" s="16"/>
      <c r="AH331" s="16"/>
      <c r="AI331" s="16"/>
      <c r="AJ331" s="16"/>
      <c r="AK331" s="16"/>
      <c r="AL331" s="16"/>
      <c r="AM331" s="16"/>
    </row>
    <row r="332" spans="2:39">
      <c r="B332" s="14">
        <f t="shared" si="76"/>
        <v>330</v>
      </c>
      <c r="C332" s="14" t="str">
        <f t="shared" ca="1" si="77"/>
        <v>D</v>
      </c>
      <c r="D332" s="14" t="str">
        <f t="shared" ca="1" si="78"/>
        <v>q_69</v>
      </c>
      <c r="E332" s="14" t="str">
        <f t="shared" ca="1" si="75"/>
        <v>Blood transfusion in the last 5 years</v>
      </c>
      <c r="F332" s="14">
        <f t="shared" ca="1" si="74"/>
        <v>2</v>
      </c>
      <c r="G332" s="14" t="str">
        <f t="shared" ca="1" si="79"/>
        <v>q_69</v>
      </c>
      <c r="H332" s="14">
        <f ca="1">IF(G332&lt;&gt;"",IFERROR( IsVariableNameLegal(G332),0),0)+IF(COUNTIF(INDIRECT(wew!$C$13),G332)&gt;1,10,0)</f>
        <v>0</v>
      </c>
      <c r="I332" s="14">
        <f ca="1">IF(E332&lt;&gt;"",IF(LEN(E332)&gt;150,1,0)+IF(COUNTIF(INDIRECT(wew!$C$15),E332)&gt;1,10,0),0)</f>
        <v>0</v>
      </c>
      <c r="J332" s="14" t="b">
        <f t="shared" ca="1" si="80"/>
        <v>1</v>
      </c>
      <c r="K332" s="14" t="str">
        <f ca="1">ADDRESS(3,(B332+1)*2-1,4,,"[" &amp; wew!$G$7 &amp; "]" &amp; _sheetname_labels) &amp; ":" &amp; ADDRESS(2+ster!$B$20,(B332+1)*2-1,4)</f>
        <v>'[dane surowe2c.xlsm]labels'!YK3:YK36</v>
      </c>
      <c r="L332" s="14" t="str">
        <f ca="1">IF(F332&gt;0,ADDRESS(3,(B332+1)*2-1,4,,"[" &amp; wew!$G$7 &amp; "]" &amp; _sheetname_labels) &amp; ":" &amp; ADDRESS(2+F332,(B332+1)*2-1,4),"")</f>
        <v>'[dane surowe2c.xlsm]labels'!YK3:YK4</v>
      </c>
      <c r="M332" s="14" t="str">
        <f ca="1">IF(F332&gt;0,ADDRESS(3,(B332+1)*2,4,,"["&amp;wew!$G$7&amp;"]"&amp;_sheetname_labels)&amp;":"&amp;ADDRESS(2+F332,(B332+1)*2,4),"")</f>
        <v>'[dane surowe2c.xlsm]labels'!YL3:YL4</v>
      </c>
      <c r="N332" s="14" t="str">
        <f ca="1">ADDRESS(3,B332+1,4,,"[" &amp; wew!$G$7 &amp; "]" &amp;_sheetname_dataframe) &amp; ":" &amp; ADDRESS(2+ster!$C$14,B332+1,4)</f>
        <v>'[dane surowe2c.xlsm]data_frame'!LS3:LS35</v>
      </c>
      <c r="O332" s="14">
        <f t="shared" ca="1" si="81"/>
        <v>32</v>
      </c>
      <c r="P332" s="14">
        <f ca="1">IF(AND($AD332,$S332=1),IF(wew!$B$3,MIN(INDIRECT($N332)),"&lt;włącz podświetlanie wartości&gt;"),"—")</f>
        <v>1</v>
      </c>
      <c r="Q332" s="14">
        <f ca="1">IF(AND($AD332,$S332=1),IF(wew!$B$3,MAX(INDIRECT($N332)),"&lt;włącz podświetlanie wartości&gt;"),"—")</f>
        <v>2</v>
      </c>
      <c r="R332" s="14">
        <f ca="1">IF(AD332,ster!$C$14- (COUNTIF( INDIRECT(N332),"" )+ COUNT(INDIRECT(N332)) +COUNTIF( INDIRECT(N332),"NA" )),"")</f>
        <v>0</v>
      </c>
      <c r="S332" s="12">
        <f ca="1">IF(AD332,IF(COUNTA(INDIRECT(N332))=0,0, 1-(ster!$C$14- COUNT(INDIRECT(N332)) -COUNTIF( INDIRECT(N332),"" )) /COUNTA(INDIRECT(N332))),"")</f>
        <v>1</v>
      </c>
      <c r="T332" s="17">
        <f t="array" aca="1" ref="T332" ca="1">IF(L332&lt;&gt;"",SUM(IF(INDIRECT(L332)&lt;&gt;INT(INDIRECT(L332)),1,0)),"")</f>
        <v>0</v>
      </c>
      <c r="U332" s="17">
        <f t="array" aca="1" ref="U332" ca="1">IF(S332=1,SUM(IF(ISNUMBER(INDIRECT(N332)),IF(INDIRECT(N332)&lt;&gt;INT(INDIRECT(N332)),1,0),0)),"")</f>
        <v>0</v>
      </c>
      <c r="V332" s="17">
        <f t="shared" ca="1" si="82"/>
        <v>1</v>
      </c>
      <c r="W332" s="17">
        <f t="shared" ca="1" si="83"/>
        <v>0</v>
      </c>
      <c r="X332" s="24">
        <f t="array" aca="1" ref="X332" ca="1">IF(AD332,IF(AG332&lt;&gt;"",AG332,IF(J332,MIN(INDIRECT( K332)),"")),"")</f>
        <v>1</v>
      </c>
      <c r="Y332" s="17">
        <f t="array" aca="1" ref="Y332" ca="1">IF(AD332,IF(AH332&lt;&gt;"",AH332,IF(J332,MAX(INDIRECT( K332)),"")),"")</f>
        <v>2</v>
      </c>
      <c r="Z332" s="17" t="b">
        <f t="shared" ca="1" si="84"/>
        <v>1</v>
      </c>
      <c r="AC332" s="17" t="b">
        <f t="shared" ca="1" si="85"/>
        <v>0</v>
      </c>
      <c r="AD332" s="14" t="b">
        <f t="shared" ca="1" si="86"/>
        <v>1</v>
      </c>
      <c r="AE332" s="15" t="b">
        <f t="shared" ca="1" si="87"/>
        <v>1</v>
      </c>
      <c r="AF332" s="16"/>
      <c r="AG332" s="16"/>
      <c r="AH332" s="16"/>
      <c r="AI332" s="16"/>
      <c r="AJ332" s="16"/>
      <c r="AK332" s="16"/>
      <c r="AL332" s="16"/>
      <c r="AM332" s="16"/>
    </row>
    <row r="333" spans="2:39">
      <c r="B333" s="14">
        <f t="shared" si="76"/>
        <v>331</v>
      </c>
      <c r="C333" s="14" t="str">
        <f t="shared" ca="1" si="77"/>
        <v>D</v>
      </c>
      <c r="D333" s="14" t="str">
        <f t="shared" ca="1" si="78"/>
        <v>q_70</v>
      </c>
      <c r="E333" s="14" t="str">
        <f t="shared" ca="1" si="75"/>
        <v>Blood transfusion &gt; 5 years</v>
      </c>
      <c r="F333" s="14">
        <f t="shared" ca="1" si="74"/>
        <v>2</v>
      </c>
      <c r="G333" s="14" t="str">
        <f t="shared" ca="1" si="79"/>
        <v>q_70</v>
      </c>
      <c r="H333" s="14">
        <f ca="1">IF(G333&lt;&gt;"",IFERROR( IsVariableNameLegal(G333),0),0)+IF(COUNTIF(INDIRECT(wew!$C$13),G333)&gt;1,10,0)</f>
        <v>0</v>
      </c>
      <c r="I333" s="14">
        <f ca="1">IF(E333&lt;&gt;"",IF(LEN(E333)&gt;150,1,0)+IF(COUNTIF(INDIRECT(wew!$C$15),E333)&gt;1,10,0),0)</f>
        <v>0</v>
      </c>
      <c r="J333" s="14" t="b">
        <f t="shared" ca="1" si="80"/>
        <v>1</v>
      </c>
      <c r="K333" s="14" t="str">
        <f ca="1">ADDRESS(3,(B333+1)*2-1,4,,"[" &amp; wew!$G$7 &amp; "]" &amp; _sheetname_labels) &amp; ":" &amp; ADDRESS(2+ster!$B$20,(B333+1)*2-1,4)</f>
        <v>'[dane surowe2c.xlsm]labels'!YM3:YM36</v>
      </c>
      <c r="L333" s="14" t="str">
        <f ca="1">IF(F333&gt;0,ADDRESS(3,(B333+1)*2-1,4,,"[" &amp; wew!$G$7 &amp; "]" &amp; _sheetname_labels) &amp; ":" &amp; ADDRESS(2+F333,(B333+1)*2-1,4),"")</f>
        <v>'[dane surowe2c.xlsm]labels'!YM3:YM4</v>
      </c>
      <c r="M333" s="14" t="str">
        <f ca="1">IF(F333&gt;0,ADDRESS(3,(B333+1)*2,4,,"["&amp;wew!$G$7&amp;"]"&amp;_sheetname_labels)&amp;":"&amp;ADDRESS(2+F333,(B333+1)*2,4),"")</f>
        <v>'[dane surowe2c.xlsm]labels'!YN3:YN4</v>
      </c>
      <c r="N333" s="14" t="str">
        <f ca="1">ADDRESS(3,B333+1,4,,"[" &amp; wew!$G$7 &amp; "]" &amp;_sheetname_dataframe) &amp; ":" &amp; ADDRESS(2+ster!$C$14,B333+1,4)</f>
        <v>'[dane surowe2c.xlsm]data_frame'!LT3:LT35</v>
      </c>
      <c r="O333" s="14">
        <f t="shared" ca="1" si="81"/>
        <v>32</v>
      </c>
      <c r="P333" s="14">
        <f ca="1">IF(AND($AD333,$S333=1),IF(wew!$B$3,MIN(INDIRECT($N333)),"&lt;włącz podświetlanie wartości&gt;"),"—")</f>
        <v>1</v>
      </c>
      <c r="Q333" s="14">
        <f ca="1">IF(AND($AD333,$S333=1),IF(wew!$B$3,MAX(INDIRECT($N333)),"&lt;włącz podświetlanie wartości&gt;"),"—")</f>
        <v>2</v>
      </c>
      <c r="R333" s="14">
        <f ca="1">IF(AD333,ster!$C$14- (COUNTIF( INDIRECT(N333),"" )+ COUNT(INDIRECT(N333)) +COUNTIF( INDIRECT(N333),"NA" )),"")</f>
        <v>0</v>
      </c>
      <c r="S333" s="12">
        <f ca="1">IF(AD333,IF(COUNTA(INDIRECT(N333))=0,0, 1-(ster!$C$14- COUNT(INDIRECT(N333)) -COUNTIF( INDIRECT(N333),"" )) /COUNTA(INDIRECT(N333))),"")</f>
        <v>1</v>
      </c>
      <c r="T333" s="17">
        <f t="array" aca="1" ref="T333" ca="1">IF(L333&lt;&gt;"",SUM(IF(INDIRECT(L333)&lt;&gt;INT(INDIRECT(L333)),1,0)),"")</f>
        <v>0</v>
      </c>
      <c r="U333" s="17">
        <f t="array" aca="1" ref="U333" ca="1">IF(S333=1,SUM(IF(ISNUMBER(INDIRECT(N333)),IF(INDIRECT(N333)&lt;&gt;INT(INDIRECT(N333)),1,0),0)),"")</f>
        <v>0</v>
      </c>
      <c r="V333" s="17">
        <f t="shared" ca="1" si="82"/>
        <v>1</v>
      </c>
      <c r="W333" s="17">
        <f t="shared" ca="1" si="83"/>
        <v>0</v>
      </c>
      <c r="X333" s="24">
        <f t="array" aca="1" ref="X333" ca="1">IF(AD333,IF(AG333&lt;&gt;"",AG333,IF(J333,MIN(INDIRECT( K333)),"")),"")</f>
        <v>1</v>
      </c>
      <c r="Y333" s="17">
        <f t="array" aca="1" ref="Y333" ca="1">IF(AD333,IF(AH333&lt;&gt;"",AH333,IF(J333,MAX(INDIRECT( K333)),"")),"")</f>
        <v>2</v>
      </c>
      <c r="Z333" s="17" t="b">
        <f t="shared" ca="1" si="84"/>
        <v>1</v>
      </c>
      <c r="AC333" s="17" t="b">
        <f t="shared" ca="1" si="85"/>
        <v>0</v>
      </c>
      <c r="AD333" s="14" t="b">
        <f t="shared" ca="1" si="86"/>
        <v>1</v>
      </c>
      <c r="AE333" s="15" t="b">
        <f t="shared" ca="1" si="87"/>
        <v>1</v>
      </c>
      <c r="AF333" s="16"/>
      <c r="AG333" s="16"/>
      <c r="AH333" s="16"/>
      <c r="AI333" s="16"/>
      <c r="AJ333" s="16"/>
      <c r="AK333" s="16"/>
      <c r="AL333" s="16"/>
      <c r="AM333" s="16"/>
    </row>
    <row r="334" spans="2:39">
      <c r="B334" s="14">
        <f t="shared" si="76"/>
        <v>332</v>
      </c>
      <c r="C334" s="14" t="str">
        <f t="shared" ca="1" si="77"/>
        <v>D</v>
      </c>
      <c r="D334" s="14" t="str">
        <f t="shared" ca="1" si="78"/>
        <v>q_71</v>
      </c>
      <c r="E334" s="14" t="str">
        <f t="shared" ca="1" si="75"/>
        <v>Blood donor in the last 5 years</v>
      </c>
      <c r="F334" s="14">
        <f t="shared" ca="1" si="74"/>
        <v>2</v>
      </c>
      <c r="G334" s="14" t="str">
        <f t="shared" ca="1" si="79"/>
        <v>q_71</v>
      </c>
      <c r="H334" s="14">
        <f ca="1">IF(G334&lt;&gt;"",IFERROR( IsVariableNameLegal(G334),0),0)+IF(COUNTIF(INDIRECT(wew!$C$13),G334)&gt;1,10,0)</f>
        <v>0</v>
      </c>
      <c r="I334" s="14">
        <f ca="1">IF(E334&lt;&gt;"",IF(LEN(E334)&gt;150,1,0)+IF(COUNTIF(INDIRECT(wew!$C$15),E334)&gt;1,10,0),0)</f>
        <v>0</v>
      </c>
      <c r="J334" s="14" t="b">
        <f t="shared" ca="1" si="80"/>
        <v>1</v>
      </c>
      <c r="K334" s="14" t="str">
        <f ca="1">ADDRESS(3,(B334+1)*2-1,4,,"[" &amp; wew!$G$7 &amp; "]" &amp; _sheetname_labels) &amp; ":" &amp; ADDRESS(2+ster!$B$20,(B334+1)*2-1,4)</f>
        <v>'[dane surowe2c.xlsm]labels'!YO3:YO36</v>
      </c>
      <c r="L334" s="14" t="str">
        <f ca="1">IF(F334&gt;0,ADDRESS(3,(B334+1)*2-1,4,,"[" &amp; wew!$G$7 &amp; "]" &amp; _sheetname_labels) &amp; ":" &amp; ADDRESS(2+F334,(B334+1)*2-1,4),"")</f>
        <v>'[dane surowe2c.xlsm]labels'!YO3:YO4</v>
      </c>
      <c r="M334" s="14" t="str">
        <f ca="1">IF(F334&gt;0,ADDRESS(3,(B334+1)*2,4,,"["&amp;wew!$G$7&amp;"]"&amp;_sheetname_labels)&amp;":"&amp;ADDRESS(2+F334,(B334+1)*2,4),"")</f>
        <v>'[dane surowe2c.xlsm]labels'!YP3:YP4</v>
      </c>
      <c r="N334" s="14" t="str">
        <f ca="1">ADDRESS(3,B334+1,4,,"[" &amp; wew!$G$7 &amp; "]" &amp;_sheetname_dataframe) &amp; ":" &amp; ADDRESS(2+ster!$C$14,B334+1,4)</f>
        <v>'[dane surowe2c.xlsm]data_frame'!LU3:LU35</v>
      </c>
      <c r="O334" s="14">
        <f t="shared" ca="1" si="81"/>
        <v>32</v>
      </c>
      <c r="P334" s="14">
        <f ca="1">IF(AND($AD334,$S334=1),IF(wew!$B$3,MIN(INDIRECT($N334)),"&lt;włącz podświetlanie wartości&gt;"),"—")</f>
        <v>2</v>
      </c>
      <c r="Q334" s="14">
        <f ca="1">IF(AND($AD334,$S334=1),IF(wew!$B$3,MAX(INDIRECT($N334)),"&lt;włącz podświetlanie wartości&gt;"),"—")</f>
        <v>2</v>
      </c>
      <c r="R334" s="14">
        <f ca="1">IF(AD334,ster!$C$14- (COUNTIF( INDIRECT(N334),"" )+ COUNT(INDIRECT(N334)) +COUNTIF( INDIRECT(N334),"NA" )),"")</f>
        <v>0</v>
      </c>
      <c r="S334" s="12">
        <f ca="1">IF(AD334,IF(COUNTA(INDIRECT(N334))=0,0, 1-(ster!$C$14- COUNT(INDIRECT(N334)) -COUNTIF( INDIRECT(N334),"" )) /COUNTA(INDIRECT(N334))),"")</f>
        <v>1</v>
      </c>
      <c r="T334" s="17">
        <f t="array" aca="1" ref="T334" ca="1">IF(L334&lt;&gt;"",SUM(IF(INDIRECT(L334)&lt;&gt;INT(INDIRECT(L334)),1,0)),"")</f>
        <v>0</v>
      </c>
      <c r="U334" s="17">
        <f t="array" aca="1" ref="U334" ca="1">IF(S334=1,SUM(IF(ISNUMBER(INDIRECT(N334)),IF(INDIRECT(N334)&lt;&gt;INT(INDIRECT(N334)),1,0),0)),"")</f>
        <v>0</v>
      </c>
      <c r="V334" s="17">
        <f t="shared" ca="1" si="82"/>
        <v>1</v>
      </c>
      <c r="W334" s="17">
        <f t="shared" ca="1" si="83"/>
        <v>0</v>
      </c>
      <c r="X334" s="24">
        <f t="array" aca="1" ref="X334" ca="1">IF(AD334,IF(AG334&lt;&gt;"",AG334,IF(J334,MIN(INDIRECT( K334)),"")),"")</f>
        <v>1</v>
      </c>
      <c r="Y334" s="17">
        <f t="array" aca="1" ref="Y334" ca="1">IF(AD334,IF(AH334&lt;&gt;"",AH334,IF(J334,MAX(INDIRECT( K334)),"")),"")</f>
        <v>2</v>
      </c>
      <c r="Z334" s="17" t="b">
        <f t="shared" ca="1" si="84"/>
        <v>1</v>
      </c>
      <c r="AC334" s="17" t="b">
        <f t="shared" ca="1" si="85"/>
        <v>0</v>
      </c>
      <c r="AD334" s="14" t="b">
        <f t="shared" ca="1" si="86"/>
        <v>1</v>
      </c>
      <c r="AE334" s="15" t="b">
        <f t="shared" ca="1" si="87"/>
        <v>1</v>
      </c>
      <c r="AF334" s="16"/>
      <c r="AG334" s="16"/>
      <c r="AH334" s="16"/>
      <c r="AI334" s="16"/>
      <c r="AJ334" s="16"/>
      <c r="AK334" s="16"/>
      <c r="AL334" s="16"/>
      <c r="AM334" s="16"/>
    </row>
    <row r="335" spans="2:39">
      <c r="B335" s="14">
        <f t="shared" si="76"/>
        <v>333</v>
      </c>
      <c r="C335" s="14" t="str">
        <f t="shared" ca="1" si="77"/>
        <v>D</v>
      </c>
      <c r="D335" s="14" t="str">
        <f t="shared" ca="1" si="78"/>
        <v>q_72</v>
      </c>
      <c r="E335" s="14" t="str">
        <f t="shared" ca="1" si="75"/>
        <v>Blood donor &gt; 5 years</v>
      </c>
      <c r="F335" s="14">
        <f t="shared" ca="1" si="74"/>
        <v>2</v>
      </c>
      <c r="G335" s="14" t="str">
        <f t="shared" ca="1" si="79"/>
        <v>q_72</v>
      </c>
      <c r="H335" s="14">
        <f ca="1">IF(G335&lt;&gt;"",IFERROR( IsVariableNameLegal(G335),0),0)+IF(COUNTIF(INDIRECT(wew!$C$13),G335)&gt;1,10,0)</f>
        <v>0</v>
      </c>
      <c r="I335" s="14">
        <f ca="1">IF(E335&lt;&gt;"",IF(LEN(E335)&gt;150,1,0)+IF(COUNTIF(INDIRECT(wew!$C$15),E335)&gt;1,10,0),0)</f>
        <v>0</v>
      </c>
      <c r="J335" s="14" t="b">
        <f t="shared" ca="1" si="80"/>
        <v>1</v>
      </c>
      <c r="K335" s="14" t="str">
        <f ca="1">ADDRESS(3,(B335+1)*2-1,4,,"[" &amp; wew!$G$7 &amp; "]" &amp; _sheetname_labels) &amp; ":" &amp; ADDRESS(2+ster!$B$20,(B335+1)*2-1,4)</f>
        <v>'[dane surowe2c.xlsm]labels'!YQ3:YQ36</v>
      </c>
      <c r="L335" s="14" t="str">
        <f ca="1">IF(F335&gt;0,ADDRESS(3,(B335+1)*2-1,4,,"[" &amp; wew!$G$7 &amp; "]" &amp; _sheetname_labels) &amp; ":" &amp; ADDRESS(2+F335,(B335+1)*2-1,4),"")</f>
        <v>'[dane surowe2c.xlsm]labels'!YQ3:YQ4</v>
      </c>
      <c r="M335" s="14" t="str">
        <f ca="1">IF(F335&gt;0,ADDRESS(3,(B335+1)*2,4,,"["&amp;wew!$G$7&amp;"]"&amp;_sheetname_labels)&amp;":"&amp;ADDRESS(2+F335,(B335+1)*2,4),"")</f>
        <v>'[dane surowe2c.xlsm]labels'!YR3:YR4</v>
      </c>
      <c r="N335" s="14" t="str">
        <f ca="1">ADDRESS(3,B335+1,4,,"[" &amp; wew!$G$7 &amp; "]" &amp;_sheetname_dataframe) &amp; ":" &amp; ADDRESS(2+ster!$C$14,B335+1,4)</f>
        <v>'[dane surowe2c.xlsm]data_frame'!LV3:LV35</v>
      </c>
      <c r="O335" s="14">
        <f t="shared" ca="1" si="81"/>
        <v>32</v>
      </c>
      <c r="P335" s="14">
        <f ca="1">IF(AND($AD335,$S335=1),IF(wew!$B$3,MIN(INDIRECT($N335)),"&lt;włącz podświetlanie wartości&gt;"),"—")</f>
        <v>1</v>
      </c>
      <c r="Q335" s="14">
        <f ca="1">IF(AND($AD335,$S335=1),IF(wew!$B$3,MAX(INDIRECT($N335)),"&lt;włącz podświetlanie wartości&gt;"),"—")</f>
        <v>2</v>
      </c>
      <c r="R335" s="14">
        <f ca="1">IF(AD335,ster!$C$14- (COUNTIF( INDIRECT(N335),"" )+ COUNT(INDIRECT(N335)) +COUNTIF( INDIRECT(N335),"NA" )),"")</f>
        <v>0</v>
      </c>
      <c r="S335" s="12">
        <f ca="1">IF(AD335,IF(COUNTA(INDIRECT(N335))=0,0, 1-(ster!$C$14- COUNT(INDIRECT(N335)) -COUNTIF( INDIRECT(N335),"" )) /COUNTA(INDIRECT(N335))),"")</f>
        <v>1</v>
      </c>
      <c r="T335" s="17">
        <f t="array" aca="1" ref="T335" ca="1">IF(L335&lt;&gt;"",SUM(IF(INDIRECT(L335)&lt;&gt;INT(INDIRECT(L335)),1,0)),"")</f>
        <v>0</v>
      </c>
      <c r="U335" s="17">
        <f t="array" aca="1" ref="U335" ca="1">IF(S335=1,SUM(IF(ISNUMBER(INDIRECT(N335)),IF(INDIRECT(N335)&lt;&gt;INT(INDIRECT(N335)),1,0),0)),"")</f>
        <v>0</v>
      </c>
      <c r="V335" s="17">
        <f t="shared" ca="1" si="82"/>
        <v>1</v>
      </c>
      <c r="W335" s="17">
        <f t="shared" ca="1" si="83"/>
        <v>0</v>
      </c>
      <c r="X335" s="24">
        <f t="array" aca="1" ref="X335" ca="1">IF(AD335,IF(AG335&lt;&gt;"",AG335,IF(J335,MIN(INDIRECT( K335)),"")),"")</f>
        <v>1</v>
      </c>
      <c r="Y335" s="17">
        <f t="array" aca="1" ref="Y335" ca="1">IF(AD335,IF(AH335&lt;&gt;"",AH335,IF(J335,MAX(INDIRECT( K335)),"")),"")</f>
        <v>2</v>
      </c>
      <c r="Z335" s="17" t="b">
        <f t="shared" ca="1" si="84"/>
        <v>1</v>
      </c>
      <c r="AC335" s="17" t="b">
        <f t="shared" ca="1" si="85"/>
        <v>0</v>
      </c>
      <c r="AD335" s="14" t="b">
        <f t="shared" ca="1" si="86"/>
        <v>1</v>
      </c>
      <c r="AE335" s="15" t="b">
        <f t="shared" ca="1" si="87"/>
        <v>1</v>
      </c>
      <c r="AF335" s="16"/>
      <c r="AG335" s="16"/>
      <c r="AH335" s="16"/>
      <c r="AI335" s="16"/>
      <c r="AJ335" s="16"/>
      <c r="AK335" s="16"/>
      <c r="AL335" s="16"/>
      <c r="AM335" s="16"/>
    </row>
    <row r="336" spans="2:39">
      <c r="B336" s="14">
        <f t="shared" si="76"/>
        <v>334</v>
      </c>
      <c r="C336" s="14" t="str">
        <f t="shared" ca="1" si="77"/>
        <v>D</v>
      </c>
      <c r="D336" s="14" t="str">
        <f t="shared" ca="1" si="78"/>
        <v>q_73</v>
      </c>
      <c r="E336" s="14" t="str">
        <f t="shared" ca="1" si="75"/>
        <v>Electric shock in the last 5 years</v>
      </c>
      <c r="F336" s="14">
        <f t="shared" ca="1" si="74"/>
        <v>2</v>
      </c>
      <c r="G336" s="14" t="str">
        <f t="shared" ca="1" si="79"/>
        <v>q_73</v>
      </c>
      <c r="H336" s="14">
        <f ca="1">IF(G336&lt;&gt;"",IFERROR( IsVariableNameLegal(G336),0),0)+IF(COUNTIF(INDIRECT(wew!$C$13),G336)&gt;1,10,0)</f>
        <v>0</v>
      </c>
      <c r="I336" s="14">
        <f ca="1">IF(E336&lt;&gt;"",IF(LEN(E336)&gt;150,1,0)+IF(COUNTIF(INDIRECT(wew!$C$15),E336)&gt;1,10,0),0)</f>
        <v>0</v>
      </c>
      <c r="J336" s="14" t="b">
        <f t="shared" ca="1" si="80"/>
        <v>1</v>
      </c>
      <c r="K336" s="14" t="str">
        <f ca="1">ADDRESS(3,(B336+1)*2-1,4,,"[" &amp; wew!$G$7 &amp; "]" &amp; _sheetname_labels) &amp; ":" &amp; ADDRESS(2+ster!$B$20,(B336+1)*2-1,4)</f>
        <v>'[dane surowe2c.xlsm]labels'!YS3:YS36</v>
      </c>
      <c r="L336" s="14" t="str">
        <f ca="1">IF(F336&gt;0,ADDRESS(3,(B336+1)*2-1,4,,"[" &amp; wew!$G$7 &amp; "]" &amp; _sheetname_labels) &amp; ":" &amp; ADDRESS(2+F336,(B336+1)*2-1,4),"")</f>
        <v>'[dane surowe2c.xlsm]labels'!YS3:YS4</v>
      </c>
      <c r="M336" s="14" t="str">
        <f ca="1">IF(F336&gt;0,ADDRESS(3,(B336+1)*2,4,,"["&amp;wew!$G$7&amp;"]"&amp;_sheetname_labels)&amp;":"&amp;ADDRESS(2+F336,(B336+1)*2,4),"")</f>
        <v>'[dane surowe2c.xlsm]labels'!YT3:YT4</v>
      </c>
      <c r="N336" s="14" t="str">
        <f ca="1">ADDRESS(3,B336+1,4,,"[" &amp; wew!$G$7 &amp; "]" &amp;_sheetname_dataframe) &amp; ":" &amp; ADDRESS(2+ster!$C$14,B336+1,4)</f>
        <v>'[dane surowe2c.xlsm]data_frame'!LW3:LW35</v>
      </c>
      <c r="O336" s="14">
        <f t="shared" ca="1" si="81"/>
        <v>32</v>
      </c>
      <c r="P336" s="14">
        <f ca="1">IF(AND($AD336,$S336=1),IF(wew!$B$3,MIN(INDIRECT($N336)),"&lt;włącz podświetlanie wartości&gt;"),"—")</f>
        <v>2</v>
      </c>
      <c r="Q336" s="14">
        <f ca="1">IF(AND($AD336,$S336=1),IF(wew!$B$3,MAX(INDIRECT($N336)),"&lt;włącz podświetlanie wartości&gt;"),"—")</f>
        <v>2</v>
      </c>
      <c r="R336" s="14">
        <f ca="1">IF(AD336,ster!$C$14- (COUNTIF( INDIRECT(N336),"" )+ COUNT(INDIRECT(N336)) +COUNTIF( INDIRECT(N336),"NA" )),"")</f>
        <v>0</v>
      </c>
      <c r="S336" s="12">
        <f ca="1">IF(AD336,IF(COUNTA(INDIRECT(N336))=0,0, 1-(ster!$C$14- COUNT(INDIRECT(N336)) -COUNTIF( INDIRECT(N336),"" )) /COUNTA(INDIRECT(N336))),"")</f>
        <v>1</v>
      </c>
      <c r="T336" s="17">
        <f t="array" aca="1" ref="T336" ca="1">IF(L336&lt;&gt;"",SUM(IF(INDIRECT(L336)&lt;&gt;INT(INDIRECT(L336)),1,0)),"")</f>
        <v>0</v>
      </c>
      <c r="U336" s="17">
        <f t="array" aca="1" ref="U336" ca="1">IF(S336=1,SUM(IF(ISNUMBER(INDIRECT(N336)),IF(INDIRECT(N336)&lt;&gt;INT(INDIRECT(N336)),1,0),0)),"")</f>
        <v>0</v>
      </c>
      <c r="V336" s="17">
        <f t="shared" ca="1" si="82"/>
        <v>1</v>
      </c>
      <c r="W336" s="17">
        <f t="shared" ca="1" si="83"/>
        <v>0</v>
      </c>
      <c r="X336" s="24">
        <f t="array" aca="1" ref="X336" ca="1">IF(AD336,IF(AG336&lt;&gt;"",AG336,IF(J336,MIN(INDIRECT( K336)),"")),"")</f>
        <v>1</v>
      </c>
      <c r="Y336" s="17">
        <f t="array" aca="1" ref="Y336" ca="1">IF(AD336,IF(AH336&lt;&gt;"",AH336,IF(J336,MAX(INDIRECT( K336)),"")),"")</f>
        <v>2</v>
      </c>
      <c r="Z336" s="17" t="b">
        <f t="shared" ca="1" si="84"/>
        <v>1</v>
      </c>
      <c r="AC336" s="17" t="b">
        <f t="shared" ca="1" si="85"/>
        <v>0</v>
      </c>
      <c r="AD336" s="14" t="b">
        <f t="shared" ca="1" si="86"/>
        <v>1</v>
      </c>
      <c r="AE336" s="15" t="b">
        <f t="shared" ca="1" si="87"/>
        <v>1</v>
      </c>
      <c r="AF336" s="16"/>
      <c r="AG336" s="16"/>
      <c r="AH336" s="16"/>
      <c r="AI336" s="16"/>
      <c r="AJ336" s="16"/>
      <c r="AK336" s="16"/>
      <c r="AL336" s="16"/>
      <c r="AM336" s="16"/>
    </row>
    <row r="337" spans="2:39">
      <c r="B337" s="14">
        <f t="shared" si="76"/>
        <v>335</v>
      </c>
      <c r="C337" s="14" t="str">
        <f t="shared" ca="1" si="77"/>
        <v>D</v>
      </c>
      <c r="D337" s="14" t="str">
        <f t="shared" ca="1" si="78"/>
        <v>q_74</v>
      </c>
      <c r="E337" s="14" t="str">
        <f t="shared" ca="1" si="75"/>
        <v>Electric shock &gt; 5 years</v>
      </c>
      <c r="F337" s="14">
        <f t="shared" ca="1" si="74"/>
        <v>2</v>
      </c>
      <c r="G337" s="14" t="str">
        <f t="shared" ca="1" si="79"/>
        <v>q_74</v>
      </c>
      <c r="H337" s="14">
        <f ca="1">IF(G337&lt;&gt;"",IFERROR( IsVariableNameLegal(G337),0),0)+IF(COUNTIF(INDIRECT(wew!$C$13),G337)&gt;1,10,0)</f>
        <v>0</v>
      </c>
      <c r="I337" s="14">
        <f ca="1">IF(E337&lt;&gt;"",IF(LEN(E337)&gt;150,1,0)+IF(COUNTIF(INDIRECT(wew!$C$15),E337)&gt;1,10,0),0)</f>
        <v>0</v>
      </c>
      <c r="J337" s="14" t="b">
        <f t="shared" ca="1" si="80"/>
        <v>1</v>
      </c>
      <c r="K337" s="14" t="str">
        <f ca="1">ADDRESS(3,(B337+1)*2-1,4,,"[" &amp; wew!$G$7 &amp; "]" &amp; _sheetname_labels) &amp; ":" &amp; ADDRESS(2+ster!$B$20,(B337+1)*2-1,4)</f>
        <v>'[dane surowe2c.xlsm]labels'!YU3:YU36</v>
      </c>
      <c r="L337" s="14" t="str">
        <f ca="1">IF(F337&gt;0,ADDRESS(3,(B337+1)*2-1,4,,"[" &amp; wew!$G$7 &amp; "]" &amp; _sheetname_labels) &amp; ":" &amp; ADDRESS(2+F337,(B337+1)*2-1,4),"")</f>
        <v>'[dane surowe2c.xlsm]labels'!YU3:YU4</v>
      </c>
      <c r="M337" s="14" t="str">
        <f ca="1">IF(F337&gt;0,ADDRESS(3,(B337+1)*2,4,,"["&amp;wew!$G$7&amp;"]"&amp;_sheetname_labels)&amp;":"&amp;ADDRESS(2+F337,(B337+1)*2,4),"")</f>
        <v>'[dane surowe2c.xlsm]labels'!YV3:YV4</v>
      </c>
      <c r="N337" s="14" t="str">
        <f ca="1">ADDRESS(3,B337+1,4,,"[" &amp; wew!$G$7 &amp; "]" &amp;_sheetname_dataframe) &amp; ":" &amp; ADDRESS(2+ster!$C$14,B337+1,4)</f>
        <v>'[dane surowe2c.xlsm]data_frame'!LX3:LX35</v>
      </c>
      <c r="O337" s="14">
        <f t="shared" ca="1" si="81"/>
        <v>32</v>
      </c>
      <c r="P337" s="14">
        <f ca="1">IF(AND($AD337,$S337=1),IF(wew!$B$3,MIN(INDIRECT($N337)),"&lt;włącz podświetlanie wartości&gt;"),"—")</f>
        <v>2</v>
      </c>
      <c r="Q337" s="14">
        <f ca="1">IF(AND($AD337,$S337=1),IF(wew!$B$3,MAX(INDIRECT($N337)),"&lt;włącz podświetlanie wartości&gt;"),"—")</f>
        <v>2</v>
      </c>
      <c r="R337" s="14">
        <f ca="1">IF(AD337,ster!$C$14- (COUNTIF( INDIRECT(N337),"" )+ COUNT(INDIRECT(N337)) +COUNTIF( INDIRECT(N337),"NA" )),"")</f>
        <v>0</v>
      </c>
      <c r="S337" s="12">
        <f ca="1">IF(AD337,IF(COUNTA(INDIRECT(N337))=0,0, 1-(ster!$C$14- COUNT(INDIRECT(N337)) -COUNTIF( INDIRECT(N337),"" )) /COUNTA(INDIRECT(N337))),"")</f>
        <v>1</v>
      </c>
      <c r="T337" s="17">
        <f t="array" aca="1" ref="T337" ca="1">IF(L337&lt;&gt;"",SUM(IF(INDIRECT(L337)&lt;&gt;INT(INDIRECT(L337)),1,0)),"")</f>
        <v>0</v>
      </c>
      <c r="U337" s="17">
        <f t="array" aca="1" ref="U337" ca="1">IF(S337=1,SUM(IF(ISNUMBER(INDIRECT(N337)),IF(INDIRECT(N337)&lt;&gt;INT(INDIRECT(N337)),1,0),0)),"")</f>
        <v>0</v>
      </c>
      <c r="V337" s="17">
        <f t="shared" ca="1" si="82"/>
        <v>1</v>
      </c>
      <c r="W337" s="17">
        <f t="shared" ca="1" si="83"/>
        <v>0</v>
      </c>
      <c r="X337" s="24">
        <f t="array" aca="1" ref="X337" ca="1">IF(AD337,IF(AG337&lt;&gt;"",AG337,IF(J337,MIN(INDIRECT( K337)),"")),"")</f>
        <v>1</v>
      </c>
      <c r="Y337" s="17">
        <f t="array" aca="1" ref="Y337" ca="1">IF(AD337,IF(AH337&lt;&gt;"",AH337,IF(J337,MAX(INDIRECT( K337)),"")),"")</f>
        <v>2</v>
      </c>
      <c r="Z337" s="17" t="b">
        <f t="shared" ca="1" si="84"/>
        <v>1</v>
      </c>
      <c r="AC337" s="17" t="b">
        <f t="shared" ca="1" si="85"/>
        <v>0</v>
      </c>
      <c r="AD337" s="14" t="b">
        <f t="shared" ca="1" si="86"/>
        <v>1</v>
      </c>
      <c r="AE337" s="15" t="b">
        <f t="shared" ca="1" si="87"/>
        <v>1</v>
      </c>
      <c r="AF337" s="16"/>
      <c r="AG337" s="16"/>
      <c r="AH337" s="16"/>
      <c r="AI337" s="16"/>
      <c r="AJ337" s="16"/>
      <c r="AK337" s="16"/>
      <c r="AL337" s="16"/>
      <c r="AM337" s="16"/>
    </row>
    <row r="338" spans="2:39">
      <c r="B338" s="14">
        <f t="shared" si="76"/>
        <v>336</v>
      </c>
      <c r="C338" s="14" t="str">
        <f t="shared" ca="1" si="77"/>
        <v>D</v>
      </c>
      <c r="D338" s="14" t="str">
        <f t="shared" ca="1" si="78"/>
        <v>q_75</v>
      </c>
      <c r="E338" s="14" t="str">
        <f t="shared" ca="1" si="75"/>
        <v>Emotional stress in the last 5 years</v>
      </c>
      <c r="F338" s="14">
        <f t="shared" ca="1" si="74"/>
        <v>2</v>
      </c>
      <c r="G338" s="14" t="str">
        <f t="shared" ca="1" si="79"/>
        <v>q_75</v>
      </c>
      <c r="H338" s="14">
        <f ca="1">IF(G338&lt;&gt;"",IFERROR( IsVariableNameLegal(G338),0),0)+IF(COUNTIF(INDIRECT(wew!$C$13),G338)&gt;1,10,0)</f>
        <v>0</v>
      </c>
      <c r="I338" s="14">
        <f ca="1">IF(E338&lt;&gt;"",IF(LEN(E338)&gt;150,1,0)+IF(COUNTIF(INDIRECT(wew!$C$15),E338)&gt;1,10,0),0)</f>
        <v>0</v>
      </c>
      <c r="J338" s="14" t="b">
        <f t="shared" ca="1" si="80"/>
        <v>1</v>
      </c>
      <c r="K338" s="14" t="str">
        <f ca="1">ADDRESS(3,(B338+1)*2-1,4,,"[" &amp; wew!$G$7 &amp; "]" &amp; _sheetname_labels) &amp; ":" &amp; ADDRESS(2+ster!$B$20,(B338+1)*2-1,4)</f>
        <v>'[dane surowe2c.xlsm]labels'!YW3:YW36</v>
      </c>
      <c r="L338" s="14" t="str">
        <f ca="1">IF(F338&gt;0,ADDRESS(3,(B338+1)*2-1,4,,"[" &amp; wew!$G$7 &amp; "]" &amp; _sheetname_labels) &amp; ":" &amp; ADDRESS(2+F338,(B338+1)*2-1,4),"")</f>
        <v>'[dane surowe2c.xlsm]labels'!YW3:YW4</v>
      </c>
      <c r="M338" s="14" t="str">
        <f ca="1">IF(F338&gt;0,ADDRESS(3,(B338+1)*2,4,,"["&amp;wew!$G$7&amp;"]"&amp;_sheetname_labels)&amp;":"&amp;ADDRESS(2+F338,(B338+1)*2,4),"")</f>
        <v>'[dane surowe2c.xlsm]labels'!YX3:YX4</v>
      </c>
      <c r="N338" s="14" t="str">
        <f ca="1">ADDRESS(3,B338+1,4,,"[" &amp; wew!$G$7 &amp; "]" &amp;_sheetname_dataframe) &amp; ":" &amp; ADDRESS(2+ster!$C$14,B338+1,4)</f>
        <v>'[dane surowe2c.xlsm]data_frame'!LY3:LY35</v>
      </c>
      <c r="O338" s="14">
        <f t="shared" ca="1" si="81"/>
        <v>32</v>
      </c>
      <c r="P338" s="14">
        <f ca="1">IF(AND($AD338,$S338=1),IF(wew!$B$3,MIN(INDIRECT($N338)),"&lt;włącz podświetlanie wartości&gt;"),"—")</f>
        <v>1</v>
      </c>
      <c r="Q338" s="14">
        <f ca="1">IF(AND($AD338,$S338=1),IF(wew!$B$3,MAX(INDIRECT($N338)),"&lt;włącz podświetlanie wartości&gt;"),"—")</f>
        <v>2</v>
      </c>
      <c r="R338" s="14">
        <f ca="1">IF(AD338,ster!$C$14- (COUNTIF( INDIRECT(N338),"" )+ COUNT(INDIRECT(N338)) +COUNTIF( INDIRECT(N338),"NA" )),"")</f>
        <v>0</v>
      </c>
      <c r="S338" s="12">
        <f ca="1">IF(AD338,IF(COUNTA(INDIRECT(N338))=0,0, 1-(ster!$C$14- COUNT(INDIRECT(N338)) -COUNTIF( INDIRECT(N338),"" )) /COUNTA(INDIRECT(N338))),"")</f>
        <v>1</v>
      </c>
      <c r="T338" s="17">
        <f t="array" aca="1" ref="T338" ca="1">IF(L338&lt;&gt;"",SUM(IF(INDIRECT(L338)&lt;&gt;INT(INDIRECT(L338)),1,0)),"")</f>
        <v>0</v>
      </c>
      <c r="U338" s="17">
        <f t="array" aca="1" ref="U338" ca="1">IF(S338=1,SUM(IF(ISNUMBER(INDIRECT(N338)),IF(INDIRECT(N338)&lt;&gt;INT(INDIRECT(N338)),1,0),0)),"")</f>
        <v>0</v>
      </c>
      <c r="V338" s="17">
        <f t="shared" ca="1" si="82"/>
        <v>1</v>
      </c>
      <c r="W338" s="17">
        <f t="shared" ca="1" si="83"/>
        <v>0</v>
      </c>
      <c r="X338" s="24">
        <f t="array" aca="1" ref="X338" ca="1">IF(AD338,IF(AG338&lt;&gt;"",AG338,IF(J338,MIN(INDIRECT( K338)),"")),"")</f>
        <v>1</v>
      </c>
      <c r="Y338" s="17">
        <f t="array" aca="1" ref="Y338" ca="1">IF(AD338,IF(AH338&lt;&gt;"",AH338,IF(J338,MAX(INDIRECT( K338)),"")),"")</f>
        <v>2</v>
      </c>
      <c r="Z338" s="17" t="b">
        <f t="shared" ca="1" si="84"/>
        <v>1</v>
      </c>
      <c r="AC338" s="17" t="b">
        <f t="shared" ca="1" si="85"/>
        <v>0</v>
      </c>
      <c r="AD338" s="14" t="b">
        <f t="shared" ca="1" si="86"/>
        <v>1</v>
      </c>
      <c r="AE338" s="15" t="b">
        <f t="shared" ca="1" si="87"/>
        <v>1</v>
      </c>
      <c r="AF338" s="16"/>
      <c r="AG338" s="16"/>
      <c r="AH338" s="16"/>
      <c r="AI338" s="16"/>
      <c r="AJ338" s="16"/>
      <c r="AK338" s="16"/>
      <c r="AL338" s="16"/>
      <c r="AM338" s="16"/>
    </row>
    <row r="339" spans="2:39">
      <c r="B339" s="14">
        <f t="shared" si="76"/>
        <v>337</v>
      </c>
      <c r="C339" s="14" t="str">
        <f t="shared" ca="1" si="77"/>
        <v>D</v>
      </c>
      <c r="D339" s="14" t="str">
        <f t="shared" ca="1" si="78"/>
        <v>q_76</v>
      </c>
      <c r="E339" s="14" t="str">
        <f t="shared" ca="1" si="75"/>
        <v xml:space="preserve">Emotional stress &gt;5 years </v>
      </c>
      <c r="F339" s="14">
        <f t="shared" ca="1" si="74"/>
        <v>2</v>
      </c>
      <c r="G339" s="14" t="str">
        <f t="shared" ca="1" si="79"/>
        <v>q_76</v>
      </c>
      <c r="H339" s="14">
        <f ca="1">IF(G339&lt;&gt;"",IFERROR( IsVariableNameLegal(G339),0),0)+IF(COUNTIF(INDIRECT(wew!$C$13),G339)&gt;1,10,0)</f>
        <v>0</v>
      </c>
      <c r="I339" s="14">
        <f ca="1">IF(E339&lt;&gt;"",IF(LEN(E339)&gt;150,1,0)+IF(COUNTIF(INDIRECT(wew!$C$15),E339)&gt;1,10,0),0)</f>
        <v>0</v>
      </c>
      <c r="J339" s="14" t="b">
        <f t="shared" ca="1" si="80"/>
        <v>1</v>
      </c>
      <c r="K339" s="14" t="str">
        <f ca="1">ADDRESS(3,(B339+1)*2-1,4,,"[" &amp; wew!$G$7 &amp; "]" &amp; _sheetname_labels) &amp; ":" &amp; ADDRESS(2+ster!$B$20,(B339+1)*2-1,4)</f>
        <v>'[dane surowe2c.xlsm]labels'!YY3:YY36</v>
      </c>
      <c r="L339" s="14" t="str">
        <f ca="1">IF(F339&gt;0,ADDRESS(3,(B339+1)*2-1,4,,"[" &amp; wew!$G$7 &amp; "]" &amp; _sheetname_labels) &amp; ":" &amp; ADDRESS(2+F339,(B339+1)*2-1,4),"")</f>
        <v>'[dane surowe2c.xlsm]labels'!YY3:YY4</v>
      </c>
      <c r="M339" s="14" t="str">
        <f ca="1">IF(F339&gt;0,ADDRESS(3,(B339+1)*2,4,,"["&amp;wew!$G$7&amp;"]"&amp;_sheetname_labels)&amp;":"&amp;ADDRESS(2+F339,(B339+1)*2,4),"")</f>
        <v>'[dane surowe2c.xlsm]labels'!YZ3:YZ4</v>
      </c>
      <c r="N339" s="14" t="str">
        <f ca="1">ADDRESS(3,B339+1,4,,"[" &amp; wew!$G$7 &amp; "]" &amp;_sheetname_dataframe) &amp; ":" &amp; ADDRESS(2+ster!$C$14,B339+1,4)</f>
        <v>'[dane surowe2c.xlsm]data_frame'!LZ3:LZ35</v>
      </c>
      <c r="O339" s="14">
        <f t="shared" ca="1" si="81"/>
        <v>32</v>
      </c>
      <c r="P339" s="14">
        <f ca="1">IF(AND($AD339,$S339=1),IF(wew!$B$3,MIN(INDIRECT($N339)),"&lt;włącz podświetlanie wartości&gt;"),"—")</f>
        <v>2</v>
      </c>
      <c r="Q339" s="14">
        <f ca="1">IF(AND($AD339,$S339=1),IF(wew!$B$3,MAX(INDIRECT($N339)),"&lt;włącz podświetlanie wartości&gt;"),"—")</f>
        <v>2</v>
      </c>
      <c r="R339" s="14">
        <f ca="1">IF(AD339,ster!$C$14- (COUNTIF( INDIRECT(N339),"" )+ COUNT(INDIRECT(N339)) +COUNTIF( INDIRECT(N339),"NA" )),"")</f>
        <v>0</v>
      </c>
      <c r="S339" s="12">
        <f ca="1">IF(AD339,IF(COUNTA(INDIRECT(N339))=0,0, 1-(ster!$C$14- COUNT(INDIRECT(N339)) -COUNTIF( INDIRECT(N339),"" )) /COUNTA(INDIRECT(N339))),"")</f>
        <v>1</v>
      </c>
      <c r="T339" s="17">
        <f t="array" aca="1" ref="T339" ca="1">IF(L339&lt;&gt;"",SUM(IF(INDIRECT(L339)&lt;&gt;INT(INDIRECT(L339)),1,0)),"")</f>
        <v>0</v>
      </c>
      <c r="U339" s="17">
        <f t="array" aca="1" ref="U339" ca="1">IF(S339=1,SUM(IF(ISNUMBER(INDIRECT(N339)),IF(INDIRECT(N339)&lt;&gt;INT(INDIRECT(N339)),1,0),0)),"")</f>
        <v>0</v>
      </c>
      <c r="V339" s="17">
        <f t="shared" ca="1" si="82"/>
        <v>1</v>
      </c>
      <c r="W339" s="17">
        <f t="shared" ca="1" si="83"/>
        <v>0</v>
      </c>
      <c r="X339" s="24">
        <f t="array" aca="1" ref="X339" ca="1">IF(AD339,IF(AG339&lt;&gt;"",AG339,IF(J339,MIN(INDIRECT( K339)),"")),"")</f>
        <v>1</v>
      </c>
      <c r="Y339" s="17">
        <f t="array" aca="1" ref="Y339" ca="1">IF(AD339,IF(AH339&lt;&gt;"",AH339,IF(J339,MAX(INDIRECT( K339)),"")),"")</f>
        <v>2</v>
      </c>
      <c r="Z339" s="17" t="b">
        <f t="shared" ca="1" si="84"/>
        <v>1</v>
      </c>
      <c r="AC339" s="17" t="b">
        <f t="shared" ca="1" si="85"/>
        <v>0</v>
      </c>
      <c r="AD339" s="14" t="b">
        <f t="shared" ca="1" si="86"/>
        <v>1</v>
      </c>
      <c r="AE339" s="15" t="b">
        <f t="shared" ca="1" si="87"/>
        <v>1</v>
      </c>
      <c r="AF339" s="16"/>
      <c r="AG339" s="16"/>
      <c r="AH339" s="16"/>
      <c r="AI339" s="16"/>
      <c r="AJ339" s="16"/>
      <c r="AK339" s="16"/>
      <c r="AL339" s="16"/>
      <c r="AM339" s="16"/>
    </row>
    <row r="340" spans="2:39">
      <c r="B340" s="14">
        <f t="shared" si="76"/>
        <v>338</v>
      </c>
      <c r="C340" s="14" t="str">
        <f t="shared" ca="1" si="77"/>
        <v>S</v>
      </c>
      <c r="D340" s="14" t="str">
        <f t="shared" ca="1" si="78"/>
        <v>q_77</v>
      </c>
      <c r="E340" s="14" t="str">
        <f t="shared" ca="1" si="75"/>
        <v>Main Ocupation</v>
      </c>
      <c r="F340" s="14">
        <f t="shared" ca="1" si="74"/>
        <v>0</v>
      </c>
      <c r="G340" s="14" t="str">
        <f t="shared" ca="1" si="79"/>
        <v>q_77</v>
      </c>
      <c r="H340" s="14">
        <f ca="1">IF(G340&lt;&gt;"",IFERROR( IsVariableNameLegal(G340),0),0)+IF(COUNTIF(INDIRECT(wew!$C$13),G340)&gt;1,10,0)</f>
        <v>0</v>
      </c>
      <c r="I340" s="14">
        <f ca="1">IF(E340&lt;&gt;"",IF(LEN(E340)&gt;150,1,0)+IF(COUNTIF(INDIRECT(wew!$C$15),E340)&gt;1,10,0),0)</f>
        <v>10</v>
      </c>
      <c r="J340" s="14" t="b">
        <f t="shared" ca="1" si="80"/>
        <v>0</v>
      </c>
      <c r="K340" s="14" t="str">
        <f ca="1">ADDRESS(3,(B340+1)*2-1,4,,"[" &amp; wew!$G$7 &amp; "]" &amp; _sheetname_labels) &amp; ":" &amp; ADDRESS(2+ster!$B$20,(B340+1)*2-1,4)</f>
        <v>'[dane surowe2c.xlsm]labels'!ZA3:ZA36</v>
      </c>
      <c r="L340" s="14" t="str">
        <f ca="1">IF(F340&gt;0,ADDRESS(3,(B340+1)*2-1,4,,"[" &amp; wew!$G$7 &amp; "]" &amp; _sheetname_labels) &amp; ":" &amp; ADDRESS(2+F340,(B340+1)*2-1,4),"")</f>
        <v/>
      </c>
      <c r="M340" s="14" t="str">
        <f ca="1">IF(F340&gt;0,ADDRESS(3,(B340+1)*2,4,,"["&amp;wew!$G$7&amp;"]"&amp;_sheetname_labels)&amp;":"&amp;ADDRESS(2+F340,(B340+1)*2,4),"")</f>
        <v/>
      </c>
      <c r="N340" s="14" t="str">
        <f ca="1">ADDRESS(3,B340+1,4,,"[" &amp; wew!$G$7 &amp; "]" &amp;_sheetname_dataframe) &amp; ":" &amp; ADDRESS(2+ster!$C$14,B340+1,4)</f>
        <v>'[dane surowe2c.xlsm]data_frame'!MA3:MA35</v>
      </c>
      <c r="O340" s="14">
        <f t="shared" ca="1" si="81"/>
        <v>0</v>
      </c>
      <c r="P340" s="14" t="str">
        <f ca="1">IF(AND($AD340,$S340=1),IF(wew!$B$3,MIN(INDIRECT($N340)),"&lt;włącz podświetlanie wartości&gt;"),"—")</f>
        <v>—</v>
      </c>
      <c r="Q340" s="14" t="str">
        <f ca="1">IF(AND($AD340,$S340=1),IF(wew!$B$3,MAX(INDIRECT($N340)),"&lt;włącz podświetlanie wartości&gt;"),"—")</f>
        <v>—</v>
      </c>
      <c r="R340" s="14">
        <f ca="1">IF(AD340,ster!$C$14- (COUNTIF( INDIRECT(N340),"" )+ COUNT(INDIRECT(N340)) +COUNTIF( INDIRECT(N340),"NA" )),"")</f>
        <v>32</v>
      </c>
      <c r="S340" s="12">
        <f ca="1">IF(AD340,IF(COUNTA(INDIRECT(N340))=0,0, 1-(ster!$C$14- COUNT(INDIRECT(N340)) -COUNTIF( INDIRECT(N340),"" )) /COUNTA(INDIRECT(N340))),"")</f>
        <v>0</v>
      </c>
      <c r="T340" s="17" t="str">
        <f t="array" aca="1" ref="T340" ca="1">IF(L340&lt;&gt;"",SUM(IF(INDIRECT(L340)&lt;&gt;INT(INDIRECT(L340)),1,0)),"")</f>
        <v/>
      </c>
      <c r="U340" s="17" t="str">
        <f t="array" aca="1" ref="U340" ca="1">IF(S340=1,SUM(IF(ISNUMBER(INDIRECT(N340)),IF(INDIRECT(N340)&lt;&gt;INT(INDIRECT(N340)),1,0),0)),"")</f>
        <v/>
      </c>
      <c r="V340" s="17">
        <f t="shared" ca="1" si="82"/>
        <v>0</v>
      </c>
      <c r="W340" s="17">
        <f t="shared" ca="1" si="83"/>
        <v>0</v>
      </c>
      <c r="X340" s="24" t="str">
        <f t="array" aca="1" ref="X340" ca="1">IF(AD340,IF(AG340&lt;&gt;"",AG340,IF(J340,MIN(INDIRECT( K340)),"")),"")</f>
        <v/>
      </c>
      <c r="Y340" s="17" t="str">
        <f t="array" aca="1" ref="Y340" ca="1">IF(AD340,IF(AH340&lt;&gt;"",AH340,IF(J340,MAX(INDIRECT( K340)),"")),"")</f>
        <v/>
      </c>
      <c r="Z340" s="17" t="b">
        <f t="shared" ca="1" si="84"/>
        <v>0</v>
      </c>
      <c r="AC340" s="17" t="b">
        <f t="shared" ca="1" si="85"/>
        <v>1</v>
      </c>
      <c r="AD340" s="14" t="b">
        <f t="shared" ca="1" si="86"/>
        <v>1</v>
      </c>
      <c r="AE340" s="15" t="b">
        <f t="shared" ca="1" si="87"/>
        <v>0</v>
      </c>
      <c r="AF340" s="16"/>
      <c r="AG340" s="16"/>
      <c r="AH340" s="16"/>
      <c r="AI340" s="16"/>
      <c r="AJ340" s="16"/>
      <c r="AK340" s="16"/>
      <c r="AL340" s="16"/>
      <c r="AM340" s="16"/>
    </row>
    <row r="341" spans="2:39">
      <c r="B341" s="14">
        <f t="shared" si="76"/>
        <v>339</v>
      </c>
      <c r="C341" s="14" t="str">
        <f t="shared" ca="1" si="77"/>
        <v>S</v>
      </c>
      <c r="D341" s="14" t="str">
        <f t="shared" ca="1" si="78"/>
        <v>q_78</v>
      </c>
      <c r="E341" s="14" t="str">
        <f t="shared" ca="1" si="75"/>
        <v>Main Ocupation</v>
      </c>
      <c r="F341" s="14">
        <f t="shared" ca="1" si="74"/>
        <v>0</v>
      </c>
      <c r="G341" s="14" t="str">
        <f t="shared" ca="1" si="79"/>
        <v>q_78</v>
      </c>
      <c r="H341" s="14">
        <f ca="1">IF(G341&lt;&gt;"",IFERROR( IsVariableNameLegal(G341),0),0)+IF(COUNTIF(INDIRECT(wew!$C$13),G341)&gt;1,10,0)</f>
        <v>0</v>
      </c>
      <c r="I341" s="14">
        <f ca="1">IF(E341&lt;&gt;"",IF(LEN(E341)&gt;150,1,0)+IF(COUNTIF(INDIRECT(wew!$C$15),E341)&gt;1,10,0),0)</f>
        <v>10</v>
      </c>
      <c r="J341" s="14" t="b">
        <f t="shared" ca="1" si="80"/>
        <v>0</v>
      </c>
      <c r="K341" s="14" t="str">
        <f ca="1">ADDRESS(3,(B341+1)*2-1,4,,"[" &amp; wew!$G$7 &amp; "]" &amp; _sheetname_labels) &amp; ":" &amp; ADDRESS(2+ster!$B$20,(B341+1)*2-1,4)</f>
        <v>'[dane surowe2c.xlsm]labels'!ZC3:ZC36</v>
      </c>
      <c r="L341" s="14" t="str">
        <f ca="1">IF(F341&gt;0,ADDRESS(3,(B341+1)*2-1,4,,"[" &amp; wew!$G$7 &amp; "]" &amp; _sheetname_labels) &amp; ":" &amp; ADDRESS(2+F341,(B341+1)*2-1,4),"")</f>
        <v/>
      </c>
      <c r="M341" s="14" t="str">
        <f ca="1">IF(F341&gt;0,ADDRESS(3,(B341+1)*2,4,,"["&amp;wew!$G$7&amp;"]"&amp;_sheetname_labels)&amp;":"&amp;ADDRESS(2+F341,(B341+1)*2,4),"")</f>
        <v/>
      </c>
      <c r="N341" s="14" t="str">
        <f ca="1">ADDRESS(3,B341+1,4,,"[" &amp; wew!$G$7 &amp; "]" &amp;_sheetname_dataframe) &amp; ":" &amp; ADDRESS(2+ster!$C$14,B341+1,4)</f>
        <v>'[dane surowe2c.xlsm]data_frame'!MB3:MB35</v>
      </c>
      <c r="O341" s="14">
        <f t="shared" ca="1" si="81"/>
        <v>0</v>
      </c>
      <c r="P341" s="14" t="str">
        <f ca="1">IF(AND($AD341,$S341=1),IF(wew!$B$3,MIN(INDIRECT($N341)),"&lt;włącz podświetlanie wartości&gt;"),"—")</f>
        <v>—</v>
      </c>
      <c r="Q341" s="14" t="str">
        <f ca="1">IF(AND($AD341,$S341=1),IF(wew!$B$3,MAX(INDIRECT($N341)),"&lt;włącz podświetlanie wartości&gt;"),"—")</f>
        <v>—</v>
      </c>
      <c r="R341" s="14">
        <f ca="1">IF(AD341,ster!$C$14- (COUNTIF( INDIRECT(N341),"" )+ COUNT(INDIRECT(N341)) +COUNTIF( INDIRECT(N341),"NA" )),"")</f>
        <v>32</v>
      </c>
      <c r="S341" s="12">
        <f ca="1">IF(AD341,IF(COUNTA(INDIRECT(N341))=0,0, 1-(ster!$C$14- COUNT(INDIRECT(N341)) -COUNTIF( INDIRECT(N341),"" )) /COUNTA(INDIRECT(N341))),"")</f>
        <v>0</v>
      </c>
      <c r="T341" s="17" t="str">
        <f t="array" aca="1" ref="T341" ca="1">IF(L341&lt;&gt;"",SUM(IF(INDIRECT(L341)&lt;&gt;INT(INDIRECT(L341)),1,0)),"")</f>
        <v/>
      </c>
      <c r="U341" s="17" t="str">
        <f t="array" aca="1" ref="U341" ca="1">IF(S341=1,SUM(IF(ISNUMBER(INDIRECT(N341)),IF(INDIRECT(N341)&lt;&gt;INT(INDIRECT(N341)),1,0),0)),"")</f>
        <v/>
      </c>
      <c r="V341" s="17">
        <f t="shared" ca="1" si="82"/>
        <v>0</v>
      </c>
      <c r="W341" s="17">
        <f t="shared" ca="1" si="83"/>
        <v>0</v>
      </c>
      <c r="X341" s="24" t="str">
        <f t="array" aca="1" ref="X341" ca="1">IF(AD341,IF(AG341&lt;&gt;"",AG341,IF(J341,MIN(INDIRECT( K341)),"")),"")</f>
        <v/>
      </c>
      <c r="Y341" s="17" t="str">
        <f t="array" aca="1" ref="Y341" ca="1">IF(AD341,IF(AH341&lt;&gt;"",AH341,IF(J341,MAX(INDIRECT( K341)),"")),"")</f>
        <v/>
      </c>
      <c r="Z341" s="17" t="b">
        <f t="shared" ca="1" si="84"/>
        <v>0</v>
      </c>
      <c r="AC341" s="17" t="b">
        <f t="shared" ca="1" si="85"/>
        <v>1</v>
      </c>
      <c r="AD341" s="14" t="b">
        <f t="shared" ca="1" si="86"/>
        <v>1</v>
      </c>
      <c r="AE341" s="15" t="b">
        <f t="shared" ca="1" si="87"/>
        <v>0</v>
      </c>
      <c r="AF341" s="16"/>
      <c r="AG341" s="16"/>
      <c r="AH341" s="16"/>
      <c r="AI341" s="16"/>
      <c r="AJ341" s="16"/>
      <c r="AK341" s="16"/>
      <c r="AL341" s="16"/>
      <c r="AM341" s="16"/>
    </row>
    <row r="342" spans="2:39">
      <c r="B342" s="14">
        <f t="shared" si="76"/>
        <v>340</v>
      </c>
      <c r="C342" s="14" t="str">
        <f t="shared" ca="1" si="77"/>
        <v>S</v>
      </c>
      <c r="D342" s="14" t="str">
        <f t="shared" ca="1" si="78"/>
        <v>q_79</v>
      </c>
      <c r="E342" s="14" t="str">
        <f t="shared" ca="1" si="75"/>
        <v xml:space="preserve">Second Occupation </v>
      </c>
      <c r="F342" s="14">
        <f t="shared" ca="1" si="74"/>
        <v>0</v>
      </c>
      <c r="G342" s="14" t="str">
        <f t="shared" ca="1" si="79"/>
        <v>q_79</v>
      </c>
      <c r="H342" s="14">
        <f ca="1">IF(G342&lt;&gt;"",IFERROR( IsVariableNameLegal(G342),0),0)+IF(COUNTIF(INDIRECT(wew!$C$13),G342)&gt;1,10,0)</f>
        <v>0</v>
      </c>
      <c r="I342" s="14">
        <f ca="1">IF(E342&lt;&gt;"",IF(LEN(E342)&gt;150,1,0)+IF(COUNTIF(INDIRECT(wew!$C$15),E342)&gt;1,10,0),0)</f>
        <v>10</v>
      </c>
      <c r="J342" s="14" t="b">
        <f t="shared" ca="1" si="80"/>
        <v>0</v>
      </c>
      <c r="K342" s="14" t="str">
        <f ca="1">ADDRESS(3,(B342+1)*2-1,4,,"[" &amp; wew!$G$7 &amp; "]" &amp; _sheetname_labels) &amp; ":" &amp; ADDRESS(2+ster!$B$20,(B342+1)*2-1,4)</f>
        <v>'[dane surowe2c.xlsm]labels'!ZE3:ZE36</v>
      </c>
      <c r="L342" s="14" t="str">
        <f ca="1">IF(F342&gt;0,ADDRESS(3,(B342+1)*2-1,4,,"[" &amp; wew!$G$7 &amp; "]" &amp; _sheetname_labels) &amp; ":" &amp; ADDRESS(2+F342,(B342+1)*2-1,4),"")</f>
        <v/>
      </c>
      <c r="M342" s="14" t="str">
        <f ca="1">IF(F342&gt;0,ADDRESS(3,(B342+1)*2,4,,"["&amp;wew!$G$7&amp;"]"&amp;_sheetname_labels)&amp;":"&amp;ADDRESS(2+F342,(B342+1)*2,4),"")</f>
        <v/>
      </c>
      <c r="N342" s="14" t="str">
        <f ca="1">ADDRESS(3,B342+1,4,,"[" &amp; wew!$G$7 &amp; "]" &amp;_sheetname_dataframe) &amp; ":" &amp; ADDRESS(2+ster!$C$14,B342+1,4)</f>
        <v>'[dane surowe2c.xlsm]data_frame'!MC3:MC35</v>
      </c>
      <c r="O342" s="14">
        <f t="shared" ca="1" si="81"/>
        <v>0</v>
      </c>
      <c r="P342" s="14" t="str">
        <f ca="1">IF(AND($AD342,$S342=1),IF(wew!$B$3,MIN(INDIRECT($N342)),"&lt;włącz podświetlanie wartości&gt;"),"—")</f>
        <v>—</v>
      </c>
      <c r="Q342" s="14" t="str">
        <f ca="1">IF(AND($AD342,$S342=1),IF(wew!$B$3,MAX(INDIRECT($N342)),"&lt;włącz podświetlanie wartości&gt;"),"—")</f>
        <v>—</v>
      </c>
      <c r="R342" s="14">
        <f ca="1">IF(AD342,ster!$C$14- (COUNTIF( INDIRECT(N342),"" )+ COUNT(INDIRECT(N342)) +COUNTIF( INDIRECT(N342),"NA" )),"")</f>
        <v>1</v>
      </c>
      <c r="S342" s="12">
        <f ca="1">IF(AD342,IF(COUNTA(INDIRECT(N342))=0,0, 1-(ster!$C$14- COUNT(INDIRECT(N342)) -COUNTIF( INDIRECT(N342),"" )) /COUNTA(INDIRECT(N342))),"")</f>
        <v>0</v>
      </c>
      <c r="T342" s="17" t="str">
        <f t="array" aca="1" ref="T342" ca="1">IF(L342&lt;&gt;"",SUM(IF(INDIRECT(L342)&lt;&gt;INT(INDIRECT(L342)),1,0)),"")</f>
        <v/>
      </c>
      <c r="U342" s="17" t="str">
        <f t="array" aca="1" ref="U342" ca="1">IF(S342=1,SUM(IF(ISNUMBER(INDIRECT(N342)),IF(INDIRECT(N342)&lt;&gt;INT(INDIRECT(N342)),1,0),0)),"")</f>
        <v/>
      </c>
      <c r="V342" s="17">
        <f t="shared" ca="1" si="82"/>
        <v>0</v>
      </c>
      <c r="W342" s="17">
        <f t="shared" ca="1" si="83"/>
        <v>0</v>
      </c>
      <c r="X342" s="24" t="str">
        <f t="array" aca="1" ref="X342" ca="1">IF(AD342,IF(AG342&lt;&gt;"",AG342,IF(J342,MIN(INDIRECT( K342)),"")),"")</f>
        <v/>
      </c>
      <c r="Y342" s="17" t="str">
        <f t="array" aca="1" ref="Y342" ca="1">IF(AD342,IF(AH342&lt;&gt;"",AH342,IF(J342,MAX(INDIRECT( K342)),"")),"")</f>
        <v/>
      </c>
      <c r="Z342" s="17" t="b">
        <f t="shared" ca="1" si="84"/>
        <v>0</v>
      </c>
      <c r="AC342" s="17" t="b">
        <f t="shared" ca="1" si="85"/>
        <v>1</v>
      </c>
      <c r="AD342" s="14" t="b">
        <f t="shared" ca="1" si="86"/>
        <v>1</v>
      </c>
      <c r="AE342" s="15" t="b">
        <f t="shared" ca="1" si="87"/>
        <v>0</v>
      </c>
      <c r="AF342" s="16"/>
      <c r="AG342" s="16"/>
      <c r="AH342" s="16"/>
      <c r="AI342" s="16"/>
      <c r="AJ342" s="16"/>
      <c r="AK342" s="16"/>
      <c r="AL342" s="16"/>
      <c r="AM342" s="16"/>
    </row>
    <row r="343" spans="2:39">
      <c r="B343" s="14">
        <f t="shared" si="76"/>
        <v>341</v>
      </c>
      <c r="C343" s="14" t="str">
        <f t="shared" ca="1" si="77"/>
        <v>S</v>
      </c>
      <c r="D343" s="14" t="str">
        <f t="shared" ca="1" si="78"/>
        <v>q_80</v>
      </c>
      <c r="E343" s="14" t="str">
        <f t="shared" ca="1" si="75"/>
        <v xml:space="preserve">Second Occupation </v>
      </c>
      <c r="F343" s="14">
        <f t="shared" ca="1" si="74"/>
        <v>0</v>
      </c>
      <c r="G343" s="14" t="str">
        <f t="shared" ca="1" si="79"/>
        <v>q_80</v>
      </c>
      <c r="H343" s="14">
        <f ca="1">IF(G343&lt;&gt;"",IFERROR( IsVariableNameLegal(G343),0),0)+IF(COUNTIF(INDIRECT(wew!$C$13),G343)&gt;1,10,0)</f>
        <v>0</v>
      </c>
      <c r="I343" s="14">
        <f ca="1">IF(E343&lt;&gt;"",IF(LEN(E343)&gt;150,1,0)+IF(COUNTIF(INDIRECT(wew!$C$15),E343)&gt;1,10,0),0)</f>
        <v>10</v>
      </c>
      <c r="J343" s="14" t="b">
        <f t="shared" ca="1" si="80"/>
        <v>0</v>
      </c>
      <c r="K343" s="14" t="str">
        <f ca="1">ADDRESS(3,(B343+1)*2-1,4,,"[" &amp; wew!$G$7 &amp; "]" &amp; _sheetname_labels) &amp; ":" &amp; ADDRESS(2+ster!$B$20,(B343+1)*2-1,4)</f>
        <v>'[dane surowe2c.xlsm]labels'!ZG3:ZG36</v>
      </c>
      <c r="L343" s="14" t="str">
        <f ca="1">IF(F343&gt;0,ADDRESS(3,(B343+1)*2-1,4,,"[" &amp; wew!$G$7 &amp; "]" &amp; _sheetname_labels) &amp; ":" &amp; ADDRESS(2+F343,(B343+1)*2-1,4),"")</f>
        <v/>
      </c>
      <c r="M343" s="14" t="str">
        <f ca="1">IF(F343&gt;0,ADDRESS(3,(B343+1)*2,4,,"["&amp;wew!$G$7&amp;"]"&amp;_sheetname_labels)&amp;":"&amp;ADDRESS(2+F343,(B343+1)*2,4),"")</f>
        <v/>
      </c>
      <c r="N343" s="14" t="str">
        <f ca="1">ADDRESS(3,B343+1,4,,"[" &amp; wew!$G$7 &amp; "]" &amp;_sheetname_dataframe) &amp; ":" &amp; ADDRESS(2+ster!$C$14,B343+1,4)</f>
        <v>'[dane surowe2c.xlsm]data_frame'!MD3:MD35</v>
      </c>
      <c r="O343" s="14">
        <f t="shared" ca="1" si="81"/>
        <v>0</v>
      </c>
      <c r="P343" s="14" t="str">
        <f ca="1">IF(AND($AD343,$S343=1),IF(wew!$B$3,MIN(INDIRECT($N343)),"&lt;włącz podświetlanie wartości&gt;"),"—")</f>
        <v>—</v>
      </c>
      <c r="Q343" s="14" t="str">
        <f ca="1">IF(AND($AD343,$S343=1),IF(wew!$B$3,MAX(INDIRECT($N343)),"&lt;włącz podświetlanie wartości&gt;"),"—")</f>
        <v>—</v>
      </c>
      <c r="R343" s="14">
        <f ca="1">IF(AD343,ster!$C$14- (COUNTIF( INDIRECT(N343),"" )+ COUNT(INDIRECT(N343)) +COUNTIF( INDIRECT(N343),"NA" )),"")</f>
        <v>1</v>
      </c>
      <c r="S343" s="12">
        <f ca="1">IF(AD343,IF(COUNTA(INDIRECT(N343))=0,0, 1-(ster!$C$14- COUNT(INDIRECT(N343)) -COUNTIF( INDIRECT(N343),"" )) /COUNTA(INDIRECT(N343))),"")</f>
        <v>0</v>
      </c>
      <c r="T343" s="17" t="str">
        <f t="array" aca="1" ref="T343" ca="1">IF(L343&lt;&gt;"",SUM(IF(INDIRECT(L343)&lt;&gt;INT(INDIRECT(L343)),1,0)),"")</f>
        <v/>
      </c>
      <c r="U343" s="17" t="str">
        <f t="array" aca="1" ref="U343" ca="1">IF(S343=1,SUM(IF(ISNUMBER(INDIRECT(N343)),IF(INDIRECT(N343)&lt;&gt;INT(INDIRECT(N343)),1,0),0)),"")</f>
        <v/>
      </c>
      <c r="V343" s="17">
        <f t="shared" ca="1" si="82"/>
        <v>0</v>
      </c>
      <c r="W343" s="17">
        <f t="shared" ca="1" si="83"/>
        <v>0</v>
      </c>
      <c r="X343" s="24" t="str">
        <f t="array" aca="1" ref="X343" ca="1">IF(AD343,IF(AG343&lt;&gt;"",AG343,IF(J343,MIN(INDIRECT( K343)),"")),"")</f>
        <v/>
      </c>
      <c r="Y343" s="17" t="str">
        <f t="array" aca="1" ref="Y343" ca="1">IF(AD343,IF(AH343&lt;&gt;"",AH343,IF(J343,MAX(INDIRECT( K343)),"")),"")</f>
        <v/>
      </c>
      <c r="Z343" s="17" t="b">
        <f t="shared" ca="1" si="84"/>
        <v>0</v>
      </c>
      <c r="AC343" s="17" t="b">
        <f t="shared" ca="1" si="85"/>
        <v>1</v>
      </c>
      <c r="AD343" s="14" t="b">
        <f t="shared" ca="1" si="86"/>
        <v>1</v>
      </c>
      <c r="AE343" s="15" t="b">
        <f t="shared" ca="1" si="87"/>
        <v>0</v>
      </c>
      <c r="AF343" s="16"/>
      <c r="AG343" s="16"/>
      <c r="AH343" s="16"/>
      <c r="AI343" s="16"/>
      <c r="AJ343" s="16"/>
      <c r="AK343" s="16"/>
      <c r="AL343" s="16"/>
      <c r="AM343" s="16"/>
    </row>
    <row r="344" spans="2:39">
      <c r="B344" s="14">
        <f t="shared" si="76"/>
        <v>342</v>
      </c>
      <c r="C344" s="14" t="str">
        <f t="shared" ca="1" si="77"/>
        <v>N</v>
      </c>
      <c r="D344" s="14" t="str">
        <f t="shared" ca="1" si="78"/>
        <v>q_81</v>
      </c>
      <c r="E344" s="14" t="str">
        <f t="shared" ca="1" si="75"/>
        <v xml:space="preserve">Place of living </v>
      </c>
      <c r="F344" s="14">
        <f t="shared" ca="1" si="74"/>
        <v>5</v>
      </c>
      <c r="G344" s="14" t="str">
        <f t="shared" ca="1" si="79"/>
        <v>q_81</v>
      </c>
      <c r="H344" s="14">
        <f ca="1">IF(G344&lt;&gt;"",IFERROR( IsVariableNameLegal(G344),0),0)+IF(COUNTIF(INDIRECT(wew!$C$13),G344)&gt;1,10,0)</f>
        <v>0</v>
      </c>
      <c r="I344" s="14">
        <f ca="1">IF(E344&lt;&gt;"",IF(LEN(E344)&gt;150,1,0)+IF(COUNTIF(INDIRECT(wew!$C$15),E344)&gt;1,10,0),0)</f>
        <v>10</v>
      </c>
      <c r="J344" s="14" t="b">
        <f t="shared" ca="1" si="80"/>
        <v>1</v>
      </c>
      <c r="K344" s="14" t="str">
        <f ca="1">ADDRESS(3,(B344+1)*2-1,4,,"[" &amp; wew!$G$7 &amp; "]" &amp; _sheetname_labels) &amp; ":" &amp; ADDRESS(2+ster!$B$20,(B344+1)*2-1,4)</f>
        <v>'[dane surowe2c.xlsm]labels'!ZI3:ZI36</v>
      </c>
      <c r="L344" s="14" t="str">
        <f ca="1">IF(F344&gt;0,ADDRESS(3,(B344+1)*2-1,4,,"[" &amp; wew!$G$7 &amp; "]" &amp; _sheetname_labels) &amp; ":" &amp; ADDRESS(2+F344,(B344+1)*2-1,4),"")</f>
        <v>'[dane surowe2c.xlsm]labels'!ZI3:ZI7</v>
      </c>
      <c r="M344" s="14" t="str">
        <f ca="1">IF(F344&gt;0,ADDRESS(3,(B344+1)*2,4,,"["&amp;wew!$G$7&amp;"]"&amp;_sheetname_labels)&amp;":"&amp;ADDRESS(2+F344,(B344+1)*2,4),"")</f>
        <v>'[dane surowe2c.xlsm]labels'!ZJ3:ZJ7</v>
      </c>
      <c r="N344" s="14" t="str">
        <f ca="1">ADDRESS(3,B344+1,4,,"[" &amp; wew!$G$7 &amp; "]" &amp;_sheetname_dataframe) &amp; ":" &amp; ADDRESS(2+ster!$C$14,B344+1,4)</f>
        <v>'[dane surowe2c.xlsm]data_frame'!ME3:ME35</v>
      </c>
      <c r="O344" s="14">
        <f t="shared" ca="1" si="81"/>
        <v>32</v>
      </c>
      <c r="P344" s="14">
        <f ca="1">IF(AND($AD344,$S344=1),IF(wew!$B$3,MIN(INDIRECT($N344)),"&lt;włącz podświetlanie wartości&gt;"),"—")</f>
        <v>1</v>
      </c>
      <c r="Q344" s="14">
        <f ca="1">IF(AND($AD344,$S344=1),IF(wew!$B$3,MAX(INDIRECT($N344)),"&lt;włącz podświetlanie wartości&gt;"),"—")</f>
        <v>5</v>
      </c>
      <c r="R344" s="14">
        <f ca="1">IF(AD344,ster!$C$14- (COUNTIF( INDIRECT(N344),"" )+ COUNT(INDIRECT(N344)) +COUNTIF( INDIRECT(N344),"NA" )),"")</f>
        <v>0</v>
      </c>
      <c r="S344" s="12">
        <f ca="1">IF(AD344,IF(COUNTA(INDIRECT(N344))=0,0, 1-(ster!$C$14- COUNT(INDIRECT(N344)) -COUNTIF( INDIRECT(N344),"" )) /COUNTA(INDIRECT(N344))),"")</f>
        <v>1</v>
      </c>
      <c r="T344" s="17">
        <f t="array" aca="1" ref="T344" ca="1">IF(L344&lt;&gt;"",SUM(IF(INDIRECT(L344)&lt;&gt;INT(INDIRECT(L344)),1,0)),"")</f>
        <v>0</v>
      </c>
      <c r="U344" s="17">
        <f t="array" aca="1" ref="U344" ca="1">IF(S344=1,SUM(IF(ISNUMBER(INDIRECT(N344)),IF(INDIRECT(N344)&lt;&gt;INT(INDIRECT(N344)),1,0),0)),"")</f>
        <v>0</v>
      </c>
      <c r="V344" s="17">
        <f t="shared" ca="1" si="82"/>
        <v>1</v>
      </c>
      <c r="W344" s="17">
        <f t="shared" ca="1" si="83"/>
        <v>0</v>
      </c>
      <c r="X344" s="24">
        <f t="array" aca="1" ref="X344" ca="1">IF(AD344,IF(AG344&lt;&gt;"",AG344,IF(J344,MIN(INDIRECT( K344)),"")),"")</f>
        <v>1</v>
      </c>
      <c r="Y344" s="17">
        <f t="array" aca="1" ref="Y344" ca="1">IF(AD344,IF(AH344&lt;&gt;"",AH344,IF(J344,MAX(INDIRECT( K344)),"")),"")</f>
        <v>5</v>
      </c>
      <c r="Z344" s="17" t="b">
        <f t="shared" ca="1" si="84"/>
        <v>1</v>
      </c>
      <c r="AC344" s="17" t="b">
        <f t="shared" ca="1" si="85"/>
        <v>0</v>
      </c>
      <c r="AD344" s="14" t="b">
        <f t="shared" ca="1" si="86"/>
        <v>1</v>
      </c>
      <c r="AE344" s="15" t="b">
        <f t="shared" ca="1" si="87"/>
        <v>1</v>
      </c>
      <c r="AF344" s="16"/>
      <c r="AG344" s="16"/>
      <c r="AH344" s="16"/>
      <c r="AI344" s="16"/>
      <c r="AJ344" s="16"/>
      <c r="AK344" s="16"/>
      <c r="AL344" s="16"/>
      <c r="AM344" s="16"/>
    </row>
    <row r="345" spans="2:39">
      <c r="B345" s="14">
        <f t="shared" si="76"/>
        <v>343</v>
      </c>
      <c r="C345" s="14" t="str">
        <f t="shared" ca="1" si="77"/>
        <v>D</v>
      </c>
      <c r="D345" s="14" t="str">
        <f t="shared" ca="1" si="78"/>
        <v>q_81a</v>
      </c>
      <c r="E345" s="14" t="str">
        <f t="shared" ca="1" si="75"/>
        <v>Lives in Rural Area/Urban</v>
      </c>
      <c r="F345" s="14">
        <f t="shared" ca="1" si="74"/>
        <v>2</v>
      </c>
      <c r="G345" s="14" t="str">
        <f t="shared" ca="1" si="79"/>
        <v>q_81a</v>
      </c>
      <c r="H345" s="14">
        <f ca="1">IF(G345&lt;&gt;"",IFERROR( IsVariableNameLegal(G345),0),0)+IF(COUNTIF(INDIRECT(wew!$C$13),G345)&gt;1,10,0)</f>
        <v>0</v>
      </c>
      <c r="I345" s="14">
        <f ca="1">IF(E345&lt;&gt;"",IF(LEN(E345)&gt;150,1,0)+IF(COUNTIF(INDIRECT(wew!$C$15),E345)&gt;1,10,0),0)</f>
        <v>10</v>
      </c>
      <c r="J345" s="14" t="b">
        <f t="shared" ca="1" si="80"/>
        <v>1</v>
      </c>
      <c r="K345" s="14" t="str">
        <f ca="1">ADDRESS(3,(B345+1)*2-1,4,,"[" &amp; wew!$G$7 &amp; "]" &amp; _sheetname_labels) &amp; ":" &amp; ADDRESS(2+ster!$B$20,(B345+1)*2-1,4)</f>
        <v>'[dane surowe2c.xlsm]labels'!ZK3:ZK36</v>
      </c>
      <c r="L345" s="14" t="str">
        <f ca="1">IF(F345&gt;0,ADDRESS(3,(B345+1)*2-1,4,,"[" &amp; wew!$G$7 &amp; "]" &amp; _sheetname_labels) &amp; ":" &amp; ADDRESS(2+F345,(B345+1)*2-1,4),"")</f>
        <v>'[dane surowe2c.xlsm]labels'!ZK3:ZK4</v>
      </c>
      <c r="M345" s="14" t="str">
        <f ca="1">IF(F345&gt;0,ADDRESS(3,(B345+1)*2,4,,"["&amp;wew!$G$7&amp;"]"&amp;_sheetname_labels)&amp;":"&amp;ADDRESS(2+F345,(B345+1)*2,4),"")</f>
        <v>'[dane surowe2c.xlsm]labels'!ZL3:ZL4</v>
      </c>
      <c r="N345" s="14" t="str">
        <f ca="1">ADDRESS(3,B345+1,4,,"[" &amp; wew!$G$7 &amp; "]" &amp;_sheetname_dataframe) &amp; ":" &amp; ADDRESS(2+ster!$C$14,B345+1,4)</f>
        <v>'[dane surowe2c.xlsm]data_frame'!MF3:MF35</v>
      </c>
      <c r="O345" s="14">
        <f t="shared" ca="1" si="81"/>
        <v>32</v>
      </c>
      <c r="P345" s="14">
        <f ca="1">IF(AND($AD345,$S345=1),IF(wew!$B$3,MIN(INDIRECT($N345)),"&lt;włącz podświetlanie wartości&gt;"),"—")</f>
        <v>1</v>
      </c>
      <c r="Q345" s="14">
        <f ca="1">IF(AND($AD345,$S345=1),IF(wew!$B$3,MAX(INDIRECT($N345)),"&lt;włącz podświetlanie wartości&gt;"),"—")</f>
        <v>2</v>
      </c>
      <c r="R345" s="14">
        <f ca="1">IF(AD345,ster!$C$14- (COUNTIF( INDIRECT(N345),"" )+ COUNT(INDIRECT(N345)) +COUNTIF( INDIRECT(N345),"NA" )),"")</f>
        <v>0</v>
      </c>
      <c r="S345" s="12">
        <f ca="1">IF(AD345,IF(COUNTA(INDIRECT(N345))=0,0, 1-(ster!$C$14- COUNT(INDIRECT(N345)) -COUNTIF( INDIRECT(N345),"" )) /COUNTA(INDIRECT(N345))),"")</f>
        <v>1</v>
      </c>
      <c r="T345" s="17">
        <f t="array" aca="1" ref="T345" ca="1">IF(L345&lt;&gt;"",SUM(IF(INDIRECT(L345)&lt;&gt;INT(INDIRECT(L345)),1,0)),"")</f>
        <v>0</v>
      </c>
      <c r="U345" s="17">
        <f t="array" aca="1" ref="U345" ca="1">IF(S345=1,SUM(IF(ISNUMBER(INDIRECT(N345)),IF(INDIRECT(N345)&lt;&gt;INT(INDIRECT(N345)),1,0),0)),"")</f>
        <v>0</v>
      </c>
      <c r="V345" s="17">
        <f t="shared" ca="1" si="82"/>
        <v>1</v>
      </c>
      <c r="W345" s="17">
        <f t="shared" ca="1" si="83"/>
        <v>0</v>
      </c>
      <c r="X345" s="24">
        <f t="array" aca="1" ref="X345" ca="1">IF(AD345,IF(AG345&lt;&gt;"",AG345,IF(J345,MIN(INDIRECT( K345)),"")),"")</f>
        <v>1</v>
      </c>
      <c r="Y345" s="17">
        <f t="array" aca="1" ref="Y345" ca="1">IF(AD345,IF(AH345&lt;&gt;"",AH345,IF(J345,MAX(INDIRECT( K345)),"")),"")</f>
        <v>2</v>
      </c>
      <c r="Z345" s="17" t="b">
        <f t="shared" ca="1" si="84"/>
        <v>1</v>
      </c>
      <c r="AC345" s="17" t="b">
        <f t="shared" ca="1" si="85"/>
        <v>0</v>
      </c>
      <c r="AD345" s="14" t="b">
        <f t="shared" ca="1" si="86"/>
        <v>1</v>
      </c>
      <c r="AE345" s="15" t="b">
        <f t="shared" ca="1" si="87"/>
        <v>1</v>
      </c>
      <c r="AF345" s="16"/>
      <c r="AG345" s="16"/>
      <c r="AH345" s="16"/>
      <c r="AI345" s="16"/>
      <c r="AJ345" s="16"/>
      <c r="AK345" s="16"/>
      <c r="AL345" s="16"/>
      <c r="AM345" s="16"/>
    </row>
    <row r="346" spans="2:39">
      <c r="B346" s="14">
        <f t="shared" si="76"/>
        <v>344</v>
      </c>
      <c r="C346" s="14" t="str">
        <f t="shared" ca="1" si="77"/>
        <v>D</v>
      </c>
      <c r="D346" s="14" t="str">
        <f t="shared" ca="1" si="78"/>
        <v>q_81b</v>
      </c>
      <c r="E346" s="14" t="str">
        <f t="shared" ca="1" si="75"/>
        <v>Lives near sewege plant</v>
      </c>
      <c r="F346" s="14">
        <f t="shared" ca="1" si="74"/>
        <v>2</v>
      </c>
      <c r="G346" s="14" t="str">
        <f t="shared" ca="1" si="79"/>
        <v>q_81b</v>
      </c>
      <c r="H346" s="14">
        <f ca="1">IF(G346&lt;&gt;"",IFERROR( IsVariableNameLegal(G346),0),0)+IF(COUNTIF(INDIRECT(wew!$C$13),G346)&gt;1,10,0)</f>
        <v>0</v>
      </c>
      <c r="I346" s="14">
        <f ca="1">IF(E346&lt;&gt;"",IF(LEN(E346)&gt;150,1,0)+IF(COUNTIF(INDIRECT(wew!$C$15),E346)&gt;1,10,0),0)</f>
        <v>10</v>
      </c>
      <c r="J346" s="14" t="b">
        <f t="shared" ca="1" si="80"/>
        <v>1</v>
      </c>
      <c r="K346" s="14" t="str">
        <f ca="1">ADDRESS(3,(B346+1)*2-1,4,,"[" &amp; wew!$G$7 &amp; "]" &amp; _sheetname_labels) &amp; ":" &amp; ADDRESS(2+ster!$B$20,(B346+1)*2-1,4)</f>
        <v>'[dane surowe2c.xlsm]labels'!ZM3:ZM36</v>
      </c>
      <c r="L346" s="14" t="str">
        <f ca="1">IF(F346&gt;0,ADDRESS(3,(B346+1)*2-1,4,,"[" &amp; wew!$G$7 &amp; "]" &amp; _sheetname_labels) &amp; ":" &amp; ADDRESS(2+F346,(B346+1)*2-1,4),"")</f>
        <v>'[dane surowe2c.xlsm]labels'!ZM3:ZM4</v>
      </c>
      <c r="M346" s="14" t="str">
        <f ca="1">IF(F346&gt;0,ADDRESS(3,(B346+1)*2,4,,"["&amp;wew!$G$7&amp;"]"&amp;_sheetname_labels)&amp;":"&amp;ADDRESS(2+F346,(B346+1)*2,4),"")</f>
        <v>'[dane surowe2c.xlsm]labels'!ZN3:ZN4</v>
      </c>
      <c r="N346" s="14" t="str">
        <f ca="1">ADDRESS(3,B346+1,4,,"[" &amp; wew!$G$7 &amp; "]" &amp;_sheetname_dataframe) &amp; ":" &amp; ADDRESS(2+ster!$C$14,B346+1,4)</f>
        <v>'[dane surowe2c.xlsm]data_frame'!MG3:MG35</v>
      </c>
      <c r="O346" s="14">
        <f t="shared" ca="1" si="81"/>
        <v>32</v>
      </c>
      <c r="P346" s="14">
        <f ca="1">IF(AND($AD346,$S346=1),IF(wew!$B$3,MIN(INDIRECT($N346)),"&lt;włącz podświetlanie wartości&gt;"),"—")</f>
        <v>2</v>
      </c>
      <c r="Q346" s="14">
        <f ca="1">IF(AND($AD346,$S346=1),IF(wew!$B$3,MAX(INDIRECT($N346)),"&lt;włącz podświetlanie wartości&gt;"),"—")</f>
        <v>2</v>
      </c>
      <c r="R346" s="14">
        <f ca="1">IF(AD346,ster!$C$14- (COUNTIF( INDIRECT(N346),"" )+ COUNT(INDIRECT(N346)) +COUNTIF( INDIRECT(N346),"NA" )),"")</f>
        <v>0</v>
      </c>
      <c r="S346" s="12">
        <f ca="1">IF(AD346,IF(COUNTA(INDIRECT(N346))=0,0, 1-(ster!$C$14- COUNT(INDIRECT(N346)) -COUNTIF( INDIRECT(N346),"" )) /COUNTA(INDIRECT(N346))),"")</f>
        <v>1</v>
      </c>
      <c r="T346" s="17">
        <f t="array" aca="1" ref="T346" ca="1">IF(L346&lt;&gt;"",SUM(IF(INDIRECT(L346)&lt;&gt;INT(INDIRECT(L346)),1,0)),"")</f>
        <v>0</v>
      </c>
      <c r="U346" s="17">
        <f t="array" aca="1" ref="U346" ca="1">IF(S346=1,SUM(IF(ISNUMBER(INDIRECT(N346)),IF(INDIRECT(N346)&lt;&gt;INT(INDIRECT(N346)),1,0),0)),"")</f>
        <v>0</v>
      </c>
      <c r="V346" s="17">
        <f t="shared" ca="1" si="82"/>
        <v>1</v>
      </c>
      <c r="W346" s="17">
        <f t="shared" ca="1" si="83"/>
        <v>0</v>
      </c>
      <c r="X346" s="24">
        <f t="array" aca="1" ref="X346" ca="1">IF(AD346,IF(AG346&lt;&gt;"",AG346,IF(J346,MIN(INDIRECT( K346)),"")),"")</f>
        <v>1</v>
      </c>
      <c r="Y346" s="17">
        <f t="array" aca="1" ref="Y346" ca="1">IF(AD346,IF(AH346&lt;&gt;"",AH346,IF(J346,MAX(INDIRECT( K346)),"")),"")</f>
        <v>2</v>
      </c>
      <c r="Z346" s="17" t="b">
        <f t="shared" ca="1" si="84"/>
        <v>1</v>
      </c>
      <c r="AC346" s="17" t="b">
        <f t="shared" ca="1" si="85"/>
        <v>0</v>
      </c>
      <c r="AD346" s="14" t="b">
        <f t="shared" ca="1" si="86"/>
        <v>1</v>
      </c>
      <c r="AE346" s="15" t="b">
        <f t="shared" ca="1" si="87"/>
        <v>1</v>
      </c>
      <c r="AF346" s="16"/>
      <c r="AG346" s="16"/>
      <c r="AH346" s="16"/>
      <c r="AI346" s="16"/>
      <c r="AJ346" s="16"/>
      <c r="AK346" s="16"/>
      <c r="AL346" s="16"/>
      <c r="AM346" s="16"/>
    </row>
    <row r="347" spans="2:39">
      <c r="B347" s="14">
        <f t="shared" si="76"/>
        <v>345</v>
      </c>
      <c r="C347" s="14" t="str">
        <f t="shared" ca="1" si="77"/>
        <v>D</v>
      </c>
      <c r="D347" s="14" t="str">
        <f t="shared" ca="1" si="78"/>
        <v>q_81c</v>
      </c>
      <c r="E347" s="14" t="str">
        <f t="shared" ca="1" si="75"/>
        <v>Lives near landfills</v>
      </c>
      <c r="F347" s="14">
        <f t="shared" ca="1" si="74"/>
        <v>2</v>
      </c>
      <c r="G347" s="14" t="str">
        <f t="shared" ca="1" si="79"/>
        <v>q_81c</v>
      </c>
      <c r="H347" s="14">
        <f ca="1">IF(G347&lt;&gt;"",IFERROR( IsVariableNameLegal(G347),0),0)+IF(COUNTIF(INDIRECT(wew!$C$13),G347)&gt;1,10,0)</f>
        <v>0</v>
      </c>
      <c r="I347" s="14">
        <f ca="1">IF(E347&lt;&gt;"",IF(LEN(E347)&gt;150,1,0)+IF(COUNTIF(INDIRECT(wew!$C$15),E347)&gt;1,10,0),0)</f>
        <v>10</v>
      </c>
      <c r="J347" s="14" t="b">
        <f t="shared" ca="1" si="80"/>
        <v>1</v>
      </c>
      <c r="K347" s="14" t="str">
        <f ca="1">ADDRESS(3,(B347+1)*2-1,4,,"[" &amp; wew!$G$7 &amp; "]" &amp; _sheetname_labels) &amp; ":" &amp; ADDRESS(2+ster!$B$20,(B347+1)*2-1,4)</f>
        <v>'[dane surowe2c.xlsm]labels'!ZO3:ZO36</v>
      </c>
      <c r="L347" s="14" t="str">
        <f ca="1">IF(F347&gt;0,ADDRESS(3,(B347+1)*2-1,4,,"[" &amp; wew!$G$7 &amp; "]" &amp; _sheetname_labels) &amp; ":" &amp; ADDRESS(2+F347,(B347+1)*2-1,4),"")</f>
        <v>'[dane surowe2c.xlsm]labels'!ZO3:ZO4</v>
      </c>
      <c r="M347" s="14" t="str">
        <f ca="1">IF(F347&gt;0,ADDRESS(3,(B347+1)*2,4,,"["&amp;wew!$G$7&amp;"]"&amp;_sheetname_labels)&amp;":"&amp;ADDRESS(2+F347,(B347+1)*2,4),"")</f>
        <v>'[dane surowe2c.xlsm]labels'!ZP3:ZP4</v>
      </c>
      <c r="N347" s="14" t="str">
        <f ca="1">ADDRESS(3,B347+1,4,,"[" &amp; wew!$G$7 &amp; "]" &amp;_sheetname_dataframe) &amp; ":" &amp; ADDRESS(2+ster!$C$14,B347+1,4)</f>
        <v>'[dane surowe2c.xlsm]data_frame'!MH3:MH35</v>
      </c>
      <c r="O347" s="14">
        <f t="shared" ca="1" si="81"/>
        <v>32</v>
      </c>
      <c r="P347" s="14">
        <f ca="1">IF(AND($AD347,$S347=1),IF(wew!$B$3,MIN(INDIRECT($N347)),"&lt;włącz podświetlanie wartości&gt;"),"—")</f>
        <v>2</v>
      </c>
      <c r="Q347" s="14">
        <f ca="1">IF(AND($AD347,$S347=1),IF(wew!$B$3,MAX(INDIRECT($N347)),"&lt;włącz podświetlanie wartości&gt;"),"—")</f>
        <v>2</v>
      </c>
      <c r="R347" s="14">
        <f ca="1">IF(AD347,ster!$C$14- (COUNTIF( INDIRECT(N347),"" )+ COUNT(INDIRECT(N347)) +COUNTIF( INDIRECT(N347),"NA" )),"")</f>
        <v>0</v>
      </c>
      <c r="S347" s="12">
        <f ca="1">IF(AD347,IF(COUNTA(INDIRECT(N347))=0,0, 1-(ster!$C$14- COUNT(INDIRECT(N347)) -COUNTIF( INDIRECT(N347),"" )) /COUNTA(INDIRECT(N347))),"")</f>
        <v>1</v>
      </c>
      <c r="T347" s="17">
        <f t="array" aca="1" ref="T347" ca="1">IF(L347&lt;&gt;"",SUM(IF(INDIRECT(L347)&lt;&gt;INT(INDIRECT(L347)),1,0)),"")</f>
        <v>0</v>
      </c>
      <c r="U347" s="17">
        <f t="array" aca="1" ref="U347" ca="1">IF(S347=1,SUM(IF(ISNUMBER(INDIRECT(N347)),IF(INDIRECT(N347)&lt;&gt;INT(INDIRECT(N347)),1,0),0)),"")</f>
        <v>0</v>
      </c>
      <c r="V347" s="17">
        <f t="shared" ca="1" si="82"/>
        <v>1</v>
      </c>
      <c r="W347" s="17">
        <f t="shared" ca="1" si="83"/>
        <v>0</v>
      </c>
      <c r="X347" s="24">
        <f t="array" aca="1" ref="X347" ca="1">IF(AD347,IF(AG347&lt;&gt;"",AG347,IF(J347,MIN(INDIRECT( K347)),"")),"")</f>
        <v>1</v>
      </c>
      <c r="Y347" s="17">
        <f t="array" aca="1" ref="Y347" ca="1">IF(AD347,IF(AH347&lt;&gt;"",AH347,IF(J347,MAX(INDIRECT( K347)),"")),"")</f>
        <v>2</v>
      </c>
      <c r="Z347" s="17" t="b">
        <f t="shared" ca="1" si="84"/>
        <v>1</v>
      </c>
      <c r="AC347" s="17" t="b">
        <f t="shared" ca="1" si="85"/>
        <v>0</v>
      </c>
      <c r="AD347" s="14" t="b">
        <f t="shared" ca="1" si="86"/>
        <v>1</v>
      </c>
      <c r="AE347" s="15" t="b">
        <f t="shared" ca="1" si="87"/>
        <v>1</v>
      </c>
      <c r="AF347" s="16"/>
      <c r="AG347" s="16"/>
      <c r="AH347" s="16"/>
      <c r="AI347" s="16"/>
      <c r="AJ347" s="16"/>
      <c r="AK347" s="16"/>
      <c r="AL347" s="16"/>
      <c r="AM347" s="16"/>
    </row>
    <row r="348" spans="2:39">
      <c r="B348" s="14">
        <f t="shared" si="76"/>
        <v>346</v>
      </c>
      <c r="C348" s="14" t="str">
        <f t="shared" ca="1" si="77"/>
        <v>D</v>
      </c>
      <c r="D348" s="14" t="str">
        <f t="shared" ca="1" si="78"/>
        <v>q_81d</v>
      </c>
      <c r="E348" s="14" t="str">
        <f t="shared" ca="1" si="75"/>
        <v>Lives near waste incinerators</v>
      </c>
      <c r="F348" s="14">
        <f t="shared" ca="1" si="74"/>
        <v>2</v>
      </c>
      <c r="G348" s="14" t="str">
        <f t="shared" ca="1" si="79"/>
        <v>q_81d</v>
      </c>
      <c r="H348" s="14">
        <f ca="1">IF(G348&lt;&gt;"",IFERROR( IsVariableNameLegal(G348),0),0)+IF(COUNTIF(INDIRECT(wew!$C$13),G348)&gt;1,10,0)</f>
        <v>0</v>
      </c>
      <c r="I348" s="14">
        <f ca="1">IF(E348&lt;&gt;"",IF(LEN(E348)&gt;150,1,0)+IF(COUNTIF(INDIRECT(wew!$C$15),E348)&gt;1,10,0),0)</f>
        <v>10</v>
      </c>
      <c r="J348" s="14" t="b">
        <f t="shared" ca="1" si="80"/>
        <v>1</v>
      </c>
      <c r="K348" s="14" t="str">
        <f ca="1">ADDRESS(3,(B348+1)*2-1,4,,"[" &amp; wew!$G$7 &amp; "]" &amp; _sheetname_labels) &amp; ":" &amp; ADDRESS(2+ster!$B$20,(B348+1)*2-1,4)</f>
        <v>'[dane surowe2c.xlsm]labels'!ZQ3:ZQ36</v>
      </c>
      <c r="L348" s="14" t="str">
        <f ca="1">IF(F348&gt;0,ADDRESS(3,(B348+1)*2-1,4,,"[" &amp; wew!$G$7 &amp; "]" &amp; _sheetname_labels) &amp; ":" &amp; ADDRESS(2+F348,(B348+1)*2-1,4),"")</f>
        <v>'[dane surowe2c.xlsm]labels'!ZQ3:ZQ4</v>
      </c>
      <c r="M348" s="14" t="str">
        <f ca="1">IF(F348&gt;0,ADDRESS(3,(B348+1)*2,4,,"["&amp;wew!$G$7&amp;"]"&amp;_sheetname_labels)&amp;":"&amp;ADDRESS(2+F348,(B348+1)*2,4),"")</f>
        <v>'[dane surowe2c.xlsm]labels'!ZR3:ZR4</v>
      </c>
      <c r="N348" s="14" t="str">
        <f ca="1">ADDRESS(3,B348+1,4,,"[" &amp; wew!$G$7 &amp; "]" &amp;_sheetname_dataframe) &amp; ":" &amp; ADDRESS(2+ster!$C$14,B348+1,4)</f>
        <v>'[dane surowe2c.xlsm]data_frame'!MI3:MI35</v>
      </c>
      <c r="O348" s="14">
        <f t="shared" ca="1" si="81"/>
        <v>32</v>
      </c>
      <c r="P348" s="14">
        <f ca="1">IF(AND($AD348,$S348=1),IF(wew!$B$3,MIN(INDIRECT($N348)),"&lt;włącz podświetlanie wartości&gt;"),"—")</f>
        <v>2</v>
      </c>
      <c r="Q348" s="14">
        <f ca="1">IF(AND($AD348,$S348=1),IF(wew!$B$3,MAX(INDIRECT($N348)),"&lt;włącz podświetlanie wartości&gt;"),"—")</f>
        <v>2</v>
      </c>
      <c r="R348" s="14">
        <f ca="1">IF(AD348,ster!$C$14- (COUNTIF( INDIRECT(N348),"" )+ COUNT(INDIRECT(N348)) +COUNTIF( INDIRECT(N348),"NA" )),"")</f>
        <v>0</v>
      </c>
      <c r="S348" s="12">
        <f ca="1">IF(AD348,IF(COUNTA(INDIRECT(N348))=0,0, 1-(ster!$C$14- COUNT(INDIRECT(N348)) -COUNTIF( INDIRECT(N348),"" )) /COUNTA(INDIRECT(N348))),"")</f>
        <v>1</v>
      </c>
      <c r="T348" s="17">
        <f t="array" aca="1" ref="T348" ca="1">IF(L348&lt;&gt;"",SUM(IF(INDIRECT(L348)&lt;&gt;INT(INDIRECT(L348)),1,0)),"")</f>
        <v>0</v>
      </c>
      <c r="U348" s="17">
        <f t="array" aca="1" ref="U348" ca="1">IF(S348=1,SUM(IF(ISNUMBER(INDIRECT(N348)),IF(INDIRECT(N348)&lt;&gt;INT(INDIRECT(N348)),1,0),0)),"")</f>
        <v>0</v>
      </c>
      <c r="V348" s="17">
        <f t="shared" ca="1" si="82"/>
        <v>1</v>
      </c>
      <c r="W348" s="17">
        <f t="shared" ca="1" si="83"/>
        <v>0</v>
      </c>
      <c r="X348" s="24">
        <f t="array" aca="1" ref="X348" ca="1">IF(AD348,IF(AG348&lt;&gt;"",AG348,IF(J348,MIN(INDIRECT( K348)),"")),"")</f>
        <v>1</v>
      </c>
      <c r="Y348" s="17">
        <f t="array" aca="1" ref="Y348" ca="1">IF(AD348,IF(AH348&lt;&gt;"",AH348,IF(J348,MAX(INDIRECT( K348)),"")),"")</f>
        <v>2</v>
      </c>
      <c r="Z348" s="17" t="b">
        <f t="shared" ca="1" si="84"/>
        <v>1</v>
      </c>
      <c r="AC348" s="17" t="b">
        <f t="shared" ca="1" si="85"/>
        <v>0</v>
      </c>
      <c r="AD348" s="14" t="b">
        <f t="shared" ca="1" si="86"/>
        <v>1</v>
      </c>
      <c r="AE348" s="15" t="b">
        <f t="shared" ca="1" si="87"/>
        <v>1</v>
      </c>
      <c r="AF348" s="16"/>
      <c r="AG348" s="16"/>
      <c r="AH348" s="16"/>
      <c r="AI348" s="16"/>
      <c r="AJ348" s="16"/>
      <c r="AK348" s="16"/>
      <c r="AL348" s="16"/>
      <c r="AM348" s="16"/>
    </row>
    <row r="349" spans="2:39">
      <c r="B349" s="14">
        <f t="shared" si="76"/>
        <v>347</v>
      </c>
      <c r="C349" s="14" t="str">
        <f t="shared" ca="1" si="77"/>
        <v>D</v>
      </c>
      <c r="D349" s="14" t="str">
        <f t="shared" ca="1" si="78"/>
        <v>q_81e</v>
      </c>
      <c r="E349" s="14" t="str">
        <f t="shared" ca="1" si="75"/>
        <v>Lives near source of EM fields</v>
      </c>
      <c r="F349" s="14">
        <f t="shared" ca="1" si="74"/>
        <v>2</v>
      </c>
      <c r="G349" s="14" t="str">
        <f t="shared" ca="1" si="79"/>
        <v>q_81e</v>
      </c>
      <c r="H349" s="14">
        <f ca="1">IF(G349&lt;&gt;"",IFERROR( IsVariableNameLegal(G349),0),0)+IF(COUNTIF(INDIRECT(wew!$C$13),G349)&gt;1,10,0)</f>
        <v>0</v>
      </c>
      <c r="I349" s="14">
        <f ca="1">IF(E349&lt;&gt;"",IF(LEN(E349)&gt;150,1,0)+IF(COUNTIF(INDIRECT(wew!$C$15),E349)&gt;1,10,0),0)</f>
        <v>10</v>
      </c>
      <c r="J349" s="14" t="b">
        <f t="shared" ca="1" si="80"/>
        <v>1</v>
      </c>
      <c r="K349" s="14" t="str">
        <f ca="1">ADDRESS(3,(B349+1)*2-1,4,,"[" &amp; wew!$G$7 &amp; "]" &amp; _sheetname_labels) &amp; ":" &amp; ADDRESS(2+ster!$B$20,(B349+1)*2-1,4)</f>
        <v>'[dane surowe2c.xlsm]labels'!ZS3:ZS36</v>
      </c>
      <c r="L349" s="14" t="str">
        <f ca="1">IF(F349&gt;0,ADDRESS(3,(B349+1)*2-1,4,,"[" &amp; wew!$G$7 &amp; "]" &amp; _sheetname_labels) &amp; ":" &amp; ADDRESS(2+F349,(B349+1)*2-1,4),"")</f>
        <v>'[dane surowe2c.xlsm]labels'!ZS3:ZS4</v>
      </c>
      <c r="M349" s="14" t="str">
        <f ca="1">IF(F349&gt;0,ADDRESS(3,(B349+1)*2,4,,"["&amp;wew!$G$7&amp;"]"&amp;_sheetname_labels)&amp;":"&amp;ADDRESS(2+F349,(B349+1)*2,4),"")</f>
        <v>'[dane surowe2c.xlsm]labels'!ZT3:ZT4</v>
      </c>
      <c r="N349" s="14" t="str">
        <f ca="1">ADDRESS(3,B349+1,4,,"[" &amp; wew!$G$7 &amp; "]" &amp;_sheetname_dataframe) &amp; ":" &amp; ADDRESS(2+ster!$C$14,B349+1,4)</f>
        <v>'[dane surowe2c.xlsm]data_frame'!MJ3:MJ35</v>
      </c>
      <c r="O349" s="14">
        <f t="shared" ca="1" si="81"/>
        <v>32</v>
      </c>
      <c r="P349" s="14">
        <f ca="1">IF(AND($AD349,$S349=1),IF(wew!$B$3,MIN(INDIRECT($N349)),"&lt;włącz podświetlanie wartości&gt;"),"—")</f>
        <v>2</v>
      </c>
      <c r="Q349" s="14">
        <f ca="1">IF(AND($AD349,$S349=1),IF(wew!$B$3,MAX(INDIRECT($N349)),"&lt;włącz podświetlanie wartości&gt;"),"—")</f>
        <v>2</v>
      </c>
      <c r="R349" s="14">
        <f ca="1">IF(AD349,ster!$C$14- (COUNTIF( INDIRECT(N349),"" )+ COUNT(INDIRECT(N349)) +COUNTIF( INDIRECT(N349),"NA" )),"")</f>
        <v>0</v>
      </c>
      <c r="S349" s="12">
        <f ca="1">IF(AD349,IF(COUNTA(INDIRECT(N349))=0,0, 1-(ster!$C$14- COUNT(INDIRECT(N349)) -COUNTIF( INDIRECT(N349),"" )) /COUNTA(INDIRECT(N349))),"")</f>
        <v>1</v>
      </c>
      <c r="T349" s="17">
        <f t="array" aca="1" ref="T349" ca="1">IF(L349&lt;&gt;"",SUM(IF(INDIRECT(L349)&lt;&gt;INT(INDIRECT(L349)),1,0)),"")</f>
        <v>0</v>
      </c>
      <c r="U349" s="17">
        <f t="array" aca="1" ref="U349" ca="1">IF(S349=1,SUM(IF(ISNUMBER(INDIRECT(N349)),IF(INDIRECT(N349)&lt;&gt;INT(INDIRECT(N349)),1,0),0)),"")</f>
        <v>0</v>
      </c>
      <c r="V349" s="17">
        <f t="shared" ca="1" si="82"/>
        <v>1</v>
      </c>
      <c r="W349" s="17">
        <f t="shared" ca="1" si="83"/>
        <v>0</v>
      </c>
      <c r="X349" s="24">
        <f t="array" aca="1" ref="X349" ca="1">IF(AD349,IF(AG349&lt;&gt;"",AG349,IF(J349,MIN(INDIRECT( K349)),"")),"")</f>
        <v>1</v>
      </c>
      <c r="Y349" s="17">
        <f t="array" aca="1" ref="Y349" ca="1">IF(AD349,IF(AH349&lt;&gt;"",AH349,IF(J349,MAX(INDIRECT( K349)),"")),"")</f>
        <v>2</v>
      </c>
      <c r="Z349" s="17" t="b">
        <f t="shared" ca="1" si="84"/>
        <v>1</v>
      </c>
      <c r="AC349" s="17" t="b">
        <f t="shared" ca="1" si="85"/>
        <v>0</v>
      </c>
      <c r="AD349" s="14" t="b">
        <f t="shared" ca="1" si="86"/>
        <v>1</v>
      </c>
      <c r="AE349" s="15" t="b">
        <f t="shared" ca="1" si="87"/>
        <v>1</v>
      </c>
      <c r="AF349" s="16"/>
      <c r="AG349" s="16"/>
      <c r="AH349" s="16"/>
      <c r="AI349" s="16"/>
      <c r="AJ349" s="16"/>
      <c r="AK349" s="16"/>
      <c r="AL349" s="16"/>
      <c r="AM349" s="16"/>
    </row>
    <row r="350" spans="2:39">
      <c r="B350" s="14">
        <f t="shared" si="76"/>
        <v>348</v>
      </c>
      <c r="C350" s="14" t="str">
        <f t="shared" ca="1" si="77"/>
        <v>N</v>
      </c>
      <c r="D350" s="14" t="str">
        <f t="shared" ca="1" si="78"/>
        <v>q_82</v>
      </c>
      <c r="E350" s="14" t="str">
        <f t="shared" ca="1" si="75"/>
        <v xml:space="preserve">Place of living </v>
      </c>
      <c r="F350" s="14">
        <f t="shared" ca="1" si="74"/>
        <v>5</v>
      </c>
      <c r="G350" s="14" t="str">
        <f t="shared" ca="1" si="79"/>
        <v>q_82</v>
      </c>
      <c r="H350" s="14">
        <f ca="1">IF(G350&lt;&gt;"",IFERROR( IsVariableNameLegal(G350),0),0)+IF(COUNTIF(INDIRECT(wew!$C$13),G350)&gt;1,10,0)</f>
        <v>0</v>
      </c>
      <c r="I350" s="14">
        <f ca="1">IF(E350&lt;&gt;"",IF(LEN(E350)&gt;150,1,0)+IF(COUNTIF(INDIRECT(wew!$C$15),E350)&gt;1,10,0),0)</f>
        <v>10</v>
      </c>
      <c r="J350" s="14" t="b">
        <f t="shared" ca="1" si="80"/>
        <v>1</v>
      </c>
      <c r="K350" s="14" t="str">
        <f ca="1">ADDRESS(3,(B350+1)*2-1,4,,"[" &amp; wew!$G$7 &amp; "]" &amp; _sheetname_labels) &amp; ":" &amp; ADDRESS(2+ster!$B$20,(B350+1)*2-1,4)</f>
        <v>'[dane surowe2c.xlsm]labels'!ZU3:ZU36</v>
      </c>
      <c r="L350" s="14" t="str">
        <f ca="1">IF(F350&gt;0,ADDRESS(3,(B350+1)*2-1,4,,"[" &amp; wew!$G$7 &amp; "]" &amp; _sheetname_labels) &amp; ":" &amp; ADDRESS(2+F350,(B350+1)*2-1,4),"")</f>
        <v>'[dane surowe2c.xlsm]labels'!ZU3:ZU7</v>
      </c>
      <c r="M350" s="14" t="str">
        <f ca="1">IF(F350&gt;0,ADDRESS(3,(B350+1)*2,4,,"["&amp;wew!$G$7&amp;"]"&amp;_sheetname_labels)&amp;":"&amp;ADDRESS(2+F350,(B350+1)*2,4),"")</f>
        <v>'[dane surowe2c.xlsm]labels'!ZV3:ZV7</v>
      </c>
      <c r="N350" s="14" t="str">
        <f ca="1">ADDRESS(3,B350+1,4,,"[" &amp; wew!$G$7 &amp; "]" &amp;_sheetname_dataframe) &amp; ":" &amp; ADDRESS(2+ster!$C$14,B350+1,4)</f>
        <v>'[dane surowe2c.xlsm]data_frame'!MK3:MK35</v>
      </c>
      <c r="O350" s="14">
        <f t="shared" ca="1" si="81"/>
        <v>32</v>
      </c>
      <c r="P350" s="14">
        <f ca="1">IF(AND($AD350,$S350=1),IF(wew!$B$3,MIN(INDIRECT($N350)),"&lt;włącz podświetlanie wartości&gt;"),"—")</f>
        <v>1</v>
      </c>
      <c r="Q350" s="14">
        <f ca="1">IF(AND($AD350,$S350=1),IF(wew!$B$3,MAX(INDIRECT($N350)),"&lt;włącz podświetlanie wartości&gt;"),"—")</f>
        <v>5</v>
      </c>
      <c r="R350" s="14">
        <f ca="1">IF(AD350,ster!$C$14- (COUNTIF( INDIRECT(N350),"" )+ COUNT(INDIRECT(N350)) +COUNTIF( INDIRECT(N350),"NA" )),"")</f>
        <v>0</v>
      </c>
      <c r="S350" s="12">
        <f ca="1">IF(AD350,IF(COUNTA(INDIRECT(N350))=0,0, 1-(ster!$C$14- COUNT(INDIRECT(N350)) -COUNTIF( INDIRECT(N350),"" )) /COUNTA(INDIRECT(N350))),"")</f>
        <v>1</v>
      </c>
      <c r="T350" s="17">
        <f t="array" aca="1" ref="T350" ca="1">IF(L350&lt;&gt;"",SUM(IF(INDIRECT(L350)&lt;&gt;INT(INDIRECT(L350)),1,0)),"")</f>
        <v>0</v>
      </c>
      <c r="U350" s="17">
        <f t="array" aca="1" ref="U350" ca="1">IF(S350=1,SUM(IF(ISNUMBER(INDIRECT(N350)),IF(INDIRECT(N350)&lt;&gt;INT(INDIRECT(N350)),1,0),0)),"")</f>
        <v>0</v>
      </c>
      <c r="V350" s="17">
        <f t="shared" ca="1" si="82"/>
        <v>1</v>
      </c>
      <c r="W350" s="17">
        <f t="shared" ca="1" si="83"/>
        <v>0</v>
      </c>
      <c r="X350" s="24">
        <f t="array" aca="1" ref="X350" ca="1">IF(AD350,IF(AG350&lt;&gt;"",AG350,IF(J350,MIN(INDIRECT( K350)),"")),"")</f>
        <v>1</v>
      </c>
      <c r="Y350" s="17">
        <f t="array" aca="1" ref="Y350" ca="1">IF(AD350,IF(AH350&lt;&gt;"",AH350,IF(J350,MAX(INDIRECT( K350)),"")),"")</f>
        <v>5</v>
      </c>
      <c r="Z350" s="17" t="b">
        <f t="shared" ca="1" si="84"/>
        <v>1</v>
      </c>
      <c r="AC350" s="17" t="b">
        <f t="shared" ca="1" si="85"/>
        <v>0</v>
      </c>
      <c r="AD350" s="14" t="b">
        <f t="shared" ca="1" si="86"/>
        <v>1</v>
      </c>
      <c r="AE350" s="15" t="b">
        <f t="shared" ca="1" si="87"/>
        <v>1</v>
      </c>
      <c r="AF350" s="16"/>
      <c r="AG350" s="16"/>
      <c r="AH350" s="16"/>
      <c r="AI350" s="16"/>
      <c r="AJ350" s="16"/>
      <c r="AK350" s="16"/>
      <c r="AL350" s="16"/>
      <c r="AM350" s="16"/>
    </row>
    <row r="351" spans="2:39">
      <c r="B351" s="14">
        <f t="shared" si="76"/>
        <v>349</v>
      </c>
      <c r="C351" s="14" t="str">
        <f t="shared" ca="1" si="77"/>
        <v>D</v>
      </c>
      <c r="D351" s="14" t="str">
        <f t="shared" ca="1" si="78"/>
        <v>q_82a</v>
      </c>
      <c r="E351" s="14" t="str">
        <f t="shared" ca="1" si="75"/>
        <v>Lives in Rural Area/Urban</v>
      </c>
      <c r="F351" s="14">
        <f t="shared" ca="1" si="74"/>
        <v>2</v>
      </c>
      <c r="G351" s="14" t="str">
        <f t="shared" ca="1" si="79"/>
        <v>q_82a</v>
      </c>
      <c r="H351" s="14">
        <f ca="1">IF(G351&lt;&gt;"",IFERROR( IsVariableNameLegal(G351),0),0)+IF(COUNTIF(INDIRECT(wew!$C$13),G351)&gt;1,10,0)</f>
        <v>0</v>
      </c>
      <c r="I351" s="14">
        <f ca="1">IF(E351&lt;&gt;"",IF(LEN(E351)&gt;150,1,0)+IF(COUNTIF(INDIRECT(wew!$C$15),E351)&gt;1,10,0),0)</f>
        <v>10</v>
      </c>
      <c r="J351" s="14" t="b">
        <f t="shared" ca="1" si="80"/>
        <v>1</v>
      </c>
      <c r="K351" s="14" t="str">
        <f ca="1">ADDRESS(3,(B351+1)*2-1,4,,"[" &amp; wew!$G$7 &amp; "]" &amp; _sheetname_labels) &amp; ":" &amp; ADDRESS(2+ster!$B$20,(B351+1)*2-1,4)</f>
        <v>'[dane surowe2c.xlsm]labels'!ZW3:ZW36</v>
      </c>
      <c r="L351" s="14" t="str">
        <f ca="1">IF(F351&gt;0,ADDRESS(3,(B351+1)*2-1,4,,"[" &amp; wew!$G$7 &amp; "]" &amp; _sheetname_labels) &amp; ":" &amp; ADDRESS(2+F351,(B351+1)*2-1,4),"")</f>
        <v>'[dane surowe2c.xlsm]labels'!ZW3:ZW4</v>
      </c>
      <c r="M351" s="14" t="str">
        <f ca="1">IF(F351&gt;0,ADDRESS(3,(B351+1)*2,4,,"["&amp;wew!$G$7&amp;"]"&amp;_sheetname_labels)&amp;":"&amp;ADDRESS(2+F351,(B351+1)*2,4),"")</f>
        <v>'[dane surowe2c.xlsm]labels'!ZX3:ZX4</v>
      </c>
      <c r="N351" s="14" t="str">
        <f ca="1">ADDRESS(3,B351+1,4,,"[" &amp; wew!$G$7 &amp; "]" &amp;_sheetname_dataframe) &amp; ":" &amp; ADDRESS(2+ster!$C$14,B351+1,4)</f>
        <v>'[dane surowe2c.xlsm]data_frame'!ML3:ML35</v>
      </c>
      <c r="O351" s="14">
        <f t="shared" ca="1" si="81"/>
        <v>32</v>
      </c>
      <c r="P351" s="14">
        <f ca="1">IF(AND($AD351,$S351=1),IF(wew!$B$3,MIN(INDIRECT($N351)),"&lt;włącz podświetlanie wartości&gt;"),"—")</f>
        <v>1</v>
      </c>
      <c r="Q351" s="14">
        <f ca="1">IF(AND($AD351,$S351=1),IF(wew!$B$3,MAX(INDIRECT($N351)),"&lt;włącz podświetlanie wartości&gt;"),"—")</f>
        <v>2</v>
      </c>
      <c r="R351" s="14">
        <f ca="1">IF(AD351,ster!$C$14- (COUNTIF( INDIRECT(N351),"" )+ COUNT(INDIRECT(N351)) +COUNTIF( INDIRECT(N351),"NA" )),"")</f>
        <v>0</v>
      </c>
      <c r="S351" s="12">
        <f ca="1">IF(AD351,IF(COUNTA(INDIRECT(N351))=0,0, 1-(ster!$C$14- COUNT(INDIRECT(N351)) -COUNTIF( INDIRECT(N351),"" )) /COUNTA(INDIRECT(N351))),"")</f>
        <v>1</v>
      </c>
      <c r="T351" s="17">
        <f t="array" aca="1" ref="T351" ca="1">IF(L351&lt;&gt;"",SUM(IF(INDIRECT(L351)&lt;&gt;INT(INDIRECT(L351)),1,0)),"")</f>
        <v>0</v>
      </c>
      <c r="U351" s="17">
        <f t="array" aca="1" ref="U351" ca="1">IF(S351=1,SUM(IF(ISNUMBER(INDIRECT(N351)),IF(INDIRECT(N351)&lt;&gt;INT(INDIRECT(N351)),1,0),0)),"")</f>
        <v>0</v>
      </c>
      <c r="V351" s="17">
        <f t="shared" ca="1" si="82"/>
        <v>1</v>
      </c>
      <c r="W351" s="17">
        <f t="shared" ca="1" si="83"/>
        <v>0</v>
      </c>
      <c r="X351" s="24">
        <f t="array" aca="1" ref="X351" ca="1">IF(AD351,IF(AG351&lt;&gt;"",AG351,IF(J351,MIN(INDIRECT( K351)),"")),"")</f>
        <v>1</v>
      </c>
      <c r="Y351" s="17">
        <f t="array" aca="1" ref="Y351" ca="1">IF(AD351,IF(AH351&lt;&gt;"",AH351,IF(J351,MAX(INDIRECT( K351)),"")),"")</f>
        <v>2</v>
      </c>
      <c r="Z351" s="17" t="b">
        <f t="shared" ca="1" si="84"/>
        <v>1</v>
      </c>
      <c r="AC351" s="17" t="b">
        <f t="shared" ca="1" si="85"/>
        <v>0</v>
      </c>
      <c r="AD351" s="14" t="b">
        <f t="shared" ca="1" si="86"/>
        <v>1</v>
      </c>
      <c r="AE351" s="15" t="b">
        <f t="shared" ca="1" si="87"/>
        <v>1</v>
      </c>
      <c r="AF351" s="16"/>
      <c r="AG351" s="16"/>
      <c r="AH351" s="16"/>
      <c r="AI351" s="16"/>
      <c r="AJ351" s="16"/>
      <c r="AK351" s="16"/>
      <c r="AL351" s="16"/>
      <c r="AM351" s="16"/>
    </row>
    <row r="352" spans="2:39">
      <c r="B352" s="14">
        <f t="shared" si="76"/>
        <v>350</v>
      </c>
      <c r="C352" s="14" t="str">
        <f t="shared" ca="1" si="77"/>
        <v>D</v>
      </c>
      <c r="D352" s="14" t="str">
        <f t="shared" ca="1" si="78"/>
        <v>q_82b</v>
      </c>
      <c r="E352" s="14" t="str">
        <f t="shared" ca="1" si="75"/>
        <v>Lives near sewege plant</v>
      </c>
      <c r="F352" s="14">
        <f t="shared" ca="1" si="74"/>
        <v>2</v>
      </c>
      <c r="G352" s="14" t="str">
        <f t="shared" ca="1" si="79"/>
        <v>q_82b</v>
      </c>
      <c r="H352" s="14">
        <f ca="1">IF(G352&lt;&gt;"",IFERROR( IsVariableNameLegal(G352),0),0)+IF(COUNTIF(INDIRECT(wew!$C$13),G352)&gt;1,10,0)</f>
        <v>0</v>
      </c>
      <c r="I352" s="14">
        <f ca="1">IF(E352&lt;&gt;"",IF(LEN(E352)&gt;150,1,0)+IF(COUNTIF(INDIRECT(wew!$C$15),E352)&gt;1,10,0),0)</f>
        <v>10</v>
      </c>
      <c r="J352" s="14" t="b">
        <f t="shared" ca="1" si="80"/>
        <v>1</v>
      </c>
      <c r="K352" s="14" t="str">
        <f ca="1">ADDRESS(3,(B352+1)*2-1,4,,"[" &amp; wew!$G$7 &amp; "]" &amp; _sheetname_labels) &amp; ":" &amp; ADDRESS(2+ster!$B$20,(B352+1)*2-1,4)</f>
        <v>'[dane surowe2c.xlsm]labels'!ZY3:ZY36</v>
      </c>
      <c r="L352" s="14" t="str">
        <f ca="1">IF(F352&gt;0,ADDRESS(3,(B352+1)*2-1,4,,"[" &amp; wew!$G$7 &amp; "]" &amp; _sheetname_labels) &amp; ":" &amp; ADDRESS(2+F352,(B352+1)*2-1,4),"")</f>
        <v>'[dane surowe2c.xlsm]labels'!ZY3:ZY4</v>
      </c>
      <c r="M352" s="14" t="str">
        <f ca="1">IF(F352&gt;0,ADDRESS(3,(B352+1)*2,4,,"["&amp;wew!$G$7&amp;"]"&amp;_sheetname_labels)&amp;":"&amp;ADDRESS(2+F352,(B352+1)*2,4),"")</f>
        <v>'[dane surowe2c.xlsm]labels'!ZZ3:ZZ4</v>
      </c>
      <c r="N352" s="14" t="str">
        <f ca="1">ADDRESS(3,B352+1,4,,"[" &amp; wew!$G$7 &amp; "]" &amp;_sheetname_dataframe) &amp; ":" &amp; ADDRESS(2+ster!$C$14,B352+1,4)</f>
        <v>'[dane surowe2c.xlsm]data_frame'!MM3:MM35</v>
      </c>
      <c r="O352" s="14">
        <f t="shared" ca="1" si="81"/>
        <v>32</v>
      </c>
      <c r="P352" s="14">
        <f ca="1">IF(AND($AD352,$S352=1),IF(wew!$B$3,MIN(INDIRECT($N352)),"&lt;włącz podświetlanie wartości&gt;"),"—")</f>
        <v>2</v>
      </c>
      <c r="Q352" s="14">
        <f ca="1">IF(AND($AD352,$S352=1),IF(wew!$B$3,MAX(INDIRECT($N352)),"&lt;włącz podświetlanie wartości&gt;"),"—")</f>
        <v>2</v>
      </c>
      <c r="R352" s="14">
        <f ca="1">IF(AD352,ster!$C$14- (COUNTIF( INDIRECT(N352),"" )+ COUNT(INDIRECT(N352)) +COUNTIF( INDIRECT(N352),"NA" )),"")</f>
        <v>0</v>
      </c>
      <c r="S352" s="12">
        <f ca="1">IF(AD352,IF(COUNTA(INDIRECT(N352))=0,0, 1-(ster!$C$14- COUNT(INDIRECT(N352)) -COUNTIF( INDIRECT(N352),"" )) /COUNTA(INDIRECT(N352))),"")</f>
        <v>1</v>
      </c>
      <c r="T352" s="17">
        <f t="array" aca="1" ref="T352" ca="1">IF(L352&lt;&gt;"",SUM(IF(INDIRECT(L352)&lt;&gt;INT(INDIRECT(L352)),1,0)),"")</f>
        <v>0</v>
      </c>
      <c r="U352" s="17">
        <f t="array" aca="1" ref="U352" ca="1">IF(S352=1,SUM(IF(ISNUMBER(INDIRECT(N352)),IF(INDIRECT(N352)&lt;&gt;INT(INDIRECT(N352)),1,0),0)),"")</f>
        <v>0</v>
      </c>
      <c r="V352" s="17">
        <f t="shared" ca="1" si="82"/>
        <v>1</v>
      </c>
      <c r="W352" s="17">
        <f t="shared" ca="1" si="83"/>
        <v>0</v>
      </c>
      <c r="X352" s="24">
        <f t="array" aca="1" ref="X352" ca="1">IF(AD352,IF(AG352&lt;&gt;"",AG352,IF(J352,MIN(INDIRECT( K352)),"")),"")</f>
        <v>1</v>
      </c>
      <c r="Y352" s="17">
        <f t="array" aca="1" ref="Y352" ca="1">IF(AD352,IF(AH352&lt;&gt;"",AH352,IF(J352,MAX(INDIRECT( K352)),"")),"")</f>
        <v>2</v>
      </c>
      <c r="Z352" s="17" t="b">
        <f t="shared" ca="1" si="84"/>
        <v>1</v>
      </c>
      <c r="AC352" s="17" t="b">
        <f t="shared" ca="1" si="85"/>
        <v>0</v>
      </c>
      <c r="AD352" s="14" t="b">
        <f t="shared" ca="1" si="86"/>
        <v>1</v>
      </c>
      <c r="AE352" s="15" t="b">
        <f t="shared" ca="1" si="87"/>
        <v>1</v>
      </c>
      <c r="AF352" s="16"/>
      <c r="AG352" s="16"/>
      <c r="AH352" s="16"/>
      <c r="AI352" s="16"/>
      <c r="AJ352" s="16"/>
      <c r="AK352" s="16"/>
      <c r="AL352" s="16"/>
      <c r="AM352" s="16"/>
    </row>
    <row r="353" spans="2:39">
      <c r="B353" s="14">
        <f t="shared" si="76"/>
        <v>351</v>
      </c>
      <c r="C353" s="14" t="str">
        <f t="shared" ca="1" si="77"/>
        <v>D</v>
      </c>
      <c r="D353" s="14" t="str">
        <f t="shared" ca="1" si="78"/>
        <v>q_82c</v>
      </c>
      <c r="E353" s="14" t="str">
        <f t="shared" ca="1" si="75"/>
        <v>Lives near landfills</v>
      </c>
      <c r="F353" s="14">
        <f t="shared" ca="1" si="74"/>
        <v>2</v>
      </c>
      <c r="G353" s="14" t="str">
        <f t="shared" ca="1" si="79"/>
        <v>q_82c</v>
      </c>
      <c r="H353" s="14">
        <f ca="1">IF(G353&lt;&gt;"",IFERROR( IsVariableNameLegal(G353),0),0)+IF(COUNTIF(INDIRECT(wew!$C$13),G353)&gt;1,10,0)</f>
        <v>0</v>
      </c>
      <c r="I353" s="14">
        <f ca="1">IF(E353&lt;&gt;"",IF(LEN(E353)&gt;150,1,0)+IF(COUNTIF(INDIRECT(wew!$C$15),E353)&gt;1,10,0),0)</f>
        <v>10</v>
      </c>
      <c r="J353" s="14" t="b">
        <f t="shared" ca="1" si="80"/>
        <v>1</v>
      </c>
      <c r="K353" s="14" t="str">
        <f ca="1">ADDRESS(3,(B353+1)*2-1,4,,"[" &amp; wew!$G$7 &amp; "]" &amp; _sheetname_labels) &amp; ":" &amp; ADDRESS(2+ster!$B$20,(B353+1)*2-1,4)</f>
        <v>'[dane surowe2c.xlsm]labels'!AAA3:AAA36</v>
      </c>
      <c r="L353" s="14" t="str">
        <f ca="1">IF(F353&gt;0,ADDRESS(3,(B353+1)*2-1,4,,"[" &amp; wew!$G$7 &amp; "]" &amp; _sheetname_labels) &amp; ":" &amp; ADDRESS(2+F353,(B353+1)*2-1,4),"")</f>
        <v>'[dane surowe2c.xlsm]labels'!AAA3:AAA4</v>
      </c>
      <c r="M353" s="14" t="str">
        <f ca="1">IF(F353&gt;0,ADDRESS(3,(B353+1)*2,4,,"["&amp;wew!$G$7&amp;"]"&amp;_sheetname_labels)&amp;":"&amp;ADDRESS(2+F353,(B353+1)*2,4),"")</f>
        <v>'[dane surowe2c.xlsm]labels'!AAB3:AAB4</v>
      </c>
      <c r="N353" s="14" t="str">
        <f ca="1">ADDRESS(3,B353+1,4,,"[" &amp; wew!$G$7 &amp; "]" &amp;_sheetname_dataframe) &amp; ":" &amp; ADDRESS(2+ster!$C$14,B353+1,4)</f>
        <v>'[dane surowe2c.xlsm]data_frame'!MN3:MN35</v>
      </c>
      <c r="O353" s="14">
        <f t="shared" ca="1" si="81"/>
        <v>32</v>
      </c>
      <c r="P353" s="14">
        <f ca="1">IF(AND($AD353,$S353=1),IF(wew!$B$3,MIN(INDIRECT($N353)),"&lt;włącz podświetlanie wartości&gt;"),"—")</f>
        <v>2</v>
      </c>
      <c r="Q353" s="14">
        <f ca="1">IF(AND($AD353,$S353=1),IF(wew!$B$3,MAX(INDIRECT($N353)),"&lt;włącz podświetlanie wartości&gt;"),"—")</f>
        <v>2</v>
      </c>
      <c r="R353" s="14">
        <f ca="1">IF(AD353,ster!$C$14- (COUNTIF( INDIRECT(N353),"" )+ COUNT(INDIRECT(N353)) +COUNTIF( INDIRECT(N353),"NA" )),"")</f>
        <v>0</v>
      </c>
      <c r="S353" s="12">
        <f ca="1">IF(AD353,IF(COUNTA(INDIRECT(N353))=0,0, 1-(ster!$C$14- COUNT(INDIRECT(N353)) -COUNTIF( INDIRECT(N353),"" )) /COUNTA(INDIRECT(N353))),"")</f>
        <v>1</v>
      </c>
      <c r="T353" s="17">
        <f t="array" aca="1" ref="T353" ca="1">IF(L353&lt;&gt;"",SUM(IF(INDIRECT(L353)&lt;&gt;INT(INDIRECT(L353)),1,0)),"")</f>
        <v>0</v>
      </c>
      <c r="U353" s="17">
        <f t="array" aca="1" ref="U353" ca="1">IF(S353=1,SUM(IF(ISNUMBER(INDIRECT(N353)),IF(INDIRECT(N353)&lt;&gt;INT(INDIRECT(N353)),1,0),0)),"")</f>
        <v>0</v>
      </c>
      <c r="V353" s="17">
        <f t="shared" ca="1" si="82"/>
        <v>1</v>
      </c>
      <c r="W353" s="17">
        <f t="shared" ca="1" si="83"/>
        <v>0</v>
      </c>
      <c r="X353" s="24">
        <f t="array" aca="1" ref="X353" ca="1">IF(AD353,IF(AG353&lt;&gt;"",AG353,IF(J353,MIN(INDIRECT( K353)),"")),"")</f>
        <v>1</v>
      </c>
      <c r="Y353" s="17">
        <f t="array" aca="1" ref="Y353" ca="1">IF(AD353,IF(AH353&lt;&gt;"",AH353,IF(J353,MAX(INDIRECT( K353)),"")),"")</f>
        <v>2</v>
      </c>
      <c r="Z353" s="17" t="b">
        <f t="shared" ca="1" si="84"/>
        <v>1</v>
      </c>
      <c r="AC353" s="17" t="b">
        <f t="shared" ca="1" si="85"/>
        <v>0</v>
      </c>
      <c r="AD353" s="14" t="b">
        <f t="shared" ca="1" si="86"/>
        <v>1</v>
      </c>
      <c r="AE353" s="15" t="b">
        <f t="shared" ca="1" si="87"/>
        <v>1</v>
      </c>
      <c r="AF353" s="16"/>
      <c r="AG353" s="16"/>
      <c r="AH353" s="16"/>
      <c r="AI353" s="16"/>
      <c r="AJ353" s="16"/>
      <c r="AK353" s="16"/>
      <c r="AL353" s="16"/>
      <c r="AM353" s="16"/>
    </row>
    <row r="354" spans="2:39">
      <c r="B354" s="14">
        <f t="shared" si="76"/>
        <v>352</v>
      </c>
      <c r="C354" s="14" t="str">
        <f t="shared" ca="1" si="77"/>
        <v>D</v>
      </c>
      <c r="D354" s="14" t="str">
        <f t="shared" ca="1" si="78"/>
        <v>q_82d</v>
      </c>
      <c r="E354" s="14" t="str">
        <f t="shared" ca="1" si="75"/>
        <v>Lives near waste incinerators</v>
      </c>
      <c r="F354" s="14">
        <f t="shared" ca="1" si="74"/>
        <v>2</v>
      </c>
      <c r="G354" s="14" t="str">
        <f t="shared" ca="1" si="79"/>
        <v>q_82d</v>
      </c>
      <c r="H354" s="14">
        <f ca="1">IF(G354&lt;&gt;"",IFERROR( IsVariableNameLegal(G354),0),0)+IF(COUNTIF(INDIRECT(wew!$C$13),G354)&gt;1,10,0)</f>
        <v>0</v>
      </c>
      <c r="I354" s="14">
        <f ca="1">IF(E354&lt;&gt;"",IF(LEN(E354)&gt;150,1,0)+IF(COUNTIF(INDIRECT(wew!$C$15),E354)&gt;1,10,0),0)</f>
        <v>10</v>
      </c>
      <c r="J354" s="14" t="b">
        <f t="shared" ca="1" si="80"/>
        <v>1</v>
      </c>
      <c r="K354" s="14" t="str">
        <f ca="1">ADDRESS(3,(B354+1)*2-1,4,,"[" &amp; wew!$G$7 &amp; "]" &amp; _sheetname_labels) &amp; ":" &amp; ADDRESS(2+ster!$B$20,(B354+1)*2-1,4)</f>
        <v>'[dane surowe2c.xlsm]labels'!AAC3:AAC36</v>
      </c>
      <c r="L354" s="14" t="str">
        <f ca="1">IF(F354&gt;0,ADDRESS(3,(B354+1)*2-1,4,,"[" &amp; wew!$G$7 &amp; "]" &amp; _sheetname_labels) &amp; ":" &amp; ADDRESS(2+F354,(B354+1)*2-1,4),"")</f>
        <v>'[dane surowe2c.xlsm]labels'!AAC3:AAC4</v>
      </c>
      <c r="M354" s="14" t="str">
        <f ca="1">IF(F354&gt;0,ADDRESS(3,(B354+1)*2,4,,"["&amp;wew!$G$7&amp;"]"&amp;_sheetname_labels)&amp;":"&amp;ADDRESS(2+F354,(B354+1)*2,4),"")</f>
        <v>'[dane surowe2c.xlsm]labels'!AAD3:AAD4</v>
      </c>
      <c r="N354" s="14" t="str">
        <f ca="1">ADDRESS(3,B354+1,4,,"[" &amp; wew!$G$7 &amp; "]" &amp;_sheetname_dataframe) &amp; ":" &amp; ADDRESS(2+ster!$C$14,B354+1,4)</f>
        <v>'[dane surowe2c.xlsm]data_frame'!MO3:MO35</v>
      </c>
      <c r="O354" s="14">
        <f t="shared" ca="1" si="81"/>
        <v>32</v>
      </c>
      <c r="P354" s="14">
        <f ca="1">IF(AND($AD354,$S354=1),IF(wew!$B$3,MIN(INDIRECT($N354)),"&lt;włącz podświetlanie wartości&gt;"),"—")</f>
        <v>2</v>
      </c>
      <c r="Q354" s="14">
        <f ca="1">IF(AND($AD354,$S354=1),IF(wew!$B$3,MAX(INDIRECT($N354)),"&lt;włącz podświetlanie wartości&gt;"),"—")</f>
        <v>2</v>
      </c>
      <c r="R354" s="14">
        <f ca="1">IF(AD354,ster!$C$14- (COUNTIF( INDIRECT(N354),"" )+ COUNT(INDIRECT(N354)) +COUNTIF( INDIRECT(N354),"NA" )),"")</f>
        <v>0</v>
      </c>
      <c r="S354" s="12">
        <f ca="1">IF(AD354,IF(COUNTA(INDIRECT(N354))=0,0, 1-(ster!$C$14- COUNT(INDIRECT(N354)) -COUNTIF( INDIRECT(N354),"" )) /COUNTA(INDIRECT(N354))),"")</f>
        <v>1</v>
      </c>
      <c r="T354" s="17">
        <f t="array" aca="1" ref="T354" ca="1">IF(L354&lt;&gt;"",SUM(IF(INDIRECT(L354)&lt;&gt;INT(INDIRECT(L354)),1,0)),"")</f>
        <v>0</v>
      </c>
      <c r="U354" s="17">
        <f t="array" aca="1" ref="U354" ca="1">IF(S354=1,SUM(IF(ISNUMBER(INDIRECT(N354)),IF(INDIRECT(N354)&lt;&gt;INT(INDIRECT(N354)),1,0),0)),"")</f>
        <v>0</v>
      </c>
      <c r="V354" s="17">
        <f t="shared" ca="1" si="82"/>
        <v>1</v>
      </c>
      <c r="W354" s="17">
        <f t="shared" ca="1" si="83"/>
        <v>0</v>
      </c>
      <c r="X354" s="24">
        <f t="array" aca="1" ref="X354" ca="1">IF(AD354,IF(AG354&lt;&gt;"",AG354,IF(J354,MIN(INDIRECT( K354)),"")),"")</f>
        <v>1</v>
      </c>
      <c r="Y354" s="17">
        <f t="array" aca="1" ref="Y354" ca="1">IF(AD354,IF(AH354&lt;&gt;"",AH354,IF(J354,MAX(INDIRECT( K354)),"")),"")</f>
        <v>2</v>
      </c>
      <c r="Z354" s="17" t="b">
        <f t="shared" ca="1" si="84"/>
        <v>1</v>
      </c>
      <c r="AC354" s="17" t="b">
        <f t="shared" ca="1" si="85"/>
        <v>0</v>
      </c>
      <c r="AD354" s="14" t="b">
        <f t="shared" ca="1" si="86"/>
        <v>1</v>
      </c>
      <c r="AE354" s="15" t="b">
        <f t="shared" ca="1" si="87"/>
        <v>1</v>
      </c>
      <c r="AF354" s="16"/>
      <c r="AG354" s="16"/>
      <c r="AH354" s="16"/>
      <c r="AI354" s="16"/>
      <c r="AJ354" s="16"/>
      <c r="AK354" s="16"/>
      <c r="AL354" s="16"/>
      <c r="AM354" s="16"/>
    </row>
    <row r="355" spans="2:39">
      <c r="B355" s="14">
        <f t="shared" si="76"/>
        <v>353</v>
      </c>
      <c r="C355" s="14" t="str">
        <f t="shared" ca="1" si="77"/>
        <v>D</v>
      </c>
      <c r="D355" s="14" t="str">
        <f t="shared" ca="1" si="78"/>
        <v>q_82e</v>
      </c>
      <c r="E355" s="14" t="str">
        <f t="shared" ca="1" si="75"/>
        <v>Lives near source of EM fields</v>
      </c>
      <c r="F355" s="14">
        <f t="shared" ref="F355:F418" ca="1" si="88">IF(AD355,COUNT(INDIRECT(K355)),0)</f>
        <v>2</v>
      </c>
      <c r="G355" s="14" t="str">
        <f t="shared" ca="1" si="79"/>
        <v>q_82e</v>
      </c>
      <c r="H355" s="14">
        <f ca="1">IF(G355&lt;&gt;"",IFERROR( IsVariableNameLegal(G355),0),0)+IF(COUNTIF(INDIRECT(wew!$C$13),G355)&gt;1,10,0)</f>
        <v>0</v>
      </c>
      <c r="I355" s="14">
        <f ca="1">IF(E355&lt;&gt;"",IF(LEN(E355)&gt;150,1,0)+IF(COUNTIF(INDIRECT(wew!$C$15),E355)&gt;1,10,0),0)</f>
        <v>10</v>
      </c>
      <c r="J355" s="14" t="b">
        <f t="shared" ca="1" si="80"/>
        <v>1</v>
      </c>
      <c r="K355" s="14" t="str">
        <f ca="1">ADDRESS(3,(B355+1)*2-1,4,,"[" &amp; wew!$G$7 &amp; "]" &amp; _sheetname_labels) &amp; ":" &amp; ADDRESS(2+ster!$B$20,(B355+1)*2-1,4)</f>
        <v>'[dane surowe2c.xlsm]labels'!AAE3:AAE36</v>
      </c>
      <c r="L355" s="14" t="str">
        <f ca="1">IF(F355&gt;0,ADDRESS(3,(B355+1)*2-1,4,,"[" &amp; wew!$G$7 &amp; "]" &amp; _sheetname_labels) &amp; ":" &amp; ADDRESS(2+F355,(B355+1)*2-1,4),"")</f>
        <v>'[dane surowe2c.xlsm]labels'!AAE3:AAE4</v>
      </c>
      <c r="M355" s="14" t="str">
        <f ca="1">IF(F355&gt;0,ADDRESS(3,(B355+1)*2,4,,"["&amp;wew!$G$7&amp;"]"&amp;_sheetname_labels)&amp;":"&amp;ADDRESS(2+F355,(B355+1)*2,4),"")</f>
        <v>'[dane surowe2c.xlsm]labels'!AAF3:AAF4</v>
      </c>
      <c r="N355" s="14" t="str">
        <f ca="1">ADDRESS(3,B355+1,4,,"[" &amp; wew!$G$7 &amp; "]" &amp;_sheetname_dataframe) &amp; ":" &amp; ADDRESS(2+ster!$C$14,B355+1,4)</f>
        <v>'[dane surowe2c.xlsm]data_frame'!MP3:MP35</v>
      </c>
      <c r="O355" s="14">
        <f t="shared" ca="1" si="81"/>
        <v>32</v>
      </c>
      <c r="P355" s="14">
        <f ca="1">IF(AND($AD355,$S355=1),IF(wew!$B$3,MIN(INDIRECT($N355)),"&lt;włącz podświetlanie wartości&gt;"),"—")</f>
        <v>2</v>
      </c>
      <c r="Q355" s="14">
        <f ca="1">IF(AND($AD355,$S355=1),IF(wew!$B$3,MAX(INDIRECT($N355)),"&lt;włącz podświetlanie wartości&gt;"),"—")</f>
        <v>2</v>
      </c>
      <c r="R355" s="14">
        <f ca="1">IF(AD355,ster!$C$14- (COUNTIF( INDIRECT(N355),"" )+ COUNT(INDIRECT(N355)) +COUNTIF( INDIRECT(N355),"NA" )),"")</f>
        <v>0</v>
      </c>
      <c r="S355" s="12">
        <f ca="1">IF(AD355,IF(COUNTA(INDIRECT(N355))=0,0, 1-(ster!$C$14- COUNT(INDIRECT(N355)) -COUNTIF( INDIRECT(N355),"" )) /COUNTA(INDIRECT(N355))),"")</f>
        <v>1</v>
      </c>
      <c r="T355" s="17">
        <f t="array" aca="1" ref="T355" ca="1">IF(L355&lt;&gt;"",SUM(IF(INDIRECT(L355)&lt;&gt;INT(INDIRECT(L355)),1,0)),"")</f>
        <v>0</v>
      </c>
      <c r="U355" s="17">
        <f t="array" aca="1" ref="U355" ca="1">IF(S355=1,SUM(IF(ISNUMBER(INDIRECT(N355)),IF(INDIRECT(N355)&lt;&gt;INT(INDIRECT(N355)),1,0),0)),"")</f>
        <v>0</v>
      </c>
      <c r="V355" s="17">
        <f t="shared" ca="1" si="82"/>
        <v>1</v>
      </c>
      <c r="W355" s="17">
        <f t="shared" ca="1" si="83"/>
        <v>0</v>
      </c>
      <c r="X355" s="24">
        <f t="array" aca="1" ref="X355" ca="1">IF(AD355,IF(AG355&lt;&gt;"",AG355,IF(J355,MIN(INDIRECT( K355)),"")),"")</f>
        <v>1</v>
      </c>
      <c r="Y355" s="17">
        <f t="array" aca="1" ref="Y355" ca="1">IF(AD355,IF(AH355&lt;&gt;"",AH355,IF(J355,MAX(INDIRECT( K355)),"")),"")</f>
        <v>2</v>
      </c>
      <c r="Z355" s="17" t="b">
        <f t="shared" ca="1" si="84"/>
        <v>1</v>
      </c>
      <c r="AC355" s="17" t="b">
        <f t="shared" ca="1" si="85"/>
        <v>0</v>
      </c>
      <c r="AD355" s="14" t="b">
        <f t="shared" ca="1" si="86"/>
        <v>1</v>
      </c>
      <c r="AE355" s="15" t="b">
        <f t="shared" ca="1" si="87"/>
        <v>1</v>
      </c>
      <c r="AF355" s="16"/>
      <c r="AG355" s="16"/>
      <c r="AH355" s="16"/>
      <c r="AI355" s="16"/>
      <c r="AJ355" s="16"/>
      <c r="AK355" s="16"/>
      <c r="AL355" s="16"/>
      <c r="AM355" s="16"/>
    </row>
    <row r="356" spans="2:39">
      <c r="B356" s="14">
        <f t="shared" si="76"/>
        <v>354</v>
      </c>
      <c r="C356" s="14" t="str">
        <f t="shared" ca="1" si="77"/>
        <v>D</v>
      </c>
      <c r="D356" s="14" t="str">
        <f t="shared" ca="1" si="78"/>
        <v>q_83</v>
      </c>
      <c r="E356" s="14" t="str">
        <f t="shared" ca="1" si="75"/>
        <v>ALS cases in the neighborhood</v>
      </c>
      <c r="F356" s="14">
        <f t="shared" ca="1" si="88"/>
        <v>2</v>
      </c>
      <c r="G356" s="14" t="str">
        <f t="shared" ca="1" si="79"/>
        <v>q_83</v>
      </c>
      <c r="H356" s="14">
        <f ca="1">IF(G356&lt;&gt;"",IFERROR( IsVariableNameLegal(G356),0),0)+IF(COUNTIF(INDIRECT(wew!$C$13),G356)&gt;1,10,0)</f>
        <v>0</v>
      </c>
      <c r="I356" s="14">
        <f ca="1">IF(E356&lt;&gt;"",IF(LEN(E356)&gt;150,1,0)+IF(COUNTIF(INDIRECT(wew!$C$15),E356)&gt;1,10,0),0)</f>
        <v>0</v>
      </c>
      <c r="J356" s="14" t="b">
        <f t="shared" ca="1" si="80"/>
        <v>1</v>
      </c>
      <c r="K356" s="14" t="str">
        <f ca="1">ADDRESS(3,(B356+1)*2-1,4,,"[" &amp; wew!$G$7 &amp; "]" &amp; _sheetname_labels) &amp; ":" &amp; ADDRESS(2+ster!$B$20,(B356+1)*2-1,4)</f>
        <v>'[dane surowe2c.xlsm]labels'!AAG3:AAG36</v>
      </c>
      <c r="L356" s="14" t="str">
        <f ca="1">IF(F356&gt;0,ADDRESS(3,(B356+1)*2-1,4,,"[" &amp; wew!$G$7 &amp; "]" &amp; _sheetname_labels) &amp; ":" &amp; ADDRESS(2+F356,(B356+1)*2-1,4),"")</f>
        <v>'[dane surowe2c.xlsm]labels'!AAG3:AAG4</v>
      </c>
      <c r="M356" s="14" t="str">
        <f ca="1">IF(F356&gt;0,ADDRESS(3,(B356+1)*2,4,,"["&amp;wew!$G$7&amp;"]"&amp;_sheetname_labels)&amp;":"&amp;ADDRESS(2+F356,(B356+1)*2,4),"")</f>
        <v>'[dane surowe2c.xlsm]labels'!AAH3:AAH4</v>
      </c>
      <c r="N356" s="14" t="str">
        <f ca="1">ADDRESS(3,B356+1,4,,"[" &amp; wew!$G$7 &amp; "]" &amp;_sheetname_dataframe) &amp; ":" &amp; ADDRESS(2+ster!$C$14,B356+1,4)</f>
        <v>'[dane surowe2c.xlsm]data_frame'!MQ3:MQ35</v>
      </c>
      <c r="O356" s="14">
        <f t="shared" ca="1" si="81"/>
        <v>32</v>
      </c>
      <c r="P356" s="14">
        <f ca="1">IF(AND($AD356,$S356=1),IF(wew!$B$3,MIN(INDIRECT($N356)),"&lt;włącz podświetlanie wartości&gt;"),"—")</f>
        <v>2</v>
      </c>
      <c r="Q356" s="14">
        <f ca="1">IF(AND($AD356,$S356=1),IF(wew!$B$3,MAX(INDIRECT($N356)),"&lt;włącz podświetlanie wartości&gt;"),"—")</f>
        <v>2</v>
      </c>
      <c r="R356" s="14">
        <f ca="1">IF(AD356,ster!$C$14- (COUNTIF( INDIRECT(N356),"" )+ COUNT(INDIRECT(N356)) +COUNTIF( INDIRECT(N356),"NA" )),"")</f>
        <v>0</v>
      </c>
      <c r="S356" s="12">
        <f ca="1">IF(AD356,IF(COUNTA(INDIRECT(N356))=0,0, 1-(ster!$C$14- COUNT(INDIRECT(N356)) -COUNTIF( INDIRECT(N356),"" )) /COUNTA(INDIRECT(N356))),"")</f>
        <v>1</v>
      </c>
      <c r="T356" s="17">
        <f t="array" aca="1" ref="T356" ca="1">IF(L356&lt;&gt;"",SUM(IF(INDIRECT(L356)&lt;&gt;INT(INDIRECT(L356)),1,0)),"")</f>
        <v>0</v>
      </c>
      <c r="U356" s="17">
        <f t="array" aca="1" ref="U356" ca="1">IF(S356=1,SUM(IF(ISNUMBER(INDIRECT(N356)),IF(INDIRECT(N356)&lt;&gt;INT(INDIRECT(N356)),1,0),0)),"")</f>
        <v>0</v>
      </c>
      <c r="V356" s="17">
        <f t="shared" ca="1" si="82"/>
        <v>1</v>
      </c>
      <c r="W356" s="17">
        <f t="shared" ca="1" si="83"/>
        <v>0</v>
      </c>
      <c r="X356" s="24">
        <f t="array" aca="1" ref="X356" ca="1">IF(AD356,IF(AG356&lt;&gt;"",AG356,IF(J356,MIN(INDIRECT( K356)),"")),"")</f>
        <v>1</v>
      </c>
      <c r="Y356" s="17">
        <f t="array" aca="1" ref="Y356" ca="1">IF(AD356,IF(AH356&lt;&gt;"",AH356,IF(J356,MAX(INDIRECT( K356)),"")),"")</f>
        <v>2</v>
      </c>
      <c r="Z356" s="17" t="b">
        <f t="shared" ca="1" si="84"/>
        <v>1</v>
      </c>
      <c r="AC356" s="17" t="b">
        <f t="shared" ca="1" si="85"/>
        <v>0</v>
      </c>
      <c r="AD356" s="14" t="b">
        <f t="shared" ca="1" si="86"/>
        <v>1</v>
      </c>
      <c r="AE356" s="15" t="b">
        <f t="shared" ca="1" si="87"/>
        <v>1</v>
      </c>
      <c r="AF356" s="16"/>
      <c r="AG356" s="16"/>
      <c r="AH356" s="16"/>
      <c r="AI356" s="16"/>
      <c r="AJ356" s="16"/>
      <c r="AK356" s="16"/>
      <c r="AL356" s="16"/>
      <c r="AM356" s="16"/>
    </row>
    <row r="357" spans="2:39">
      <c r="B357" s="14">
        <f t="shared" si="76"/>
        <v>355</v>
      </c>
      <c r="C357" s="14" t="str">
        <f t="shared" ca="1" si="77"/>
        <v>D</v>
      </c>
      <c r="D357" s="14" t="str">
        <f t="shared" ca="1" si="78"/>
        <v>q_84</v>
      </c>
      <c r="E357" s="14" t="str">
        <f t="shared" ca="1" si="75"/>
        <v>ALS disease in co-workers</v>
      </c>
      <c r="F357" s="14">
        <f t="shared" ca="1" si="88"/>
        <v>2</v>
      </c>
      <c r="G357" s="14" t="str">
        <f t="shared" ca="1" si="79"/>
        <v>q_84</v>
      </c>
      <c r="H357" s="14">
        <f ca="1">IF(G357&lt;&gt;"",IFERROR( IsVariableNameLegal(G357),0),0)+IF(COUNTIF(INDIRECT(wew!$C$13),G357)&gt;1,10,0)</f>
        <v>0</v>
      </c>
      <c r="I357" s="14">
        <f ca="1">IF(E357&lt;&gt;"",IF(LEN(E357)&gt;150,1,0)+IF(COUNTIF(INDIRECT(wew!$C$15),E357)&gt;1,10,0),0)</f>
        <v>0</v>
      </c>
      <c r="J357" s="14" t="b">
        <f t="shared" ca="1" si="80"/>
        <v>1</v>
      </c>
      <c r="K357" s="14" t="str">
        <f ca="1">ADDRESS(3,(B357+1)*2-1,4,,"[" &amp; wew!$G$7 &amp; "]" &amp; _sheetname_labels) &amp; ":" &amp; ADDRESS(2+ster!$B$20,(B357+1)*2-1,4)</f>
        <v>'[dane surowe2c.xlsm]labels'!AAI3:AAI36</v>
      </c>
      <c r="L357" s="14" t="str">
        <f ca="1">IF(F357&gt;0,ADDRESS(3,(B357+1)*2-1,4,,"[" &amp; wew!$G$7 &amp; "]" &amp; _sheetname_labels) &amp; ":" &amp; ADDRESS(2+F357,(B357+1)*2-1,4),"")</f>
        <v>'[dane surowe2c.xlsm]labels'!AAI3:AAI4</v>
      </c>
      <c r="M357" s="14" t="str">
        <f ca="1">IF(F357&gt;0,ADDRESS(3,(B357+1)*2,4,,"["&amp;wew!$G$7&amp;"]"&amp;_sheetname_labels)&amp;":"&amp;ADDRESS(2+F357,(B357+1)*2,4),"")</f>
        <v>'[dane surowe2c.xlsm]labels'!AAJ3:AAJ4</v>
      </c>
      <c r="N357" s="14" t="str">
        <f ca="1">ADDRESS(3,B357+1,4,,"[" &amp; wew!$G$7 &amp; "]" &amp;_sheetname_dataframe) &amp; ":" &amp; ADDRESS(2+ster!$C$14,B357+1,4)</f>
        <v>'[dane surowe2c.xlsm]data_frame'!MR3:MR35</v>
      </c>
      <c r="O357" s="14">
        <f t="shared" ca="1" si="81"/>
        <v>32</v>
      </c>
      <c r="P357" s="14">
        <f ca="1">IF(AND($AD357,$S357=1),IF(wew!$B$3,MIN(INDIRECT($N357)),"&lt;włącz podświetlanie wartości&gt;"),"—")</f>
        <v>2</v>
      </c>
      <c r="Q357" s="14">
        <f ca="1">IF(AND($AD357,$S357=1),IF(wew!$B$3,MAX(INDIRECT($N357)),"&lt;włącz podświetlanie wartości&gt;"),"—")</f>
        <v>2</v>
      </c>
      <c r="R357" s="14">
        <f ca="1">IF(AD357,ster!$C$14- (COUNTIF( INDIRECT(N357),"" )+ COUNT(INDIRECT(N357)) +COUNTIF( INDIRECT(N357),"NA" )),"")</f>
        <v>0</v>
      </c>
      <c r="S357" s="12">
        <f ca="1">IF(AD357,IF(COUNTA(INDIRECT(N357))=0,0, 1-(ster!$C$14- COUNT(INDIRECT(N357)) -COUNTIF( INDIRECT(N357),"" )) /COUNTA(INDIRECT(N357))),"")</f>
        <v>1</v>
      </c>
      <c r="T357" s="17">
        <f t="array" aca="1" ref="T357" ca="1">IF(L357&lt;&gt;"",SUM(IF(INDIRECT(L357)&lt;&gt;INT(INDIRECT(L357)),1,0)),"")</f>
        <v>0</v>
      </c>
      <c r="U357" s="17">
        <f t="array" aca="1" ref="U357" ca="1">IF(S357=1,SUM(IF(ISNUMBER(INDIRECT(N357)),IF(INDIRECT(N357)&lt;&gt;INT(INDIRECT(N357)),1,0),0)),"")</f>
        <v>0</v>
      </c>
      <c r="V357" s="17">
        <f t="shared" ca="1" si="82"/>
        <v>1</v>
      </c>
      <c r="W357" s="17">
        <f t="shared" ca="1" si="83"/>
        <v>0</v>
      </c>
      <c r="X357" s="24">
        <f t="array" aca="1" ref="X357" ca="1">IF(AD357,IF(AG357&lt;&gt;"",AG357,IF(J357,MIN(INDIRECT( K357)),"")),"")</f>
        <v>1</v>
      </c>
      <c r="Y357" s="17">
        <f t="array" aca="1" ref="Y357" ca="1">IF(AD357,IF(AH357&lt;&gt;"",AH357,IF(J357,MAX(INDIRECT( K357)),"")),"")</f>
        <v>2</v>
      </c>
      <c r="Z357" s="17" t="b">
        <f t="shared" ca="1" si="84"/>
        <v>1</v>
      </c>
      <c r="AC357" s="17" t="b">
        <f t="shared" ca="1" si="85"/>
        <v>0</v>
      </c>
      <c r="AD357" s="14" t="b">
        <f t="shared" ca="1" si="86"/>
        <v>1</v>
      </c>
      <c r="AE357" s="15" t="b">
        <f t="shared" ca="1" si="87"/>
        <v>1</v>
      </c>
      <c r="AF357" s="16"/>
      <c r="AG357" s="16"/>
      <c r="AH357" s="16"/>
      <c r="AI357" s="16"/>
      <c r="AJ357" s="16"/>
      <c r="AK357" s="16"/>
      <c r="AL357" s="16"/>
      <c r="AM357" s="16"/>
    </row>
    <row r="358" spans="2:39">
      <c r="B358" s="14">
        <f t="shared" si="76"/>
        <v>356</v>
      </c>
      <c r="C358" s="14" t="str">
        <f t="shared" ca="1" si="77"/>
        <v>D</v>
      </c>
      <c r="D358" s="14" t="str">
        <f t="shared" ca="1" si="78"/>
        <v>q_85</v>
      </c>
      <c r="E358" s="14" t="str">
        <f t="shared" ca="1" si="75"/>
        <v>ALS disease in friends</v>
      </c>
      <c r="F358" s="14">
        <f t="shared" ca="1" si="88"/>
        <v>2</v>
      </c>
      <c r="G358" s="14" t="str">
        <f t="shared" ca="1" si="79"/>
        <v>q_85</v>
      </c>
      <c r="H358" s="14">
        <f ca="1">IF(G358&lt;&gt;"",IFERROR( IsVariableNameLegal(G358),0),0)+IF(COUNTIF(INDIRECT(wew!$C$13),G358)&gt;1,10,0)</f>
        <v>0</v>
      </c>
      <c r="I358" s="14">
        <f ca="1">IF(E358&lt;&gt;"",IF(LEN(E358)&gt;150,1,0)+IF(COUNTIF(INDIRECT(wew!$C$15),E358)&gt;1,10,0),0)</f>
        <v>0</v>
      </c>
      <c r="J358" s="14" t="b">
        <f t="shared" ca="1" si="80"/>
        <v>1</v>
      </c>
      <c r="K358" s="14" t="str">
        <f ca="1">ADDRESS(3,(B358+1)*2-1,4,,"[" &amp; wew!$G$7 &amp; "]" &amp; _sheetname_labels) &amp; ":" &amp; ADDRESS(2+ster!$B$20,(B358+1)*2-1,4)</f>
        <v>'[dane surowe2c.xlsm]labels'!AAK3:AAK36</v>
      </c>
      <c r="L358" s="14" t="str">
        <f ca="1">IF(F358&gt;0,ADDRESS(3,(B358+1)*2-1,4,,"[" &amp; wew!$G$7 &amp; "]" &amp; _sheetname_labels) &amp; ":" &amp; ADDRESS(2+F358,(B358+1)*2-1,4),"")</f>
        <v>'[dane surowe2c.xlsm]labels'!AAK3:AAK4</v>
      </c>
      <c r="M358" s="14" t="str">
        <f ca="1">IF(F358&gt;0,ADDRESS(3,(B358+1)*2,4,,"["&amp;wew!$G$7&amp;"]"&amp;_sheetname_labels)&amp;":"&amp;ADDRESS(2+F358,(B358+1)*2,4),"")</f>
        <v>'[dane surowe2c.xlsm]labels'!AAL3:AAL4</v>
      </c>
      <c r="N358" s="14" t="str">
        <f ca="1">ADDRESS(3,B358+1,4,,"[" &amp; wew!$G$7 &amp; "]" &amp;_sheetname_dataframe) &amp; ":" &amp; ADDRESS(2+ster!$C$14,B358+1,4)</f>
        <v>'[dane surowe2c.xlsm]data_frame'!MS3:MS35</v>
      </c>
      <c r="O358" s="14">
        <f t="shared" ca="1" si="81"/>
        <v>32</v>
      </c>
      <c r="P358" s="14">
        <f ca="1">IF(AND($AD358,$S358=1),IF(wew!$B$3,MIN(INDIRECT($N358)),"&lt;włącz podświetlanie wartości&gt;"),"—")</f>
        <v>2</v>
      </c>
      <c r="Q358" s="14">
        <f ca="1">IF(AND($AD358,$S358=1),IF(wew!$B$3,MAX(INDIRECT($N358)),"&lt;włącz podświetlanie wartości&gt;"),"—")</f>
        <v>2</v>
      </c>
      <c r="R358" s="14">
        <f ca="1">IF(AD358,ster!$C$14- (COUNTIF( INDIRECT(N358),"" )+ COUNT(INDIRECT(N358)) +COUNTIF( INDIRECT(N358),"NA" )),"")</f>
        <v>0</v>
      </c>
      <c r="S358" s="12">
        <f ca="1">IF(AD358,IF(COUNTA(INDIRECT(N358))=0,0, 1-(ster!$C$14- COUNT(INDIRECT(N358)) -COUNTIF( INDIRECT(N358),"" )) /COUNTA(INDIRECT(N358))),"")</f>
        <v>1</v>
      </c>
      <c r="T358" s="17">
        <f t="array" aca="1" ref="T358" ca="1">IF(L358&lt;&gt;"",SUM(IF(INDIRECT(L358)&lt;&gt;INT(INDIRECT(L358)),1,0)),"")</f>
        <v>0</v>
      </c>
      <c r="U358" s="17">
        <f t="array" aca="1" ref="U358" ca="1">IF(S358=1,SUM(IF(ISNUMBER(INDIRECT(N358)),IF(INDIRECT(N358)&lt;&gt;INT(INDIRECT(N358)),1,0),0)),"")</f>
        <v>0</v>
      </c>
      <c r="V358" s="17">
        <f t="shared" ca="1" si="82"/>
        <v>1</v>
      </c>
      <c r="W358" s="17">
        <f t="shared" ca="1" si="83"/>
        <v>0</v>
      </c>
      <c r="X358" s="24">
        <f t="array" aca="1" ref="X358" ca="1">IF(AD358,IF(AG358&lt;&gt;"",AG358,IF(J358,MIN(INDIRECT( K358)),"")),"")</f>
        <v>1</v>
      </c>
      <c r="Y358" s="17">
        <f t="array" aca="1" ref="Y358" ca="1">IF(AD358,IF(AH358&lt;&gt;"",AH358,IF(J358,MAX(INDIRECT( K358)),"")),"")</f>
        <v>2</v>
      </c>
      <c r="Z358" s="17" t="b">
        <f t="shared" ca="1" si="84"/>
        <v>1</v>
      </c>
      <c r="AC358" s="17" t="b">
        <f t="shared" ca="1" si="85"/>
        <v>0</v>
      </c>
      <c r="AD358" s="14" t="b">
        <f t="shared" ca="1" si="86"/>
        <v>1</v>
      </c>
      <c r="AE358" s="15" t="b">
        <f t="shared" ca="1" si="87"/>
        <v>1</v>
      </c>
      <c r="AF358" s="16"/>
      <c r="AG358" s="16"/>
      <c r="AH358" s="16"/>
      <c r="AI358" s="16"/>
      <c r="AJ358" s="16"/>
      <c r="AK358" s="16"/>
      <c r="AL358" s="16"/>
      <c r="AM358" s="16"/>
    </row>
    <row r="359" spans="2:39">
      <c r="B359" s="14">
        <f t="shared" si="76"/>
        <v>357</v>
      </c>
      <c r="C359" s="14" t="str">
        <f t="shared" ca="1" si="77"/>
        <v/>
      </c>
      <c r="D359" s="14" t="str">
        <f t="shared" ca="1" si="78"/>
        <v/>
      </c>
      <c r="E359" s="14" t="str">
        <f t="shared" ca="1" si="75"/>
        <v/>
      </c>
      <c r="F359" s="14">
        <f t="shared" ca="1" si="88"/>
        <v>0</v>
      </c>
      <c r="G359" s="14" t="str">
        <f t="shared" ca="1" si="79"/>
        <v/>
      </c>
      <c r="H359" s="14">
        <f ca="1">IF(G359&lt;&gt;"",IFERROR( IsVariableNameLegal(G359),0),0)+IF(COUNTIF(INDIRECT(wew!$C$13),G359)&gt;1,10,0)</f>
        <v>0</v>
      </c>
      <c r="I359" s="14">
        <f ca="1">IF(E359&lt;&gt;"",IF(LEN(E359)&gt;150,1,0)+IF(COUNTIF(INDIRECT(wew!$C$15),E359)&gt;1,10,0),0)</f>
        <v>0</v>
      </c>
      <c r="J359" s="14" t="b">
        <f t="shared" ca="1" si="80"/>
        <v>0</v>
      </c>
      <c r="K359" s="14" t="str">
        <f ca="1">ADDRESS(3,(B359+1)*2-1,4,,"[" &amp; wew!$G$7 &amp; "]" &amp; _sheetname_labels) &amp; ":" &amp; ADDRESS(2+ster!$B$20,(B359+1)*2-1,4)</f>
        <v>'[dane surowe2c.xlsm]labels'!AAM3:AAM36</v>
      </c>
      <c r="L359" s="14" t="str">
        <f ca="1">IF(F359&gt;0,ADDRESS(3,(B359+1)*2-1,4,,"[" &amp; wew!$G$7 &amp; "]" &amp; _sheetname_labels) &amp; ":" &amp; ADDRESS(2+F359,(B359+1)*2-1,4),"")</f>
        <v/>
      </c>
      <c r="M359" s="14" t="str">
        <f ca="1">IF(F359&gt;0,ADDRESS(3,(B359+1)*2,4,,"["&amp;wew!$G$7&amp;"]"&amp;_sheetname_labels)&amp;":"&amp;ADDRESS(2+F359,(B359+1)*2,4),"")</f>
        <v/>
      </c>
      <c r="N359" s="14" t="str">
        <f ca="1">ADDRESS(3,B359+1,4,,"[" &amp; wew!$G$7 &amp; "]" &amp;_sheetname_dataframe) &amp; ":" &amp; ADDRESS(2+ster!$C$14,B359+1,4)</f>
        <v>'[dane surowe2c.xlsm]data_frame'!MT3:MT35</v>
      </c>
      <c r="O359" s="14" t="str">
        <f t="shared" ca="1" si="81"/>
        <v/>
      </c>
      <c r="P359" s="14" t="str">
        <f ca="1">IF(AND($AD359,$S359=1),IF(wew!$B$3,MIN(INDIRECT($N359)),"&lt;włącz podświetlanie wartości&gt;"),"—")</f>
        <v>—</v>
      </c>
      <c r="Q359" s="14" t="str">
        <f ca="1">IF(AND($AD359,$S359=1),IF(wew!$B$3,MAX(INDIRECT($N359)),"&lt;włącz podświetlanie wartości&gt;"),"—")</f>
        <v>—</v>
      </c>
      <c r="R359" s="14" t="str">
        <f ca="1">IF(AD359,ster!$C$14- (COUNTIF( INDIRECT(N359),"" )+ COUNT(INDIRECT(N359)) +COUNTIF( INDIRECT(N359),"NA" )),"")</f>
        <v/>
      </c>
      <c r="S359" s="12" t="str">
        <f ca="1">IF(AD359,IF(COUNTA(INDIRECT(N359))=0,0, 1-(ster!$C$14- COUNT(INDIRECT(N359)) -COUNTIF( INDIRECT(N359),"" )) /COUNTA(INDIRECT(N359))),"")</f>
        <v/>
      </c>
      <c r="T359" s="17" t="str">
        <f t="array" aca="1" ref="T359" ca="1">IF(L359&lt;&gt;"",SUM(IF(INDIRECT(L359)&lt;&gt;INT(INDIRECT(L359)),1,0)),"")</f>
        <v/>
      </c>
      <c r="U359" s="17" t="str">
        <f t="array" aca="1" ref="U359" ca="1">IF(S359=1,SUM(IF(ISNUMBER(INDIRECT(N359)),IF(INDIRECT(N359)&lt;&gt;INT(INDIRECT(N359)),1,0),0)),"")</f>
        <v/>
      </c>
      <c r="V359" s="17">
        <f t="shared" ca="1" si="82"/>
        <v>0</v>
      </c>
      <c r="W359" s="17">
        <f t="shared" ca="1" si="83"/>
        <v>0</v>
      </c>
      <c r="X359" s="24" t="str">
        <f t="array" aca="1" ref="X359" ca="1">IF(AD359,IF(AG359&lt;&gt;"",AG359,IF(J359,MIN(INDIRECT( K359)),"")),"")</f>
        <v/>
      </c>
      <c r="Y359" s="17" t="str">
        <f t="array" aca="1" ref="Y359" ca="1">IF(AD359,IF(AH359&lt;&gt;"",AH359,IF(J359,MAX(INDIRECT( K359)),"")),"")</f>
        <v/>
      </c>
      <c r="Z359" s="17" t="b">
        <f t="shared" ca="1" si="84"/>
        <v>0</v>
      </c>
      <c r="AC359" s="17" t="str">
        <f t="shared" ca="1" si="85"/>
        <v/>
      </c>
      <c r="AD359" s="14" t="b">
        <f t="shared" ca="1" si="86"/>
        <v>0</v>
      </c>
      <c r="AE359" s="15" t="b">
        <f t="shared" ca="1" si="87"/>
        <v>0</v>
      </c>
      <c r="AF359" s="16"/>
      <c r="AG359" s="16"/>
      <c r="AH359" s="16"/>
      <c r="AI359" s="16"/>
      <c r="AJ359" s="16"/>
      <c r="AK359" s="16"/>
      <c r="AL359" s="16"/>
      <c r="AM359" s="16"/>
    </row>
    <row r="360" spans="2:39">
      <c r="B360" s="14">
        <f t="shared" si="76"/>
        <v>358</v>
      </c>
      <c r="C360" s="14" t="str">
        <f t="shared" ca="1" si="77"/>
        <v/>
      </c>
      <c r="D360" s="14" t="str">
        <f t="shared" ca="1" si="78"/>
        <v/>
      </c>
      <c r="E360" s="14" t="str">
        <f t="shared" ca="1" si="75"/>
        <v/>
      </c>
      <c r="F360" s="14">
        <f t="shared" ca="1" si="88"/>
        <v>0</v>
      </c>
      <c r="G360" s="14" t="str">
        <f t="shared" ca="1" si="79"/>
        <v/>
      </c>
      <c r="H360" s="14">
        <f ca="1">IF(G360&lt;&gt;"",IFERROR( IsVariableNameLegal(G360),0),0)+IF(COUNTIF(INDIRECT(wew!$C$13),G360)&gt;1,10,0)</f>
        <v>0</v>
      </c>
      <c r="I360" s="14">
        <f ca="1">IF(E360&lt;&gt;"",IF(LEN(E360)&gt;150,1,0)+IF(COUNTIF(INDIRECT(wew!$C$15),E360)&gt;1,10,0),0)</f>
        <v>0</v>
      </c>
      <c r="J360" s="14" t="b">
        <f t="shared" ca="1" si="80"/>
        <v>0</v>
      </c>
      <c r="K360" s="14" t="str">
        <f ca="1">ADDRESS(3,(B360+1)*2-1,4,,"[" &amp; wew!$G$7 &amp; "]" &amp; _sheetname_labels) &amp; ":" &amp; ADDRESS(2+ster!$B$20,(B360+1)*2-1,4)</f>
        <v>'[dane surowe2c.xlsm]labels'!AAO3:AAO36</v>
      </c>
      <c r="L360" s="14" t="str">
        <f ca="1">IF(F360&gt;0,ADDRESS(3,(B360+1)*2-1,4,,"[" &amp; wew!$G$7 &amp; "]" &amp; _sheetname_labels) &amp; ":" &amp; ADDRESS(2+F360,(B360+1)*2-1,4),"")</f>
        <v/>
      </c>
      <c r="M360" s="14" t="str">
        <f ca="1">IF(F360&gt;0,ADDRESS(3,(B360+1)*2,4,,"["&amp;wew!$G$7&amp;"]"&amp;_sheetname_labels)&amp;":"&amp;ADDRESS(2+F360,(B360+1)*2,4),"")</f>
        <v/>
      </c>
      <c r="N360" s="14" t="str">
        <f ca="1">ADDRESS(3,B360+1,4,,"[" &amp; wew!$G$7 &amp; "]" &amp;_sheetname_dataframe) &amp; ":" &amp; ADDRESS(2+ster!$C$14,B360+1,4)</f>
        <v>'[dane surowe2c.xlsm]data_frame'!MU3:MU35</v>
      </c>
      <c r="O360" s="14" t="str">
        <f t="shared" ca="1" si="81"/>
        <v/>
      </c>
      <c r="P360" s="14" t="str">
        <f ca="1">IF(AND($AD360,$S360=1),IF(wew!$B$3,MIN(INDIRECT($N360)),"&lt;włącz podświetlanie wartości&gt;"),"—")</f>
        <v>—</v>
      </c>
      <c r="Q360" s="14" t="str">
        <f ca="1">IF(AND($AD360,$S360=1),IF(wew!$B$3,MAX(INDIRECT($N360)),"&lt;włącz podświetlanie wartości&gt;"),"—")</f>
        <v>—</v>
      </c>
      <c r="R360" s="14" t="str">
        <f ca="1">IF(AD360,ster!$C$14- (COUNTIF( INDIRECT(N360),"" )+ COUNT(INDIRECT(N360)) +COUNTIF( INDIRECT(N360),"NA" )),"")</f>
        <v/>
      </c>
      <c r="S360" s="12" t="str">
        <f ca="1">IF(AD360,IF(COUNTA(INDIRECT(N360))=0,0, 1-(ster!$C$14- COUNT(INDIRECT(N360)) -COUNTIF( INDIRECT(N360),"" )) /COUNTA(INDIRECT(N360))),"")</f>
        <v/>
      </c>
      <c r="T360" s="17" t="str">
        <f t="array" aca="1" ref="T360" ca="1">IF(L360&lt;&gt;"",SUM(IF(INDIRECT(L360)&lt;&gt;INT(INDIRECT(L360)),1,0)),"")</f>
        <v/>
      </c>
      <c r="U360" s="17" t="str">
        <f t="array" aca="1" ref="U360" ca="1">IF(S360=1,SUM(IF(ISNUMBER(INDIRECT(N360)),IF(INDIRECT(N360)&lt;&gt;INT(INDIRECT(N360)),1,0),0)),"")</f>
        <v/>
      </c>
      <c r="V360" s="17">
        <f t="shared" ca="1" si="82"/>
        <v>0</v>
      </c>
      <c r="W360" s="17">
        <f t="shared" ca="1" si="83"/>
        <v>0</v>
      </c>
      <c r="X360" s="24" t="str">
        <f t="array" aca="1" ref="X360" ca="1">IF(AD360,IF(AG360&lt;&gt;"",AG360,IF(J360,MIN(INDIRECT( K360)),"")),"")</f>
        <v/>
      </c>
      <c r="Y360" s="17" t="str">
        <f t="array" aca="1" ref="Y360" ca="1">IF(AD360,IF(AH360&lt;&gt;"",AH360,IF(J360,MAX(INDIRECT( K360)),"")),"")</f>
        <v/>
      </c>
      <c r="Z360" s="17" t="b">
        <f t="shared" ca="1" si="84"/>
        <v>0</v>
      </c>
      <c r="AC360" s="17" t="str">
        <f t="shared" ca="1" si="85"/>
        <v/>
      </c>
      <c r="AD360" s="14" t="b">
        <f t="shared" ca="1" si="86"/>
        <v>0</v>
      </c>
      <c r="AE360" s="15" t="b">
        <f t="shared" ca="1" si="87"/>
        <v>0</v>
      </c>
      <c r="AF360" s="16"/>
      <c r="AG360" s="16"/>
      <c r="AH360" s="16"/>
      <c r="AI360" s="16"/>
      <c r="AJ360" s="16"/>
      <c r="AK360" s="16"/>
      <c r="AL360" s="16"/>
      <c r="AM360" s="16"/>
    </row>
    <row r="361" spans="2:39">
      <c r="B361" s="14">
        <f t="shared" si="76"/>
        <v>359</v>
      </c>
      <c r="C361" s="14" t="str">
        <f t="shared" ca="1" si="77"/>
        <v/>
      </c>
      <c r="D361" s="14" t="str">
        <f t="shared" ca="1" si="78"/>
        <v/>
      </c>
      <c r="E361" s="14" t="str">
        <f t="shared" ca="1" si="75"/>
        <v/>
      </c>
      <c r="F361" s="14">
        <f t="shared" ca="1" si="88"/>
        <v>0</v>
      </c>
      <c r="G361" s="14" t="str">
        <f t="shared" ca="1" si="79"/>
        <v/>
      </c>
      <c r="H361" s="14">
        <f ca="1">IF(G361&lt;&gt;"",IFERROR( IsVariableNameLegal(G361),0),0)+IF(COUNTIF(INDIRECT(wew!$C$13),G361)&gt;1,10,0)</f>
        <v>0</v>
      </c>
      <c r="I361" s="14">
        <f ca="1">IF(E361&lt;&gt;"",IF(LEN(E361)&gt;150,1,0)+IF(COUNTIF(INDIRECT(wew!$C$15),E361)&gt;1,10,0),0)</f>
        <v>0</v>
      </c>
      <c r="J361" s="14" t="b">
        <f t="shared" ca="1" si="80"/>
        <v>0</v>
      </c>
      <c r="K361" s="14" t="str">
        <f ca="1">ADDRESS(3,(B361+1)*2-1,4,,"[" &amp; wew!$G$7 &amp; "]" &amp; _sheetname_labels) &amp; ":" &amp; ADDRESS(2+ster!$B$20,(B361+1)*2-1,4)</f>
        <v>'[dane surowe2c.xlsm]labels'!AAQ3:AAQ36</v>
      </c>
      <c r="L361" s="14" t="str">
        <f ca="1">IF(F361&gt;0,ADDRESS(3,(B361+1)*2-1,4,,"[" &amp; wew!$G$7 &amp; "]" &amp; _sheetname_labels) &amp; ":" &amp; ADDRESS(2+F361,(B361+1)*2-1,4),"")</f>
        <v/>
      </c>
      <c r="M361" s="14" t="str">
        <f ca="1">IF(F361&gt;0,ADDRESS(3,(B361+1)*2,4,,"["&amp;wew!$G$7&amp;"]"&amp;_sheetname_labels)&amp;":"&amp;ADDRESS(2+F361,(B361+1)*2,4),"")</f>
        <v/>
      </c>
      <c r="N361" s="14" t="str">
        <f ca="1">ADDRESS(3,B361+1,4,,"[" &amp; wew!$G$7 &amp; "]" &amp;_sheetname_dataframe) &amp; ":" &amp; ADDRESS(2+ster!$C$14,B361+1,4)</f>
        <v>'[dane surowe2c.xlsm]data_frame'!MV3:MV35</v>
      </c>
      <c r="O361" s="14" t="str">
        <f t="shared" ca="1" si="81"/>
        <v/>
      </c>
      <c r="P361" s="14" t="str">
        <f ca="1">IF(AND($AD361,$S361=1),IF(wew!$B$3,MIN(INDIRECT($N361)),"&lt;włącz podświetlanie wartości&gt;"),"—")</f>
        <v>—</v>
      </c>
      <c r="Q361" s="14" t="str">
        <f ca="1">IF(AND($AD361,$S361=1),IF(wew!$B$3,MAX(INDIRECT($N361)),"&lt;włącz podświetlanie wartości&gt;"),"—")</f>
        <v>—</v>
      </c>
      <c r="R361" s="14" t="str">
        <f ca="1">IF(AD361,ster!$C$14- (COUNTIF( INDIRECT(N361),"" )+ COUNT(INDIRECT(N361)) +COUNTIF( INDIRECT(N361),"NA" )),"")</f>
        <v/>
      </c>
      <c r="S361" s="12" t="str">
        <f ca="1">IF(AD361,IF(COUNTA(INDIRECT(N361))=0,0, 1-(ster!$C$14- COUNT(INDIRECT(N361)) -COUNTIF( INDIRECT(N361),"" )) /COUNTA(INDIRECT(N361))),"")</f>
        <v/>
      </c>
      <c r="T361" s="17" t="str">
        <f t="array" aca="1" ref="T361" ca="1">IF(L361&lt;&gt;"",SUM(IF(INDIRECT(L361)&lt;&gt;INT(INDIRECT(L361)),1,0)),"")</f>
        <v/>
      </c>
      <c r="U361" s="17" t="str">
        <f t="array" aca="1" ref="U361" ca="1">IF(S361=1,SUM(IF(ISNUMBER(INDIRECT(N361)),IF(INDIRECT(N361)&lt;&gt;INT(INDIRECT(N361)),1,0),0)),"")</f>
        <v/>
      </c>
      <c r="V361" s="17">
        <f t="shared" ca="1" si="82"/>
        <v>0</v>
      </c>
      <c r="W361" s="17">
        <f t="shared" ca="1" si="83"/>
        <v>0</v>
      </c>
      <c r="X361" s="24" t="str">
        <f t="array" aca="1" ref="X361" ca="1">IF(AD361,IF(AG361&lt;&gt;"",AG361,IF(J361,MIN(INDIRECT( K361)),"")),"")</f>
        <v/>
      </c>
      <c r="Y361" s="17" t="str">
        <f t="array" aca="1" ref="Y361" ca="1">IF(AD361,IF(AH361&lt;&gt;"",AH361,IF(J361,MAX(INDIRECT( K361)),"")),"")</f>
        <v/>
      </c>
      <c r="Z361" s="17" t="b">
        <f t="shared" ca="1" si="84"/>
        <v>0</v>
      </c>
      <c r="AC361" s="17" t="str">
        <f t="shared" ca="1" si="85"/>
        <v/>
      </c>
      <c r="AD361" s="14" t="b">
        <f t="shared" ca="1" si="86"/>
        <v>0</v>
      </c>
      <c r="AE361" s="15" t="b">
        <f t="shared" ca="1" si="87"/>
        <v>0</v>
      </c>
      <c r="AF361" s="16"/>
      <c r="AG361" s="16"/>
      <c r="AH361" s="16"/>
      <c r="AI361" s="16"/>
      <c r="AJ361" s="16"/>
      <c r="AK361" s="16"/>
      <c r="AL361" s="16"/>
      <c r="AM361" s="16"/>
    </row>
    <row r="362" spans="2:39">
      <c r="B362" s="14">
        <f t="shared" si="76"/>
        <v>360</v>
      </c>
      <c r="C362" s="14" t="str">
        <f t="shared" ca="1" si="77"/>
        <v/>
      </c>
      <c r="D362" s="14" t="str">
        <f t="shared" ca="1" si="78"/>
        <v/>
      </c>
      <c r="E362" s="14" t="str">
        <f t="shared" ca="1" si="75"/>
        <v/>
      </c>
      <c r="F362" s="14">
        <f t="shared" ca="1" si="88"/>
        <v>0</v>
      </c>
      <c r="G362" s="14" t="str">
        <f t="shared" ca="1" si="79"/>
        <v/>
      </c>
      <c r="H362" s="14">
        <f ca="1">IF(G362&lt;&gt;"",IFERROR( IsVariableNameLegal(G362),0),0)+IF(COUNTIF(INDIRECT(wew!$C$13),G362)&gt;1,10,0)</f>
        <v>0</v>
      </c>
      <c r="I362" s="14">
        <f ca="1">IF(E362&lt;&gt;"",IF(LEN(E362)&gt;150,1,0)+IF(COUNTIF(INDIRECT(wew!$C$15),E362)&gt;1,10,0),0)</f>
        <v>0</v>
      </c>
      <c r="J362" s="14" t="b">
        <f t="shared" ca="1" si="80"/>
        <v>0</v>
      </c>
      <c r="K362" s="14" t="str">
        <f ca="1">ADDRESS(3,(B362+1)*2-1,4,,"[" &amp; wew!$G$7 &amp; "]" &amp; _sheetname_labels) &amp; ":" &amp; ADDRESS(2+ster!$B$20,(B362+1)*2-1,4)</f>
        <v>'[dane surowe2c.xlsm]labels'!AAS3:AAS36</v>
      </c>
      <c r="L362" s="14" t="str">
        <f ca="1">IF(F362&gt;0,ADDRESS(3,(B362+1)*2-1,4,,"[" &amp; wew!$G$7 &amp; "]" &amp; _sheetname_labels) &amp; ":" &amp; ADDRESS(2+F362,(B362+1)*2-1,4),"")</f>
        <v/>
      </c>
      <c r="M362" s="14" t="str">
        <f ca="1">IF(F362&gt;0,ADDRESS(3,(B362+1)*2,4,,"["&amp;wew!$G$7&amp;"]"&amp;_sheetname_labels)&amp;":"&amp;ADDRESS(2+F362,(B362+1)*2,4),"")</f>
        <v/>
      </c>
      <c r="N362" s="14" t="str">
        <f ca="1">ADDRESS(3,B362+1,4,,"[" &amp; wew!$G$7 &amp; "]" &amp;_sheetname_dataframe) &amp; ":" &amp; ADDRESS(2+ster!$C$14,B362+1,4)</f>
        <v>'[dane surowe2c.xlsm]data_frame'!MW3:MW35</v>
      </c>
      <c r="O362" s="14" t="str">
        <f t="shared" ca="1" si="81"/>
        <v/>
      </c>
      <c r="P362" s="14" t="str">
        <f ca="1">IF(AND($AD362,$S362=1),IF(wew!$B$3,MIN(INDIRECT($N362)),"&lt;włącz podświetlanie wartości&gt;"),"—")</f>
        <v>—</v>
      </c>
      <c r="Q362" s="14" t="str">
        <f ca="1">IF(AND($AD362,$S362=1),IF(wew!$B$3,MAX(INDIRECT($N362)),"&lt;włącz podświetlanie wartości&gt;"),"—")</f>
        <v>—</v>
      </c>
      <c r="R362" s="14" t="str">
        <f ca="1">IF(AD362,ster!$C$14- (COUNTIF( INDIRECT(N362),"" )+ COUNT(INDIRECT(N362)) +COUNTIF( INDIRECT(N362),"NA" )),"")</f>
        <v/>
      </c>
      <c r="S362" s="12" t="str">
        <f ca="1">IF(AD362,IF(COUNTA(INDIRECT(N362))=0,0, 1-(ster!$C$14- COUNT(INDIRECT(N362)) -COUNTIF( INDIRECT(N362),"" )) /COUNTA(INDIRECT(N362))),"")</f>
        <v/>
      </c>
      <c r="T362" s="17" t="str">
        <f t="array" aca="1" ref="T362" ca="1">IF(L362&lt;&gt;"",SUM(IF(INDIRECT(L362)&lt;&gt;INT(INDIRECT(L362)),1,0)),"")</f>
        <v/>
      </c>
      <c r="U362" s="17" t="str">
        <f t="array" aca="1" ref="U362" ca="1">IF(S362=1,SUM(IF(ISNUMBER(INDIRECT(N362)),IF(INDIRECT(N362)&lt;&gt;INT(INDIRECT(N362)),1,0),0)),"")</f>
        <v/>
      </c>
      <c r="V362" s="17">
        <f t="shared" ca="1" si="82"/>
        <v>0</v>
      </c>
      <c r="W362" s="17">
        <f t="shared" ca="1" si="83"/>
        <v>0</v>
      </c>
      <c r="X362" s="24" t="str">
        <f t="array" aca="1" ref="X362" ca="1">IF(AD362,IF(AG362&lt;&gt;"",AG362,IF(J362,MIN(INDIRECT( K362)),"")),"")</f>
        <v/>
      </c>
      <c r="Y362" s="17" t="str">
        <f t="array" aca="1" ref="Y362" ca="1">IF(AD362,IF(AH362&lt;&gt;"",AH362,IF(J362,MAX(INDIRECT( K362)),"")),"")</f>
        <v/>
      </c>
      <c r="Z362" s="17" t="b">
        <f t="shared" ca="1" si="84"/>
        <v>0</v>
      </c>
      <c r="AC362" s="17" t="str">
        <f t="shared" ca="1" si="85"/>
        <v/>
      </c>
      <c r="AD362" s="14" t="b">
        <f t="shared" ca="1" si="86"/>
        <v>0</v>
      </c>
      <c r="AE362" s="15" t="b">
        <f t="shared" ca="1" si="87"/>
        <v>0</v>
      </c>
      <c r="AF362" s="16"/>
      <c r="AG362" s="16"/>
      <c r="AH362" s="16"/>
      <c r="AI362" s="16"/>
      <c r="AJ362" s="16"/>
      <c r="AK362" s="16"/>
      <c r="AL362" s="16"/>
      <c r="AM362" s="16"/>
    </row>
    <row r="363" spans="2:39">
      <c r="B363" s="14">
        <f t="shared" si="76"/>
        <v>361</v>
      </c>
      <c r="C363" s="14" t="str">
        <f t="shared" ca="1" si="77"/>
        <v/>
      </c>
      <c r="D363" s="14" t="str">
        <f t="shared" ca="1" si="78"/>
        <v/>
      </c>
      <c r="E363" s="14" t="str">
        <f t="shared" ca="1" si="75"/>
        <v/>
      </c>
      <c r="F363" s="14">
        <f t="shared" ca="1" si="88"/>
        <v>0</v>
      </c>
      <c r="G363" s="14" t="str">
        <f t="shared" ca="1" si="79"/>
        <v/>
      </c>
      <c r="H363" s="14">
        <f ca="1">IF(G363&lt;&gt;"",IFERROR( IsVariableNameLegal(G363),0),0)+IF(COUNTIF(INDIRECT(wew!$C$13),G363)&gt;1,10,0)</f>
        <v>0</v>
      </c>
      <c r="I363" s="14">
        <f ca="1">IF(E363&lt;&gt;"",IF(LEN(E363)&gt;150,1,0)+IF(COUNTIF(INDIRECT(wew!$C$15),E363)&gt;1,10,0),0)</f>
        <v>0</v>
      </c>
      <c r="J363" s="14" t="b">
        <f t="shared" ca="1" si="80"/>
        <v>0</v>
      </c>
      <c r="K363" s="14" t="str">
        <f ca="1">ADDRESS(3,(B363+1)*2-1,4,,"[" &amp; wew!$G$7 &amp; "]" &amp; _sheetname_labels) &amp; ":" &amp; ADDRESS(2+ster!$B$20,(B363+1)*2-1,4)</f>
        <v>'[dane surowe2c.xlsm]labels'!AAU3:AAU36</v>
      </c>
      <c r="L363" s="14" t="str">
        <f ca="1">IF(F363&gt;0,ADDRESS(3,(B363+1)*2-1,4,,"[" &amp; wew!$G$7 &amp; "]" &amp; _sheetname_labels) &amp; ":" &amp; ADDRESS(2+F363,(B363+1)*2-1,4),"")</f>
        <v/>
      </c>
      <c r="M363" s="14" t="str">
        <f ca="1">IF(F363&gt;0,ADDRESS(3,(B363+1)*2,4,,"["&amp;wew!$G$7&amp;"]"&amp;_sheetname_labels)&amp;":"&amp;ADDRESS(2+F363,(B363+1)*2,4),"")</f>
        <v/>
      </c>
      <c r="N363" s="14" t="str">
        <f ca="1">ADDRESS(3,B363+1,4,,"[" &amp; wew!$G$7 &amp; "]" &amp;_sheetname_dataframe) &amp; ":" &amp; ADDRESS(2+ster!$C$14,B363+1,4)</f>
        <v>'[dane surowe2c.xlsm]data_frame'!MX3:MX35</v>
      </c>
      <c r="O363" s="14" t="str">
        <f t="shared" ca="1" si="81"/>
        <v/>
      </c>
      <c r="P363" s="14" t="str">
        <f ca="1">IF(AND($AD363,$S363=1),IF(wew!$B$3,MIN(INDIRECT($N363)),"&lt;włącz podświetlanie wartości&gt;"),"—")</f>
        <v>—</v>
      </c>
      <c r="Q363" s="14" t="str">
        <f ca="1">IF(AND($AD363,$S363=1),IF(wew!$B$3,MAX(INDIRECT($N363)),"&lt;włącz podświetlanie wartości&gt;"),"—")</f>
        <v>—</v>
      </c>
      <c r="R363" s="14" t="str">
        <f ca="1">IF(AD363,ster!$C$14- (COUNTIF( INDIRECT(N363),"" )+ COUNT(INDIRECT(N363)) +COUNTIF( INDIRECT(N363),"NA" )),"")</f>
        <v/>
      </c>
      <c r="S363" s="12" t="str">
        <f ca="1">IF(AD363,IF(COUNTA(INDIRECT(N363))=0,0, 1-(ster!$C$14- COUNT(INDIRECT(N363)) -COUNTIF( INDIRECT(N363),"" )) /COUNTA(INDIRECT(N363))),"")</f>
        <v/>
      </c>
      <c r="T363" s="17" t="str">
        <f t="array" aca="1" ref="T363" ca="1">IF(L363&lt;&gt;"",SUM(IF(INDIRECT(L363)&lt;&gt;INT(INDIRECT(L363)),1,0)),"")</f>
        <v/>
      </c>
      <c r="U363" s="17" t="str">
        <f t="array" aca="1" ref="U363" ca="1">IF(S363=1,SUM(IF(ISNUMBER(INDIRECT(N363)),IF(INDIRECT(N363)&lt;&gt;INT(INDIRECT(N363)),1,0),0)),"")</f>
        <v/>
      </c>
      <c r="V363" s="17">
        <f t="shared" ca="1" si="82"/>
        <v>0</v>
      </c>
      <c r="W363" s="17">
        <f t="shared" ca="1" si="83"/>
        <v>0</v>
      </c>
      <c r="X363" s="24" t="str">
        <f t="array" aca="1" ref="X363" ca="1">IF(AD363,IF(AG363&lt;&gt;"",AG363,IF(J363,MIN(INDIRECT( K363)),"")),"")</f>
        <v/>
      </c>
      <c r="Y363" s="17" t="str">
        <f t="array" aca="1" ref="Y363" ca="1">IF(AD363,IF(AH363&lt;&gt;"",AH363,IF(J363,MAX(INDIRECT( K363)),"")),"")</f>
        <v/>
      </c>
      <c r="Z363" s="17" t="b">
        <f t="shared" ca="1" si="84"/>
        <v>0</v>
      </c>
      <c r="AC363" s="17" t="str">
        <f t="shared" ca="1" si="85"/>
        <v/>
      </c>
      <c r="AD363" s="14" t="b">
        <f t="shared" ca="1" si="86"/>
        <v>0</v>
      </c>
      <c r="AE363" s="15" t="b">
        <f t="shared" ca="1" si="87"/>
        <v>0</v>
      </c>
      <c r="AF363" s="16"/>
      <c r="AG363" s="16"/>
      <c r="AH363" s="16"/>
      <c r="AI363" s="16"/>
      <c r="AJ363" s="16"/>
      <c r="AK363" s="16"/>
      <c r="AL363" s="16"/>
      <c r="AM363" s="16"/>
    </row>
    <row r="364" spans="2:39">
      <c r="B364" s="14">
        <f t="shared" si="76"/>
        <v>362</v>
      </c>
      <c r="C364" s="14" t="str">
        <f t="shared" ca="1" si="77"/>
        <v/>
      </c>
      <c r="D364" s="14" t="str">
        <f t="shared" ca="1" si="78"/>
        <v/>
      </c>
      <c r="E364" s="14" t="str">
        <f t="shared" ca="1" si="75"/>
        <v/>
      </c>
      <c r="F364" s="14">
        <f t="shared" ca="1" si="88"/>
        <v>0</v>
      </c>
      <c r="G364" s="14" t="str">
        <f t="shared" ca="1" si="79"/>
        <v/>
      </c>
      <c r="H364" s="14">
        <f ca="1">IF(G364&lt;&gt;"",IFERROR( IsVariableNameLegal(G364),0),0)+IF(COUNTIF(INDIRECT(wew!$C$13),G364)&gt;1,10,0)</f>
        <v>0</v>
      </c>
      <c r="I364" s="14">
        <f ca="1">IF(E364&lt;&gt;"",IF(LEN(E364)&gt;150,1,0)+IF(COUNTIF(INDIRECT(wew!$C$15),E364)&gt;1,10,0),0)</f>
        <v>0</v>
      </c>
      <c r="J364" s="14" t="b">
        <f t="shared" ca="1" si="80"/>
        <v>0</v>
      </c>
      <c r="K364" s="14" t="str">
        <f ca="1">ADDRESS(3,(B364+1)*2-1,4,,"[" &amp; wew!$G$7 &amp; "]" &amp; _sheetname_labels) &amp; ":" &amp; ADDRESS(2+ster!$B$20,(B364+1)*2-1,4)</f>
        <v>'[dane surowe2c.xlsm]labels'!AAW3:AAW36</v>
      </c>
      <c r="L364" s="14" t="str">
        <f ca="1">IF(F364&gt;0,ADDRESS(3,(B364+1)*2-1,4,,"[" &amp; wew!$G$7 &amp; "]" &amp; _sheetname_labels) &amp; ":" &amp; ADDRESS(2+F364,(B364+1)*2-1,4),"")</f>
        <v/>
      </c>
      <c r="M364" s="14" t="str">
        <f ca="1">IF(F364&gt;0,ADDRESS(3,(B364+1)*2,4,,"["&amp;wew!$G$7&amp;"]"&amp;_sheetname_labels)&amp;":"&amp;ADDRESS(2+F364,(B364+1)*2,4),"")</f>
        <v/>
      </c>
      <c r="N364" s="14" t="str">
        <f ca="1">ADDRESS(3,B364+1,4,,"[" &amp; wew!$G$7 &amp; "]" &amp;_sheetname_dataframe) &amp; ":" &amp; ADDRESS(2+ster!$C$14,B364+1,4)</f>
        <v>'[dane surowe2c.xlsm]data_frame'!MY3:MY35</v>
      </c>
      <c r="O364" s="14" t="str">
        <f t="shared" ca="1" si="81"/>
        <v/>
      </c>
      <c r="P364" s="14" t="str">
        <f ca="1">IF(AND($AD364,$S364=1),IF(wew!$B$3,MIN(INDIRECT($N364)),"&lt;włącz podświetlanie wartości&gt;"),"—")</f>
        <v>—</v>
      </c>
      <c r="Q364" s="14" t="str">
        <f ca="1">IF(AND($AD364,$S364=1),IF(wew!$B$3,MAX(INDIRECT($N364)),"&lt;włącz podświetlanie wartości&gt;"),"—")</f>
        <v>—</v>
      </c>
      <c r="R364" s="14" t="str">
        <f ca="1">IF(AD364,ster!$C$14- (COUNTIF( INDIRECT(N364),"" )+ COUNT(INDIRECT(N364)) +COUNTIF( INDIRECT(N364),"NA" )),"")</f>
        <v/>
      </c>
      <c r="S364" s="12" t="str">
        <f ca="1">IF(AD364,IF(COUNTA(INDIRECT(N364))=0,0, 1-(ster!$C$14- COUNT(INDIRECT(N364)) -COUNTIF( INDIRECT(N364),"" )) /COUNTA(INDIRECT(N364))),"")</f>
        <v/>
      </c>
      <c r="T364" s="17" t="str">
        <f t="array" aca="1" ref="T364" ca="1">IF(L364&lt;&gt;"",SUM(IF(INDIRECT(L364)&lt;&gt;INT(INDIRECT(L364)),1,0)),"")</f>
        <v/>
      </c>
      <c r="U364" s="17" t="str">
        <f t="array" aca="1" ref="U364" ca="1">IF(S364=1,SUM(IF(ISNUMBER(INDIRECT(N364)),IF(INDIRECT(N364)&lt;&gt;INT(INDIRECT(N364)),1,0),0)),"")</f>
        <v/>
      </c>
      <c r="V364" s="17">
        <f t="shared" ca="1" si="82"/>
        <v>0</v>
      </c>
      <c r="W364" s="17">
        <f t="shared" ca="1" si="83"/>
        <v>0</v>
      </c>
      <c r="X364" s="24" t="str">
        <f t="array" aca="1" ref="X364" ca="1">IF(AD364,IF(AG364&lt;&gt;"",AG364,IF(J364,MIN(INDIRECT( K364)),"")),"")</f>
        <v/>
      </c>
      <c r="Y364" s="17" t="str">
        <f t="array" aca="1" ref="Y364" ca="1">IF(AD364,IF(AH364&lt;&gt;"",AH364,IF(J364,MAX(INDIRECT( K364)),"")),"")</f>
        <v/>
      </c>
      <c r="Z364" s="17" t="b">
        <f t="shared" ca="1" si="84"/>
        <v>0</v>
      </c>
      <c r="AC364" s="17" t="str">
        <f t="shared" ca="1" si="85"/>
        <v/>
      </c>
      <c r="AD364" s="14" t="b">
        <f t="shared" ca="1" si="86"/>
        <v>0</v>
      </c>
      <c r="AE364" s="15" t="b">
        <f t="shared" ca="1" si="87"/>
        <v>0</v>
      </c>
      <c r="AF364" s="16"/>
      <c r="AG364" s="16"/>
      <c r="AH364" s="16"/>
      <c r="AI364" s="16"/>
      <c r="AJ364" s="16"/>
      <c r="AK364" s="16"/>
      <c r="AL364" s="16"/>
      <c r="AM364" s="16"/>
    </row>
    <row r="365" spans="2:39">
      <c r="B365" s="14">
        <f t="shared" si="76"/>
        <v>363</v>
      </c>
      <c r="C365" s="14" t="str">
        <f t="shared" ca="1" si="77"/>
        <v/>
      </c>
      <c r="D365" s="14" t="str">
        <f t="shared" ca="1" si="78"/>
        <v/>
      </c>
      <c r="E365" s="14" t="str">
        <f t="shared" ca="1" si="75"/>
        <v/>
      </c>
      <c r="F365" s="14">
        <f t="shared" ca="1" si="88"/>
        <v>0</v>
      </c>
      <c r="G365" s="14" t="str">
        <f t="shared" ca="1" si="79"/>
        <v/>
      </c>
      <c r="H365" s="14">
        <f ca="1">IF(G365&lt;&gt;"",IFERROR( IsVariableNameLegal(G365),0),0)+IF(COUNTIF(INDIRECT(wew!$C$13),G365)&gt;1,10,0)</f>
        <v>0</v>
      </c>
      <c r="I365" s="14">
        <f ca="1">IF(E365&lt;&gt;"",IF(LEN(E365)&gt;150,1,0)+IF(COUNTIF(INDIRECT(wew!$C$15),E365)&gt;1,10,0),0)</f>
        <v>0</v>
      </c>
      <c r="J365" s="14" t="b">
        <f t="shared" ca="1" si="80"/>
        <v>0</v>
      </c>
      <c r="K365" s="14" t="str">
        <f ca="1">ADDRESS(3,(B365+1)*2-1,4,,"[" &amp; wew!$G$7 &amp; "]" &amp; _sheetname_labels) &amp; ":" &amp; ADDRESS(2+ster!$B$20,(B365+1)*2-1,4)</f>
        <v>'[dane surowe2c.xlsm]labels'!AAY3:AAY36</v>
      </c>
      <c r="L365" s="14" t="str">
        <f ca="1">IF(F365&gt;0,ADDRESS(3,(B365+1)*2-1,4,,"[" &amp; wew!$G$7 &amp; "]" &amp; _sheetname_labels) &amp; ":" &amp; ADDRESS(2+F365,(B365+1)*2-1,4),"")</f>
        <v/>
      </c>
      <c r="M365" s="14" t="str">
        <f ca="1">IF(F365&gt;0,ADDRESS(3,(B365+1)*2,4,,"["&amp;wew!$G$7&amp;"]"&amp;_sheetname_labels)&amp;":"&amp;ADDRESS(2+F365,(B365+1)*2,4),"")</f>
        <v/>
      </c>
      <c r="N365" s="14" t="str">
        <f ca="1">ADDRESS(3,B365+1,4,,"[" &amp; wew!$G$7 &amp; "]" &amp;_sheetname_dataframe) &amp; ":" &amp; ADDRESS(2+ster!$C$14,B365+1,4)</f>
        <v>'[dane surowe2c.xlsm]data_frame'!MZ3:MZ35</v>
      </c>
      <c r="O365" s="14" t="str">
        <f t="shared" ca="1" si="81"/>
        <v/>
      </c>
      <c r="P365" s="14" t="str">
        <f ca="1">IF(AND($AD365,$S365=1),IF(wew!$B$3,MIN(INDIRECT($N365)),"&lt;włącz podświetlanie wartości&gt;"),"—")</f>
        <v>—</v>
      </c>
      <c r="Q365" s="14" t="str">
        <f ca="1">IF(AND($AD365,$S365=1),IF(wew!$B$3,MAX(INDIRECT($N365)),"&lt;włącz podświetlanie wartości&gt;"),"—")</f>
        <v>—</v>
      </c>
      <c r="R365" s="14" t="str">
        <f ca="1">IF(AD365,ster!$C$14- (COUNTIF( INDIRECT(N365),"" )+ COUNT(INDIRECT(N365)) +COUNTIF( INDIRECT(N365),"NA" )),"")</f>
        <v/>
      </c>
      <c r="S365" s="12" t="str">
        <f ca="1">IF(AD365,IF(COUNTA(INDIRECT(N365))=0,0, 1-(ster!$C$14- COUNT(INDIRECT(N365)) -COUNTIF( INDIRECT(N365),"" )) /COUNTA(INDIRECT(N365))),"")</f>
        <v/>
      </c>
      <c r="T365" s="17" t="str">
        <f t="array" aca="1" ref="T365" ca="1">IF(L365&lt;&gt;"",SUM(IF(INDIRECT(L365)&lt;&gt;INT(INDIRECT(L365)),1,0)),"")</f>
        <v/>
      </c>
      <c r="U365" s="17" t="str">
        <f t="array" aca="1" ref="U365" ca="1">IF(S365=1,SUM(IF(ISNUMBER(INDIRECT(N365)),IF(INDIRECT(N365)&lt;&gt;INT(INDIRECT(N365)),1,0),0)),"")</f>
        <v/>
      </c>
      <c r="V365" s="17">
        <f t="shared" ca="1" si="82"/>
        <v>0</v>
      </c>
      <c r="W365" s="17">
        <f t="shared" ca="1" si="83"/>
        <v>0</v>
      </c>
      <c r="X365" s="24" t="str">
        <f t="array" aca="1" ref="X365" ca="1">IF(AD365,IF(AG365&lt;&gt;"",AG365,IF(J365,MIN(INDIRECT( K365)),"")),"")</f>
        <v/>
      </c>
      <c r="Y365" s="17" t="str">
        <f t="array" aca="1" ref="Y365" ca="1">IF(AD365,IF(AH365&lt;&gt;"",AH365,IF(J365,MAX(INDIRECT( K365)),"")),"")</f>
        <v/>
      </c>
      <c r="Z365" s="17" t="b">
        <f t="shared" ca="1" si="84"/>
        <v>0</v>
      </c>
      <c r="AC365" s="17" t="str">
        <f t="shared" ca="1" si="85"/>
        <v/>
      </c>
      <c r="AD365" s="14" t="b">
        <f t="shared" ca="1" si="86"/>
        <v>0</v>
      </c>
      <c r="AE365" s="15" t="b">
        <f t="shared" ca="1" si="87"/>
        <v>0</v>
      </c>
      <c r="AF365" s="16"/>
      <c r="AG365" s="16"/>
      <c r="AH365" s="16"/>
      <c r="AI365" s="16"/>
      <c r="AJ365" s="16"/>
      <c r="AK365" s="16"/>
      <c r="AL365" s="16"/>
      <c r="AM365" s="16"/>
    </row>
    <row r="366" spans="2:39">
      <c r="B366" s="14">
        <f t="shared" si="76"/>
        <v>364</v>
      </c>
      <c r="C366" s="14" t="str">
        <f t="shared" ca="1" si="77"/>
        <v/>
      </c>
      <c r="D366" s="14" t="str">
        <f t="shared" ca="1" si="78"/>
        <v/>
      </c>
      <c r="E366" s="14" t="str">
        <f t="shared" ca="1" si="75"/>
        <v/>
      </c>
      <c r="F366" s="14">
        <f t="shared" ca="1" si="88"/>
        <v>0</v>
      </c>
      <c r="G366" s="14" t="str">
        <f t="shared" ca="1" si="79"/>
        <v/>
      </c>
      <c r="H366" s="14">
        <f ca="1">IF(G366&lt;&gt;"",IFERROR( IsVariableNameLegal(G366),0),0)+IF(COUNTIF(INDIRECT(wew!$C$13),G366)&gt;1,10,0)</f>
        <v>0</v>
      </c>
      <c r="I366" s="14">
        <f ca="1">IF(E366&lt;&gt;"",IF(LEN(E366)&gt;150,1,0)+IF(COUNTIF(INDIRECT(wew!$C$15),E366)&gt;1,10,0),0)</f>
        <v>0</v>
      </c>
      <c r="J366" s="14" t="b">
        <f t="shared" ca="1" si="80"/>
        <v>0</v>
      </c>
      <c r="K366" s="14" t="str">
        <f ca="1">ADDRESS(3,(B366+1)*2-1,4,,"[" &amp; wew!$G$7 &amp; "]" &amp; _sheetname_labels) &amp; ":" &amp; ADDRESS(2+ster!$B$20,(B366+1)*2-1,4)</f>
        <v>'[dane surowe2c.xlsm]labels'!ABA3:ABA36</v>
      </c>
      <c r="L366" s="14" t="str">
        <f ca="1">IF(F366&gt;0,ADDRESS(3,(B366+1)*2-1,4,,"[" &amp; wew!$G$7 &amp; "]" &amp; _sheetname_labels) &amp; ":" &amp; ADDRESS(2+F366,(B366+1)*2-1,4),"")</f>
        <v/>
      </c>
      <c r="M366" s="14" t="str">
        <f ca="1">IF(F366&gt;0,ADDRESS(3,(B366+1)*2,4,,"["&amp;wew!$G$7&amp;"]"&amp;_sheetname_labels)&amp;":"&amp;ADDRESS(2+F366,(B366+1)*2,4),"")</f>
        <v/>
      </c>
      <c r="N366" s="14" t="str">
        <f ca="1">ADDRESS(3,B366+1,4,,"[" &amp; wew!$G$7 &amp; "]" &amp;_sheetname_dataframe) &amp; ":" &amp; ADDRESS(2+ster!$C$14,B366+1,4)</f>
        <v>'[dane surowe2c.xlsm]data_frame'!NA3:NA35</v>
      </c>
      <c r="O366" s="14" t="str">
        <f t="shared" ca="1" si="81"/>
        <v/>
      </c>
      <c r="P366" s="14" t="str">
        <f ca="1">IF(AND($AD366,$S366=1),IF(wew!$B$3,MIN(INDIRECT($N366)),"&lt;włącz podświetlanie wartości&gt;"),"—")</f>
        <v>—</v>
      </c>
      <c r="Q366" s="14" t="str">
        <f ca="1">IF(AND($AD366,$S366=1),IF(wew!$B$3,MAX(INDIRECT($N366)),"&lt;włącz podświetlanie wartości&gt;"),"—")</f>
        <v>—</v>
      </c>
      <c r="R366" s="14" t="str">
        <f ca="1">IF(AD366,ster!$C$14- (COUNTIF( INDIRECT(N366),"" )+ COUNT(INDIRECT(N366)) +COUNTIF( INDIRECT(N366),"NA" )),"")</f>
        <v/>
      </c>
      <c r="S366" s="12" t="str">
        <f ca="1">IF(AD366,IF(COUNTA(INDIRECT(N366))=0,0, 1-(ster!$C$14- COUNT(INDIRECT(N366)) -COUNTIF( INDIRECT(N366),"" )) /COUNTA(INDIRECT(N366))),"")</f>
        <v/>
      </c>
      <c r="T366" s="17" t="str">
        <f t="array" aca="1" ref="T366" ca="1">IF(L366&lt;&gt;"",SUM(IF(INDIRECT(L366)&lt;&gt;INT(INDIRECT(L366)),1,0)),"")</f>
        <v/>
      </c>
      <c r="U366" s="17" t="str">
        <f t="array" aca="1" ref="U366" ca="1">IF(S366=1,SUM(IF(ISNUMBER(INDIRECT(N366)),IF(INDIRECT(N366)&lt;&gt;INT(INDIRECT(N366)),1,0),0)),"")</f>
        <v/>
      </c>
      <c r="V366" s="17">
        <f t="shared" ca="1" si="82"/>
        <v>0</v>
      </c>
      <c r="W366" s="17">
        <f t="shared" ca="1" si="83"/>
        <v>0</v>
      </c>
      <c r="X366" s="24" t="str">
        <f t="array" aca="1" ref="X366" ca="1">IF(AD366,IF(AG366&lt;&gt;"",AG366,IF(J366,MIN(INDIRECT( K366)),"")),"")</f>
        <v/>
      </c>
      <c r="Y366" s="17" t="str">
        <f t="array" aca="1" ref="Y366" ca="1">IF(AD366,IF(AH366&lt;&gt;"",AH366,IF(J366,MAX(INDIRECT( K366)),"")),"")</f>
        <v/>
      </c>
      <c r="Z366" s="17" t="b">
        <f t="shared" ca="1" si="84"/>
        <v>0</v>
      </c>
      <c r="AC366" s="17" t="str">
        <f t="shared" ca="1" si="85"/>
        <v/>
      </c>
      <c r="AD366" s="14" t="b">
        <f t="shared" ca="1" si="86"/>
        <v>0</v>
      </c>
      <c r="AE366" s="15" t="b">
        <f t="shared" ca="1" si="87"/>
        <v>0</v>
      </c>
      <c r="AF366" s="16"/>
      <c r="AG366" s="16"/>
      <c r="AH366" s="16"/>
      <c r="AI366" s="16"/>
      <c r="AJ366" s="16"/>
      <c r="AK366" s="16"/>
      <c r="AL366" s="16"/>
      <c r="AM366" s="16"/>
    </row>
    <row r="367" spans="2:39">
      <c r="B367" s="14">
        <f t="shared" si="76"/>
        <v>365</v>
      </c>
      <c r="C367" s="14" t="str">
        <f t="shared" ca="1" si="77"/>
        <v/>
      </c>
      <c r="D367" s="14" t="str">
        <f t="shared" ca="1" si="78"/>
        <v/>
      </c>
      <c r="E367" s="14" t="str">
        <f t="shared" ca="1" si="75"/>
        <v/>
      </c>
      <c r="F367" s="14">
        <f t="shared" ca="1" si="88"/>
        <v>0</v>
      </c>
      <c r="G367" s="14" t="str">
        <f t="shared" ca="1" si="79"/>
        <v/>
      </c>
      <c r="H367" s="14">
        <f ca="1">IF(G367&lt;&gt;"",IFERROR( IsVariableNameLegal(G367),0),0)+IF(COUNTIF(INDIRECT(wew!$C$13),G367)&gt;1,10,0)</f>
        <v>0</v>
      </c>
      <c r="I367" s="14">
        <f ca="1">IF(E367&lt;&gt;"",IF(LEN(E367)&gt;150,1,0)+IF(COUNTIF(INDIRECT(wew!$C$15),E367)&gt;1,10,0),0)</f>
        <v>0</v>
      </c>
      <c r="J367" s="14" t="b">
        <f t="shared" ca="1" si="80"/>
        <v>0</v>
      </c>
      <c r="K367" s="14" t="str">
        <f ca="1">ADDRESS(3,(B367+1)*2-1,4,,"[" &amp; wew!$G$7 &amp; "]" &amp; _sheetname_labels) &amp; ":" &amp; ADDRESS(2+ster!$B$20,(B367+1)*2-1,4)</f>
        <v>'[dane surowe2c.xlsm]labels'!ABC3:ABC36</v>
      </c>
      <c r="L367" s="14" t="str">
        <f ca="1">IF(F367&gt;0,ADDRESS(3,(B367+1)*2-1,4,,"[" &amp; wew!$G$7 &amp; "]" &amp; _sheetname_labels) &amp; ":" &amp; ADDRESS(2+F367,(B367+1)*2-1,4),"")</f>
        <v/>
      </c>
      <c r="M367" s="14" t="str">
        <f ca="1">IF(F367&gt;0,ADDRESS(3,(B367+1)*2,4,,"["&amp;wew!$G$7&amp;"]"&amp;_sheetname_labels)&amp;":"&amp;ADDRESS(2+F367,(B367+1)*2,4),"")</f>
        <v/>
      </c>
      <c r="N367" s="14" t="str">
        <f ca="1">ADDRESS(3,B367+1,4,,"[" &amp; wew!$G$7 &amp; "]" &amp;_sheetname_dataframe) &amp; ":" &amp; ADDRESS(2+ster!$C$14,B367+1,4)</f>
        <v>'[dane surowe2c.xlsm]data_frame'!NB3:NB35</v>
      </c>
      <c r="O367" s="14" t="str">
        <f t="shared" ca="1" si="81"/>
        <v/>
      </c>
      <c r="P367" s="14" t="str">
        <f ca="1">IF(AND($AD367,$S367=1),IF(wew!$B$3,MIN(INDIRECT($N367)),"&lt;włącz podświetlanie wartości&gt;"),"—")</f>
        <v>—</v>
      </c>
      <c r="Q367" s="14" t="str">
        <f ca="1">IF(AND($AD367,$S367=1),IF(wew!$B$3,MAX(INDIRECT($N367)),"&lt;włącz podświetlanie wartości&gt;"),"—")</f>
        <v>—</v>
      </c>
      <c r="R367" s="14" t="str">
        <f ca="1">IF(AD367,ster!$C$14- (COUNTIF( INDIRECT(N367),"" )+ COUNT(INDIRECT(N367)) +COUNTIF( INDIRECT(N367),"NA" )),"")</f>
        <v/>
      </c>
      <c r="S367" s="12" t="str">
        <f ca="1">IF(AD367,IF(COUNTA(INDIRECT(N367))=0,0, 1-(ster!$C$14- COUNT(INDIRECT(N367)) -COUNTIF( INDIRECT(N367),"" )) /COUNTA(INDIRECT(N367))),"")</f>
        <v/>
      </c>
      <c r="T367" s="17" t="str">
        <f t="array" aca="1" ref="T367" ca="1">IF(L367&lt;&gt;"",SUM(IF(INDIRECT(L367)&lt;&gt;INT(INDIRECT(L367)),1,0)),"")</f>
        <v/>
      </c>
      <c r="U367" s="17" t="str">
        <f t="array" aca="1" ref="U367" ca="1">IF(S367=1,SUM(IF(ISNUMBER(INDIRECT(N367)),IF(INDIRECT(N367)&lt;&gt;INT(INDIRECT(N367)),1,0),0)),"")</f>
        <v/>
      </c>
      <c r="V367" s="17">
        <f t="shared" ca="1" si="82"/>
        <v>0</v>
      </c>
      <c r="W367" s="17">
        <f t="shared" ca="1" si="83"/>
        <v>0</v>
      </c>
      <c r="X367" s="24" t="str">
        <f t="array" aca="1" ref="X367" ca="1">IF(AD367,IF(AG367&lt;&gt;"",AG367,IF(J367,MIN(INDIRECT( K367)),"")),"")</f>
        <v/>
      </c>
      <c r="Y367" s="17" t="str">
        <f t="array" aca="1" ref="Y367" ca="1">IF(AD367,IF(AH367&lt;&gt;"",AH367,IF(J367,MAX(INDIRECT( K367)),"")),"")</f>
        <v/>
      </c>
      <c r="Z367" s="17" t="b">
        <f t="shared" ca="1" si="84"/>
        <v>0</v>
      </c>
      <c r="AC367" s="17" t="str">
        <f t="shared" ca="1" si="85"/>
        <v/>
      </c>
      <c r="AD367" s="14" t="b">
        <f t="shared" ca="1" si="86"/>
        <v>0</v>
      </c>
      <c r="AE367" s="15" t="b">
        <f t="shared" ca="1" si="87"/>
        <v>0</v>
      </c>
      <c r="AF367" s="16"/>
      <c r="AG367" s="16"/>
      <c r="AH367" s="16"/>
      <c r="AI367" s="16"/>
      <c r="AJ367" s="16"/>
      <c r="AK367" s="16"/>
      <c r="AL367" s="16"/>
      <c r="AM367" s="16"/>
    </row>
    <row r="368" spans="2:39">
      <c r="B368" s="14">
        <f t="shared" si="76"/>
        <v>366</v>
      </c>
      <c r="C368" s="14" t="str">
        <f t="shared" ca="1" si="77"/>
        <v/>
      </c>
      <c r="D368" s="14" t="str">
        <f t="shared" ca="1" si="78"/>
        <v/>
      </c>
      <c r="E368" s="14" t="str">
        <f t="shared" ca="1" si="75"/>
        <v/>
      </c>
      <c r="F368" s="14">
        <f t="shared" ca="1" si="88"/>
        <v>0</v>
      </c>
      <c r="G368" s="14" t="str">
        <f t="shared" ca="1" si="79"/>
        <v/>
      </c>
      <c r="H368" s="14">
        <f ca="1">IF(G368&lt;&gt;"",IFERROR( IsVariableNameLegal(G368),0),0)+IF(COUNTIF(INDIRECT(wew!$C$13),G368)&gt;1,10,0)</f>
        <v>0</v>
      </c>
      <c r="I368" s="14">
        <f ca="1">IF(E368&lt;&gt;"",IF(LEN(E368)&gt;150,1,0)+IF(COUNTIF(INDIRECT(wew!$C$15),E368)&gt;1,10,0),0)</f>
        <v>0</v>
      </c>
      <c r="J368" s="14" t="b">
        <f t="shared" ca="1" si="80"/>
        <v>0</v>
      </c>
      <c r="K368" s="14" t="str">
        <f ca="1">ADDRESS(3,(B368+1)*2-1,4,,"[" &amp; wew!$G$7 &amp; "]" &amp; _sheetname_labels) &amp; ":" &amp; ADDRESS(2+ster!$B$20,(B368+1)*2-1,4)</f>
        <v>'[dane surowe2c.xlsm]labels'!ABE3:ABE36</v>
      </c>
      <c r="L368" s="14" t="str">
        <f ca="1">IF(F368&gt;0,ADDRESS(3,(B368+1)*2-1,4,,"[" &amp; wew!$G$7 &amp; "]" &amp; _sheetname_labels) &amp; ":" &amp; ADDRESS(2+F368,(B368+1)*2-1,4),"")</f>
        <v/>
      </c>
      <c r="M368" s="14" t="str">
        <f ca="1">IF(F368&gt;0,ADDRESS(3,(B368+1)*2,4,,"["&amp;wew!$G$7&amp;"]"&amp;_sheetname_labels)&amp;":"&amp;ADDRESS(2+F368,(B368+1)*2,4),"")</f>
        <v/>
      </c>
      <c r="N368" s="14" t="str">
        <f ca="1">ADDRESS(3,B368+1,4,,"[" &amp; wew!$G$7 &amp; "]" &amp;_sheetname_dataframe) &amp; ":" &amp; ADDRESS(2+ster!$C$14,B368+1,4)</f>
        <v>'[dane surowe2c.xlsm]data_frame'!NC3:NC35</v>
      </c>
      <c r="O368" s="14" t="str">
        <f t="shared" ca="1" si="81"/>
        <v/>
      </c>
      <c r="P368" s="14" t="str">
        <f ca="1">IF(AND($AD368,$S368=1),IF(wew!$B$3,MIN(INDIRECT($N368)),"&lt;włącz podświetlanie wartości&gt;"),"—")</f>
        <v>—</v>
      </c>
      <c r="Q368" s="14" t="str">
        <f ca="1">IF(AND($AD368,$S368=1),IF(wew!$B$3,MAX(INDIRECT($N368)),"&lt;włącz podświetlanie wartości&gt;"),"—")</f>
        <v>—</v>
      </c>
      <c r="R368" s="14" t="str">
        <f ca="1">IF(AD368,ster!$C$14- (COUNTIF( INDIRECT(N368),"" )+ COUNT(INDIRECT(N368)) +COUNTIF( INDIRECT(N368),"NA" )),"")</f>
        <v/>
      </c>
      <c r="S368" s="12" t="str">
        <f ca="1">IF(AD368,IF(COUNTA(INDIRECT(N368))=0,0, 1-(ster!$C$14- COUNT(INDIRECT(N368)) -COUNTIF( INDIRECT(N368),"" )) /COUNTA(INDIRECT(N368))),"")</f>
        <v/>
      </c>
      <c r="T368" s="17" t="str">
        <f t="array" aca="1" ref="T368" ca="1">IF(L368&lt;&gt;"",SUM(IF(INDIRECT(L368)&lt;&gt;INT(INDIRECT(L368)),1,0)),"")</f>
        <v/>
      </c>
      <c r="U368" s="17" t="str">
        <f t="array" aca="1" ref="U368" ca="1">IF(S368=1,SUM(IF(ISNUMBER(INDIRECT(N368)),IF(INDIRECT(N368)&lt;&gt;INT(INDIRECT(N368)),1,0),0)),"")</f>
        <v/>
      </c>
      <c r="V368" s="17">
        <f t="shared" ca="1" si="82"/>
        <v>0</v>
      </c>
      <c r="W368" s="17">
        <f t="shared" ca="1" si="83"/>
        <v>0</v>
      </c>
      <c r="X368" s="24" t="str">
        <f t="array" aca="1" ref="X368" ca="1">IF(AD368,IF(AG368&lt;&gt;"",AG368,IF(J368,MIN(INDIRECT( K368)),"")),"")</f>
        <v/>
      </c>
      <c r="Y368" s="17" t="str">
        <f t="array" aca="1" ref="Y368" ca="1">IF(AD368,IF(AH368&lt;&gt;"",AH368,IF(J368,MAX(INDIRECT( K368)),"")),"")</f>
        <v/>
      </c>
      <c r="Z368" s="17" t="b">
        <f t="shared" ca="1" si="84"/>
        <v>0</v>
      </c>
      <c r="AC368" s="17" t="str">
        <f t="shared" ca="1" si="85"/>
        <v/>
      </c>
      <c r="AD368" s="14" t="b">
        <f t="shared" ca="1" si="86"/>
        <v>0</v>
      </c>
      <c r="AE368" s="15" t="b">
        <f t="shared" ca="1" si="87"/>
        <v>0</v>
      </c>
      <c r="AF368" s="16"/>
      <c r="AG368" s="16"/>
      <c r="AH368" s="16"/>
      <c r="AI368" s="16"/>
      <c r="AJ368" s="16"/>
      <c r="AK368" s="16"/>
      <c r="AL368" s="16"/>
      <c r="AM368" s="16"/>
    </row>
    <row r="369" spans="2:39">
      <c r="B369" s="14">
        <f t="shared" si="76"/>
        <v>367</v>
      </c>
      <c r="C369" s="14" t="str">
        <f t="shared" ca="1" si="77"/>
        <v/>
      </c>
      <c r="D369" s="14" t="str">
        <f t="shared" ca="1" si="78"/>
        <v/>
      </c>
      <c r="E369" s="14" t="str">
        <f t="shared" ca="1" si="75"/>
        <v/>
      </c>
      <c r="F369" s="14">
        <f t="shared" ca="1" si="88"/>
        <v>0</v>
      </c>
      <c r="G369" s="14" t="str">
        <f t="shared" ca="1" si="79"/>
        <v/>
      </c>
      <c r="H369" s="14">
        <f ca="1">IF(G369&lt;&gt;"",IFERROR( IsVariableNameLegal(G369),0),0)+IF(COUNTIF(INDIRECT(wew!$C$13),G369)&gt;1,10,0)</f>
        <v>0</v>
      </c>
      <c r="I369" s="14">
        <f ca="1">IF(E369&lt;&gt;"",IF(LEN(E369)&gt;150,1,0)+IF(COUNTIF(INDIRECT(wew!$C$15),E369)&gt;1,10,0),0)</f>
        <v>0</v>
      </c>
      <c r="J369" s="14" t="b">
        <f t="shared" ca="1" si="80"/>
        <v>0</v>
      </c>
      <c r="K369" s="14" t="str">
        <f ca="1">ADDRESS(3,(B369+1)*2-1,4,,"[" &amp; wew!$G$7 &amp; "]" &amp; _sheetname_labels) &amp; ":" &amp; ADDRESS(2+ster!$B$20,(B369+1)*2-1,4)</f>
        <v>'[dane surowe2c.xlsm]labels'!ABG3:ABG36</v>
      </c>
      <c r="L369" s="14" t="str">
        <f ca="1">IF(F369&gt;0,ADDRESS(3,(B369+1)*2-1,4,,"[" &amp; wew!$G$7 &amp; "]" &amp; _sheetname_labels) &amp; ":" &amp; ADDRESS(2+F369,(B369+1)*2-1,4),"")</f>
        <v/>
      </c>
      <c r="M369" s="14" t="str">
        <f ca="1">IF(F369&gt;0,ADDRESS(3,(B369+1)*2,4,,"["&amp;wew!$G$7&amp;"]"&amp;_sheetname_labels)&amp;":"&amp;ADDRESS(2+F369,(B369+1)*2,4),"")</f>
        <v/>
      </c>
      <c r="N369" s="14" t="str">
        <f ca="1">ADDRESS(3,B369+1,4,,"[" &amp; wew!$G$7 &amp; "]" &amp;_sheetname_dataframe) &amp; ":" &amp; ADDRESS(2+ster!$C$14,B369+1,4)</f>
        <v>'[dane surowe2c.xlsm]data_frame'!ND3:ND35</v>
      </c>
      <c r="O369" s="14" t="str">
        <f t="shared" ca="1" si="81"/>
        <v/>
      </c>
      <c r="P369" s="14" t="str">
        <f ca="1">IF(AND($AD369,$S369=1),IF(wew!$B$3,MIN(INDIRECT($N369)),"&lt;włącz podświetlanie wartości&gt;"),"—")</f>
        <v>—</v>
      </c>
      <c r="Q369" s="14" t="str">
        <f ca="1">IF(AND($AD369,$S369=1),IF(wew!$B$3,MAX(INDIRECT($N369)),"&lt;włącz podświetlanie wartości&gt;"),"—")</f>
        <v>—</v>
      </c>
      <c r="R369" s="14" t="str">
        <f ca="1">IF(AD369,ster!$C$14- (COUNTIF( INDIRECT(N369),"" )+ COUNT(INDIRECT(N369)) +COUNTIF( INDIRECT(N369),"NA" )),"")</f>
        <v/>
      </c>
      <c r="S369" s="12" t="str">
        <f ca="1">IF(AD369,IF(COUNTA(INDIRECT(N369))=0,0, 1-(ster!$C$14- COUNT(INDIRECT(N369)) -COUNTIF( INDIRECT(N369),"" )) /COUNTA(INDIRECT(N369))),"")</f>
        <v/>
      </c>
      <c r="T369" s="17" t="str">
        <f t="array" aca="1" ref="T369" ca="1">IF(L369&lt;&gt;"",SUM(IF(INDIRECT(L369)&lt;&gt;INT(INDIRECT(L369)),1,0)),"")</f>
        <v/>
      </c>
      <c r="U369" s="17" t="str">
        <f t="array" aca="1" ref="U369" ca="1">IF(S369=1,SUM(IF(ISNUMBER(INDIRECT(N369)),IF(INDIRECT(N369)&lt;&gt;INT(INDIRECT(N369)),1,0),0)),"")</f>
        <v/>
      </c>
      <c r="V369" s="17">
        <f t="shared" ca="1" si="82"/>
        <v>0</v>
      </c>
      <c r="W369" s="17">
        <f t="shared" ca="1" si="83"/>
        <v>0</v>
      </c>
      <c r="X369" s="24" t="str">
        <f t="array" aca="1" ref="X369" ca="1">IF(AD369,IF(AG369&lt;&gt;"",AG369,IF(J369,MIN(INDIRECT( K369)),"")),"")</f>
        <v/>
      </c>
      <c r="Y369" s="17" t="str">
        <f t="array" aca="1" ref="Y369" ca="1">IF(AD369,IF(AH369&lt;&gt;"",AH369,IF(J369,MAX(INDIRECT( K369)),"")),"")</f>
        <v/>
      </c>
      <c r="Z369" s="17" t="b">
        <f t="shared" ca="1" si="84"/>
        <v>0</v>
      </c>
      <c r="AC369" s="17" t="str">
        <f t="shared" ca="1" si="85"/>
        <v/>
      </c>
      <c r="AD369" s="14" t="b">
        <f t="shared" ca="1" si="86"/>
        <v>0</v>
      </c>
      <c r="AE369" s="15" t="b">
        <f t="shared" ca="1" si="87"/>
        <v>0</v>
      </c>
      <c r="AF369" s="16"/>
      <c r="AG369" s="16"/>
      <c r="AH369" s="16"/>
      <c r="AI369" s="16"/>
      <c r="AJ369" s="16"/>
      <c r="AK369" s="16"/>
      <c r="AL369" s="16"/>
      <c r="AM369" s="16"/>
    </row>
    <row r="370" spans="2:39">
      <c r="B370" s="14">
        <f t="shared" si="76"/>
        <v>368</v>
      </c>
      <c r="C370" s="14" t="str">
        <f t="shared" ca="1" si="77"/>
        <v/>
      </c>
      <c r="D370" s="14" t="str">
        <f t="shared" ca="1" si="78"/>
        <v/>
      </c>
      <c r="E370" s="14" t="str">
        <f t="shared" ca="1" si="75"/>
        <v/>
      </c>
      <c r="F370" s="14">
        <f t="shared" ca="1" si="88"/>
        <v>0</v>
      </c>
      <c r="G370" s="14" t="str">
        <f t="shared" ca="1" si="79"/>
        <v/>
      </c>
      <c r="H370" s="14">
        <f ca="1">IF(G370&lt;&gt;"",IFERROR( IsVariableNameLegal(G370),0),0)+IF(COUNTIF(INDIRECT(wew!$C$13),G370)&gt;1,10,0)</f>
        <v>0</v>
      </c>
      <c r="I370" s="14">
        <f ca="1">IF(E370&lt;&gt;"",IF(LEN(E370)&gt;150,1,0)+IF(COUNTIF(INDIRECT(wew!$C$15),E370)&gt;1,10,0),0)</f>
        <v>0</v>
      </c>
      <c r="J370" s="14" t="b">
        <f t="shared" ca="1" si="80"/>
        <v>0</v>
      </c>
      <c r="K370" s="14" t="str">
        <f ca="1">ADDRESS(3,(B370+1)*2-1,4,,"[" &amp; wew!$G$7 &amp; "]" &amp; _sheetname_labels) &amp; ":" &amp; ADDRESS(2+ster!$B$20,(B370+1)*2-1,4)</f>
        <v>'[dane surowe2c.xlsm]labels'!ABI3:ABI36</v>
      </c>
      <c r="L370" s="14" t="str">
        <f ca="1">IF(F370&gt;0,ADDRESS(3,(B370+1)*2-1,4,,"[" &amp; wew!$G$7 &amp; "]" &amp; _sheetname_labels) &amp; ":" &amp; ADDRESS(2+F370,(B370+1)*2-1,4),"")</f>
        <v/>
      </c>
      <c r="M370" s="14" t="str">
        <f ca="1">IF(F370&gt;0,ADDRESS(3,(B370+1)*2,4,,"["&amp;wew!$G$7&amp;"]"&amp;_sheetname_labels)&amp;":"&amp;ADDRESS(2+F370,(B370+1)*2,4),"")</f>
        <v/>
      </c>
      <c r="N370" s="14" t="str">
        <f ca="1">ADDRESS(3,B370+1,4,,"[" &amp; wew!$G$7 &amp; "]" &amp;_sheetname_dataframe) &amp; ":" &amp; ADDRESS(2+ster!$C$14,B370+1,4)</f>
        <v>'[dane surowe2c.xlsm]data_frame'!NE3:NE35</v>
      </c>
      <c r="O370" s="14" t="str">
        <f t="shared" ca="1" si="81"/>
        <v/>
      </c>
      <c r="P370" s="14" t="str">
        <f ca="1">IF(AND($AD370,$S370=1),IF(wew!$B$3,MIN(INDIRECT($N370)),"&lt;włącz podświetlanie wartości&gt;"),"—")</f>
        <v>—</v>
      </c>
      <c r="Q370" s="14" t="str">
        <f ca="1">IF(AND($AD370,$S370=1),IF(wew!$B$3,MAX(INDIRECT($N370)),"&lt;włącz podświetlanie wartości&gt;"),"—")</f>
        <v>—</v>
      </c>
      <c r="R370" s="14" t="str">
        <f ca="1">IF(AD370,ster!$C$14- (COUNTIF( INDIRECT(N370),"" )+ COUNT(INDIRECT(N370)) +COUNTIF( INDIRECT(N370),"NA" )),"")</f>
        <v/>
      </c>
      <c r="S370" s="12" t="str">
        <f ca="1">IF(AD370,IF(COUNTA(INDIRECT(N370))=0,0, 1-(ster!$C$14- COUNT(INDIRECT(N370)) -COUNTIF( INDIRECT(N370),"" )) /COUNTA(INDIRECT(N370))),"")</f>
        <v/>
      </c>
      <c r="T370" s="17" t="str">
        <f t="array" aca="1" ref="T370" ca="1">IF(L370&lt;&gt;"",SUM(IF(INDIRECT(L370)&lt;&gt;INT(INDIRECT(L370)),1,0)),"")</f>
        <v/>
      </c>
      <c r="U370" s="17" t="str">
        <f t="array" aca="1" ref="U370" ca="1">IF(S370=1,SUM(IF(ISNUMBER(INDIRECT(N370)),IF(INDIRECT(N370)&lt;&gt;INT(INDIRECT(N370)),1,0),0)),"")</f>
        <v/>
      </c>
      <c r="V370" s="17">
        <f t="shared" ca="1" si="82"/>
        <v>0</v>
      </c>
      <c r="W370" s="17">
        <f t="shared" ca="1" si="83"/>
        <v>0</v>
      </c>
      <c r="X370" s="24" t="str">
        <f t="array" aca="1" ref="X370" ca="1">IF(AD370,IF(AG370&lt;&gt;"",AG370,IF(J370,MIN(INDIRECT( K370)),"")),"")</f>
        <v/>
      </c>
      <c r="Y370" s="17" t="str">
        <f t="array" aca="1" ref="Y370" ca="1">IF(AD370,IF(AH370&lt;&gt;"",AH370,IF(J370,MAX(INDIRECT( K370)),"")),"")</f>
        <v/>
      </c>
      <c r="Z370" s="17" t="b">
        <f t="shared" ca="1" si="84"/>
        <v>0</v>
      </c>
      <c r="AC370" s="17" t="str">
        <f t="shared" ca="1" si="85"/>
        <v/>
      </c>
      <c r="AD370" s="14" t="b">
        <f t="shared" ca="1" si="86"/>
        <v>0</v>
      </c>
      <c r="AE370" s="15" t="b">
        <f t="shared" ca="1" si="87"/>
        <v>0</v>
      </c>
      <c r="AF370" s="16"/>
      <c r="AG370" s="16"/>
      <c r="AH370" s="16"/>
      <c r="AI370" s="16"/>
      <c r="AJ370" s="16"/>
      <c r="AK370" s="16"/>
      <c r="AL370" s="16"/>
      <c r="AM370" s="16"/>
    </row>
    <row r="371" spans="2:39">
      <c r="B371" s="14">
        <f t="shared" si="76"/>
        <v>369</v>
      </c>
      <c r="C371" s="14" t="str">
        <f t="shared" ca="1" si="77"/>
        <v/>
      </c>
      <c r="D371" s="14" t="str">
        <f t="shared" ca="1" si="78"/>
        <v/>
      </c>
      <c r="E371" s="14" t="str">
        <f t="shared" ca="1" si="75"/>
        <v/>
      </c>
      <c r="F371" s="14">
        <f t="shared" ca="1" si="88"/>
        <v>0</v>
      </c>
      <c r="G371" s="14" t="str">
        <f t="shared" ca="1" si="79"/>
        <v/>
      </c>
      <c r="H371" s="14">
        <f ca="1">IF(G371&lt;&gt;"",IFERROR( IsVariableNameLegal(G371),0),0)+IF(COUNTIF(INDIRECT(wew!$C$13),G371)&gt;1,10,0)</f>
        <v>0</v>
      </c>
      <c r="I371" s="14">
        <f ca="1">IF(E371&lt;&gt;"",IF(LEN(E371)&gt;150,1,0)+IF(COUNTIF(INDIRECT(wew!$C$15),E371)&gt;1,10,0),0)</f>
        <v>0</v>
      </c>
      <c r="J371" s="14" t="b">
        <f t="shared" ca="1" si="80"/>
        <v>0</v>
      </c>
      <c r="K371" s="14" t="str">
        <f ca="1">ADDRESS(3,(B371+1)*2-1,4,,"[" &amp; wew!$G$7 &amp; "]" &amp; _sheetname_labels) &amp; ":" &amp; ADDRESS(2+ster!$B$20,(B371+1)*2-1,4)</f>
        <v>'[dane surowe2c.xlsm]labels'!ABK3:ABK36</v>
      </c>
      <c r="L371" s="14" t="str">
        <f ca="1">IF(F371&gt;0,ADDRESS(3,(B371+1)*2-1,4,,"[" &amp; wew!$G$7 &amp; "]" &amp; _sheetname_labels) &amp; ":" &amp; ADDRESS(2+F371,(B371+1)*2-1,4),"")</f>
        <v/>
      </c>
      <c r="M371" s="14" t="str">
        <f ca="1">IF(F371&gt;0,ADDRESS(3,(B371+1)*2,4,,"["&amp;wew!$G$7&amp;"]"&amp;_sheetname_labels)&amp;":"&amp;ADDRESS(2+F371,(B371+1)*2,4),"")</f>
        <v/>
      </c>
      <c r="N371" s="14" t="str">
        <f ca="1">ADDRESS(3,B371+1,4,,"[" &amp; wew!$G$7 &amp; "]" &amp;_sheetname_dataframe) &amp; ":" &amp; ADDRESS(2+ster!$C$14,B371+1,4)</f>
        <v>'[dane surowe2c.xlsm]data_frame'!NF3:NF35</v>
      </c>
      <c r="O371" s="14" t="str">
        <f t="shared" ca="1" si="81"/>
        <v/>
      </c>
      <c r="P371" s="14" t="str">
        <f ca="1">IF(AND($AD371,$S371=1),IF(wew!$B$3,MIN(INDIRECT($N371)),"&lt;włącz podświetlanie wartości&gt;"),"—")</f>
        <v>—</v>
      </c>
      <c r="Q371" s="14" t="str">
        <f ca="1">IF(AND($AD371,$S371=1),IF(wew!$B$3,MAX(INDIRECT($N371)),"&lt;włącz podświetlanie wartości&gt;"),"—")</f>
        <v>—</v>
      </c>
      <c r="R371" s="14" t="str">
        <f ca="1">IF(AD371,ster!$C$14- (COUNTIF( INDIRECT(N371),"" )+ COUNT(INDIRECT(N371)) +COUNTIF( INDIRECT(N371),"NA" )),"")</f>
        <v/>
      </c>
      <c r="S371" s="12" t="str">
        <f ca="1">IF(AD371,IF(COUNTA(INDIRECT(N371))=0,0, 1-(ster!$C$14- COUNT(INDIRECT(N371)) -COUNTIF( INDIRECT(N371),"" )) /COUNTA(INDIRECT(N371))),"")</f>
        <v/>
      </c>
      <c r="T371" s="17" t="str">
        <f t="array" aca="1" ref="T371" ca="1">IF(L371&lt;&gt;"",SUM(IF(INDIRECT(L371)&lt;&gt;INT(INDIRECT(L371)),1,0)),"")</f>
        <v/>
      </c>
      <c r="U371" s="17" t="str">
        <f t="array" aca="1" ref="U371" ca="1">IF(S371=1,SUM(IF(ISNUMBER(INDIRECT(N371)),IF(INDIRECT(N371)&lt;&gt;INT(INDIRECT(N371)),1,0),0)),"")</f>
        <v/>
      </c>
      <c r="V371" s="17">
        <f t="shared" ca="1" si="82"/>
        <v>0</v>
      </c>
      <c r="W371" s="17">
        <f t="shared" ca="1" si="83"/>
        <v>0</v>
      </c>
      <c r="X371" s="24" t="str">
        <f t="array" aca="1" ref="X371" ca="1">IF(AD371,IF(AG371&lt;&gt;"",AG371,IF(J371,MIN(INDIRECT( K371)),"")),"")</f>
        <v/>
      </c>
      <c r="Y371" s="17" t="str">
        <f t="array" aca="1" ref="Y371" ca="1">IF(AD371,IF(AH371&lt;&gt;"",AH371,IF(J371,MAX(INDIRECT( K371)),"")),"")</f>
        <v/>
      </c>
      <c r="Z371" s="17" t="b">
        <f t="shared" ca="1" si="84"/>
        <v>0</v>
      </c>
      <c r="AC371" s="17" t="str">
        <f t="shared" ca="1" si="85"/>
        <v/>
      </c>
      <c r="AD371" s="14" t="b">
        <f t="shared" ca="1" si="86"/>
        <v>0</v>
      </c>
      <c r="AE371" s="15" t="b">
        <f t="shared" ca="1" si="87"/>
        <v>0</v>
      </c>
      <c r="AF371" s="16"/>
      <c r="AG371" s="16"/>
      <c r="AH371" s="16"/>
      <c r="AI371" s="16"/>
      <c r="AJ371" s="16"/>
      <c r="AK371" s="16"/>
      <c r="AL371" s="16"/>
      <c r="AM371" s="16"/>
    </row>
    <row r="372" spans="2:39">
      <c r="B372" s="14">
        <f t="shared" si="76"/>
        <v>370</v>
      </c>
      <c r="C372" s="14" t="str">
        <f t="shared" ca="1" si="77"/>
        <v/>
      </c>
      <c r="D372" s="14" t="str">
        <f t="shared" ca="1" si="78"/>
        <v/>
      </c>
      <c r="E372" s="14" t="str">
        <f t="shared" ca="1" si="75"/>
        <v/>
      </c>
      <c r="F372" s="14">
        <f t="shared" ca="1" si="88"/>
        <v>0</v>
      </c>
      <c r="G372" s="14" t="str">
        <f t="shared" ca="1" si="79"/>
        <v/>
      </c>
      <c r="H372" s="14">
        <f ca="1">IF(G372&lt;&gt;"",IFERROR( IsVariableNameLegal(G372),0),0)+IF(COUNTIF(INDIRECT(wew!$C$13),G372)&gt;1,10,0)</f>
        <v>0</v>
      </c>
      <c r="I372" s="14">
        <f ca="1">IF(E372&lt;&gt;"",IF(LEN(E372)&gt;150,1,0)+IF(COUNTIF(INDIRECT(wew!$C$15),E372)&gt;1,10,0),0)</f>
        <v>0</v>
      </c>
      <c r="J372" s="14" t="b">
        <f t="shared" ca="1" si="80"/>
        <v>0</v>
      </c>
      <c r="K372" s="14" t="str">
        <f ca="1">ADDRESS(3,(B372+1)*2-1,4,,"[" &amp; wew!$G$7 &amp; "]" &amp; _sheetname_labels) &amp; ":" &amp; ADDRESS(2+ster!$B$20,(B372+1)*2-1,4)</f>
        <v>'[dane surowe2c.xlsm]labels'!ABM3:ABM36</v>
      </c>
      <c r="L372" s="14" t="str">
        <f ca="1">IF(F372&gt;0,ADDRESS(3,(B372+1)*2-1,4,,"[" &amp; wew!$G$7 &amp; "]" &amp; _sheetname_labels) &amp; ":" &amp; ADDRESS(2+F372,(B372+1)*2-1,4),"")</f>
        <v/>
      </c>
      <c r="M372" s="14" t="str">
        <f ca="1">IF(F372&gt;0,ADDRESS(3,(B372+1)*2,4,,"["&amp;wew!$G$7&amp;"]"&amp;_sheetname_labels)&amp;":"&amp;ADDRESS(2+F372,(B372+1)*2,4),"")</f>
        <v/>
      </c>
      <c r="N372" s="14" t="str">
        <f ca="1">ADDRESS(3,B372+1,4,,"[" &amp; wew!$G$7 &amp; "]" &amp;_sheetname_dataframe) &amp; ":" &amp; ADDRESS(2+ster!$C$14,B372+1,4)</f>
        <v>'[dane surowe2c.xlsm]data_frame'!NG3:NG35</v>
      </c>
      <c r="O372" s="14" t="str">
        <f t="shared" ca="1" si="81"/>
        <v/>
      </c>
      <c r="P372" s="14" t="str">
        <f ca="1">IF(AND($AD372,$S372=1),IF(wew!$B$3,MIN(INDIRECT($N372)),"&lt;włącz podświetlanie wartości&gt;"),"—")</f>
        <v>—</v>
      </c>
      <c r="Q372" s="14" t="str">
        <f ca="1">IF(AND($AD372,$S372=1),IF(wew!$B$3,MAX(INDIRECT($N372)),"&lt;włącz podświetlanie wartości&gt;"),"—")</f>
        <v>—</v>
      </c>
      <c r="R372" s="14" t="str">
        <f ca="1">IF(AD372,ster!$C$14- (COUNTIF( INDIRECT(N372),"" )+ COUNT(INDIRECT(N372)) +COUNTIF( INDIRECT(N372),"NA" )),"")</f>
        <v/>
      </c>
      <c r="S372" s="12" t="str">
        <f ca="1">IF(AD372,IF(COUNTA(INDIRECT(N372))=0,0, 1-(ster!$C$14- COUNT(INDIRECT(N372)) -COUNTIF( INDIRECT(N372),"" )) /COUNTA(INDIRECT(N372))),"")</f>
        <v/>
      </c>
      <c r="T372" s="17" t="str">
        <f t="array" aca="1" ref="T372" ca="1">IF(L372&lt;&gt;"",SUM(IF(INDIRECT(L372)&lt;&gt;INT(INDIRECT(L372)),1,0)),"")</f>
        <v/>
      </c>
      <c r="U372" s="17" t="str">
        <f t="array" aca="1" ref="U372" ca="1">IF(S372=1,SUM(IF(ISNUMBER(INDIRECT(N372)),IF(INDIRECT(N372)&lt;&gt;INT(INDIRECT(N372)),1,0),0)),"")</f>
        <v/>
      </c>
      <c r="V372" s="17">
        <f t="shared" ca="1" si="82"/>
        <v>0</v>
      </c>
      <c r="W372" s="17">
        <f t="shared" ca="1" si="83"/>
        <v>0</v>
      </c>
      <c r="X372" s="24" t="str">
        <f t="array" aca="1" ref="X372" ca="1">IF(AD372,IF(AG372&lt;&gt;"",AG372,IF(J372,MIN(INDIRECT( K372)),"")),"")</f>
        <v/>
      </c>
      <c r="Y372" s="17" t="str">
        <f t="array" aca="1" ref="Y372" ca="1">IF(AD372,IF(AH372&lt;&gt;"",AH372,IF(J372,MAX(INDIRECT( K372)),"")),"")</f>
        <v/>
      </c>
      <c r="Z372" s="17" t="b">
        <f t="shared" ca="1" si="84"/>
        <v>0</v>
      </c>
      <c r="AC372" s="17" t="str">
        <f t="shared" ca="1" si="85"/>
        <v/>
      </c>
      <c r="AD372" s="14" t="b">
        <f t="shared" ca="1" si="86"/>
        <v>0</v>
      </c>
      <c r="AE372" s="15" t="b">
        <f t="shared" ca="1" si="87"/>
        <v>0</v>
      </c>
      <c r="AF372" s="16"/>
      <c r="AG372" s="16"/>
      <c r="AH372" s="16"/>
      <c r="AI372" s="16"/>
      <c r="AJ372" s="16"/>
      <c r="AK372" s="16"/>
      <c r="AL372" s="16"/>
      <c r="AM372" s="16"/>
    </row>
    <row r="373" spans="2:39">
      <c r="B373" s="14">
        <f t="shared" si="76"/>
        <v>371</v>
      </c>
      <c r="C373" s="14" t="str">
        <f t="shared" ca="1" si="77"/>
        <v/>
      </c>
      <c r="D373" s="14" t="str">
        <f t="shared" ca="1" si="78"/>
        <v/>
      </c>
      <c r="E373" s="14" t="str">
        <f t="shared" ca="1" si="75"/>
        <v/>
      </c>
      <c r="F373" s="14">
        <f t="shared" ca="1" si="88"/>
        <v>0</v>
      </c>
      <c r="G373" s="14" t="str">
        <f t="shared" ca="1" si="79"/>
        <v/>
      </c>
      <c r="H373" s="14">
        <f ca="1">IF(G373&lt;&gt;"",IFERROR( IsVariableNameLegal(G373),0),0)+IF(COUNTIF(INDIRECT(wew!$C$13),G373)&gt;1,10,0)</f>
        <v>0</v>
      </c>
      <c r="I373" s="14">
        <f ca="1">IF(E373&lt;&gt;"",IF(LEN(E373)&gt;150,1,0)+IF(COUNTIF(INDIRECT(wew!$C$15),E373)&gt;1,10,0),0)</f>
        <v>0</v>
      </c>
      <c r="J373" s="14" t="b">
        <f t="shared" ca="1" si="80"/>
        <v>0</v>
      </c>
      <c r="K373" s="14" t="str">
        <f ca="1">ADDRESS(3,(B373+1)*2-1,4,,"[" &amp; wew!$G$7 &amp; "]" &amp; _sheetname_labels) &amp; ":" &amp; ADDRESS(2+ster!$B$20,(B373+1)*2-1,4)</f>
        <v>'[dane surowe2c.xlsm]labels'!ABO3:ABO36</v>
      </c>
      <c r="L373" s="14" t="str">
        <f ca="1">IF(F373&gt;0,ADDRESS(3,(B373+1)*2-1,4,,"[" &amp; wew!$G$7 &amp; "]" &amp; _sheetname_labels) &amp; ":" &amp; ADDRESS(2+F373,(B373+1)*2-1,4),"")</f>
        <v/>
      </c>
      <c r="M373" s="14" t="str">
        <f ca="1">IF(F373&gt;0,ADDRESS(3,(B373+1)*2,4,,"["&amp;wew!$G$7&amp;"]"&amp;_sheetname_labels)&amp;":"&amp;ADDRESS(2+F373,(B373+1)*2,4),"")</f>
        <v/>
      </c>
      <c r="N373" s="14" t="str">
        <f ca="1">ADDRESS(3,B373+1,4,,"[" &amp; wew!$G$7 &amp; "]" &amp;_sheetname_dataframe) &amp; ":" &amp; ADDRESS(2+ster!$C$14,B373+1,4)</f>
        <v>'[dane surowe2c.xlsm]data_frame'!NH3:NH35</v>
      </c>
      <c r="O373" s="14" t="str">
        <f t="shared" ca="1" si="81"/>
        <v/>
      </c>
      <c r="P373" s="14" t="str">
        <f ca="1">IF(AND($AD373,$S373=1),IF(wew!$B$3,MIN(INDIRECT($N373)),"&lt;włącz podświetlanie wartości&gt;"),"—")</f>
        <v>—</v>
      </c>
      <c r="Q373" s="14" t="str">
        <f ca="1">IF(AND($AD373,$S373=1),IF(wew!$B$3,MAX(INDIRECT($N373)),"&lt;włącz podświetlanie wartości&gt;"),"—")</f>
        <v>—</v>
      </c>
      <c r="R373" s="14" t="str">
        <f ca="1">IF(AD373,ster!$C$14- (COUNTIF( INDIRECT(N373),"" )+ COUNT(INDIRECT(N373)) +COUNTIF( INDIRECT(N373),"NA" )),"")</f>
        <v/>
      </c>
      <c r="S373" s="12" t="str">
        <f ca="1">IF(AD373,IF(COUNTA(INDIRECT(N373))=0,0, 1-(ster!$C$14- COUNT(INDIRECT(N373)) -COUNTIF( INDIRECT(N373),"" )) /COUNTA(INDIRECT(N373))),"")</f>
        <v/>
      </c>
      <c r="T373" s="17" t="str">
        <f t="array" aca="1" ref="T373" ca="1">IF(L373&lt;&gt;"",SUM(IF(INDIRECT(L373)&lt;&gt;INT(INDIRECT(L373)),1,0)),"")</f>
        <v/>
      </c>
      <c r="U373" s="17" t="str">
        <f t="array" aca="1" ref="U373" ca="1">IF(S373=1,SUM(IF(ISNUMBER(INDIRECT(N373)),IF(INDIRECT(N373)&lt;&gt;INT(INDIRECT(N373)),1,0),0)),"")</f>
        <v/>
      </c>
      <c r="V373" s="17">
        <f t="shared" ca="1" si="82"/>
        <v>0</v>
      </c>
      <c r="W373" s="17">
        <f t="shared" ca="1" si="83"/>
        <v>0</v>
      </c>
      <c r="X373" s="24" t="str">
        <f t="array" aca="1" ref="X373" ca="1">IF(AD373,IF(AG373&lt;&gt;"",AG373,IF(J373,MIN(INDIRECT( K373)),"")),"")</f>
        <v/>
      </c>
      <c r="Y373" s="17" t="str">
        <f t="array" aca="1" ref="Y373" ca="1">IF(AD373,IF(AH373&lt;&gt;"",AH373,IF(J373,MAX(INDIRECT( K373)),"")),"")</f>
        <v/>
      </c>
      <c r="Z373" s="17" t="b">
        <f t="shared" ca="1" si="84"/>
        <v>0</v>
      </c>
      <c r="AC373" s="17" t="str">
        <f t="shared" ca="1" si="85"/>
        <v/>
      </c>
      <c r="AD373" s="14" t="b">
        <f t="shared" ca="1" si="86"/>
        <v>0</v>
      </c>
      <c r="AE373" s="15" t="b">
        <f t="shared" ca="1" si="87"/>
        <v>0</v>
      </c>
      <c r="AF373" s="16"/>
      <c r="AG373" s="16"/>
      <c r="AH373" s="16"/>
      <c r="AI373" s="16"/>
      <c r="AJ373" s="16"/>
      <c r="AK373" s="16"/>
      <c r="AL373" s="16"/>
      <c r="AM373" s="16"/>
    </row>
    <row r="374" spans="2:39">
      <c r="B374" s="14">
        <f t="shared" si="76"/>
        <v>372</v>
      </c>
      <c r="C374" s="14" t="str">
        <f t="shared" ca="1" si="77"/>
        <v/>
      </c>
      <c r="D374" s="14" t="str">
        <f t="shared" ca="1" si="78"/>
        <v/>
      </c>
      <c r="E374" s="14" t="str">
        <f t="shared" ca="1" si="75"/>
        <v/>
      </c>
      <c r="F374" s="14">
        <f t="shared" ca="1" si="88"/>
        <v>0</v>
      </c>
      <c r="G374" s="14" t="str">
        <f t="shared" ca="1" si="79"/>
        <v/>
      </c>
      <c r="H374" s="14">
        <f ca="1">IF(G374&lt;&gt;"",IFERROR( IsVariableNameLegal(G374),0),0)+IF(COUNTIF(INDIRECT(wew!$C$13),G374)&gt;1,10,0)</f>
        <v>0</v>
      </c>
      <c r="I374" s="14">
        <f ca="1">IF(E374&lt;&gt;"",IF(LEN(E374)&gt;150,1,0)+IF(COUNTIF(INDIRECT(wew!$C$15),E374)&gt;1,10,0),0)</f>
        <v>0</v>
      </c>
      <c r="J374" s="14" t="b">
        <f t="shared" ca="1" si="80"/>
        <v>0</v>
      </c>
      <c r="K374" s="14" t="str">
        <f ca="1">ADDRESS(3,(B374+1)*2-1,4,,"[" &amp; wew!$G$7 &amp; "]" &amp; _sheetname_labels) &amp; ":" &amp; ADDRESS(2+ster!$B$20,(B374+1)*2-1,4)</f>
        <v>'[dane surowe2c.xlsm]labels'!ABQ3:ABQ36</v>
      </c>
      <c r="L374" s="14" t="str">
        <f ca="1">IF(F374&gt;0,ADDRESS(3,(B374+1)*2-1,4,,"[" &amp; wew!$G$7 &amp; "]" &amp; _sheetname_labels) &amp; ":" &amp; ADDRESS(2+F374,(B374+1)*2-1,4),"")</f>
        <v/>
      </c>
      <c r="M374" s="14" t="str">
        <f ca="1">IF(F374&gt;0,ADDRESS(3,(B374+1)*2,4,,"["&amp;wew!$G$7&amp;"]"&amp;_sheetname_labels)&amp;":"&amp;ADDRESS(2+F374,(B374+1)*2,4),"")</f>
        <v/>
      </c>
      <c r="N374" s="14" t="str">
        <f ca="1">ADDRESS(3,B374+1,4,,"[" &amp; wew!$G$7 &amp; "]" &amp;_sheetname_dataframe) &amp; ":" &amp; ADDRESS(2+ster!$C$14,B374+1,4)</f>
        <v>'[dane surowe2c.xlsm]data_frame'!NI3:NI35</v>
      </c>
      <c r="O374" s="14" t="str">
        <f t="shared" ca="1" si="81"/>
        <v/>
      </c>
      <c r="P374" s="14" t="str">
        <f ca="1">IF(AND($AD374,$S374=1),IF(wew!$B$3,MIN(INDIRECT($N374)),"&lt;włącz podświetlanie wartości&gt;"),"—")</f>
        <v>—</v>
      </c>
      <c r="Q374" s="14" t="str">
        <f ca="1">IF(AND($AD374,$S374=1),IF(wew!$B$3,MAX(INDIRECT($N374)),"&lt;włącz podświetlanie wartości&gt;"),"—")</f>
        <v>—</v>
      </c>
      <c r="R374" s="14" t="str">
        <f ca="1">IF(AD374,ster!$C$14- (COUNTIF( INDIRECT(N374),"" )+ COUNT(INDIRECT(N374)) +COUNTIF( INDIRECT(N374),"NA" )),"")</f>
        <v/>
      </c>
      <c r="S374" s="12" t="str">
        <f ca="1">IF(AD374,IF(COUNTA(INDIRECT(N374))=0,0, 1-(ster!$C$14- COUNT(INDIRECT(N374)) -COUNTIF( INDIRECT(N374),"" )) /COUNTA(INDIRECT(N374))),"")</f>
        <v/>
      </c>
      <c r="T374" s="17" t="str">
        <f t="array" aca="1" ref="T374" ca="1">IF(L374&lt;&gt;"",SUM(IF(INDIRECT(L374)&lt;&gt;INT(INDIRECT(L374)),1,0)),"")</f>
        <v/>
      </c>
      <c r="U374" s="17" t="str">
        <f t="array" aca="1" ref="U374" ca="1">IF(S374=1,SUM(IF(ISNUMBER(INDIRECT(N374)),IF(INDIRECT(N374)&lt;&gt;INT(INDIRECT(N374)),1,0),0)),"")</f>
        <v/>
      </c>
      <c r="V374" s="17">
        <f t="shared" ca="1" si="82"/>
        <v>0</v>
      </c>
      <c r="W374" s="17">
        <f t="shared" ca="1" si="83"/>
        <v>0</v>
      </c>
      <c r="X374" s="24" t="str">
        <f t="array" aca="1" ref="X374" ca="1">IF(AD374,IF(AG374&lt;&gt;"",AG374,IF(J374,MIN(INDIRECT( K374)),"")),"")</f>
        <v/>
      </c>
      <c r="Y374" s="17" t="str">
        <f t="array" aca="1" ref="Y374" ca="1">IF(AD374,IF(AH374&lt;&gt;"",AH374,IF(J374,MAX(INDIRECT( K374)),"")),"")</f>
        <v/>
      </c>
      <c r="Z374" s="17" t="b">
        <f t="shared" ca="1" si="84"/>
        <v>0</v>
      </c>
      <c r="AC374" s="17" t="str">
        <f t="shared" ca="1" si="85"/>
        <v/>
      </c>
      <c r="AD374" s="14" t="b">
        <f t="shared" ca="1" si="86"/>
        <v>0</v>
      </c>
      <c r="AE374" s="15" t="b">
        <f t="shared" ca="1" si="87"/>
        <v>0</v>
      </c>
      <c r="AF374" s="16"/>
      <c r="AG374" s="16"/>
      <c r="AH374" s="16"/>
      <c r="AI374" s="16"/>
      <c r="AJ374" s="16"/>
      <c r="AK374" s="16"/>
      <c r="AL374" s="16"/>
      <c r="AM374" s="16"/>
    </row>
    <row r="375" spans="2:39">
      <c r="B375" s="14">
        <f t="shared" si="76"/>
        <v>373</v>
      </c>
      <c r="C375" s="14" t="str">
        <f t="shared" ca="1" si="77"/>
        <v/>
      </c>
      <c r="D375" s="14" t="str">
        <f t="shared" ca="1" si="78"/>
        <v/>
      </c>
      <c r="E375" s="14" t="str">
        <f t="shared" ca="1" si="75"/>
        <v/>
      </c>
      <c r="F375" s="14">
        <f t="shared" ca="1" si="88"/>
        <v>0</v>
      </c>
      <c r="G375" s="14" t="str">
        <f t="shared" ca="1" si="79"/>
        <v/>
      </c>
      <c r="H375" s="14">
        <f ca="1">IF(G375&lt;&gt;"",IFERROR( IsVariableNameLegal(G375),0),0)+IF(COUNTIF(INDIRECT(wew!$C$13),G375)&gt;1,10,0)</f>
        <v>0</v>
      </c>
      <c r="I375" s="14">
        <f ca="1">IF(E375&lt;&gt;"",IF(LEN(E375)&gt;150,1,0)+IF(COUNTIF(INDIRECT(wew!$C$15),E375)&gt;1,10,0),0)</f>
        <v>0</v>
      </c>
      <c r="J375" s="14" t="b">
        <f t="shared" ca="1" si="80"/>
        <v>0</v>
      </c>
      <c r="K375" s="14" t="str">
        <f ca="1">ADDRESS(3,(B375+1)*2-1,4,,"[" &amp; wew!$G$7 &amp; "]" &amp; _sheetname_labels) &amp; ":" &amp; ADDRESS(2+ster!$B$20,(B375+1)*2-1,4)</f>
        <v>'[dane surowe2c.xlsm]labels'!ABS3:ABS36</v>
      </c>
      <c r="L375" s="14" t="str">
        <f ca="1">IF(F375&gt;0,ADDRESS(3,(B375+1)*2-1,4,,"[" &amp; wew!$G$7 &amp; "]" &amp; _sheetname_labels) &amp; ":" &amp; ADDRESS(2+F375,(B375+1)*2-1,4),"")</f>
        <v/>
      </c>
      <c r="M375" s="14" t="str">
        <f ca="1">IF(F375&gt;0,ADDRESS(3,(B375+1)*2,4,,"["&amp;wew!$G$7&amp;"]"&amp;_sheetname_labels)&amp;":"&amp;ADDRESS(2+F375,(B375+1)*2,4),"")</f>
        <v/>
      </c>
      <c r="N375" s="14" t="str">
        <f ca="1">ADDRESS(3,B375+1,4,,"[" &amp; wew!$G$7 &amp; "]" &amp;_sheetname_dataframe) &amp; ":" &amp; ADDRESS(2+ster!$C$14,B375+1,4)</f>
        <v>'[dane surowe2c.xlsm]data_frame'!NJ3:NJ35</v>
      </c>
      <c r="O375" s="14" t="str">
        <f t="shared" ca="1" si="81"/>
        <v/>
      </c>
      <c r="P375" s="14" t="str">
        <f ca="1">IF(AND($AD375,$S375=1),IF(wew!$B$3,MIN(INDIRECT($N375)),"&lt;włącz podświetlanie wartości&gt;"),"—")</f>
        <v>—</v>
      </c>
      <c r="Q375" s="14" t="str">
        <f ca="1">IF(AND($AD375,$S375=1),IF(wew!$B$3,MAX(INDIRECT($N375)),"&lt;włącz podświetlanie wartości&gt;"),"—")</f>
        <v>—</v>
      </c>
      <c r="R375" s="14" t="str">
        <f ca="1">IF(AD375,ster!$C$14- (COUNTIF( INDIRECT(N375),"" )+ COUNT(INDIRECT(N375)) +COUNTIF( INDIRECT(N375),"NA" )),"")</f>
        <v/>
      </c>
      <c r="S375" s="12" t="str">
        <f ca="1">IF(AD375,IF(COUNTA(INDIRECT(N375))=0,0, 1-(ster!$C$14- COUNT(INDIRECT(N375)) -COUNTIF( INDIRECT(N375),"" )) /COUNTA(INDIRECT(N375))),"")</f>
        <v/>
      </c>
      <c r="T375" s="17" t="str">
        <f t="array" aca="1" ref="T375" ca="1">IF(L375&lt;&gt;"",SUM(IF(INDIRECT(L375)&lt;&gt;INT(INDIRECT(L375)),1,0)),"")</f>
        <v/>
      </c>
      <c r="U375" s="17" t="str">
        <f t="array" aca="1" ref="U375" ca="1">IF(S375=1,SUM(IF(ISNUMBER(INDIRECT(N375)),IF(INDIRECT(N375)&lt;&gt;INT(INDIRECT(N375)),1,0),0)),"")</f>
        <v/>
      </c>
      <c r="V375" s="17">
        <f t="shared" ca="1" si="82"/>
        <v>0</v>
      </c>
      <c r="W375" s="17">
        <f t="shared" ca="1" si="83"/>
        <v>0</v>
      </c>
      <c r="X375" s="24" t="str">
        <f t="array" aca="1" ref="X375" ca="1">IF(AD375,IF(AG375&lt;&gt;"",AG375,IF(J375,MIN(INDIRECT( K375)),"")),"")</f>
        <v/>
      </c>
      <c r="Y375" s="17" t="str">
        <f t="array" aca="1" ref="Y375" ca="1">IF(AD375,IF(AH375&lt;&gt;"",AH375,IF(J375,MAX(INDIRECT( K375)),"")),"")</f>
        <v/>
      </c>
      <c r="Z375" s="17" t="b">
        <f t="shared" ca="1" si="84"/>
        <v>0</v>
      </c>
      <c r="AC375" s="17" t="str">
        <f t="shared" ca="1" si="85"/>
        <v/>
      </c>
      <c r="AD375" s="14" t="b">
        <f t="shared" ca="1" si="86"/>
        <v>0</v>
      </c>
      <c r="AE375" s="15" t="b">
        <f t="shared" ca="1" si="87"/>
        <v>0</v>
      </c>
      <c r="AF375" s="16"/>
      <c r="AG375" s="16"/>
      <c r="AH375" s="16"/>
      <c r="AI375" s="16"/>
      <c r="AJ375" s="16"/>
      <c r="AK375" s="16"/>
      <c r="AL375" s="16"/>
      <c r="AM375" s="16"/>
    </row>
    <row r="376" spans="2:39">
      <c r="B376" s="14">
        <f t="shared" si="76"/>
        <v>374</v>
      </c>
      <c r="C376" s="14" t="str">
        <f t="shared" ca="1" si="77"/>
        <v/>
      </c>
      <c r="D376" s="14" t="str">
        <f t="shared" ca="1" si="78"/>
        <v/>
      </c>
      <c r="E376" s="14" t="str">
        <f t="shared" ca="1" si="75"/>
        <v/>
      </c>
      <c r="F376" s="14">
        <f t="shared" ca="1" si="88"/>
        <v>0</v>
      </c>
      <c r="G376" s="14" t="str">
        <f t="shared" ca="1" si="79"/>
        <v/>
      </c>
      <c r="H376" s="14">
        <f ca="1">IF(G376&lt;&gt;"",IFERROR( IsVariableNameLegal(G376),0),0)+IF(COUNTIF(INDIRECT(wew!$C$13),G376)&gt;1,10,0)</f>
        <v>0</v>
      </c>
      <c r="I376" s="14">
        <f ca="1">IF(E376&lt;&gt;"",IF(LEN(E376)&gt;150,1,0)+IF(COUNTIF(INDIRECT(wew!$C$15),E376)&gt;1,10,0),0)</f>
        <v>0</v>
      </c>
      <c r="J376" s="14" t="b">
        <f t="shared" ca="1" si="80"/>
        <v>0</v>
      </c>
      <c r="K376" s="14" t="str">
        <f ca="1">ADDRESS(3,(B376+1)*2-1,4,,"[" &amp; wew!$G$7 &amp; "]" &amp; _sheetname_labels) &amp; ":" &amp; ADDRESS(2+ster!$B$20,(B376+1)*2-1,4)</f>
        <v>'[dane surowe2c.xlsm]labels'!ABU3:ABU36</v>
      </c>
      <c r="L376" s="14" t="str">
        <f ca="1">IF(F376&gt;0,ADDRESS(3,(B376+1)*2-1,4,,"[" &amp; wew!$G$7 &amp; "]" &amp; _sheetname_labels) &amp; ":" &amp; ADDRESS(2+F376,(B376+1)*2-1,4),"")</f>
        <v/>
      </c>
      <c r="M376" s="14" t="str">
        <f ca="1">IF(F376&gt;0,ADDRESS(3,(B376+1)*2,4,,"["&amp;wew!$G$7&amp;"]"&amp;_sheetname_labels)&amp;":"&amp;ADDRESS(2+F376,(B376+1)*2,4),"")</f>
        <v/>
      </c>
      <c r="N376" s="14" t="str">
        <f ca="1">ADDRESS(3,B376+1,4,,"[" &amp; wew!$G$7 &amp; "]" &amp;_sheetname_dataframe) &amp; ":" &amp; ADDRESS(2+ster!$C$14,B376+1,4)</f>
        <v>'[dane surowe2c.xlsm]data_frame'!NK3:NK35</v>
      </c>
      <c r="O376" s="14" t="str">
        <f t="shared" ca="1" si="81"/>
        <v/>
      </c>
      <c r="P376" s="14" t="str">
        <f ca="1">IF(AND($AD376,$S376=1),IF(wew!$B$3,MIN(INDIRECT($N376)),"&lt;włącz podświetlanie wartości&gt;"),"—")</f>
        <v>—</v>
      </c>
      <c r="Q376" s="14" t="str">
        <f ca="1">IF(AND($AD376,$S376=1),IF(wew!$B$3,MAX(INDIRECT($N376)),"&lt;włącz podświetlanie wartości&gt;"),"—")</f>
        <v>—</v>
      </c>
      <c r="R376" s="14" t="str">
        <f ca="1">IF(AD376,ster!$C$14- (COUNTIF( INDIRECT(N376),"" )+ COUNT(INDIRECT(N376)) +COUNTIF( INDIRECT(N376),"NA" )),"")</f>
        <v/>
      </c>
      <c r="S376" s="12" t="str">
        <f ca="1">IF(AD376,IF(COUNTA(INDIRECT(N376))=0,0, 1-(ster!$C$14- COUNT(INDIRECT(N376)) -COUNTIF( INDIRECT(N376),"" )) /COUNTA(INDIRECT(N376))),"")</f>
        <v/>
      </c>
      <c r="T376" s="17" t="str">
        <f t="array" aca="1" ref="T376" ca="1">IF(L376&lt;&gt;"",SUM(IF(INDIRECT(L376)&lt;&gt;INT(INDIRECT(L376)),1,0)),"")</f>
        <v/>
      </c>
      <c r="U376" s="17" t="str">
        <f t="array" aca="1" ref="U376" ca="1">IF(S376=1,SUM(IF(ISNUMBER(INDIRECT(N376)),IF(INDIRECT(N376)&lt;&gt;INT(INDIRECT(N376)),1,0),0)),"")</f>
        <v/>
      </c>
      <c r="V376" s="17">
        <f t="shared" ca="1" si="82"/>
        <v>0</v>
      </c>
      <c r="W376" s="17">
        <f t="shared" ca="1" si="83"/>
        <v>0</v>
      </c>
      <c r="X376" s="24" t="str">
        <f t="array" aca="1" ref="X376" ca="1">IF(AD376,IF(AG376&lt;&gt;"",AG376,IF(J376,MIN(INDIRECT( K376)),"")),"")</f>
        <v/>
      </c>
      <c r="Y376" s="17" t="str">
        <f t="array" aca="1" ref="Y376" ca="1">IF(AD376,IF(AH376&lt;&gt;"",AH376,IF(J376,MAX(INDIRECT( K376)),"")),"")</f>
        <v/>
      </c>
      <c r="Z376" s="17" t="b">
        <f t="shared" ca="1" si="84"/>
        <v>0</v>
      </c>
      <c r="AC376" s="17" t="str">
        <f t="shared" ca="1" si="85"/>
        <v/>
      </c>
      <c r="AD376" s="14" t="b">
        <f t="shared" ca="1" si="86"/>
        <v>0</v>
      </c>
      <c r="AE376" s="15" t="b">
        <f t="shared" ca="1" si="87"/>
        <v>0</v>
      </c>
      <c r="AF376" s="16"/>
      <c r="AG376" s="16"/>
      <c r="AH376" s="16"/>
      <c r="AI376" s="16"/>
      <c r="AJ376" s="16"/>
      <c r="AK376" s="16"/>
      <c r="AL376" s="16"/>
      <c r="AM376" s="16"/>
    </row>
    <row r="377" spans="2:39">
      <c r="B377" s="14">
        <f t="shared" si="76"/>
        <v>375</v>
      </c>
      <c r="C377" s="14" t="str">
        <f t="shared" ca="1" si="77"/>
        <v/>
      </c>
      <c r="D377" s="14" t="str">
        <f t="shared" ca="1" si="78"/>
        <v/>
      </c>
      <c r="E377" s="14" t="str">
        <f t="shared" ca="1" si="75"/>
        <v/>
      </c>
      <c r="F377" s="14">
        <f t="shared" ca="1" si="88"/>
        <v>0</v>
      </c>
      <c r="G377" s="14" t="str">
        <f t="shared" ca="1" si="79"/>
        <v/>
      </c>
      <c r="H377" s="14">
        <f ca="1">IF(G377&lt;&gt;"",IFERROR( IsVariableNameLegal(G377),0),0)+IF(COUNTIF(INDIRECT(wew!$C$13),G377)&gt;1,10,0)</f>
        <v>0</v>
      </c>
      <c r="I377" s="14">
        <f ca="1">IF(E377&lt;&gt;"",IF(LEN(E377)&gt;150,1,0)+IF(COUNTIF(INDIRECT(wew!$C$15),E377)&gt;1,10,0),0)</f>
        <v>0</v>
      </c>
      <c r="J377" s="14" t="b">
        <f t="shared" ca="1" si="80"/>
        <v>0</v>
      </c>
      <c r="K377" s="14" t="str">
        <f ca="1">ADDRESS(3,(B377+1)*2-1,4,,"[" &amp; wew!$G$7 &amp; "]" &amp; _sheetname_labels) &amp; ":" &amp; ADDRESS(2+ster!$B$20,(B377+1)*2-1,4)</f>
        <v>'[dane surowe2c.xlsm]labels'!ABW3:ABW36</v>
      </c>
      <c r="L377" s="14" t="str">
        <f ca="1">IF(F377&gt;0,ADDRESS(3,(B377+1)*2-1,4,,"[" &amp; wew!$G$7 &amp; "]" &amp; _sheetname_labels) &amp; ":" &amp; ADDRESS(2+F377,(B377+1)*2-1,4),"")</f>
        <v/>
      </c>
      <c r="M377" s="14" t="str">
        <f ca="1">IF(F377&gt;0,ADDRESS(3,(B377+1)*2,4,,"["&amp;wew!$G$7&amp;"]"&amp;_sheetname_labels)&amp;":"&amp;ADDRESS(2+F377,(B377+1)*2,4),"")</f>
        <v/>
      </c>
      <c r="N377" s="14" t="str">
        <f ca="1">ADDRESS(3,B377+1,4,,"[" &amp; wew!$G$7 &amp; "]" &amp;_sheetname_dataframe) &amp; ":" &amp; ADDRESS(2+ster!$C$14,B377+1,4)</f>
        <v>'[dane surowe2c.xlsm]data_frame'!NL3:NL35</v>
      </c>
      <c r="O377" s="14" t="str">
        <f t="shared" ca="1" si="81"/>
        <v/>
      </c>
      <c r="P377" s="14" t="str">
        <f ca="1">IF(AND($AD377,$S377=1),IF(wew!$B$3,MIN(INDIRECT($N377)),"&lt;włącz podświetlanie wartości&gt;"),"—")</f>
        <v>—</v>
      </c>
      <c r="Q377" s="14" t="str">
        <f ca="1">IF(AND($AD377,$S377=1),IF(wew!$B$3,MAX(INDIRECT($N377)),"&lt;włącz podświetlanie wartości&gt;"),"—")</f>
        <v>—</v>
      </c>
      <c r="R377" s="14" t="str">
        <f ca="1">IF(AD377,ster!$C$14- (COUNTIF( INDIRECT(N377),"" )+ COUNT(INDIRECT(N377)) +COUNTIF( INDIRECT(N377),"NA" )),"")</f>
        <v/>
      </c>
      <c r="S377" s="12" t="str">
        <f ca="1">IF(AD377,IF(COUNTA(INDIRECT(N377))=0,0, 1-(ster!$C$14- COUNT(INDIRECT(N377)) -COUNTIF( INDIRECT(N377),"" )) /COUNTA(INDIRECT(N377))),"")</f>
        <v/>
      </c>
      <c r="T377" s="17" t="str">
        <f t="array" aca="1" ref="T377" ca="1">IF(L377&lt;&gt;"",SUM(IF(INDIRECT(L377)&lt;&gt;INT(INDIRECT(L377)),1,0)),"")</f>
        <v/>
      </c>
      <c r="U377" s="17" t="str">
        <f t="array" aca="1" ref="U377" ca="1">IF(S377=1,SUM(IF(ISNUMBER(INDIRECT(N377)),IF(INDIRECT(N377)&lt;&gt;INT(INDIRECT(N377)),1,0),0)),"")</f>
        <v/>
      </c>
      <c r="V377" s="17">
        <f t="shared" ca="1" si="82"/>
        <v>0</v>
      </c>
      <c r="W377" s="17">
        <f t="shared" ca="1" si="83"/>
        <v>0</v>
      </c>
      <c r="X377" s="24" t="str">
        <f t="array" aca="1" ref="X377" ca="1">IF(AD377,IF(AG377&lt;&gt;"",AG377,IF(J377,MIN(INDIRECT( K377)),"")),"")</f>
        <v/>
      </c>
      <c r="Y377" s="17" t="str">
        <f t="array" aca="1" ref="Y377" ca="1">IF(AD377,IF(AH377&lt;&gt;"",AH377,IF(J377,MAX(INDIRECT( K377)),"")),"")</f>
        <v/>
      </c>
      <c r="Z377" s="17" t="b">
        <f t="shared" ca="1" si="84"/>
        <v>0</v>
      </c>
      <c r="AC377" s="17" t="str">
        <f t="shared" ca="1" si="85"/>
        <v/>
      </c>
      <c r="AD377" s="14" t="b">
        <f t="shared" ca="1" si="86"/>
        <v>0</v>
      </c>
      <c r="AE377" s="15" t="b">
        <f t="shared" ca="1" si="87"/>
        <v>0</v>
      </c>
      <c r="AF377" s="16"/>
      <c r="AG377" s="16"/>
      <c r="AH377" s="16"/>
      <c r="AI377" s="16"/>
      <c r="AJ377" s="16"/>
      <c r="AK377" s="16"/>
      <c r="AL377" s="16"/>
      <c r="AM377" s="16"/>
    </row>
    <row r="378" spans="2:39">
      <c r="B378" s="14">
        <f t="shared" si="76"/>
        <v>376</v>
      </c>
      <c r="C378" s="14" t="str">
        <f t="shared" ca="1" si="77"/>
        <v/>
      </c>
      <c r="D378" s="14" t="str">
        <f t="shared" ca="1" si="78"/>
        <v/>
      </c>
      <c r="E378" s="14" t="str">
        <f t="shared" ca="1" si="75"/>
        <v/>
      </c>
      <c r="F378" s="14">
        <f t="shared" ca="1" si="88"/>
        <v>0</v>
      </c>
      <c r="G378" s="14" t="str">
        <f t="shared" ca="1" si="79"/>
        <v/>
      </c>
      <c r="H378" s="14">
        <f ca="1">IF(G378&lt;&gt;"",IFERROR( IsVariableNameLegal(G378),0),0)+IF(COUNTIF(INDIRECT(wew!$C$13),G378)&gt;1,10,0)</f>
        <v>0</v>
      </c>
      <c r="I378" s="14">
        <f ca="1">IF(E378&lt;&gt;"",IF(LEN(E378)&gt;150,1,0)+IF(COUNTIF(INDIRECT(wew!$C$15),E378)&gt;1,10,0),0)</f>
        <v>0</v>
      </c>
      <c r="J378" s="14" t="b">
        <f t="shared" ca="1" si="80"/>
        <v>0</v>
      </c>
      <c r="K378" s="14" t="str">
        <f ca="1">ADDRESS(3,(B378+1)*2-1,4,,"[" &amp; wew!$G$7 &amp; "]" &amp; _sheetname_labels) &amp; ":" &amp; ADDRESS(2+ster!$B$20,(B378+1)*2-1,4)</f>
        <v>'[dane surowe2c.xlsm]labels'!ABY3:ABY36</v>
      </c>
      <c r="L378" s="14" t="str">
        <f ca="1">IF(F378&gt;0,ADDRESS(3,(B378+1)*2-1,4,,"[" &amp; wew!$G$7 &amp; "]" &amp; _sheetname_labels) &amp; ":" &amp; ADDRESS(2+F378,(B378+1)*2-1,4),"")</f>
        <v/>
      </c>
      <c r="M378" s="14" t="str">
        <f ca="1">IF(F378&gt;0,ADDRESS(3,(B378+1)*2,4,,"["&amp;wew!$G$7&amp;"]"&amp;_sheetname_labels)&amp;":"&amp;ADDRESS(2+F378,(B378+1)*2,4),"")</f>
        <v/>
      </c>
      <c r="N378" s="14" t="str">
        <f ca="1">ADDRESS(3,B378+1,4,,"[" &amp; wew!$G$7 &amp; "]" &amp;_sheetname_dataframe) &amp; ":" &amp; ADDRESS(2+ster!$C$14,B378+1,4)</f>
        <v>'[dane surowe2c.xlsm]data_frame'!NM3:NM35</v>
      </c>
      <c r="O378" s="14" t="str">
        <f t="shared" ca="1" si="81"/>
        <v/>
      </c>
      <c r="P378" s="14" t="str">
        <f ca="1">IF(AND($AD378,$S378=1),IF(wew!$B$3,MIN(INDIRECT($N378)),"&lt;włącz podświetlanie wartości&gt;"),"—")</f>
        <v>—</v>
      </c>
      <c r="Q378" s="14" t="str">
        <f ca="1">IF(AND($AD378,$S378=1),IF(wew!$B$3,MAX(INDIRECT($N378)),"&lt;włącz podświetlanie wartości&gt;"),"—")</f>
        <v>—</v>
      </c>
      <c r="R378" s="14" t="str">
        <f ca="1">IF(AD378,ster!$C$14- (COUNTIF( INDIRECT(N378),"" )+ COUNT(INDIRECT(N378)) +COUNTIF( INDIRECT(N378),"NA" )),"")</f>
        <v/>
      </c>
      <c r="S378" s="12" t="str">
        <f ca="1">IF(AD378,IF(COUNTA(INDIRECT(N378))=0,0, 1-(ster!$C$14- COUNT(INDIRECT(N378)) -COUNTIF( INDIRECT(N378),"" )) /COUNTA(INDIRECT(N378))),"")</f>
        <v/>
      </c>
      <c r="T378" s="17" t="str">
        <f t="array" aca="1" ref="T378" ca="1">IF(L378&lt;&gt;"",SUM(IF(INDIRECT(L378)&lt;&gt;INT(INDIRECT(L378)),1,0)),"")</f>
        <v/>
      </c>
      <c r="U378" s="17" t="str">
        <f t="array" aca="1" ref="U378" ca="1">IF(S378=1,SUM(IF(ISNUMBER(INDIRECT(N378)),IF(INDIRECT(N378)&lt;&gt;INT(INDIRECT(N378)),1,0),0)),"")</f>
        <v/>
      </c>
      <c r="V378" s="17">
        <f t="shared" ca="1" si="82"/>
        <v>0</v>
      </c>
      <c r="W378" s="17">
        <f t="shared" ca="1" si="83"/>
        <v>0</v>
      </c>
      <c r="X378" s="24" t="str">
        <f t="array" aca="1" ref="X378" ca="1">IF(AD378,IF(AG378&lt;&gt;"",AG378,IF(J378,MIN(INDIRECT( K378)),"")),"")</f>
        <v/>
      </c>
      <c r="Y378" s="17" t="str">
        <f t="array" aca="1" ref="Y378" ca="1">IF(AD378,IF(AH378&lt;&gt;"",AH378,IF(J378,MAX(INDIRECT( K378)),"")),"")</f>
        <v/>
      </c>
      <c r="Z378" s="17" t="b">
        <f t="shared" ca="1" si="84"/>
        <v>0</v>
      </c>
      <c r="AC378" s="17" t="str">
        <f t="shared" ca="1" si="85"/>
        <v/>
      </c>
      <c r="AD378" s="14" t="b">
        <f t="shared" ca="1" si="86"/>
        <v>0</v>
      </c>
      <c r="AE378" s="15" t="b">
        <f t="shared" ca="1" si="87"/>
        <v>0</v>
      </c>
      <c r="AF378" s="16"/>
      <c r="AG378" s="16"/>
      <c r="AH378" s="16"/>
      <c r="AI378" s="16"/>
      <c r="AJ378" s="16"/>
      <c r="AK378" s="16"/>
      <c r="AL378" s="16"/>
      <c r="AM378" s="16"/>
    </row>
    <row r="379" spans="2:39">
      <c r="B379" s="14">
        <f t="shared" si="76"/>
        <v>377</v>
      </c>
      <c r="C379" s="14" t="str">
        <f t="shared" ca="1" si="77"/>
        <v/>
      </c>
      <c r="D379" s="14" t="str">
        <f t="shared" ca="1" si="78"/>
        <v/>
      </c>
      <c r="E379" s="14" t="str">
        <f t="shared" ca="1" si="75"/>
        <v/>
      </c>
      <c r="F379" s="14">
        <f t="shared" ca="1" si="88"/>
        <v>0</v>
      </c>
      <c r="G379" s="14" t="str">
        <f t="shared" ca="1" si="79"/>
        <v/>
      </c>
      <c r="H379" s="14">
        <f ca="1">IF(G379&lt;&gt;"",IFERROR( IsVariableNameLegal(G379),0),0)+IF(COUNTIF(INDIRECT(wew!$C$13),G379)&gt;1,10,0)</f>
        <v>0</v>
      </c>
      <c r="I379" s="14">
        <f ca="1">IF(E379&lt;&gt;"",IF(LEN(E379)&gt;150,1,0)+IF(COUNTIF(INDIRECT(wew!$C$15),E379)&gt;1,10,0),0)</f>
        <v>0</v>
      </c>
      <c r="J379" s="14" t="b">
        <f t="shared" ca="1" si="80"/>
        <v>0</v>
      </c>
      <c r="K379" s="14" t="str">
        <f ca="1">ADDRESS(3,(B379+1)*2-1,4,,"[" &amp; wew!$G$7 &amp; "]" &amp; _sheetname_labels) &amp; ":" &amp; ADDRESS(2+ster!$B$20,(B379+1)*2-1,4)</f>
        <v>'[dane surowe2c.xlsm]labels'!ACA3:ACA36</v>
      </c>
      <c r="L379" s="14" t="str">
        <f ca="1">IF(F379&gt;0,ADDRESS(3,(B379+1)*2-1,4,,"[" &amp; wew!$G$7 &amp; "]" &amp; _sheetname_labels) &amp; ":" &amp; ADDRESS(2+F379,(B379+1)*2-1,4),"")</f>
        <v/>
      </c>
      <c r="M379" s="14" t="str">
        <f ca="1">IF(F379&gt;0,ADDRESS(3,(B379+1)*2,4,,"["&amp;wew!$G$7&amp;"]"&amp;_sheetname_labels)&amp;":"&amp;ADDRESS(2+F379,(B379+1)*2,4),"")</f>
        <v/>
      </c>
      <c r="N379" s="14" t="str">
        <f ca="1">ADDRESS(3,B379+1,4,,"[" &amp; wew!$G$7 &amp; "]" &amp;_sheetname_dataframe) &amp; ":" &amp; ADDRESS(2+ster!$C$14,B379+1,4)</f>
        <v>'[dane surowe2c.xlsm]data_frame'!NN3:NN35</v>
      </c>
      <c r="O379" s="14" t="str">
        <f t="shared" ca="1" si="81"/>
        <v/>
      </c>
      <c r="P379" s="14" t="str">
        <f ca="1">IF(AND($AD379,$S379=1),IF(wew!$B$3,MIN(INDIRECT($N379)),"&lt;włącz podświetlanie wartości&gt;"),"—")</f>
        <v>—</v>
      </c>
      <c r="Q379" s="14" t="str">
        <f ca="1">IF(AND($AD379,$S379=1),IF(wew!$B$3,MAX(INDIRECT($N379)),"&lt;włącz podświetlanie wartości&gt;"),"—")</f>
        <v>—</v>
      </c>
      <c r="R379" s="14" t="str">
        <f ca="1">IF(AD379,ster!$C$14- (COUNTIF( INDIRECT(N379),"" )+ COUNT(INDIRECT(N379)) +COUNTIF( INDIRECT(N379),"NA" )),"")</f>
        <v/>
      </c>
      <c r="S379" s="12" t="str">
        <f ca="1">IF(AD379,IF(COUNTA(INDIRECT(N379))=0,0, 1-(ster!$C$14- COUNT(INDIRECT(N379)) -COUNTIF( INDIRECT(N379),"" )) /COUNTA(INDIRECT(N379))),"")</f>
        <v/>
      </c>
      <c r="T379" s="17" t="str">
        <f t="array" aca="1" ref="T379" ca="1">IF(L379&lt;&gt;"",SUM(IF(INDIRECT(L379)&lt;&gt;INT(INDIRECT(L379)),1,0)),"")</f>
        <v/>
      </c>
      <c r="U379" s="17" t="str">
        <f t="array" aca="1" ref="U379" ca="1">IF(S379=1,SUM(IF(ISNUMBER(INDIRECT(N379)),IF(INDIRECT(N379)&lt;&gt;INT(INDIRECT(N379)),1,0),0)),"")</f>
        <v/>
      </c>
      <c r="V379" s="17">
        <f t="shared" ca="1" si="82"/>
        <v>0</v>
      </c>
      <c r="W379" s="17">
        <f t="shared" ca="1" si="83"/>
        <v>0</v>
      </c>
      <c r="X379" s="24" t="str">
        <f t="array" aca="1" ref="X379" ca="1">IF(AD379,IF(AG379&lt;&gt;"",AG379,IF(J379,MIN(INDIRECT( K379)),"")),"")</f>
        <v/>
      </c>
      <c r="Y379" s="17" t="str">
        <f t="array" aca="1" ref="Y379" ca="1">IF(AD379,IF(AH379&lt;&gt;"",AH379,IF(J379,MAX(INDIRECT( K379)),"")),"")</f>
        <v/>
      </c>
      <c r="Z379" s="17" t="b">
        <f t="shared" ca="1" si="84"/>
        <v>0</v>
      </c>
      <c r="AC379" s="17" t="str">
        <f t="shared" ca="1" si="85"/>
        <v/>
      </c>
      <c r="AD379" s="14" t="b">
        <f t="shared" ca="1" si="86"/>
        <v>0</v>
      </c>
      <c r="AE379" s="15" t="b">
        <f t="shared" ca="1" si="87"/>
        <v>0</v>
      </c>
      <c r="AF379" s="16"/>
      <c r="AG379" s="16"/>
      <c r="AH379" s="16"/>
      <c r="AI379" s="16"/>
      <c r="AJ379" s="16"/>
      <c r="AK379" s="16"/>
      <c r="AL379" s="16"/>
      <c r="AM379" s="16"/>
    </row>
    <row r="380" spans="2:39">
      <c r="B380" s="14">
        <f t="shared" si="76"/>
        <v>378</v>
      </c>
      <c r="C380" s="14" t="str">
        <f t="shared" ca="1" si="77"/>
        <v/>
      </c>
      <c r="D380" s="14" t="str">
        <f t="shared" ca="1" si="78"/>
        <v/>
      </c>
      <c r="E380" s="14" t="str">
        <f t="shared" ca="1" si="75"/>
        <v/>
      </c>
      <c r="F380" s="14">
        <f t="shared" ca="1" si="88"/>
        <v>0</v>
      </c>
      <c r="G380" s="14" t="str">
        <f t="shared" ca="1" si="79"/>
        <v/>
      </c>
      <c r="H380" s="14">
        <f ca="1">IF(G380&lt;&gt;"",IFERROR( IsVariableNameLegal(G380),0),0)+IF(COUNTIF(INDIRECT(wew!$C$13),G380)&gt;1,10,0)</f>
        <v>0</v>
      </c>
      <c r="I380" s="14">
        <f ca="1">IF(E380&lt;&gt;"",IF(LEN(E380)&gt;150,1,0)+IF(COUNTIF(INDIRECT(wew!$C$15),E380)&gt;1,10,0),0)</f>
        <v>0</v>
      </c>
      <c r="J380" s="14" t="b">
        <f t="shared" ca="1" si="80"/>
        <v>0</v>
      </c>
      <c r="K380" s="14" t="str">
        <f ca="1">ADDRESS(3,(B380+1)*2-1,4,,"[" &amp; wew!$G$7 &amp; "]" &amp; _sheetname_labels) &amp; ":" &amp; ADDRESS(2+ster!$B$20,(B380+1)*2-1,4)</f>
        <v>'[dane surowe2c.xlsm]labels'!ACC3:ACC36</v>
      </c>
      <c r="L380" s="14" t="str">
        <f ca="1">IF(F380&gt;0,ADDRESS(3,(B380+1)*2-1,4,,"[" &amp; wew!$G$7 &amp; "]" &amp; _sheetname_labels) &amp; ":" &amp; ADDRESS(2+F380,(B380+1)*2-1,4),"")</f>
        <v/>
      </c>
      <c r="M380" s="14" t="str">
        <f ca="1">IF(F380&gt;0,ADDRESS(3,(B380+1)*2,4,,"["&amp;wew!$G$7&amp;"]"&amp;_sheetname_labels)&amp;":"&amp;ADDRESS(2+F380,(B380+1)*2,4),"")</f>
        <v/>
      </c>
      <c r="N380" s="14" t="str">
        <f ca="1">ADDRESS(3,B380+1,4,,"[" &amp; wew!$G$7 &amp; "]" &amp;_sheetname_dataframe) &amp; ":" &amp; ADDRESS(2+ster!$C$14,B380+1,4)</f>
        <v>'[dane surowe2c.xlsm]data_frame'!NO3:NO35</v>
      </c>
      <c r="O380" s="14" t="str">
        <f t="shared" ca="1" si="81"/>
        <v/>
      </c>
      <c r="P380" s="14" t="str">
        <f ca="1">IF(AND($AD380,$S380=1),IF(wew!$B$3,MIN(INDIRECT($N380)),"&lt;włącz podświetlanie wartości&gt;"),"—")</f>
        <v>—</v>
      </c>
      <c r="Q380" s="14" t="str">
        <f ca="1">IF(AND($AD380,$S380=1),IF(wew!$B$3,MAX(INDIRECT($N380)),"&lt;włącz podświetlanie wartości&gt;"),"—")</f>
        <v>—</v>
      </c>
      <c r="R380" s="14" t="str">
        <f ca="1">IF(AD380,ster!$C$14- (COUNTIF( INDIRECT(N380),"" )+ COUNT(INDIRECT(N380)) +COUNTIF( INDIRECT(N380),"NA" )),"")</f>
        <v/>
      </c>
      <c r="S380" s="12" t="str">
        <f ca="1">IF(AD380,IF(COUNTA(INDIRECT(N380))=0,0, 1-(ster!$C$14- COUNT(INDIRECT(N380)) -COUNTIF( INDIRECT(N380),"" )) /COUNTA(INDIRECT(N380))),"")</f>
        <v/>
      </c>
      <c r="T380" s="17" t="str">
        <f t="array" aca="1" ref="T380" ca="1">IF(L380&lt;&gt;"",SUM(IF(INDIRECT(L380)&lt;&gt;INT(INDIRECT(L380)),1,0)),"")</f>
        <v/>
      </c>
      <c r="U380" s="17" t="str">
        <f t="array" aca="1" ref="U380" ca="1">IF(S380=1,SUM(IF(ISNUMBER(INDIRECT(N380)),IF(INDIRECT(N380)&lt;&gt;INT(INDIRECT(N380)),1,0),0)),"")</f>
        <v/>
      </c>
      <c r="V380" s="17">
        <f t="shared" ca="1" si="82"/>
        <v>0</v>
      </c>
      <c r="W380" s="17">
        <f t="shared" ca="1" si="83"/>
        <v>0</v>
      </c>
      <c r="X380" s="24" t="str">
        <f t="array" aca="1" ref="X380" ca="1">IF(AD380,IF(AG380&lt;&gt;"",AG380,IF(J380,MIN(INDIRECT( K380)),"")),"")</f>
        <v/>
      </c>
      <c r="Y380" s="17" t="str">
        <f t="array" aca="1" ref="Y380" ca="1">IF(AD380,IF(AH380&lt;&gt;"",AH380,IF(J380,MAX(INDIRECT( K380)),"")),"")</f>
        <v/>
      </c>
      <c r="Z380" s="17" t="b">
        <f t="shared" ca="1" si="84"/>
        <v>0</v>
      </c>
      <c r="AC380" s="17" t="str">
        <f t="shared" ca="1" si="85"/>
        <v/>
      </c>
      <c r="AD380" s="14" t="b">
        <f t="shared" ca="1" si="86"/>
        <v>0</v>
      </c>
      <c r="AE380" s="15" t="b">
        <f t="shared" ca="1" si="87"/>
        <v>0</v>
      </c>
      <c r="AF380" s="16"/>
      <c r="AG380" s="16"/>
      <c r="AH380" s="16"/>
      <c r="AI380" s="16"/>
      <c r="AJ380" s="16"/>
      <c r="AK380" s="16"/>
      <c r="AL380" s="16"/>
      <c r="AM380" s="16"/>
    </row>
    <row r="381" spans="2:39">
      <c r="B381" s="14">
        <f t="shared" si="76"/>
        <v>379</v>
      </c>
      <c r="C381" s="14" t="str">
        <f t="shared" ca="1" si="77"/>
        <v/>
      </c>
      <c r="D381" s="14" t="str">
        <f t="shared" ca="1" si="78"/>
        <v/>
      </c>
      <c r="E381" s="14" t="str">
        <f t="shared" ca="1" si="75"/>
        <v/>
      </c>
      <c r="F381" s="14">
        <f t="shared" ca="1" si="88"/>
        <v>0</v>
      </c>
      <c r="G381" s="14" t="str">
        <f t="shared" ca="1" si="79"/>
        <v/>
      </c>
      <c r="H381" s="14">
        <f ca="1">IF(G381&lt;&gt;"",IFERROR( IsVariableNameLegal(G381),0),0)+IF(COUNTIF(INDIRECT(wew!$C$13),G381)&gt;1,10,0)</f>
        <v>0</v>
      </c>
      <c r="I381" s="14">
        <f ca="1">IF(E381&lt;&gt;"",IF(LEN(E381)&gt;150,1,0)+IF(COUNTIF(INDIRECT(wew!$C$15),E381)&gt;1,10,0),0)</f>
        <v>0</v>
      </c>
      <c r="J381" s="14" t="b">
        <f t="shared" ca="1" si="80"/>
        <v>0</v>
      </c>
      <c r="K381" s="14" t="str">
        <f ca="1">ADDRESS(3,(B381+1)*2-1,4,,"[" &amp; wew!$G$7 &amp; "]" &amp; _sheetname_labels) &amp; ":" &amp; ADDRESS(2+ster!$B$20,(B381+1)*2-1,4)</f>
        <v>'[dane surowe2c.xlsm]labels'!ACE3:ACE36</v>
      </c>
      <c r="L381" s="14" t="str">
        <f ca="1">IF(F381&gt;0,ADDRESS(3,(B381+1)*2-1,4,,"[" &amp; wew!$G$7 &amp; "]" &amp; _sheetname_labels) &amp; ":" &amp; ADDRESS(2+F381,(B381+1)*2-1,4),"")</f>
        <v/>
      </c>
      <c r="M381" s="14" t="str">
        <f ca="1">IF(F381&gt;0,ADDRESS(3,(B381+1)*2,4,,"["&amp;wew!$G$7&amp;"]"&amp;_sheetname_labels)&amp;":"&amp;ADDRESS(2+F381,(B381+1)*2,4),"")</f>
        <v/>
      </c>
      <c r="N381" s="14" t="str">
        <f ca="1">ADDRESS(3,B381+1,4,,"[" &amp; wew!$G$7 &amp; "]" &amp;_sheetname_dataframe) &amp; ":" &amp; ADDRESS(2+ster!$C$14,B381+1,4)</f>
        <v>'[dane surowe2c.xlsm]data_frame'!NP3:NP35</v>
      </c>
      <c r="O381" s="14" t="str">
        <f t="shared" ca="1" si="81"/>
        <v/>
      </c>
      <c r="P381" s="14" t="str">
        <f ca="1">IF(AND($AD381,$S381=1),IF(wew!$B$3,MIN(INDIRECT($N381)),"&lt;włącz podświetlanie wartości&gt;"),"—")</f>
        <v>—</v>
      </c>
      <c r="Q381" s="14" t="str">
        <f ca="1">IF(AND($AD381,$S381=1),IF(wew!$B$3,MAX(INDIRECT($N381)),"&lt;włącz podświetlanie wartości&gt;"),"—")</f>
        <v>—</v>
      </c>
      <c r="R381" s="14" t="str">
        <f ca="1">IF(AD381,ster!$C$14- (COUNTIF( INDIRECT(N381),"" )+ COUNT(INDIRECT(N381)) +COUNTIF( INDIRECT(N381),"NA" )),"")</f>
        <v/>
      </c>
      <c r="S381" s="12" t="str">
        <f ca="1">IF(AD381,IF(COUNTA(INDIRECT(N381))=0,0, 1-(ster!$C$14- COUNT(INDIRECT(N381)) -COUNTIF( INDIRECT(N381),"" )) /COUNTA(INDIRECT(N381))),"")</f>
        <v/>
      </c>
      <c r="T381" s="17" t="str">
        <f t="array" aca="1" ref="T381" ca="1">IF(L381&lt;&gt;"",SUM(IF(INDIRECT(L381)&lt;&gt;INT(INDIRECT(L381)),1,0)),"")</f>
        <v/>
      </c>
      <c r="U381" s="17" t="str">
        <f t="array" aca="1" ref="U381" ca="1">IF(S381=1,SUM(IF(ISNUMBER(INDIRECT(N381)),IF(INDIRECT(N381)&lt;&gt;INT(INDIRECT(N381)),1,0),0)),"")</f>
        <v/>
      </c>
      <c r="V381" s="17">
        <f t="shared" ca="1" si="82"/>
        <v>0</v>
      </c>
      <c r="W381" s="17">
        <f t="shared" ca="1" si="83"/>
        <v>0</v>
      </c>
      <c r="X381" s="24" t="str">
        <f t="array" aca="1" ref="X381" ca="1">IF(AD381,IF(AG381&lt;&gt;"",AG381,IF(J381,MIN(INDIRECT( K381)),"")),"")</f>
        <v/>
      </c>
      <c r="Y381" s="17" t="str">
        <f t="array" aca="1" ref="Y381" ca="1">IF(AD381,IF(AH381&lt;&gt;"",AH381,IF(J381,MAX(INDIRECT( K381)),"")),"")</f>
        <v/>
      </c>
      <c r="Z381" s="17" t="b">
        <f t="shared" ca="1" si="84"/>
        <v>0</v>
      </c>
      <c r="AC381" s="17" t="str">
        <f t="shared" ca="1" si="85"/>
        <v/>
      </c>
      <c r="AD381" s="14" t="b">
        <f t="shared" ca="1" si="86"/>
        <v>0</v>
      </c>
      <c r="AE381" s="15" t="b">
        <f t="shared" ca="1" si="87"/>
        <v>0</v>
      </c>
      <c r="AF381" s="16"/>
      <c r="AG381" s="16"/>
      <c r="AH381" s="16"/>
      <c r="AI381" s="16"/>
      <c r="AJ381" s="16"/>
      <c r="AK381" s="16"/>
      <c r="AL381" s="16"/>
      <c r="AM381" s="16"/>
    </row>
    <row r="382" spans="2:39">
      <c r="B382" s="14">
        <f t="shared" si="76"/>
        <v>380</v>
      </c>
      <c r="C382" s="14" t="str">
        <f t="shared" ca="1" si="77"/>
        <v/>
      </c>
      <c r="D382" s="14" t="str">
        <f t="shared" ca="1" si="78"/>
        <v/>
      </c>
      <c r="E382" s="14" t="str">
        <f t="shared" ca="1" si="75"/>
        <v/>
      </c>
      <c r="F382" s="14">
        <f t="shared" ca="1" si="88"/>
        <v>0</v>
      </c>
      <c r="G382" s="14" t="str">
        <f t="shared" ca="1" si="79"/>
        <v/>
      </c>
      <c r="H382" s="14">
        <f ca="1">IF(G382&lt;&gt;"",IFERROR( IsVariableNameLegal(G382),0),0)+IF(COUNTIF(INDIRECT(wew!$C$13),G382)&gt;1,10,0)</f>
        <v>0</v>
      </c>
      <c r="I382" s="14">
        <f ca="1">IF(E382&lt;&gt;"",IF(LEN(E382)&gt;150,1,0)+IF(COUNTIF(INDIRECT(wew!$C$15),E382)&gt;1,10,0),0)</f>
        <v>0</v>
      </c>
      <c r="J382" s="14" t="b">
        <f t="shared" ca="1" si="80"/>
        <v>0</v>
      </c>
      <c r="K382" s="14" t="str">
        <f ca="1">ADDRESS(3,(B382+1)*2-1,4,,"[" &amp; wew!$G$7 &amp; "]" &amp; _sheetname_labels) &amp; ":" &amp; ADDRESS(2+ster!$B$20,(B382+1)*2-1,4)</f>
        <v>'[dane surowe2c.xlsm]labels'!ACG3:ACG36</v>
      </c>
      <c r="L382" s="14" t="str">
        <f ca="1">IF(F382&gt;0,ADDRESS(3,(B382+1)*2-1,4,,"[" &amp; wew!$G$7 &amp; "]" &amp; _sheetname_labels) &amp; ":" &amp; ADDRESS(2+F382,(B382+1)*2-1,4),"")</f>
        <v/>
      </c>
      <c r="M382" s="14" t="str">
        <f ca="1">IF(F382&gt;0,ADDRESS(3,(B382+1)*2,4,,"["&amp;wew!$G$7&amp;"]"&amp;_sheetname_labels)&amp;":"&amp;ADDRESS(2+F382,(B382+1)*2,4),"")</f>
        <v/>
      </c>
      <c r="N382" s="14" t="str">
        <f ca="1">ADDRESS(3,B382+1,4,,"[" &amp; wew!$G$7 &amp; "]" &amp;_sheetname_dataframe) &amp; ":" &amp; ADDRESS(2+ster!$C$14,B382+1,4)</f>
        <v>'[dane surowe2c.xlsm]data_frame'!NQ3:NQ35</v>
      </c>
      <c r="O382" s="14" t="str">
        <f t="shared" ca="1" si="81"/>
        <v/>
      </c>
      <c r="P382" s="14" t="str">
        <f ca="1">IF(AND($AD382,$S382=1),IF(wew!$B$3,MIN(INDIRECT($N382)),"&lt;włącz podświetlanie wartości&gt;"),"—")</f>
        <v>—</v>
      </c>
      <c r="Q382" s="14" t="str">
        <f ca="1">IF(AND($AD382,$S382=1),IF(wew!$B$3,MAX(INDIRECT($N382)),"&lt;włącz podświetlanie wartości&gt;"),"—")</f>
        <v>—</v>
      </c>
      <c r="R382" s="14" t="str">
        <f ca="1">IF(AD382,ster!$C$14- (COUNTIF( INDIRECT(N382),"" )+ COUNT(INDIRECT(N382)) +COUNTIF( INDIRECT(N382),"NA" )),"")</f>
        <v/>
      </c>
      <c r="S382" s="12" t="str">
        <f ca="1">IF(AD382,IF(COUNTA(INDIRECT(N382))=0,0, 1-(ster!$C$14- COUNT(INDIRECT(N382)) -COUNTIF( INDIRECT(N382),"" )) /COUNTA(INDIRECT(N382))),"")</f>
        <v/>
      </c>
      <c r="T382" s="17" t="str">
        <f t="array" aca="1" ref="T382" ca="1">IF(L382&lt;&gt;"",SUM(IF(INDIRECT(L382)&lt;&gt;INT(INDIRECT(L382)),1,0)),"")</f>
        <v/>
      </c>
      <c r="U382" s="17" t="str">
        <f t="array" aca="1" ref="U382" ca="1">IF(S382=1,SUM(IF(ISNUMBER(INDIRECT(N382)),IF(INDIRECT(N382)&lt;&gt;INT(INDIRECT(N382)),1,0),0)),"")</f>
        <v/>
      </c>
      <c r="V382" s="17">
        <f t="shared" ca="1" si="82"/>
        <v>0</v>
      </c>
      <c r="W382" s="17">
        <f t="shared" ca="1" si="83"/>
        <v>0</v>
      </c>
      <c r="X382" s="24" t="str">
        <f t="array" aca="1" ref="X382" ca="1">IF(AD382,IF(AG382&lt;&gt;"",AG382,IF(J382,MIN(INDIRECT( K382)),"")),"")</f>
        <v/>
      </c>
      <c r="Y382" s="17" t="str">
        <f t="array" aca="1" ref="Y382" ca="1">IF(AD382,IF(AH382&lt;&gt;"",AH382,IF(J382,MAX(INDIRECT( K382)),"")),"")</f>
        <v/>
      </c>
      <c r="Z382" s="17" t="b">
        <f t="shared" ca="1" si="84"/>
        <v>0</v>
      </c>
      <c r="AC382" s="17" t="str">
        <f t="shared" ca="1" si="85"/>
        <v/>
      </c>
      <c r="AD382" s="14" t="b">
        <f t="shared" ca="1" si="86"/>
        <v>0</v>
      </c>
      <c r="AE382" s="15" t="b">
        <f t="shared" ca="1" si="87"/>
        <v>0</v>
      </c>
      <c r="AF382" s="16"/>
      <c r="AG382" s="16"/>
      <c r="AH382" s="16"/>
      <c r="AI382" s="16"/>
      <c r="AJ382" s="16"/>
      <c r="AK382" s="16"/>
      <c r="AL382" s="16"/>
      <c r="AM382" s="16"/>
    </row>
    <row r="383" spans="2:39">
      <c r="B383" s="14">
        <f t="shared" si="76"/>
        <v>381</v>
      </c>
      <c r="C383" s="14" t="str">
        <f t="shared" ca="1" si="77"/>
        <v/>
      </c>
      <c r="D383" s="14" t="str">
        <f t="shared" ca="1" si="78"/>
        <v/>
      </c>
      <c r="E383" s="14" t="str">
        <f t="shared" ca="1" si="75"/>
        <v/>
      </c>
      <c r="F383" s="14">
        <f t="shared" ca="1" si="88"/>
        <v>0</v>
      </c>
      <c r="G383" s="14" t="str">
        <f t="shared" ca="1" si="79"/>
        <v/>
      </c>
      <c r="H383" s="14">
        <f ca="1">IF(G383&lt;&gt;"",IFERROR( IsVariableNameLegal(G383),0),0)+IF(COUNTIF(INDIRECT(wew!$C$13),G383)&gt;1,10,0)</f>
        <v>0</v>
      </c>
      <c r="I383" s="14">
        <f ca="1">IF(E383&lt;&gt;"",IF(LEN(E383)&gt;150,1,0)+IF(COUNTIF(INDIRECT(wew!$C$15),E383)&gt;1,10,0),0)</f>
        <v>0</v>
      </c>
      <c r="J383" s="14" t="b">
        <f t="shared" ca="1" si="80"/>
        <v>0</v>
      </c>
      <c r="K383" s="14" t="str">
        <f ca="1">ADDRESS(3,(B383+1)*2-1,4,,"[" &amp; wew!$G$7 &amp; "]" &amp; _sheetname_labels) &amp; ":" &amp; ADDRESS(2+ster!$B$20,(B383+1)*2-1,4)</f>
        <v>'[dane surowe2c.xlsm]labels'!ACI3:ACI36</v>
      </c>
      <c r="L383" s="14" t="str">
        <f ca="1">IF(F383&gt;0,ADDRESS(3,(B383+1)*2-1,4,,"[" &amp; wew!$G$7 &amp; "]" &amp; _sheetname_labels) &amp; ":" &amp; ADDRESS(2+F383,(B383+1)*2-1,4),"")</f>
        <v/>
      </c>
      <c r="M383" s="14" t="str">
        <f ca="1">IF(F383&gt;0,ADDRESS(3,(B383+1)*2,4,,"["&amp;wew!$G$7&amp;"]"&amp;_sheetname_labels)&amp;":"&amp;ADDRESS(2+F383,(B383+1)*2,4),"")</f>
        <v/>
      </c>
      <c r="N383" s="14" t="str">
        <f ca="1">ADDRESS(3,B383+1,4,,"[" &amp; wew!$G$7 &amp; "]" &amp;_sheetname_dataframe) &amp; ":" &amp; ADDRESS(2+ster!$C$14,B383+1,4)</f>
        <v>'[dane surowe2c.xlsm]data_frame'!NR3:NR35</v>
      </c>
      <c r="O383" s="14" t="str">
        <f t="shared" ca="1" si="81"/>
        <v/>
      </c>
      <c r="P383" s="14" t="str">
        <f ca="1">IF(AND($AD383,$S383=1),IF(wew!$B$3,MIN(INDIRECT($N383)),"&lt;włącz podświetlanie wartości&gt;"),"—")</f>
        <v>—</v>
      </c>
      <c r="Q383" s="14" t="str">
        <f ca="1">IF(AND($AD383,$S383=1),IF(wew!$B$3,MAX(INDIRECT($N383)),"&lt;włącz podświetlanie wartości&gt;"),"—")</f>
        <v>—</v>
      </c>
      <c r="R383" s="14" t="str">
        <f ca="1">IF(AD383,ster!$C$14- (COUNTIF( INDIRECT(N383),"" )+ COUNT(INDIRECT(N383)) +COUNTIF( INDIRECT(N383),"NA" )),"")</f>
        <v/>
      </c>
      <c r="S383" s="12" t="str">
        <f ca="1">IF(AD383,IF(COUNTA(INDIRECT(N383))=0,0, 1-(ster!$C$14- COUNT(INDIRECT(N383)) -COUNTIF( INDIRECT(N383),"" )) /COUNTA(INDIRECT(N383))),"")</f>
        <v/>
      </c>
      <c r="T383" s="17" t="str">
        <f t="array" aca="1" ref="T383" ca="1">IF(L383&lt;&gt;"",SUM(IF(INDIRECT(L383)&lt;&gt;INT(INDIRECT(L383)),1,0)),"")</f>
        <v/>
      </c>
      <c r="U383" s="17" t="str">
        <f t="array" aca="1" ref="U383" ca="1">IF(S383=1,SUM(IF(ISNUMBER(INDIRECT(N383)),IF(INDIRECT(N383)&lt;&gt;INT(INDIRECT(N383)),1,0),0)),"")</f>
        <v/>
      </c>
      <c r="V383" s="17">
        <f t="shared" ca="1" si="82"/>
        <v>0</v>
      </c>
      <c r="W383" s="17">
        <f t="shared" ca="1" si="83"/>
        <v>0</v>
      </c>
      <c r="X383" s="24" t="str">
        <f t="array" aca="1" ref="X383" ca="1">IF(AD383,IF(AG383&lt;&gt;"",AG383,IF(J383,MIN(INDIRECT( K383)),"")),"")</f>
        <v/>
      </c>
      <c r="Y383" s="17" t="str">
        <f t="array" aca="1" ref="Y383" ca="1">IF(AD383,IF(AH383&lt;&gt;"",AH383,IF(J383,MAX(INDIRECT( K383)),"")),"")</f>
        <v/>
      </c>
      <c r="Z383" s="17" t="b">
        <f t="shared" ca="1" si="84"/>
        <v>0</v>
      </c>
      <c r="AC383" s="17" t="str">
        <f t="shared" ca="1" si="85"/>
        <v/>
      </c>
      <c r="AD383" s="14" t="b">
        <f t="shared" ca="1" si="86"/>
        <v>0</v>
      </c>
      <c r="AE383" s="15" t="b">
        <f t="shared" ca="1" si="87"/>
        <v>0</v>
      </c>
      <c r="AF383" s="16"/>
      <c r="AG383" s="16"/>
      <c r="AH383" s="16"/>
      <c r="AI383" s="16"/>
      <c r="AJ383" s="16"/>
      <c r="AK383" s="16"/>
      <c r="AL383" s="16"/>
      <c r="AM383" s="16"/>
    </row>
    <row r="384" spans="2:39">
      <c r="B384" s="14">
        <f t="shared" si="76"/>
        <v>382</v>
      </c>
      <c r="C384" s="14" t="str">
        <f t="shared" ca="1" si="77"/>
        <v/>
      </c>
      <c r="D384" s="14" t="str">
        <f t="shared" ca="1" si="78"/>
        <v/>
      </c>
      <c r="E384" s="14" t="str">
        <f t="shared" ca="1" si="75"/>
        <v/>
      </c>
      <c r="F384" s="14">
        <f t="shared" ca="1" si="88"/>
        <v>0</v>
      </c>
      <c r="G384" s="14" t="str">
        <f t="shared" ca="1" si="79"/>
        <v/>
      </c>
      <c r="H384" s="14">
        <f ca="1">IF(G384&lt;&gt;"",IFERROR( IsVariableNameLegal(G384),0),0)+IF(COUNTIF(INDIRECT(wew!$C$13),G384)&gt;1,10,0)</f>
        <v>0</v>
      </c>
      <c r="I384" s="14">
        <f ca="1">IF(E384&lt;&gt;"",IF(LEN(E384)&gt;150,1,0)+IF(COUNTIF(INDIRECT(wew!$C$15),E384)&gt;1,10,0),0)</f>
        <v>0</v>
      </c>
      <c r="J384" s="14" t="b">
        <f t="shared" ca="1" si="80"/>
        <v>0</v>
      </c>
      <c r="K384" s="14" t="str">
        <f ca="1">ADDRESS(3,(B384+1)*2-1,4,,"[" &amp; wew!$G$7 &amp; "]" &amp; _sheetname_labels) &amp; ":" &amp; ADDRESS(2+ster!$B$20,(B384+1)*2-1,4)</f>
        <v>'[dane surowe2c.xlsm]labels'!ACK3:ACK36</v>
      </c>
      <c r="L384" s="14" t="str">
        <f ca="1">IF(F384&gt;0,ADDRESS(3,(B384+1)*2-1,4,,"[" &amp; wew!$G$7 &amp; "]" &amp; _sheetname_labels) &amp; ":" &amp; ADDRESS(2+F384,(B384+1)*2-1,4),"")</f>
        <v/>
      </c>
      <c r="M384" s="14" t="str">
        <f ca="1">IF(F384&gt;0,ADDRESS(3,(B384+1)*2,4,,"["&amp;wew!$G$7&amp;"]"&amp;_sheetname_labels)&amp;":"&amp;ADDRESS(2+F384,(B384+1)*2,4),"")</f>
        <v/>
      </c>
      <c r="N384" s="14" t="str">
        <f ca="1">ADDRESS(3,B384+1,4,,"[" &amp; wew!$G$7 &amp; "]" &amp;_sheetname_dataframe) &amp; ":" &amp; ADDRESS(2+ster!$C$14,B384+1,4)</f>
        <v>'[dane surowe2c.xlsm]data_frame'!NS3:NS35</v>
      </c>
      <c r="O384" s="14" t="str">
        <f t="shared" ca="1" si="81"/>
        <v/>
      </c>
      <c r="P384" s="14" t="str">
        <f ca="1">IF(AND($AD384,$S384=1),IF(wew!$B$3,MIN(INDIRECT($N384)),"&lt;włącz podświetlanie wartości&gt;"),"—")</f>
        <v>—</v>
      </c>
      <c r="Q384" s="14" t="str">
        <f ca="1">IF(AND($AD384,$S384=1),IF(wew!$B$3,MAX(INDIRECT($N384)),"&lt;włącz podświetlanie wartości&gt;"),"—")</f>
        <v>—</v>
      </c>
      <c r="R384" s="14" t="str">
        <f ca="1">IF(AD384,ster!$C$14- (COUNTIF( INDIRECT(N384),"" )+ COUNT(INDIRECT(N384)) +COUNTIF( INDIRECT(N384),"NA" )),"")</f>
        <v/>
      </c>
      <c r="S384" s="12" t="str">
        <f ca="1">IF(AD384,IF(COUNTA(INDIRECT(N384))=0,0, 1-(ster!$C$14- COUNT(INDIRECT(N384)) -COUNTIF( INDIRECT(N384),"" )) /COUNTA(INDIRECT(N384))),"")</f>
        <v/>
      </c>
      <c r="T384" s="17" t="str">
        <f t="array" aca="1" ref="T384" ca="1">IF(L384&lt;&gt;"",SUM(IF(INDIRECT(L384)&lt;&gt;INT(INDIRECT(L384)),1,0)),"")</f>
        <v/>
      </c>
      <c r="U384" s="17" t="str">
        <f t="array" aca="1" ref="U384" ca="1">IF(S384=1,SUM(IF(ISNUMBER(INDIRECT(N384)),IF(INDIRECT(N384)&lt;&gt;INT(INDIRECT(N384)),1,0),0)),"")</f>
        <v/>
      </c>
      <c r="V384" s="17">
        <f t="shared" ca="1" si="82"/>
        <v>0</v>
      </c>
      <c r="W384" s="17">
        <f t="shared" ca="1" si="83"/>
        <v>0</v>
      </c>
      <c r="X384" s="24" t="str">
        <f t="array" aca="1" ref="X384" ca="1">IF(AD384,IF(AG384&lt;&gt;"",AG384,IF(J384,MIN(INDIRECT( K384)),"")),"")</f>
        <v/>
      </c>
      <c r="Y384" s="17" t="str">
        <f t="array" aca="1" ref="Y384" ca="1">IF(AD384,IF(AH384&lt;&gt;"",AH384,IF(J384,MAX(INDIRECT( K384)),"")),"")</f>
        <v/>
      </c>
      <c r="Z384" s="17" t="b">
        <f t="shared" ca="1" si="84"/>
        <v>0</v>
      </c>
      <c r="AC384" s="17" t="str">
        <f t="shared" ca="1" si="85"/>
        <v/>
      </c>
      <c r="AD384" s="14" t="b">
        <f t="shared" ca="1" si="86"/>
        <v>0</v>
      </c>
      <c r="AE384" s="15" t="b">
        <f t="shared" ca="1" si="87"/>
        <v>0</v>
      </c>
      <c r="AF384" s="16"/>
      <c r="AG384" s="16"/>
      <c r="AH384" s="16"/>
      <c r="AI384" s="16"/>
      <c r="AJ384" s="16"/>
      <c r="AK384" s="16"/>
      <c r="AL384" s="16"/>
      <c r="AM384" s="16"/>
    </row>
    <row r="385" spans="2:39">
      <c r="B385" s="14">
        <f t="shared" si="76"/>
        <v>383</v>
      </c>
      <c r="C385" s="14" t="str">
        <f t="shared" ca="1" si="77"/>
        <v/>
      </c>
      <c r="D385" s="14" t="str">
        <f t="shared" ca="1" si="78"/>
        <v/>
      </c>
      <c r="E385" s="14" t="str">
        <f t="shared" ca="1" si="75"/>
        <v/>
      </c>
      <c r="F385" s="14">
        <f t="shared" ca="1" si="88"/>
        <v>0</v>
      </c>
      <c r="G385" s="14" t="str">
        <f t="shared" ca="1" si="79"/>
        <v/>
      </c>
      <c r="H385" s="14">
        <f ca="1">IF(G385&lt;&gt;"",IFERROR( IsVariableNameLegal(G385),0),0)+IF(COUNTIF(INDIRECT(wew!$C$13),G385)&gt;1,10,0)</f>
        <v>0</v>
      </c>
      <c r="I385" s="14">
        <f ca="1">IF(E385&lt;&gt;"",IF(LEN(E385)&gt;150,1,0)+IF(COUNTIF(INDIRECT(wew!$C$15),E385)&gt;1,10,0),0)</f>
        <v>0</v>
      </c>
      <c r="J385" s="14" t="b">
        <f t="shared" ca="1" si="80"/>
        <v>0</v>
      </c>
      <c r="K385" s="14" t="str">
        <f ca="1">ADDRESS(3,(B385+1)*2-1,4,,"[" &amp; wew!$G$7 &amp; "]" &amp; _sheetname_labels) &amp; ":" &amp; ADDRESS(2+ster!$B$20,(B385+1)*2-1,4)</f>
        <v>'[dane surowe2c.xlsm]labels'!ACM3:ACM36</v>
      </c>
      <c r="L385" s="14" t="str">
        <f ca="1">IF(F385&gt;0,ADDRESS(3,(B385+1)*2-1,4,,"[" &amp; wew!$G$7 &amp; "]" &amp; _sheetname_labels) &amp; ":" &amp; ADDRESS(2+F385,(B385+1)*2-1,4),"")</f>
        <v/>
      </c>
      <c r="M385" s="14" t="str">
        <f ca="1">IF(F385&gt;0,ADDRESS(3,(B385+1)*2,4,,"["&amp;wew!$G$7&amp;"]"&amp;_sheetname_labels)&amp;":"&amp;ADDRESS(2+F385,(B385+1)*2,4),"")</f>
        <v/>
      </c>
      <c r="N385" s="14" t="str">
        <f ca="1">ADDRESS(3,B385+1,4,,"[" &amp; wew!$G$7 &amp; "]" &amp;_sheetname_dataframe) &amp; ":" &amp; ADDRESS(2+ster!$C$14,B385+1,4)</f>
        <v>'[dane surowe2c.xlsm]data_frame'!NT3:NT35</v>
      </c>
      <c r="O385" s="14" t="str">
        <f t="shared" ca="1" si="81"/>
        <v/>
      </c>
      <c r="P385" s="14" t="str">
        <f ca="1">IF(AND($AD385,$S385=1),IF(wew!$B$3,MIN(INDIRECT($N385)),"&lt;włącz podświetlanie wartości&gt;"),"—")</f>
        <v>—</v>
      </c>
      <c r="Q385" s="14" t="str">
        <f ca="1">IF(AND($AD385,$S385=1),IF(wew!$B$3,MAX(INDIRECT($N385)),"&lt;włącz podświetlanie wartości&gt;"),"—")</f>
        <v>—</v>
      </c>
      <c r="R385" s="14" t="str">
        <f ca="1">IF(AD385,ster!$C$14- (COUNTIF( INDIRECT(N385),"" )+ COUNT(INDIRECT(N385)) +COUNTIF( INDIRECT(N385),"NA" )),"")</f>
        <v/>
      </c>
      <c r="S385" s="12" t="str">
        <f ca="1">IF(AD385,IF(COUNTA(INDIRECT(N385))=0,0, 1-(ster!$C$14- COUNT(INDIRECT(N385)) -COUNTIF( INDIRECT(N385),"" )) /COUNTA(INDIRECT(N385))),"")</f>
        <v/>
      </c>
      <c r="T385" s="17" t="str">
        <f t="array" aca="1" ref="T385" ca="1">IF(L385&lt;&gt;"",SUM(IF(INDIRECT(L385)&lt;&gt;INT(INDIRECT(L385)),1,0)),"")</f>
        <v/>
      </c>
      <c r="U385" s="17" t="str">
        <f t="array" aca="1" ref="U385" ca="1">IF(S385=1,SUM(IF(ISNUMBER(INDIRECT(N385)),IF(INDIRECT(N385)&lt;&gt;INT(INDIRECT(N385)),1,0),0)),"")</f>
        <v/>
      </c>
      <c r="V385" s="17">
        <f t="shared" ca="1" si="82"/>
        <v>0</v>
      </c>
      <c r="W385" s="17">
        <f t="shared" ca="1" si="83"/>
        <v>0</v>
      </c>
      <c r="X385" s="24" t="str">
        <f t="array" aca="1" ref="X385" ca="1">IF(AD385,IF(AG385&lt;&gt;"",AG385,IF(J385,MIN(INDIRECT( K385)),"")),"")</f>
        <v/>
      </c>
      <c r="Y385" s="17" t="str">
        <f t="array" aca="1" ref="Y385" ca="1">IF(AD385,IF(AH385&lt;&gt;"",AH385,IF(J385,MAX(INDIRECT( K385)),"")),"")</f>
        <v/>
      </c>
      <c r="Z385" s="17" t="b">
        <f t="shared" ca="1" si="84"/>
        <v>0</v>
      </c>
      <c r="AC385" s="17" t="str">
        <f t="shared" ca="1" si="85"/>
        <v/>
      </c>
      <c r="AD385" s="14" t="b">
        <f t="shared" ca="1" si="86"/>
        <v>0</v>
      </c>
      <c r="AE385" s="15" t="b">
        <f t="shared" ca="1" si="87"/>
        <v>0</v>
      </c>
      <c r="AF385" s="16"/>
      <c r="AG385" s="16"/>
      <c r="AH385" s="16"/>
      <c r="AI385" s="16"/>
      <c r="AJ385" s="16"/>
      <c r="AK385" s="16"/>
      <c r="AL385" s="16"/>
      <c r="AM385" s="16"/>
    </row>
    <row r="386" spans="2:39">
      <c r="B386" s="14">
        <f t="shared" si="76"/>
        <v>384</v>
      </c>
      <c r="C386" s="14" t="str">
        <f t="shared" ca="1" si="77"/>
        <v/>
      </c>
      <c r="D386" s="14" t="str">
        <f t="shared" ca="1" si="78"/>
        <v/>
      </c>
      <c r="E386" s="14" t="str">
        <f t="shared" ref="E386:E449" ca="1" si="89">IF(AD386,IF(INDIRECT(ADDRESS(1,ROW(A385),,,_sheetname_dataframe))="","",INDIRECT(ADDRESS(1,ROW(A385),,,_sheetname_dataframe))),"")</f>
        <v/>
      </c>
      <c r="F386" s="14">
        <f t="shared" ca="1" si="88"/>
        <v>0</v>
      </c>
      <c r="G386" s="14" t="str">
        <f t="shared" ca="1" si="79"/>
        <v/>
      </c>
      <c r="H386" s="14">
        <f ca="1">IF(G386&lt;&gt;"",IFERROR( IsVariableNameLegal(G386),0),0)+IF(COUNTIF(INDIRECT(wew!$C$13),G386)&gt;1,10,0)</f>
        <v>0</v>
      </c>
      <c r="I386" s="14">
        <f ca="1">IF(E386&lt;&gt;"",IF(LEN(E386)&gt;150,1,0)+IF(COUNTIF(INDIRECT(wew!$C$15),E386)&gt;1,10,0),0)</f>
        <v>0</v>
      </c>
      <c r="J386" s="14" t="b">
        <f t="shared" ca="1" si="80"/>
        <v>0</v>
      </c>
      <c r="K386" s="14" t="str">
        <f ca="1">ADDRESS(3,(B386+1)*2-1,4,,"[" &amp; wew!$G$7 &amp; "]" &amp; _sheetname_labels) &amp; ":" &amp; ADDRESS(2+ster!$B$20,(B386+1)*2-1,4)</f>
        <v>'[dane surowe2c.xlsm]labels'!ACO3:ACO36</v>
      </c>
      <c r="L386" s="14" t="str">
        <f ca="1">IF(F386&gt;0,ADDRESS(3,(B386+1)*2-1,4,,"[" &amp; wew!$G$7 &amp; "]" &amp; _sheetname_labels) &amp; ":" &amp; ADDRESS(2+F386,(B386+1)*2-1,4),"")</f>
        <v/>
      </c>
      <c r="M386" s="14" t="str">
        <f ca="1">IF(F386&gt;0,ADDRESS(3,(B386+1)*2,4,,"["&amp;wew!$G$7&amp;"]"&amp;_sheetname_labels)&amp;":"&amp;ADDRESS(2+F386,(B386+1)*2,4),"")</f>
        <v/>
      </c>
      <c r="N386" s="14" t="str">
        <f ca="1">ADDRESS(3,B386+1,4,,"[" &amp; wew!$G$7 &amp; "]" &amp;_sheetname_dataframe) &amp; ":" &amp; ADDRESS(2+ster!$C$14,B386+1,4)</f>
        <v>'[dane surowe2c.xlsm]data_frame'!NU3:NU35</v>
      </c>
      <c r="O386" s="14" t="str">
        <f t="shared" ca="1" si="81"/>
        <v/>
      </c>
      <c r="P386" s="14" t="str">
        <f ca="1">IF(AND($AD386,$S386=1),IF(wew!$B$3,MIN(INDIRECT($N386)),"&lt;włącz podświetlanie wartości&gt;"),"—")</f>
        <v>—</v>
      </c>
      <c r="Q386" s="14" t="str">
        <f ca="1">IF(AND($AD386,$S386=1),IF(wew!$B$3,MAX(INDIRECT($N386)),"&lt;włącz podświetlanie wartości&gt;"),"—")</f>
        <v>—</v>
      </c>
      <c r="R386" s="14" t="str">
        <f ca="1">IF(AD386,ster!$C$14- (COUNTIF( INDIRECT(N386),"" )+ COUNT(INDIRECT(N386)) +COUNTIF( INDIRECT(N386),"NA" )),"")</f>
        <v/>
      </c>
      <c r="S386" s="12" t="str">
        <f ca="1">IF(AD386,IF(COUNTA(INDIRECT(N386))=0,0, 1-(ster!$C$14- COUNT(INDIRECT(N386)) -COUNTIF( INDIRECT(N386),"" )) /COUNTA(INDIRECT(N386))),"")</f>
        <v/>
      </c>
      <c r="T386" s="17" t="str">
        <f t="array" aca="1" ref="T386" ca="1">IF(L386&lt;&gt;"",SUM(IF(INDIRECT(L386)&lt;&gt;INT(INDIRECT(L386)),1,0)),"")</f>
        <v/>
      </c>
      <c r="U386" s="17" t="str">
        <f t="array" aca="1" ref="U386" ca="1">IF(S386=1,SUM(IF(ISNUMBER(INDIRECT(N386)),IF(INDIRECT(N386)&lt;&gt;INT(INDIRECT(N386)),1,0),0)),"")</f>
        <v/>
      </c>
      <c r="V386" s="17">
        <f t="shared" ca="1" si="82"/>
        <v>0</v>
      </c>
      <c r="W386" s="17">
        <f t="shared" ca="1" si="83"/>
        <v>0</v>
      </c>
      <c r="X386" s="24" t="str">
        <f t="array" aca="1" ref="X386" ca="1">IF(AD386,IF(AG386&lt;&gt;"",AG386,IF(J386,MIN(INDIRECT( K386)),"")),"")</f>
        <v/>
      </c>
      <c r="Y386" s="17" t="str">
        <f t="array" aca="1" ref="Y386" ca="1">IF(AD386,IF(AH386&lt;&gt;"",AH386,IF(J386,MAX(INDIRECT( K386)),"")),"")</f>
        <v/>
      </c>
      <c r="Z386" s="17" t="b">
        <f t="shared" ca="1" si="84"/>
        <v>0</v>
      </c>
      <c r="AC386" s="17" t="str">
        <f t="shared" ca="1" si="85"/>
        <v/>
      </c>
      <c r="AD386" s="14" t="b">
        <f t="shared" ca="1" si="86"/>
        <v>0</v>
      </c>
      <c r="AE386" s="15" t="b">
        <f t="shared" ca="1" si="87"/>
        <v>0</v>
      </c>
      <c r="AF386" s="16"/>
      <c r="AG386" s="16"/>
      <c r="AH386" s="16"/>
      <c r="AI386" s="16"/>
      <c r="AJ386" s="16"/>
      <c r="AK386" s="16"/>
      <c r="AL386" s="16"/>
      <c r="AM386" s="16"/>
    </row>
    <row r="387" spans="2:39">
      <c r="B387" s="14">
        <f t="shared" ref="B387:B450" si="90">ROW(A387)-2</f>
        <v>385</v>
      </c>
      <c r="C387" s="14" t="str">
        <f t="shared" ref="C387:C450" ca="1" si="91">IF(OR(E387="",ROW(E387)=2),"",IF(R387&gt;0,"S",IF(J387,IF(F387=2,"D","N"),"I")))</f>
        <v/>
      </c>
      <c r="D387" s="14" t="str">
        <f t="shared" ref="D387:D450" ca="1" si="92">IFERROR(CHOOSE(H387+1,G387,"Nazwa musi zaczynać się od litery:" &amp; G387, "Nazwa nie może kończyć się kropką","Nazwa nie może kończyć się podkreśleniem","Nazwa nie może być dłuższa od 64 znaków","?","Ta nazwa jest zarezerwowana i nie może być użyta"),G387)</f>
        <v/>
      </c>
      <c r="E387" s="14" t="str">
        <f t="shared" ca="1" si="89"/>
        <v/>
      </c>
      <c r="F387" s="14">
        <f t="shared" ca="1" si="88"/>
        <v>0</v>
      </c>
      <c r="G387" s="14" t="str">
        <f t="shared" ref="G387:G450" ca="1" si="93">IF(AD387,INDIRECT(ADDRESS(2,ROW(A386),,,_sheetname_dataframe)),"")</f>
        <v/>
      </c>
      <c r="H387" s="14">
        <f ca="1">IF(G387&lt;&gt;"",IFERROR( IsVariableNameLegal(G387),0),0)+IF(COUNTIF(INDIRECT(wew!$C$13),G387)&gt;1,10,0)</f>
        <v>0</v>
      </c>
      <c r="I387" s="14">
        <f ca="1">IF(E387&lt;&gt;"",IF(LEN(E387)&gt;150,1,0)+IF(COUNTIF(INDIRECT(wew!$C$15),E387)&gt;1,10,0),0)</f>
        <v>0</v>
      </c>
      <c r="J387" s="14" t="b">
        <f t="shared" ref="J387:J450" ca="1" si="94">F387&gt;0</f>
        <v>0</v>
      </c>
      <c r="K387" s="14" t="str">
        <f ca="1">ADDRESS(3,(B387+1)*2-1,4,,"[" &amp; wew!$G$7 &amp; "]" &amp; _sheetname_labels) &amp; ":" &amp; ADDRESS(2+ster!$B$20,(B387+1)*2-1,4)</f>
        <v>'[dane surowe2c.xlsm]labels'!ACQ3:ACQ36</v>
      </c>
      <c r="L387" s="14" t="str">
        <f ca="1">IF(F387&gt;0,ADDRESS(3,(B387+1)*2-1,4,,"[" &amp; wew!$G$7 &amp; "]" &amp; _sheetname_labels) &amp; ":" &amp; ADDRESS(2+F387,(B387+1)*2-1,4),"")</f>
        <v/>
      </c>
      <c r="M387" s="14" t="str">
        <f ca="1">IF(F387&gt;0,ADDRESS(3,(B387+1)*2,4,,"["&amp;wew!$G$7&amp;"]"&amp;_sheetname_labels)&amp;":"&amp;ADDRESS(2+F387,(B387+1)*2,4),"")</f>
        <v/>
      </c>
      <c r="N387" s="14" t="str">
        <f ca="1">ADDRESS(3,B387+1,4,,"[" &amp; wew!$G$7 &amp; "]" &amp;_sheetname_dataframe) &amp; ":" &amp; ADDRESS(2+ster!$C$14,B387+1,4)</f>
        <v>'[dane surowe2c.xlsm]data_frame'!NV3:NV35</v>
      </c>
      <c r="O387" s="14" t="str">
        <f t="shared" ref="O387:O450" ca="1" si="95">IF(AD387,COUNT(INDIRECT(N387)),"")</f>
        <v/>
      </c>
      <c r="P387" s="14" t="str">
        <f ca="1">IF(AND($AD387,$S387=1),IF(wew!$B$3,MIN(INDIRECT($N387)),"&lt;włącz podświetlanie wartości&gt;"),"—")</f>
        <v>—</v>
      </c>
      <c r="Q387" s="14" t="str">
        <f ca="1">IF(AND($AD387,$S387=1),IF(wew!$B$3,MAX(INDIRECT($N387)),"&lt;włącz podświetlanie wartości&gt;"),"—")</f>
        <v>—</v>
      </c>
      <c r="R387" s="14" t="str">
        <f ca="1">IF(AD387,ster!$C$14- (COUNTIF( INDIRECT(N387),"" )+ COUNT(INDIRECT(N387)) +COUNTIF( INDIRECT(N387),"NA" )),"")</f>
        <v/>
      </c>
      <c r="S387" s="12" t="str">
        <f ca="1">IF(AD387,IF(COUNTA(INDIRECT(N387))=0,0, 1-(ster!$C$14- COUNT(INDIRECT(N387)) -COUNTIF( INDIRECT(N387),"" )) /COUNTA(INDIRECT(N387))),"")</f>
        <v/>
      </c>
      <c r="T387" s="17" t="str">
        <f t="array" aca="1" ref="T387" ca="1">IF(L387&lt;&gt;"",SUM(IF(INDIRECT(L387)&lt;&gt;INT(INDIRECT(L387)),1,0)),"")</f>
        <v/>
      </c>
      <c r="U387" s="17" t="str">
        <f t="array" aca="1" ref="U387" ca="1">IF(S387=1,SUM(IF(ISNUMBER(INDIRECT(N387)),IF(INDIRECT(N387)&lt;&gt;INT(INDIRECT(N387)),1,0),0)),"")</f>
        <v/>
      </c>
      <c r="V387" s="17">
        <f t="shared" ref="V387:V450" ca="1" si="96">IF(U387&lt;&gt;"",IF(U387=0,1,IF(U387/O387&lt;0.05,2,3)),0)</f>
        <v>0</v>
      </c>
      <c r="W387" s="17">
        <f t="shared" ref="W387:W450" ca="1" si="97">IF(COUNTA(INDIRECT(N387))=0,0, IF(AND(X387&lt;&gt;"",P387&lt;X387),1,IF(AND(Y387&lt;&gt;"",Q387&gt;Y387),1,IF(AND(Z387,U387&gt;0),2,0))))</f>
        <v>0</v>
      </c>
      <c r="X387" s="24" t="str">
        <f t="array" aca="1" ref="X387" ca="1">IF(AD387,IF(AG387&lt;&gt;"",AG387,IF(J387,MIN(INDIRECT( K387)),"")),"")</f>
        <v/>
      </c>
      <c r="Y387" s="17" t="str">
        <f t="array" aca="1" ref="Y387" ca="1">IF(AD387,IF(AH387&lt;&gt;"",AH387,IF(J387,MAX(INDIRECT( K387)),"")),"")</f>
        <v/>
      </c>
      <c r="Z387" s="17" t="b">
        <f t="shared" ref="Z387:Z450" ca="1" si="98">IF(AD387,IF(AI387&lt;&gt;"",AI387,T387=0),FALSE)</f>
        <v>0</v>
      </c>
      <c r="AC387" s="17" t="str">
        <f t="shared" ref="AC387:AC450" ca="1" si="99">IF(AD387,C387="S","")</f>
        <v/>
      </c>
      <c r="AD387" s="14" t="b">
        <f t="shared" ref="AD387:AD450" ca="1" si="100">INDIRECT(ADDRESS(2,ROW(A386),,,_sheetname_dataframe))&lt;&gt;""</f>
        <v>0</v>
      </c>
      <c r="AE387" s="15" t="b">
        <f t="shared" ref="AE387:AE450" ca="1" si="101">J387</f>
        <v>0</v>
      </c>
      <c r="AF387" s="16"/>
      <c r="AG387" s="16"/>
      <c r="AH387" s="16"/>
      <c r="AI387" s="16"/>
      <c r="AJ387" s="16"/>
      <c r="AK387" s="16"/>
      <c r="AL387" s="16"/>
      <c r="AM387" s="16"/>
    </row>
    <row r="388" spans="2:39">
      <c r="B388" s="14">
        <f t="shared" si="90"/>
        <v>386</v>
      </c>
      <c r="C388" s="14" t="str">
        <f t="shared" ca="1" si="91"/>
        <v/>
      </c>
      <c r="D388" s="14" t="str">
        <f t="shared" ca="1" si="92"/>
        <v/>
      </c>
      <c r="E388" s="14" t="str">
        <f t="shared" ca="1" si="89"/>
        <v/>
      </c>
      <c r="F388" s="14">
        <f t="shared" ca="1" si="88"/>
        <v>0</v>
      </c>
      <c r="G388" s="14" t="str">
        <f t="shared" ca="1" si="93"/>
        <v/>
      </c>
      <c r="H388" s="14">
        <f ca="1">IF(G388&lt;&gt;"",IFERROR( IsVariableNameLegal(G388),0),0)+IF(COUNTIF(INDIRECT(wew!$C$13),G388)&gt;1,10,0)</f>
        <v>0</v>
      </c>
      <c r="I388" s="14">
        <f ca="1">IF(E388&lt;&gt;"",IF(LEN(E388)&gt;150,1,0)+IF(COUNTIF(INDIRECT(wew!$C$15),E388)&gt;1,10,0),0)</f>
        <v>0</v>
      </c>
      <c r="J388" s="14" t="b">
        <f t="shared" ca="1" si="94"/>
        <v>0</v>
      </c>
      <c r="K388" s="14" t="str">
        <f ca="1">ADDRESS(3,(B388+1)*2-1,4,,"[" &amp; wew!$G$7 &amp; "]" &amp; _sheetname_labels) &amp; ":" &amp; ADDRESS(2+ster!$B$20,(B388+1)*2-1,4)</f>
        <v>'[dane surowe2c.xlsm]labels'!ACS3:ACS36</v>
      </c>
      <c r="L388" s="14" t="str">
        <f ca="1">IF(F388&gt;0,ADDRESS(3,(B388+1)*2-1,4,,"[" &amp; wew!$G$7 &amp; "]" &amp; _sheetname_labels) &amp; ":" &amp; ADDRESS(2+F388,(B388+1)*2-1,4),"")</f>
        <v/>
      </c>
      <c r="M388" s="14" t="str">
        <f ca="1">IF(F388&gt;0,ADDRESS(3,(B388+1)*2,4,,"["&amp;wew!$G$7&amp;"]"&amp;_sheetname_labels)&amp;":"&amp;ADDRESS(2+F388,(B388+1)*2,4),"")</f>
        <v/>
      </c>
      <c r="N388" s="14" t="str">
        <f ca="1">ADDRESS(3,B388+1,4,,"[" &amp; wew!$G$7 &amp; "]" &amp;_sheetname_dataframe) &amp; ":" &amp; ADDRESS(2+ster!$C$14,B388+1,4)</f>
        <v>'[dane surowe2c.xlsm]data_frame'!NW3:NW35</v>
      </c>
      <c r="O388" s="14" t="str">
        <f t="shared" ca="1" si="95"/>
        <v/>
      </c>
      <c r="P388" s="14" t="str">
        <f ca="1">IF(AND($AD388,$S388=1),IF(wew!$B$3,MIN(INDIRECT($N388)),"&lt;włącz podświetlanie wartości&gt;"),"—")</f>
        <v>—</v>
      </c>
      <c r="Q388" s="14" t="str">
        <f ca="1">IF(AND($AD388,$S388=1),IF(wew!$B$3,MAX(INDIRECT($N388)),"&lt;włącz podświetlanie wartości&gt;"),"—")</f>
        <v>—</v>
      </c>
      <c r="R388" s="14" t="str">
        <f ca="1">IF(AD388,ster!$C$14- (COUNTIF( INDIRECT(N388),"" )+ COUNT(INDIRECT(N388)) +COUNTIF( INDIRECT(N388),"NA" )),"")</f>
        <v/>
      </c>
      <c r="S388" s="12" t="str">
        <f ca="1">IF(AD388,IF(COUNTA(INDIRECT(N388))=0,0, 1-(ster!$C$14- COUNT(INDIRECT(N388)) -COUNTIF( INDIRECT(N388),"" )) /COUNTA(INDIRECT(N388))),"")</f>
        <v/>
      </c>
      <c r="T388" s="17" t="str">
        <f t="array" aca="1" ref="T388" ca="1">IF(L388&lt;&gt;"",SUM(IF(INDIRECT(L388)&lt;&gt;INT(INDIRECT(L388)),1,0)),"")</f>
        <v/>
      </c>
      <c r="U388" s="17" t="str">
        <f t="array" aca="1" ref="U388" ca="1">IF(S388=1,SUM(IF(ISNUMBER(INDIRECT(N388)),IF(INDIRECT(N388)&lt;&gt;INT(INDIRECT(N388)),1,0),0)),"")</f>
        <v/>
      </c>
      <c r="V388" s="17">
        <f t="shared" ca="1" si="96"/>
        <v>0</v>
      </c>
      <c r="W388" s="17">
        <f t="shared" ca="1" si="97"/>
        <v>0</v>
      </c>
      <c r="X388" s="24" t="str">
        <f t="array" aca="1" ref="X388" ca="1">IF(AD388,IF(AG388&lt;&gt;"",AG388,IF(J388,MIN(INDIRECT( K388)),"")),"")</f>
        <v/>
      </c>
      <c r="Y388" s="17" t="str">
        <f t="array" aca="1" ref="Y388" ca="1">IF(AD388,IF(AH388&lt;&gt;"",AH388,IF(J388,MAX(INDIRECT( K388)),"")),"")</f>
        <v/>
      </c>
      <c r="Z388" s="17" t="b">
        <f t="shared" ca="1" si="98"/>
        <v>0</v>
      </c>
      <c r="AC388" s="17" t="str">
        <f t="shared" ca="1" si="99"/>
        <v/>
      </c>
      <c r="AD388" s="14" t="b">
        <f t="shared" ca="1" si="100"/>
        <v>0</v>
      </c>
      <c r="AE388" s="15" t="b">
        <f t="shared" ca="1" si="101"/>
        <v>0</v>
      </c>
      <c r="AF388" s="16"/>
      <c r="AG388" s="16"/>
      <c r="AH388" s="16"/>
      <c r="AI388" s="16"/>
      <c r="AJ388" s="16"/>
      <c r="AK388" s="16"/>
      <c r="AL388" s="16"/>
      <c r="AM388" s="16"/>
    </row>
    <row r="389" spans="2:39">
      <c r="B389" s="14">
        <f t="shared" si="90"/>
        <v>387</v>
      </c>
      <c r="C389" s="14" t="str">
        <f t="shared" ca="1" si="91"/>
        <v/>
      </c>
      <c r="D389" s="14" t="str">
        <f t="shared" ca="1" si="92"/>
        <v/>
      </c>
      <c r="E389" s="14" t="str">
        <f t="shared" ca="1" si="89"/>
        <v/>
      </c>
      <c r="F389" s="14">
        <f t="shared" ca="1" si="88"/>
        <v>0</v>
      </c>
      <c r="G389" s="14" t="str">
        <f t="shared" ca="1" si="93"/>
        <v/>
      </c>
      <c r="H389" s="14">
        <f ca="1">IF(G389&lt;&gt;"",IFERROR( IsVariableNameLegal(G389),0),0)+IF(COUNTIF(INDIRECT(wew!$C$13),G389)&gt;1,10,0)</f>
        <v>0</v>
      </c>
      <c r="I389" s="14">
        <f ca="1">IF(E389&lt;&gt;"",IF(LEN(E389)&gt;150,1,0)+IF(COUNTIF(INDIRECT(wew!$C$15),E389)&gt;1,10,0),0)</f>
        <v>0</v>
      </c>
      <c r="J389" s="14" t="b">
        <f t="shared" ca="1" si="94"/>
        <v>0</v>
      </c>
      <c r="K389" s="14" t="str">
        <f ca="1">ADDRESS(3,(B389+1)*2-1,4,,"[" &amp; wew!$G$7 &amp; "]" &amp; _sheetname_labels) &amp; ":" &amp; ADDRESS(2+ster!$B$20,(B389+1)*2-1,4)</f>
        <v>'[dane surowe2c.xlsm]labels'!ACU3:ACU36</v>
      </c>
      <c r="L389" s="14" t="str">
        <f ca="1">IF(F389&gt;0,ADDRESS(3,(B389+1)*2-1,4,,"[" &amp; wew!$G$7 &amp; "]" &amp; _sheetname_labels) &amp; ":" &amp; ADDRESS(2+F389,(B389+1)*2-1,4),"")</f>
        <v/>
      </c>
      <c r="M389" s="14" t="str">
        <f ca="1">IF(F389&gt;0,ADDRESS(3,(B389+1)*2,4,,"["&amp;wew!$G$7&amp;"]"&amp;_sheetname_labels)&amp;":"&amp;ADDRESS(2+F389,(B389+1)*2,4),"")</f>
        <v/>
      </c>
      <c r="N389" s="14" t="str">
        <f ca="1">ADDRESS(3,B389+1,4,,"[" &amp; wew!$G$7 &amp; "]" &amp;_sheetname_dataframe) &amp; ":" &amp; ADDRESS(2+ster!$C$14,B389+1,4)</f>
        <v>'[dane surowe2c.xlsm]data_frame'!NX3:NX35</v>
      </c>
      <c r="O389" s="14" t="str">
        <f t="shared" ca="1" si="95"/>
        <v/>
      </c>
      <c r="P389" s="14" t="str">
        <f ca="1">IF(AND($AD389,$S389=1),IF(wew!$B$3,MIN(INDIRECT($N389)),"&lt;włącz podświetlanie wartości&gt;"),"—")</f>
        <v>—</v>
      </c>
      <c r="Q389" s="14" t="str">
        <f ca="1">IF(AND($AD389,$S389=1),IF(wew!$B$3,MAX(INDIRECT($N389)),"&lt;włącz podświetlanie wartości&gt;"),"—")</f>
        <v>—</v>
      </c>
      <c r="R389" s="14" t="str">
        <f ca="1">IF(AD389,ster!$C$14- (COUNTIF( INDIRECT(N389),"" )+ COUNT(INDIRECT(N389)) +COUNTIF( INDIRECT(N389),"NA" )),"")</f>
        <v/>
      </c>
      <c r="S389" s="12" t="str">
        <f ca="1">IF(AD389,IF(COUNTA(INDIRECT(N389))=0,0, 1-(ster!$C$14- COUNT(INDIRECT(N389)) -COUNTIF( INDIRECT(N389),"" )) /COUNTA(INDIRECT(N389))),"")</f>
        <v/>
      </c>
      <c r="T389" s="17" t="str">
        <f t="array" aca="1" ref="T389" ca="1">IF(L389&lt;&gt;"",SUM(IF(INDIRECT(L389)&lt;&gt;INT(INDIRECT(L389)),1,0)),"")</f>
        <v/>
      </c>
      <c r="U389" s="17" t="str">
        <f t="array" aca="1" ref="U389" ca="1">IF(S389=1,SUM(IF(ISNUMBER(INDIRECT(N389)),IF(INDIRECT(N389)&lt;&gt;INT(INDIRECT(N389)),1,0),0)),"")</f>
        <v/>
      </c>
      <c r="V389" s="17">
        <f t="shared" ca="1" si="96"/>
        <v>0</v>
      </c>
      <c r="W389" s="17">
        <f t="shared" ca="1" si="97"/>
        <v>0</v>
      </c>
      <c r="X389" s="24" t="str">
        <f t="array" aca="1" ref="X389" ca="1">IF(AD389,IF(AG389&lt;&gt;"",AG389,IF(J389,MIN(INDIRECT( K389)),"")),"")</f>
        <v/>
      </c>
      <c r="Y389" s="17" t="str">
        <f t="array" aca="1" ref="Y389" ca="1">IF(AD389,IF(AH389&lt;&gt;"",AH389,IF(J389,MAX(INDIRECT( K389)),"")),"")</f>
        <v/>
      </c>
      <c r="Z389" s="17" t="b">
        <f t="shared" ca="1" si="98"/>
        <v>0</v>
      </c>
      <c r="AC389" s="17" t="str">
        <f t="shared" ca="1" si="99"/>
        <v/>
      </c>
      <c r="AD389" s="14" t="b">
        <f t="shared" ca="1" si="100"/>
        <v>0</v>
      </c>
      <c r="AE389" s="15" t="b">
        <f t="shared" ca="1" si="101"/>
        <v>0</v>
      </c>
      <c r="AF389" s="16"/>
      <c r="AG389" s="16"/>
      <c r="AH389" s="16"/>
      <c r="AI389" s="16"/>
      <c r="AJ389" s="16"/>
      <c r="AK389" s="16"/>
      <c r="AL389" s="16"/>
      <c r="AM389" s="16"/>
    </row>
    <row r="390" spans="2:39">
      <c r="B390" s="14">
        <f t="shared" si="90"/>
        <v>388</v>
      </c>
      <c r="C390" s="14" t="str">
        <f t="shared" ca="1" si="91"/>
        <v/>
      </c>
      <c r="D390" s="14" t="str">
        <f t="shared" ca="1" si="92"/>
        <v/>
      </c>
      <c r="E390" s="14" t="str">
        <f t="shared" ca="1" si="89"/>
        <v/>
      </c>
      <c r="F390" s="14">
        <f t="shared" ca="1" si="88"/>
        <v>0</v>
      </c>
      <c r="G390" s="14" t="str">
        <f t="shared" ca="1" si="93"/>
        <v/>
      </c>
      <c r="H390" s="14">
        <f ca="1">IF(G390&lt;&gt;"",IFERROR( IsVariableNameLegal(G390),0),0)+IF(COUNTIF(INDIRECT(wew!$C$13),G390)&gt;1,10,0)</f>
        <v>0</v>
      </c>
      <c r="I390" s="14">
        <f ca="1">IF(E390&lt;&gt;"",IF(LEN(E390)&gt;150,1,0)+IF(COUNTIF(INDIRECT(wew!$C$15),E390)&gt;1,10,0),0)</f>
        <v>0</v>
      </c>
      <c r="J390" s="14" t="b">
        <f t="shared" ca="1" si="94"/>
        <v>0</v>
      </c>
      <c r="K390" s="14" t="str">
        <f ca="1">ADDRESS(3,(B390+1)*2-1,4,,"[" &amp; wew!$G$7 &amp; "]" &amp; _sheetname_labels) &amp; ":" &amp; ADDRESS(2+ster!$B$20,(B390+1)*2-1,4)</f>
        <v>'[dane surowe2c.xlsm]labels'!ACW3:ACW36</v>
      </c>
      <c r="L390" s="14" t="str">
        <f ca="1">IF(F390&gt;0,ADDRESS(3,(B390+1)*2-1,4,,"[" &amp; wew!$G$7 &amp; "]" &amp; _sheetname_labels) &amp; ":" &amp; ADDRESS(2+F390,(B390+1)*2-1,4),"")</f>
        <v/>
      </c>
      <c r="M390" s="14" t="str">
        <f ca="1">IF(F390&gt;0,ADDRESS(3,(B390+1)*2,4,,"["&amp;wew!$G$7&amp;"]"&amp;_sheetname_labels)&amp;":"&amp;ADDRESS(2+F390,(B390+1)*2,4),"")</f>
        <v/>
      </c>
      <c r="N390" s="14" t="str">
        <f ca="1">ADDRESS(3,B390+1,4,,"[" &amp; wew!$G$7 &amp; "]" &amp;_sheetname_dataframe) &amp; ":" &amp; ADDRESS(2+ster!$C$14,B390+1,4)</f>
        <v>'[dane surowe2c.xlsm]data_frame'!NY3:NY35</v>
      </c>
      <c r="O390" s="14" t="str">
        <f t="shared" ca="1" si="95"/>
        <v/>
      </c>
      <c r="P390" s="14" t="str">
        <f ca="1">IF(AND($AD390,$S390=1),IF(wew!$B$3,MIN(INDIRECT($N390)),"&lt;włącz podświetlanie wartości&gt;"),"—")</f>
        <v>—</v>
      </c>
      <c r="Q390" s="14" t="str">
        <f ca="1">IF(AND($AD390,$S390=1),IF(wew!$B$3,MAX(INDIRECT($N390)),"&lt;włącz podświetlanie wartości&gt;"),"—")</f>
        <v>—</v>
      </c>
      <c r="R390" s="14" t="str">
        <f ca="1">IF(AD390,ster!$C$14- (COUNTIF( INDIRECT(N390),"" )+ COUNT(INDIRECT(N390)) +COUNTIF( INDIRECT(N390),"NA" )),"")</f>
        <v/>
      </c>
      <c r="S390" s="12" t="str">
        <f ca="1">IF(AD390,IF(COUNTA(INDIRECT(N390))=0,0, 1-(ster!$C$14- COUNT(INDIRECT(N390)) -COUNTIF( INDIRECT(N390),"" )) /COUNTA(INDIRECT(N390))),"")</f>
        <v/>
      </c>
      <c r="T390" s="17" t="str">
        <f t="array" aca="1" ref="T390" ca="1">IF(L390&lt;&gt;"",SUM(IF(INDIRECT(L390)&lt;&gt;INT(INDIRECT(L390)),1,0)),"")</f>
        <v/>
      </c>
      <c r="U390" s="17" t="str">
        <f t="array" aca="1" ref="U390" ca="1">IF(S390=1,SUM(IF(ISNUMBER(INDIRECT(N390)),IF(INDIRECT(N390)&lt;&gt;INT(INDIRECT(N390)),1,0),0)),"")</f>
        <v/>
      </c>
      <c r="V390" s="17">
        <f t="shared" ca="1" si="96"/>
        <v>0</v>
      </c>
      <c r="W390" s="17">
        <f t="shared" ca="1" si="97"/>
        <v>0</v>
      </c>
      <c r="X390" s="24" t="str">
        <f t="array" aca="1" ref="X390" ca="1">IF(AD390,IF(AG390&lt;&gt;"",AG390,IF(J390,MIN(INDIRECT( K390)),"")),"")</f>
        <v/>
      </c>
      <c r="Y390" s="17" t="str">
        <f t="array" aca="1" ref="Y390" ca="1">IF(AD390,IF(AH390&lt;&gt;"",AH390,IF(J390,MAX(INDIRECT( K390)),"")),"")</f>
        <v/>
      </c>
      <c r="Z390" s="17" t="b">
        <f t="shared" ca="1" si="98"/>
        <v>0</v>
      </c>
      <c r="AC390" s="17" t="str">
        <f t="shared" ca="1" si="99"/>
        <v/>
      </c>
      <c r="AD390" s="14" t="b">
        <f t="shared" ca="1" si="100"/>
        <v>0</v>
      </c>
      <c r="AE390" s="15" t="b">
        <f t="shared" ca="1" si="101"/>
        <v>0</v>
      </c>
      <c r="AF390" s="16"/>
      <c r="AG390" s="16"/>
      <c r="AH390" s="16"/>
      <c r="AI390" s="16"/>
      <c r="AJ390" s="16"/>
      <c r="AK390" s="16"/>
      <c r="AL390" s="16"/>
      <c r="AM390" s="16"/>
    </row>
    <row r="391" spans="2:39">
      <c r="B391" s="14">
        <f t="shared" si="90"/>
        <v>389</v>
      </c>
      <c r="C391" s="14" t="str">
        <f t="shared" ca="1" si="91"/>
        <v/>
      </c>
      <c r="D391" s="14" t="str">
        <f t="shared" ca="1" si="92"/>
        <v/>
      </c>
      <c r="E391" s="14" t="str">
        <f t="shared" ca="1" si="89"/>
        <v/>
      </c>
      <c r="F391" s="14">
        <f t="shared" ca="1" si="88"/>
        <v>0</v>
      </c>
      <c r="G391" s="14" t="str">
        <f t="shared" ca="1" si="93"/>
        <v/>
      </c>
      <c r="H391" s="14">
        <f ca="1">IF(G391&lt;&gt;"",IFERROR( IsVariableNameLegal(G391),0),0)+IF(COUNTIF(INDIRECT(wew!$C$13),G391)&gt;1,10,0)</f>
        <v>0</v>
      </c>
      <c r="I391" s="14">
        <f ca="1">IF(E391&lt;&gt;"",IF(LEN(E391)&gt;150,1,0)+IF(COUNTIF(INDIRECT(wew!$C$15),E391)&gt;1,10,0),0)</f>
        <v>0</v>
      </c>
      <c r="J391" s="14" t="b">
        <f t="shared" ca="1" si="94"/>
        <v>0</v>
      </c>
      <c r="K391" s="14" t="str">
        <f ca="1">ADDRESS(3,(B391+1)*2-1,4,,"[" &amp; wew!$G$7 &amp; "]" &amp; _sheetname_labels) &amp; ":" &amp; ADDRESS(2+ster!$B$20,(B391+1)*2-1,4)</f>
        <v>'[dane surowe2c.xlsm]labels'!ACY3:ACY36</v>
      </c>
      <c r="L391" s="14" t="str">
        <f ca="1">IF(F391&gt;0,ADDRESS(3,(B391+1)*2-1,4,,"[" &amp; wew!$G$7 &amp; "]" &amp; _sheetname_labels) &amp; ":" &amp; ADDRESS(2+F391,(B391+1)*2-1,4),"")</f>
        <v/>
      </c>
      <c r="M391" s="14" t="str">
        <f ca="1">IF(F391&gt;0,ADDRESS(3,(B391+1)*2,4,,"["&amp;wew!$G$7&amp;"]"&amp;_sheetname_labels)&amp;":"&amp;ADDRESS(2+F391,(B391+1)*2,4),"")</f>
        <v/>
      </c>
      <c r="N391" s="14" t="str">
        <f ca="1">ADDRESS(3,B391+1,4,,"[" &amp; wew!$G$7 &amp; "]" &amp;_sheetname_dataframe) &amp; ":" &amp; ADDRESS(2+ster!$C$14,B391+1,4)</f>
        <v>'[dane surowe2c.xlsm]data_frame'!NZ3:NZ35</v>
      </c>
      <c r="O391" s="14" t="str">
        <f t="shared" ca="1" si="95"/>
        <v/>
      </c>
      <c r="P391" s="14" t="str">
        <f ca="1">IF(AND($AD391,$S391=1),IF(wew!$B$3,MIN(INDIRECT($N391)),"&lt;włącz podświetlanie wartości&gt;"),"—")</f>
        <v>—</v>
      </c>
      <c r="Q391" s="14" t="str">
        <f ca="1">IF(AND($AD391,$S391=1),IF(wew!$B$3,MAX(INDIRECT($N391)),"&lt;włącz podświetlanie wartości&gt;"),"—")</f>
        <v>—</v>
      </c>
      <c r="R391" s="14" t="str">
        <f ca="1">IF(AD391,ster!$C$14- (COUNTIF( INDIRECT(N391),"" )+ COUNT(INDIRECT(N391)) +COUNTIF( INDIRECT(N391),"NA" )),"")</f>
        <v/>
      </c>
      <c r="S391" s="12" t="str">
        <f ca="1">IF(AD391,IF(COUNTA(INDIRECT(N391))=0,0, 1-(ster!$C$14- COUNT(INDIRECT(N391)) -COUNTIF( INDIRECT(N391),"" )) /COUNTA(INDIRECT(N391))),"")</f>
        <v/>
      </c>
      <c r="T391" s="17" t="str">
        <f t="array" aca="1" ref="T391" ca="1">IF(L391&lt;&gt;"",SUM(IF(INDIRECT(L391)&lt;&gt;INT(INDIRECT(L391)),1,0)),"")</f>
        <v/>
      </c>
      <c r="U391" s="17" t="str">
        <f t="array" aca="1" ref="U391" ca="1">IF(S391=1,SUM(IF(ISNUMBER(INDIRECT(N391)),IF(INDIRECT(N391)&lt;&gt;INT(INDIRECT(N391)),1,0),0)),"")</f>
        <v/>
      </c>
      <c r="V391" s="17">
        <f t="shared" ca="1" si="96"/>
        <v>0</v>
      </c>
      <c r="W391" s="17">
        <f t="shared" ca="1" si="97"/>
        <v>0</v>
      </c>
      <c r="X391" s="24" t="str">
        <f t="array" aca="1" ref="X391" ca="1">IF(AD391,IF(AG391&lt;&gt;"",AG391,IF(J391,MIN(INDIRECT( K391)),"")),"")</f>
        <v/>
      </c>
      <c r="Y391" s="17" t="str">
        <f t="array" aca="1" ref="Y391" ca="1">IF(AD391,IF(AH391&lt;&gt;"",AH391,IF(J391,MAX(INDIRECT( K391)),"")),"")</f>
        <v/>
      </c>
      <c r="Z391" s="17" t="b">
        <f t="shared" ca="1" si="98"/>
        <v>0</v>
      </c>
      <c r="AC391" s="17" t="str">
        <f t="shared" ca="1" si="99"/>
        <v/>
      </c>
      <c r="AD391" s="14" t="b">
        <f t="shared" ca="1" si="100"/>
        <v>0</v>
      </c>
      <c r="AE391" s="15" t="b">
        <f t="shared" ca="1" si="101"/>
        <v>0</v>
      </c>
      <c r="AF391" s="16"/>
      <c r="AG391" s="16"/>
      <c r="AH391" s="16"/>
      <c r="AI391" s="16"/>
      <c r="AJ391" s="16"/>
      <c r="AK391" s="16"/>
      <c r="AL391" s="16"/>
      <c r="AM391" s="16"/>
    </row>
    <row r="392" spans="2:39">
      <c r="B392" s="14">
        <f t="shared" si="90"/>
        <v>390</v>
      </c>
      <c r="C392" s="14" t="str">
        <f t="shared" ca="1" si="91"/>
        <v/>
      </c>
      <c r="D392" s="14" t="str">
        <f t="shared" ca="1" si="92"/>
        <v/>
      </c>
      <c r="E392" s="14" t="str">
        <f t="shared" ca="1" si="89"/>
        <v/>
      </c>
      <c r="F392" s="14">
        <f t="shared" ca="1" si="88"/>
        <v>0</v>
      </c>
      <c r="G392" s="14" t="str">
        <f t="shared" ca="1" si="93"/>
        <v/>
      </c>
      <c r="H392" s="14">
        <f ca="1">IF(G392&lt;&gt;"",IFERROR( IsVariableNameLegal(G392),0),0)+IF(COUNTIF(INDIRECT(wew!$C$13),G392)&gt;1,10,0)</f>
        <v>0</v>
      </c>
      <c r="I392" s="14">
        <f ca="1">IF(E392&lt;&gt;"",IF(LEN(E392)&gt;150,1,0)+IF(COUNTIF(INDIRECT(wew!$C$15),E392)&gt;1,10,0),0)</f>
        <v>0</v>
      </c>
      <c r="J392" s="14" t="b">
        <f t="shared" ca="1" si="94"/>
        <v>0</v>
      </c>
      <c r="K392" s="14" t="str">
        <f ca="1">ADDRESS(3,(B392+1)*2-1,4,,"[" &amp; wew!$G$7 &amp; "]" &amp; _sheetname_labels) &amp; ":" &amp; ADDRESS(2+ster!$B$20,(B392+1)*2-1,4)</f>
        <v>'[dane surowe2c.xlsm]labels'!ADA3:ADA36</v>
      </c>
      <c r="L392" s="14" t="str">
        <f ca="1">IF(F392&gt;0,ADDRESS(3,(B392+1)*2-1,4,,"[" &amp; wew!$G$7 &amp; "]" &amp; _sheetname_labels) &amp; ":" &amp; ADDRESS(2+F392,(B392+1)*2-1,4),"")</f>
        <v/>
      </c>
      <c r="M392" s="14" t="str">
        <f ca="1">IF(F392&gt;0,ADDRESS(3,(B392+1)*2,4,,"["&amp;wew!$G$7&amp;"]"&amp;_sheetname_labels)&amp;":"&amp;ADDRESS(2+F392,(B392+1)*2,4),"")</f>
        <v/>
      </c>
      <c r="N392" s="14" t="str">
        <f ca="1">ADDRESS(3,B392+1,4,,"[" &amp; wew!$G$7 &amp; "]" &amp;_sheetname_dataframe) &amp; ":" &amp; ADDRESS(2+ster!$C$14,B392+1,4)</f>
        <v>'[dane surowe2c.xlsm]data_frame'!OA3:OA35</v>
      </c>
      <c r="O392" s="14" t="str">
        <f t="shared" ca="1" si="95"/>
        <v/>
      </c>
      <c r="P392" s="14" t="str">
        <f ca="1">IF(AND($AD392,$S392=1),IF(wew!$B$3,MIN(INDIRECT($N392)),"&lt;włącz podświetlanie wartości&gt;"),"—")</f>
        <v>—</v>
      </c>
      <c r="Q392" s="14" t="str">
        <f ca="1">IF(AND($AD392,$S392=1),IF(wew!$B$3,MAX(INDIRECT($N392)),"&lt;włącz podświetlanie wartości&gt;"),"—")</f>
        <v>—</v>
      </c>
      <c r="R392" s="14" t="str">
        <f ca="1">IF(AD392,ster!$C$14- (COUNTIF( INDIRECT(N392),"" )+ COUNT(INDIRECT(N392)) +COUNTIF( INDIRECT(N392),"NA" )),"")</f>
        <v/>
      </c>
      <c r="S392" s="12" t="str">
        <f ca="1">IF(AD392,IF(COUNTA(INDIRECT(N392))=0,0, 1-(ster!$C$14- COUNT(INDIRECT(N392)) -COUNTIF( INDIRECT(N392),"" )) /COUNTA(INDIRECT(N392))),"")</f>
        <v/>
      </c>
      <c r="T392" s="17" t="str">
        <f t="array" aca="1" ref="T392" ca="1">IF(L392&lt;&gt;"",SUM(IF(INDIRECT(L392)&lt;&gt;INT(INDIRECT(L392)),1,0)),"")</f>
        <v/>
      </c>
      <c r="U392" s="17" t="str">
        <f t="array" aca="1" ref="U392" ca="1">IF(S392=1,SUM(IF(ISNUMBER(INDIRECT(N392)),IF(INDIRECT(N392)&lt;&gt;INT(INDIRECT(N392)),1,0),0)),"")</f>
        <v/>
      </c>
      <c r="V392" s="17">
        <f t="shared" ca="1" si="96"/>
        <v>0</v>
      </c>
      <c r="W392" s="17">
        <f t="shared" ca="1" si="97"/>
        <v>0</v>
      </c>
      <c r="X392" s="24" t="str">
        <f t="array" aca="1" ref="X392" ca="1">IF(AD392,IF(AG392&lt;&gt;"",AG392,IF(J392,MIN(INDIRECT( K392)),"")),"")</f>
        <v/>
      </c>
      <c r="Y392" s="17" t="str">
        <f t="array" aca="1" ref="Y392" ca="1">IF(AD392,IF(AH392&lt;&gt;"",AH392,IF(J392,MAX(INDIRECT( K392)),"")),"")</f>
        <v/>
      </c>
      <c r="Z392" s="17" t="b">
        <f t="shared" ca="1" si="98"/>
        <v>0</v>
      </c>
      <c r="AC392" s="17" t="str">
        <f t="shared" ca="1" si="99"/>
        <v/>
      </c>
      <c r="AD392" s="14" t="b">
        <f t="shared" ca="1" si="100"/>
        <v>0</v>
      </c>
      <c r="AE392" s="15" t="b">
        <f t="shared" ca="1" si="101"/>
        <v>0</v>
      </c>
      <c r="AF392" s="16"/>
      <c r="AG392" s="16"/>
      <c r="AH392" s="16"/>
      <c r="AI392" s="16"/>
      <c r="AJ392" s="16"/>
      <c r="AK392" s="16"/>
      <c r="AL392" s="16"/>
      <c r="AM392" s="16"/>
    </row>
    <row r="393" spans="2:39">
      <c r="B393" s="14">
        <f t="shared" si="90"/>
        <v>391</v>
      </c>
      <c r="C393" s="14" t="str">
        <f t="shared" ca="1" si="91"/>
        <v/>
      </c>
      <c r="D393" s="14" t="str">
        <f t="shared" ca="1" si="92"/>
        <v/>
      </c>
      <c r="E393" s="14" t="str">
        <f t="shared" ca="1" si="89"/>
        <v/>
      </c>
      <c r="F393" s="14">
        <f t="shared" ca="1" si="88"/>
        <v>0</v>
      </c>
      <c r="G393" s="14" t="str">
        <f t="shared" ca="1" si="93"/>
        <v/>
      </c>
      <c r="H393" s="14">
        <f ca="1">IF(G393&lt;&gt;"",IFERROR( IsVariableNameLegal(G393),0),0)+IF(COUNTIF(INDIRECT(wew!$C$13),G393)&gt;1,10,0)</f>
        <v>0</v>
      </c>
      <c r="I393" s="14">
        <f ca="1">IF(E393&lt;&gt;"",IF(LEN(E393)&gt;150,1,0)+IF(COUNTIF(INDIRECT(wew!$C$15),E393)&gt;1,10,0),0)</f>
        <v>0</v>
      </c>
      <c r="J393" s="14" t="b">
        <f t="shared" ca="1" si="94"/>
        <v>0</v>
      </c>
      <c r="K393" s="14" t="str">
        <f ca="1">ADDRESS(3,(B393+1)*2-1,4,,"[" &amp; wew!$G$7 &amp; "]" &amp; _sheetname_labels) &amp; ":" &amp; ADDRESS(2+ster!$B$20,(B393+1)*2-1,4)</f>
        <v>'[dane surowe2c.xlsm]labels'!ADC3:ADC36</v>
      </c>
      <c r="L393" s="14" t="str">
        <f ca="1">IF(F393&gt;0,ADDRESS(3,(B393+1)*2-1,4,,"[" &amp; wew!$G$7 &amp; "]" &amp; _sheetname_labels) &amp; ":" &amp; ADDRESS(2+F393,(B393+1)*2-1,4),"")</f>
        <v/>
      </c>
      <c r="M393" s="14" t="str">
        <f ca="1">IF(F393&gt;0,ADDRESS(3,(B393+1)*2,4,,"["&amp;wew!$G$7&amp;"]"&amp;_sheetname_labels)&amp;":"&amp;ADDRESS(2+F393,(B393+1)*2,4),"")</f>
        <v/>
      </c>
      <c r="N393" s="14" t="str">
        <f ca="1">ADDRESS(3,B393+1,4,,"[" &amp; wew!$G$7 &amp; "]" &amp;_sheetname_dataframe) &amp; ":" &amp; ADDRESS(2+ster!$C$14,B393+1,4)</f>
        <v>'[dane surowe2c.xlsm]data_frame'!OB3:OB35</v>
      </c>
      <c r="O393" s="14" t="str">
        <f t="shared" ca="1" si="95"/>
        <v/>
      </c>
      <c r="P393" s="14" t="str">
        <f ca="1">IF(AND($AD393,$S393=1),IF(wew!$B$3,MIN(INDIRECT($N393)),"&lt;włącz podświetlanie wartości&gt;"),"—")</f>
        <v>—</v>
      </c>
      <c r="Q393" s="14" t="str">
        <f ca="1">IF(AND($AD393,$S393=1),IF(wew!$B$3,MAX(INDIRECT($N393)),"&lt;włącz podświetlanie wartości&gt;"),"—")</f>
        <v>—</v>
      </c>
      <c r="R393" s="14" t="str">
        <f ca="1">IF(AD393,ster!$C$14- (COUNTIF( INDIRECT(N393),"" )+ COUNT(INDIRECT(N393)) +COUNTIF( INDIRECT(N393),"NA" )),"")</f>
        <v/>
      </c>
      <c r="S393" s="12" t="str">
        <f ca="1">IF(AD393,IF(COUNTA(INDIRECT(N393))=0,0, 1-(ster!$C$14- COUNT(INDIRECT(N393)) -COUNTIF( INDIRECT(N393),"" )) /COUNTA(INDIRECT(N393))),"")</f>
        <v/>
      </c>
      <c r="T393" s="17" t="str">
        <f t="array" aca="1" ref="T393" ca="1">IF(L393&lt;&gt;"",SUM(IF(INDIRECT(L393)&lt;&gt;INT(INDIRECT(L393)),1,0)),"")</f>
        <v/>
      </c>
      <c r="U393" s="17" t="str">
        <f t="array" aca="1" ref="U393" ca="1">IF(S393=1,SUM(IF(ISNUMBER(INDIRECT(N393)),IF(INDIRECT(N393)&lt;&gt;INT(INDIRECT(N393)),1,0),0)),"")</f>
        <v/>
      </c>
      <c r="V393" s="17">
        <f t="shared" ca="1" si="96"/>
        <v>0</v>
      </c>
      <c r="W393" s="17">
        <f t="shared" ca="1" si="97"/>
        <v>0</v>
      </c>
      <c r="X393" s="24" t="str">
        <f t="array" aca="1" ref="X393" ca="1">IF(AD393,IF(AG393&lt;&gt;"",AG393,IF(J393,MIN(INDIRECT( K393)),"")),"")</f>
        <v/>
      </c>
      <c r="Y393" s="17" t="str">
        <f t="array" aca="1" ref="Y393" ca="1">IF(AD393,IF(AH393&lt;&gt;"",AH393,IF(J393,MAX(INDIRECT( K393)),"")),"")</f>
        <v/>
      </c>
      <c r="Z393" s="17" t="b">
        <f t="shared" ca="1" si="98"/>
        <v>0</v>
      </c>
      <c r="AC393" s="17" t="str">
        <f t="shared" ca="1" si="99"/>
        <v/>
      </c>
      <c r="AD393" s="14" t="b">
        <f t="shared" ca="1" si="100"/>
        <v>0</v>
      </c>
      <c r="AE393" s="15" t="b">
        <f t="shared" ca="1" si="101"/>
        <v>0</v>
      </c>
      <c r="AF393" s="16"/>
      <c r="AG393" s="16"/>
      <c r="AH393" s="16"/>
      <c r="AI393" s="16"/>
      <c r="AJ393" s="16"/>
      <c r="AK393" s="16"/>
      <c r="AL393" s="16"/>
      <c r="AM393" s="16"/>
    </row>
    <row r="394" spans="2:39">
      <c r="B394" s="14">
        <f t="shared" si="90"/>
        <v>392</v>
      </c>
      <c r="C394" s="14" t="str">
        <f t="shared" ca="1" si="91"/>
        <v/>
      </c>
      <c r="D394" s="14" t="str">
        <f t="shared" ca="1" si="92"/>
        <v/>
      </c>
      <c r="E394" s="14" t="str">
        <f t="shared" ca="1" si="89"/>
        <v/>
      </c>
      <c r="F394" s="14">
        <f t="shared" ca="1" si="88"/>
        <v>0</v>
      </c>
      <c r="G394" s="14" t="str">
        <f t="shared" ca="1" si="93"/>
        <v/>
      </c>
      <c r="H394" s="14">
        <f ca="1">IF(G394&lt;&gt;"",IFERROR( IsVariableNameLegal(G394),0),0)+IF(COUNTIF(INDIRECT(wew!$C$13),G394)&gt;1,10,0)</f>
        <v>0</v>
      </c>
      <c r="I394" s="14">
        <f ca="1">IF(E394&lt;&gt;"",IF(LEN(E394)&gt;150,1,0)+IF(COUNTIF(INDIRECT(wew!$C$15),E394)&gt;1,10,0),0)</f>
        <v>0</v>
      </c>
      <c r="J394" s="14" t="b">
        <f t="shared" ca="1" si="94"/>
        <v>0</v>
      </c>
      <c r="K394" s="14" t="str">
        <f ca="1">ADDRESS(3,(B394+1)*2-1,4,,"[" &amp; wew!$G$7 &amp; "]" &amp; _sheetname_labels) &amp; ":" &amp; ADDRESS(2+ster!$B$20,(B394+1)*2-1,4)</f>
        <v>'[dane surowe2c.xlsm]labels'!ADE3:ADE36</v>
      </c>
      <c r="L394" s="14" t="str">
        <f ca="1">IF(F394&gt;0,ADDRESS(3,(B394+1)*2-1,4,,"[" &amp; wew!$G$7 &amp; "]" &amp; _sheetname_labels) &amp; ":" &amp; ADDRESS(2+F394,(B394+1)*2-1,4),"")</f>
        <v/>
      </c>
      <c r="M394" s="14" t="str">
        <f ca="1">IF(F394&gt;0,ADDRESS(3,(B394+1)*2,4,,"["&amp;wew!$G$7&amp;"]"&amp;_sheetname_labels)&amp;":"&amp;ADDRESS(2+F394,(B394+1)*2,4),"")</f>
        <v/>
      </c>
      <c r="N394" s="14" t="str">
        <f ca="1">ADDRESS(3,B394+1,4,,"[" &amp; wew!$G$7 &amp; "]" &amp;_sheetname_dataframe) &amp; ":" &amp; ADDRESS(2+ster!$C$14,B394+1,4)</f>
        <v>'[dane surowe2c.xlsm]data_frame'!OC3:OC35</v>
      </c>
      <c r="O394" s="14" t="str">
        <f t="shared" ca="1" si="95"/>
        <v/>
      </c>
      <c r="P394" s="14" t="str">
        <f ca="1">IF(AND($AD394,$S394=1),IF(wew!$B$3,MIN(INDIRECT($N394)),"&lt;włącz podświetlanie wartości&gt;"),"—")</f>
        <v>—</v>
      </c>
      <c r="Q394" s="14" t="str">
        <f ca="1">IF(AND($AD394,$S394=1),IF(wew!$B$3,MAX(INDIRECT($N394)),"&lt;włącz podświetlanie wartości&gt;"),"—")</f>
        <v>—</v>
      </c>
      <c r="R394" s="14" t="str">
        <f ca="1">IF(AD394,ster!$C$14- (COUNTIF( INDIRECT(N394),"" )+ COUNT(INDIRECT(N394)) +COUNTIF( INDIRECT(N394),"NA" )),"")</f>
        <v/>
      </c>
      <c r="S394" s="12" t="str">
        <f ca="1">IF(AD394,IF(COUNTA(INDIRECT(N394))=0,0, 1-(ster!$C$14- COUNT(INDIRECT(N394)) -COUNTIF( INDIRECT(N394),"" )) /COUNTA(INDIRECT(N394))),"")</f>
        <v/>
      </c>
      <c r="T394" s="17" t="str">
        <f t="array" aca="1" ref="T394" ca="1">IF(L394&lt;&gt;"",SUM(IF(INDIRECT(L394)&lt;&gt;INT(INDIRECT(L394)),1,0)),"")</f>
        <v/>
      </c>
      <c r="U394" s="17" t="str">
        <f t="array" aca="1" ref="U394" ca="1">IF(S394=1,SUM(IF(ISNUMBER(INDIRECT(N394)),IF(INDIRECT(N394)&lt;&gt;INT(INDIRECT(N394)),1,0),0)),"")</f>
        <v/>
      </c>
      <c r="V394" s="17">
        <f t="shared" ca="1" si="96"/>
        <v>0</v>
      </c>
      <c r="W394" s="17">
        <f t="shared" ca="1" si="97"/>
        <v>0</v>
      </c>
      <c r="X394" s="24" t="str">
        <f t="array" aca="1" ref="X394" ca="1">IF(AD394,IF(AG394&lt;&gt;"",AG394,IF(J394,MIN(INDIRECT( K394)),"")),"")</f>
        <v/>
      </c>
      <c r="Y394" s="17" t="str">
        <f t="array" aca="1" ref="Y394" ca="1">IF(AD394,IF(AH394&lt;&gt;"",AH394,IF(J394,MAX(INDIRECT( K394)),"")),"")</f>
        <v/>
      </c>
      <c r="Z394" s="17" t="b">
        <f t="shared" ca="1" si="98"/>
        <v>0</v>
      </c>
      <c r="AC394" s="17" t="str">
        <f t="shared" ca="1" si="99"/>
        <v/>
      </c>
      <c r="AD394" s="14" t="b">
        <f t="shared" ca="1" si="100"/>
        <v>0</v>
      </c>
      <c r="AE394" s="15" t="b">
        <f t="shared" ca="1" si="101"/>
        <v>0</v>
      </c>
      <c r="AF394" s="16"/>
      <c r="AG394" s="16"/>
      <c r="AH394" s="16"/>
      <c r="AI394" s="16"/>
      <c r="AJ394" s="16"/>
      <c r="AK394" s="16"/>
      <c r="AL394" s="16"/>
      <c r="AM394" s="16"/>
    </row>
    <row r="395" spans="2:39">
      <c r="B395" s="14">
        <f t="shared" si="90"/>
        <v>393</v>
      </c>
      <c r="C395" s="14" t="str">
        <f t="shared" ca="1" si="91"/>
        <v/>
      </c>
      <c r="D395" s="14" t="str">
        <f t="shared" ca="1" si="92"/>
        <v/>
      </c>
      <c r="E395" s="14" t="str">
        <f t="shared" ca="1" si="89"/>
        <v/>
      </c>
      <c r="F395" s="14">
        <f t="shared" ca="1" si="88"/>
        <v>0</v>
      </c>
      <c r="G395" s="14" t="str">
        <f t="shared" ca="1" si="93"/>
        <v/>
      </c>
      <c r="H395" s="14">
        <f ca="1">IF(G395&lt;&gt;"",IFERROR( IsVariableNameLegal(G395),0),0)+IF(COUNTIF(INDIRECT(wew!$C$13),G395)&gt;1,10,0)</f>
        <v>0</v>
      </c>
      <c r="I395" s="14">
        <f ca="1">IF(E395&lt;&gt;"",IF(LEN(E395)&gt;150,1,0)+IF(COUNTIF(INDIRECT(wew!$C$15),E395)&gt;1,10,0),0)</f>
        <v>0</v>
      </c>
      <c r="J395" s="14" t="b">
        <f t="shared" ca="1" si="94"/>
        <v>0</v>
      </c>
      <c r="K395" s="14" t="str">
        <f ca="1">ADDRESS(3,(B395+1)*2-1,4,,"[" &amp; wew!$G$7 &amp; "]" &amp; _sheetname_labels) &amp; ":" &amp; ADDRESS(2+ster!$B$20,(B395+1)*2-1,4)</f>
        <v>'[dane surowe2c.xlsm]labels'!ADG3:ADG36</v>
      </c>
      <c r="L395" s="14" t="str">
        <f ca="1">IF(F395&gt;0,ADDRESS(3,(B395+1)*2-1,4,,"[" &amp; wew!$G$7 &amp; "]" &amp; _sheetname_labels) &amp; ":" &amp; ADDRESS(2+F395,(B395+1)*2-1,4),"")</f>
        <v/>
      </c>
      <c r="M395" s="14" t="str">
        <f ca="1">IF(F395&gt;0,ADDRESS(3,(B395+1)*2,4,,"["&amp;wew!$G$7&amp;"]"&amp;_sheetname_labels)&amp;":"&amp;ADDRESS(2+F395,(B395+1)*2,4),"")</f>
        <v/>
      </c>
      <c r="N395" s="14" t="str">
        <f ca="1">ADDRESS(3,B395+1,4,,"[" &amp; wew!$G$7 &amp; "]" &amp;_sheetname_dataframe) &amp; ":" &amp; ADDRESS(2+ster!$C$14,B395+1,4)</f>
        <v>'[dane surowe2c.xlsm]data_frame'!OD3:OD35</v>
      </c>
      <c r="O395" s="14" t="str">
        <f t="shared" ca="1" si="95"/>
        <v/>
      </c>
      <c r="P395" s="14" t="str">
        <f ca="1">IF(AND($AD395,$S395=1),IF(wew!$B$3,MIN(INDIRECT($N395)),"&lt;włącz podświetlanie wartości&gt;"),"—")</f>
        <v>—</v>
      </c>
      <c r="Q395" s="14" t="str">
        <f ca="1">IF(AND($AD395,$S395=1),IF(wew!$B$3,MAX(INDIRECT($N395)),"&lt;włącz podświetlanie wartości&gt;"),"—")</f>
        <v>—</v>
      </c>
      <c r="R395" s="14" t="str">
        <f ca="1">IF(AD395,ster!$C$14- (COUNTIF( INDIRECT(N395),"" )+ COUNT(INDIRECT(N395)) +COUNTIF( INDIRECT(N395),"NA" )),"")</f>
        <v/>
      </c>
      <c r="S395" s="12" t="str">
        <f ca="1">IF(AD395,IF(COUNTA(INDIRECT(N395))=0,0, 1-(ster!$C$14- COUNT(INDIRECT(N395)) -COUNTIF( INDIRECT(N395),"" )) /COUNTA(INDIRECT(N395))),"")</f>
        <v/>
      </c>
      <c r="T395" s="17" t="str">
        <f t="array" aca="1" ref="T395" ca="1">IF(L395&lt;&gt;"",SUM(IF(INDIRECT(L395)&lt;&gt;INT(INDIRECT(L395)),1,0)),"")</f>
        <v/>
      </c>
      <c r="U395" s="17" t="str">
        <f t="array" aca="1" ref="U395" ca="1">IF(S395=1,SUM(IF(ISNUMBER(INDIRECT(N395)),IF(INDIRECT(N395)&lt;&gt;INT(INDIRECT(N395)),1,0),0)),"")</f>
        <v/>
      </c>
      <c r="V395" s="17">
        <f t="shared" ca="1" si="96"/>
        <v>0</v>
      </c>
      <c r="W395" s="17">
        <f t="shared" ca="1" si="97"/>
        <v>0</v>
      </c>
      <c r="X395" s="24" t="str">
        <f t="array" aca="1" ref="X395" ca="1">IF(AD395,IF(AG395&lt;&gt;"",AG395,IF(J395,MIN(INDIRECT( K395)),"")),"")</f>
        <v/>
      </c>
      <c r="Y395" s="17" t="str">
        <f t="array" aca="1" ref="Y395" ca="1">IF(AD395,IF(AH395&lt;&gt;"",AH395,IF(J395,MAX(INDIRECT( K395)),"")),"")</f>
        <v/>
      </c>
      <c r="Z395" s="17" t="b">
        <f t="shared" ca="1" si="98"/>
        <v>0</v>
      </c>
      <c r="AC395" s="17" t="str">
        <f t="shared" ca="1" si="99"/>
        <v/>
      </c>
      <c r="AD395" s="14" t="b">
        <f t="shared" ca="1" si="100"/>
        <v>0</v>
      </c>
      <c r="AE395" s="15" t="b">
        <f t="shared" ca="1" si="101"/>
        <v>0</v>
      </c>
      <c r="AF395" s="16"/>
      <c r="AG395" s="16"/>
      <c r="AH395" s="16"/>
      <c r="AI395" s="16"/>
      <c r="AJ395" s="16"/>
      <c r="AK395" s="16"/>
      <c r="AL395" s="16"/>
      <c r="AM395" s="16"/>
    </row>
    <row r="396" spans="2:39">
      <c r="B396" s="14">
        <f t="shared" si="90"/>
        <v>394</v>
      </c>
      <c r="C396" s="14" t="str">
        <f t="shared" ca="1" si="91"/>
        <v/>
      </c>
      <c r="D396" s="14" t="str">
        <f t="shared" ca="1" si="92"/>
        <v/>
      </c>
      <c r="E396" s="14" t="str">
        <f t="shared" ca="1" si="89"/>
        <v/>
      </c>
      <c r="F396" s="14">
        <f t="shared" ca="1" si="88"/>
        <v>0</v>
      </c>
      <c r="G396" s="14" t="str">
        <f t="shared" ca="1" si="93"/>
        <v/>
      </c>
      <c r="H396" s="14">
        <f ca="1">IF(G396&lt;&gt;"",IFERROR( IsVariableNameLegal(G396),0),0)+IF(COUNTIF(INDIRECT(wew!$C$13),G396)&gt;1,10,0)</f>
        <v>0</v>
      </c>
      <c r="I396" s="14">
        <f ca="1">IF(E396&lt;&gt;"",IF(LEN(E396)&gt;150,1,0)+IF(COUNTIF(INDIRECT(wew!$C$15),E396)&gt;1,10,0),0)</f>
        <v>0</v>
      </c>
      <c r="J396" s="14" t="b">
        <f t="shared" ca="1" si="94"/>
        <v>0</v>
      </c>
      <c r="K396" s="14" t="str">
        <f ca="1">ADDRESS(3,(B396+1)*2-1,4,,"[" &amp; wew!$G$7 &amp; "]" &amp; _sheetname_labels) &amp; ":" &amp; ADDRESS(2+ster!$B$20,(B396+1)*2-1,4)</f>
        <v>'[dane surowe2c.xlsm]labels'!ADI3:ADI36</v>
      </c>
      <c r="L396" s="14" t="str">
        <f ca="1">IF(F396&gt;0,ADDRESS(3,(B396+1)*2-1,4,,"[" &amp; wew!$G$7 &amp; "]" &amp; _sheetname_labels) &amp; ":" &amp; ADDRESS(2+F396,(B396+1)*2-1,4),"")</f>
        <v/>
      </c>
      <c r="M396" s="14" t="str">
        <f ca="1">IF(F396&gt;0,ADDRESS(3,(B396+1)*2,4,,"["&amp;wew!$G$7&amp;"]"&amp;_sheetname_labels)&amp;":"&amp;ADDRESS(2+F396,(B396+1)*2,4),"")</f>
        <v/>
      </c>
      <c r="N396" s="14" t="str">
        <f ca="1">ADDRESS(3,B396+1,4,,"[" &amp; wew!$G$7 &amp; "]" &amp;_sheetname_dataframe) &amp; ":" &amp; ADDRESS(2+ster!$C$14,B396+1,4)</f>
        <v>'[dane surowe2c.xlsm]data_frame'!OE3:OE35</v>
      </c>
      <c r="O396" s="14" t="str">
        <f t="shared" ca="1" si="95"/>
        <v/>
      </c>
      <c r="P396" s="14" t="str">
        <f ca="1">IF(AND($AD396,$S396=1),IF(wew!$B$3,MIN(INDIRECT($N396)),"&lt;włącz podświetlanie wartości&gt;"),"—")</f>
        <v>—</v>
      </c>
      <c r="Q396" s="14" t="str">
        <f ca="1">IF(AND($AD396,$S396=1),IF(wew!$B$3,MAX(INDIRECT($N396)),"&lt;włącz podświetlanie wartości&gt;"),"—")</f>
        <v>—</v>
      </c>
      <c r="R396" s="14" t="str">
        <f ca="1">IF(AD396,ster!$C$14- (COUNTIF( INDIRECT(N396),"" )+ COUNT(INDIRECT(N396)) +COUNTIF( INDIRECT(N396),"NA" )),"")</f>
        <v/>
      </c>
      <c r="S396" s="12" t="str">
        <f ca="1">IF(AD396,IF(COUNTA(INDIRECT(N396))=0,0, 1-(ster!$C$14- COUNT(INDIRECT(N396)) -COUNTIF( INDIRECT(N396),"" )) /COUNTA(INDIRECT(N396))),"")</f>
        <v/>
      </c>
      <c r="T396" s="17" t="str">
        <f t="array" aca="1" ref="T396" ca="1">IF(L396&lt;&gt;"",SUM(IF(INDIRECT(L396)&lt;&gt;INT(INDIRECT(L396)),1,0)),"")</f>
        <v/>
      </c>
      <c r="U396" s="17" t="str">
        <f t="array" aca="1" ref="U396" ca="1">IF(S396=1,SUM(IF(ISNUMBER(INDIRECT(N396)),IF(INDIRECT(N396)&lt;&gt;INT(INDIRECT(N396)),1,0),0)),"")</f>
        <v/>
      </c>
      <c r="V396" s="17">
        <f t="shared" ca="1" si="96"/>
        <v>0</v>
      </c>
      <c r="W396" s="17">
        <f t="shared" ca="1" si="97"/>
        <v>0</v>
      </c>
      <c r="X396" s="24" t="str">
        <f t="array" aca="1" ref="X396" ca="1">IF(AD396,IF(AG396&lt;&gt;"",AG396,IF(J396,MIN(INDIRECT( K396)),"")),"")</f>
        <v/>
      </c>
      <c r="Y396" s="17" t="str">
        <f t="array" aca="1" ref="Y396" ca="1">IF(AD396,IF(AH396&lt;&gt;"",AH396,IF(J396,MAX(INDIRECT( K396)),"")),"")</f>
        <v/>
      </c>
      <c r="Z396" s="17" t="b">
        <f t="shared" ca="1" si="98"/>
        <v>0</v>
      </c>
      <c r="AC396" s="17" t="str">
        <f t="shared" ca="1" si="99"/>
        <v/>
      </c>
      <c r="AD396" s="14" t="b">
        <f t="shared" ca="1" si="100"/>
        <v>0</v>
      </c>
      <c r="AE396" s="15" t="b">
        <f t="shared" ca="1" si="101"/>
        <v>0</v>
      </c>
      <c r="AF396" s="16"/>
      <c r="AG396" s="16"/>
      <c r="AH396" s="16"/>
      <c r="AI396" s="16"/>
      <c r="AJ396" s="16"/>
      <c r="AK396" s="16"/>
      <c r="AL396" s="16"/>
      <c r="AM396" s="16"/>
    </row>
    <row r="397" spans="2:39">
      <c r="B397" s="14">
        <f t="shared" si="90"/>
        <v>395</v>
      </c>
      <c r="C397" s="14" t="str">
        <f t="shared" ca="1" si="91"/>
        <v/>
      </c>
      <c r="D397" s="14" t="str">
        <f t="shared" ca="1" si="92"/>
        <v/>
      </c>
      <c r="E397" s="14" t="str">
        <f t="shared" ca="1" si="89"/>
        <v/>
      </c>
      <c r="F397" s="14">
        <f t="shared" ca="1" si="88"/>
        <v>0</v>
      </c>
      <c r="G397" s="14" t="str">
        <f t="shared" ca="1" si="93"/>
        <v/>
      </c>
      <c r="H397" s="14">
        <f ca="1">IF(G397&lt;&gt;"",IFERROR( IsVariableNameLegal(G397),0),0)+IF(COUNTIF(INDIRECT(wew!$C$13),G397)&gt;1,10,0)</f>
        <v>0</v>
      </c>
      <c r="I397" s="14">
        <f ca="1">IF(E397&lt;&gt;"",IF(LEN(E397)&gt;150,1,0)+IF(COUNTIF(INDIRECT(wew!$C$15),E397)&gt;1,10,0),0)</f>
        <v>0</v>
      </c>
      <c r="J397" s="14" t="b">
        <f t="shared" ca="1" si="94"/>
        <v>0</v>
      </c>
      <c r="K397" s="14" t="str">
        <f ca="1">ADDRESS(3,(B397+1)*2-1,4,,"[" &amp; wew!$G$7 &amp; "]" &amp; _sheetname_labels) &amp; ":" &amp; ADDRESS(2+ster!$B$20,(B397+1)*2-1,4)</f>
        <v>'[dane surowe2c.xlsm]labels'!ADK3:ADK36</v>
      </c>
      <c r="L397" s="14" t="str">
        <f ca="1">IF(F397&gt;0,ADDRESS(3,(B397+1)*2-1,4,,"[" &amp; wew!$G$7 &amp; "]" &amp; _sheetname_labels) &amp; ":" &amp; ADDRESS(2+F397,(B397+1)*2-1,4),"")</f>
        <v/>
      </c>
      <c r="M397" s="14" t="str">
        <f ca="1">IF(F397&gt;0,ADDRESS(3,(B397+1)*2,4,,"["&amp;wew!$G$7&amp;"]"&amp;_sheetname_labels)&amp;":"&amp;ADDRESS(2+F397,(B397+1)*2,4),"")</f>
        <v/>
      </c>
      <c r="N397" s="14" t="str">
        <f ca="1">ADDRESS(3,B397+1,4,,"[" &amp; wew!$G$7 &amp; "]" &amp;_sheetname_dataframe) &amp; ":" &amp; ADDRESS(2+ster!$C$14,B397+1,4)</f>
        <v>'[dane surowe2c.xlsm]data_frame'!OF3:OF35</v>
      </c>
      <c r="O397" s="14" t="str">
        <f t="shared" ca="1" si="95"/>
        <v/>
      </c>
      <c r="P397" s="14" t="str">
        <f ca="1">IF(AND($AD397,$S397=1),IF(wew!$B$3,MIN(INDIRECT($N397)),"&lt;włącz podświetlanie wartości&gt;"),"—")</f>
        <v>—</v>
      </c>
      <c r="Q397" s="14" t="str">
        <f ca="1">IF(AND($AD397,$S397=1),IF(wew!$B$3,MAX(INDIRECT($N397)),"&lt;włącz podświetlanie wartości&gt;"),"—")</f>
        <v>—</v>
      </c>
      <c r="R397" s="14" t="str">
        <f ca="1">IF(AD397,ster!$C$14- (COUNTIF( INDIRECT(N397),"" )+ COUNT(INDIRECT(N397)) +COUNTIF( INDIRECT(N397),"NA" )),"")</f>
        <v/>
      </c>
      <c r="S397" s="12" t="str">
        <f ca="1">IF(AD397,IF(COUNTA(INDIRECT(N397))=0,0, 1-(ster!$C$14- COUNT(INDIRECT(N397)) -COUNTIF( INDIRECT(N397),"" )) /COUNTA(INDIRECT(N397))),"")</f>
        <v/>
      </c>
      <c r="T397" s="17" t="str">
        <f t="array" aca="1" ref="T397" ca="1">IF(L397&lt;&gt;"",SUM(IF(INDIRECT(L397)&lt;&gt;INT(INDIRECT(L397)),1,0)),"")</f>
        <v/>
      </c>
      <c r="U397" s="17" t="str">
        <f t="array" aca="1" ref="U397" ca="1">IF(S397=1,SUM(IF(ISNUMBER(INDIRECT(N397)),IF(INDIRECT(N397)&lt;&gt;INT(INDIRECT(N397)),1,0),0)),"")</f>
        <v/>
      </c>
      <c r="V397" s="17">
        <f t="shared" ca="1" si="96"/>
        <v>0</v>
      </c>
      <c r="W397" s="17">
        <f t="shared" ca="1" si="97"/>
        <v>0</v>
      </c>
      <c r="X397" s="24" t="str">
        <f t="array" aca="1" ref="X397" ca="1">IF(AD397,IF(AG397&lt;&gt;"",AG397,IF(J397,MIN(INDIRECT( K397)),"")),"")</f>
        <v/>
      </c>
      <c r="Y397" s="17" t="str">
        <f t="array" aca="1" ref="Y397" ca="1">IF(AD397,IF(AH397&lt;&gt;"",AH397,IF(J397,MAX(INDIRECT( K397)),"")),"")</f>
        <v/>
      </c>
      <c r="Z397" s="17" t="b">
        <f t="shared" ca="1" si="98"/>
        <v>0</v>
      </c>
      <c r="AC397" s="17" t="str">
        <f t="shared" ca="1" si="99"/>
        <v/>
      </c>
      <c r="AD397" s="14" t="b">
        <f t="shared" ca="1" si="100"/>
        <v>0</v>
      </c>
      <c r="AE397" s="15" t="b">
        <f t="shared" ca="1" si="101"/>
        <v>0</v>
      </c>
      <c r="AF397" s="16"/>
      <c r="AG397" s="16"/>
      <c r="AH397" s="16"/>
      <c r="AI397" s="16"/>
      <c r="AJ397" s="16"/>
      <c r="AK397" s="16"/>
      <c r="AL397" s="16"/>
      <c r="AM397" s="16"/>
    </row>
    <row r="398" spans="2:39">
      <c r="B398" s="14">
        <f t="shared" si="90"/>
        <v>396</v>
      </c>
      <c r="C398" s="14" t="str">
        <f t="shared" ca="1" si="91"/>
        <v/>
      </c>
      <c r="D398" s="14" t="str">
        <f t="shared" ca="1" si="92"/>
        <v/>
      </c>
      <c r="E398" s="14" t="str">
        <f t="shared" ca="1" si="89"/>
        <v/>
      </c>
      <c r="F398" s="14">
        <f t="shared" ca="1" si="88"/>
        <v>0</v>
      </c>
      <c r="G398" s="14" t="str">
        <f t="shared" ca="1" si="93"/>
        <v/>
      </c>
      <c r="H398" s="14">
        <f ca="1">IF(G398&lt;&gt;"",IFERROR( IsVariableNameLegal(G398),0),0)+IF(COUNTIF(INDIRECT(wew!$C$13),G398)&gt;1,10,0)</f>
        <v>0</v>
      </c>
      <c r="I398" s="14">
        <f ca="1">IF(E398&lt;&gt;"",IF(LEN(E398)&gt;150,1,0)+IF(COUNTIF(INDIRECT(wew!$C$15),E398)&gt;1,10,0),0)</f>
        <v>0</v>
      </c>
      <c r="J398" s="14" t="b">
        <f t="shared" ca="1" si="94"/>
        <v>0</v>
      </c>
      <c r="K398" s="14" t="str">
        <f ca="1">ADDRESS(3,(B398+1)*2-1,4,,"[" &amp; wew!$G$7 &amp; "]" &amp; _sheetname_labels) &amp; ":" &amp; ADDRESS(2+ster!$B$20,(B398+1)*2-1,4)</f>
        <v>'[dane surowe2c.xlsm]labels'!ADM3:ADM36</v>
      </c>
      <c r="L398" s="14" t="str">
        <f ca="1">IF(F398&gt;0,ADDRESS(3,(B398+1)*2-1,4,,"[" &amp; wew!$G$7 &amp; "]" &amp; _sheetname_labels) &amp; ":" &amp; ADDRESS(2+F398,(B398+1)*2-1,4),"")</f>
        <v/>
      </c>
      <c r="M398" s="14" t="str">
        <f ca="1">IF(F398&gt;0,ADDRESS(3,(B398+1)*2,4,,"["&amp;wew!$G$7&amp;"]"&amp;_sheetname_labels)&amp;":"&amp;ADDRESS(2+F398,(B398+1)*2,4),"")</f>
        <v/>
      </c>
      <c r="N398" s="14" t="str">
        <f ca="1">ADDRESS(3,B398+1,4,,"[" &amp; wew!$G$7 &amp; "]" &amp;_sheetname_dataframe) &amp; ":" &amp; ADDRESS(2+ster!$C$14,B398+1,4)</f>
        <v>'[dane surowe2c.xlsm]data_frame'!OG3:OG35</v>
      </c>
      <c r="O398" s="14" t="str">
        <f t="shared" ca="1" si="95"/>
        <v/>
      </c>
      <c r="P398" s="14" t="str">
        <f ca="1">IF(AND($AD398,$S398=1),IF(wew!$B$3,MIN(INDIRECT($N398)),"&lt;włącz podświetlanie wartości&gt;"),"—")</f>
        <v>—</v>
      </c>
      <c r="Q398" s="14" t="str">
        <f ca="1">IF(AND($AD398,$S398=1),IF(wew!$B$3,MAX(INDIRECT($N398)),"&lt;włącz podświetlanie wartości&gt;"),"—")</f>
        <v>—</v>
      </c>
      <c r="R398" s="14" t="str">
        <f ca="1">IF(AD398,ster!$C$14- (COUNTIF( INDIRECT(N398),"" )+ COUNT(INDIRECT(N398)) +COUNTIF( INDIRECT(N398),"NA" )),"")</f>
        <v/>
      </c>
      <c r="S398" s="12" t="str">
        <f ca="1">IF(AD398,IF(COUNTA(INDIRECT(N398))=0,0, 1-(ster!$C$14- COUNT(INDIRECT(N398)) -COUNTIF( INDIRECT(N398),"" )) /COUNTA(INDIRECT(N398))),"")</f>
        <v/>
      </c>
      <c r="T398" s="17" t="str">
        <f t="array" aca="1" ref="T398" ca="1">IF(L398&lt;&gt;"",SUM(IF(INDIRECT(L398)&lt;&gt;INT(INDIRECT(L398)),1,0)),"")</f>
        <v/>
      </c>
      <c r="U398" s="17" t="str">
        <f t="array" aca="1" ref="U398" ca="1">IF(S398=1,SUM(IF(ISNUMBER(INDIRECT(N398)),IF(INDIRECT(N398)&lt;&gt;INT(INDIRECT(N398)),1,0),0)),"")</f>
        <v/>
      </c>
      <c r="V398" s="17">
        <f t="shared" ca="1" si="96"/>
        <v>0</v>
      </c>
      <c r="W398" s="17">
        <f t="shared" ca="1" si="97"/>
        <v>0</v>
      </c>
      <c r="X398" s="24" t="str">
        <f t="array" aca="1" ref="X398" ca="1">IF(AD398,IF(AG398&lt;&gt;"",AG398,IF(J398,MIN(INDIRECT( K398)),"")),"")</f>
        <v/>
      </c>
      <c r="Y398" s="17" t="str">
        <f t="array" aca="1" ref="Y398" ca="1">IF(AD398,IF(AH398&lt;&gt;"",AH398,IF(J398,MAX(INDIRECT( K398)),"")),"")</f>
        <v/>
      </c>
      <c r="Z398" s="17" t="b">
        <f t="shared" ca="1" si="98"/>
        <v>0</v>
      </c>
      <c r="AC398" s="17" t="str">
        <f t="shared" ca="1" si="99"/>
        <v/>
      </c>
      <c r="AD398" s="14" t="b">
        <f t="shared" ca="1" si="100"/>
        <v>0</v>
      </c>
      <c r="AE398" s="15" t="b">
        <f t="shared" ca="1" si="101"/>
        <v>0</v>
      </c>
      <c r="AF398" s="16"/>
      <c r="AG398" s="16"/>
      <c r="AH398" s="16"/>
      <c r="AI398" s="16"/>
      <c r="AJ398" s="16"/>
      <c r="AK398" s="16"/>
      <c r="AL398" s="16"/>
      <c r="AM398" s="16"/>
    </row>
    <row r="399" spans="2:39">
      <c r="B399" s="14">
        <f t="shared" si="90"/>
        <v>397</v>
      </c>
      <c r="C399" s="14" t="str">
        <f t="shared" ca="1" si="91"/>
        <v/>
      </c>
      <c r="D399" s="14" t="str">
        <f t="shared" ca="1" si="92"/>
        <v/>
      </c>
      <c r="E399" s="14" t="str">
        <f t="shared" ca="1" si="89"/>
        <v/>
      </c>
      <c r="F399" s="14">
        <f t="shared" ca="1" si="88"/>
        <v>0</v>
      </c>
      <c r="G399" s="14" t="str">
        <f t="shared" ca="1" si="93"/>
        <v/>
      </c>
      <c r="H399" s="14">
        <f ca="1">IF(G399&lt;&gt;"",IFERROR( IsVariableNameLegal(G399),0),0)+IF(COUNTIF(INDIRECT(wew!$C$13),G399)&gt;1,10,0)</f>
        <v>0</v>
      </c>
      <c r="I399" s="14">
        <f ca="1">IF(E399&lt;&gt;"",IF(LEN(E399)&gt;150,1,0)+IF(COUNTIF(INDIRECT(wew!$C$15),E399)&gt;1,10,0),0)</f>
        <v>0</v>
      </c>
      <c r="J399" s="14" t="b">
        <f t="shared" ca="1" si="94"/>
        <v>0</v>
      </c>
      <c r="K399" s="14" t="str">
        <f ca="1">ADDRESS(3,(B399+1)*2-1,4,,"[" &amp; wew!$G$7 &amp; "]" &amp; _sheetname_labels) &amp; ":" &amp; ADDRESS(2+ster!$B$20,(B399+1)*2-1,4)</f>
        <v>'[dane surowe2c.xlsm]labels'!ADO3:ADO36</v>
      </c>
      <c r="L399" s="14" t="str">
        <f ca="1">IF(F399&gt;0,ADDRESS(3,(B399+1)*2-1,4,,"[" &amp; wew!$G$7 &amp; "]" &amp; _sheetname_labels) &amp; ":" &amp; ADDRESS(2+F399,(B399+1)*2-1,4),"")</f>
        <v/>
      </c>
      <c r="M399" s="14" t="str">
        <f ca="1">IF(F399&gt;0,ADDRESS(3,(B399+1)*2,4,,"["&amp;wew!$G$7&amp;"]"&amp;_sheetname_labels)&amp;":"&amp;ADDRESS(2+F399,(B399+1)*2,4),"")</f>
        <v/>
      </c>
      <c r="N399" s="14" t="str">
        <f ca="1">ADDRESS(3,B399+1,4,,"[" &amp; wew!$G$7 &amp; "]" &amp;_sheetname_dataframe) &amp; ":" &amp; ADDRESS(2+ster!$C$14,B399+1,4)</f>
        <v>'[dane surowe2c.xlsm]data_frame'!OH3:OH35</v>
      </c>
      <c r="O399" s="14" t="str">
        <f t="shared" ca="1" si="95"/>
        <v/>
      </c>
      <c r="P399" s="14" t="str">
        <f ca="1">IF(AND($AD399,$S399=1),IF(wew!$B$3,MIN(INDIRECT($N399)),"&lt;włącz podświetlanie wartości&gt;"),"—")</f>
        <v>—</v>
      </c>
      <c r="Q399" s="14" t="str">
        <f ca="1">IF(AND($AD399,$S399=1),IF(wew!$B$3,MAX(INDIRECT($N399)),"&lt;włącz podświetlanie wartości&gt;"),"—")</f>
        <v>—</v>
      </c>
      <c r="R399" s="14" t="str">
        <f ca="1">IF(AD399,ster!$C$14- (COUNTIF( INDIRECT(N399),"" )+ COUNT(INDIRECT(N399)) +COUNTIF( INDIRECT(N399),"NA" )),"")</f>
        <v/>
      </c>
      <c r="S399" s="12" t="str">
        <f ca="1">IF(AD399,IF(COUNTA(INDIRECT(N399))=0,0, 1-(ster!$C$14- COUNT(INDIRECT(N399)) -COUNTIF( INDIRECT(N399),"" )) /COUNTA(INDIRECT(N399))),"")</f>
        <v/>
      </c>
      <c r="T399" s="17" t="str">
        <f t="array" aca="1" ref="T399" ca="1">IF(L399&lt;&gt;"",SUM(IF(INDIRECT(L399)&lt;&gt;INT(INDIRECT(L399)),1,0)),"")</f>
        <v/>
      </c>
      <c r="U399" s="17" t="str">
        <f t="array" aca="1" ref="U399" ca="1">IF(S399=1,SUM(IF(ISNUMBER(INDIRECT(N399)),IF(INDIRECT(N399)&lt;&gt;INT(INDIRECT(N399)),1,0),0)),"")</f>
        <v/>
      </c>
      <c r="V399" s="17">
        <f t="shared" ca="1" si="96"/>
        <v>0</v>
      </c>
      <c r="W399" s="17">
        <f t="shared" ca="1" si="97"/>
        <v>0</v>
      </c>
      <c r="X399" s="24" t="str">
        <f t="array" aca="1" ref="X399" ca="1">IF(AD399,IF(AG399&lt;&gt;"",AG399,IF(J399,MIN(INDIRECT( K399)),"")),"")</f>
        <v/>
      </c>
      <c r="Y399" s="17" t="str">
        <f t="array" aca="1" ref="Y399" ca="1">IF(AD399,IF(AH399&lt;&gt;"",AH399,IF(J399,MAX(INDIRECT( K399)),"")),"")</f>
        <v/>
      </c>
      <c r="Z399" s="17" t="b">
        <f t="shared" ca="1" si="98"/>
        <v>0</v>
      </c>
      <c r="AC399" s="17" t="str">
        <f t="shared" ca="1" si="99"/>
        <v/>
      </c>
      <c r="AD399" s="14" t="b">
        <f t="shared" ca="1" si="100"/>
        <v>0</v>
      </c>
      <c r="AE399" s="15" t="b">
        <f t="shared" ca="1" si="101"/>
        <v>0</v>
      </c>
      <c r="AF399" s="16"/>
      <c r="AG399" s="16"/>
      <c r="AH399" s="16"/>
      <c r="AI399" s="16"/>
      <c r="AJ399" s="16"/>
      <c r="AK399" s="16"/>
      <c r="AL399" s="16"/>
      <c r="AM399" s="16"/>
    </row>
    <row r="400" spans="2:39">
      <c r="B400" s="14">
        <f t="shared" si="90"/>
        <v>398</v>
      </c>
      <c r="C400" s="14" t="str">
        <f t="shared" ca="1" si="91"/>
        <v/>
      </c>
      <c r="D400" s="14" t="str">
        <f t="shared" ca="1" si="92"/>
        <v/>
      </c>
      <c r="E400" s="14" t="str">
        <f t="shared" ca="1" si="89"/>
        <v/>
      </c>
      <c r="F400" s="14">
        <f t="shared" ca="1" si="88"/>
        <v>0</v>
      </c>
      <c r="G400" s="14" t="str">
        <f t="shared" ca="1" si="93"/>
        <v/>
      </c>
      <c r="H400" s="14">
        <f ca="1">IF(G400&lt;&gt;"",IFERROR( IsVariableNameLegal(G400),0),0)+IF(COUNTIF(INDIRECT(wew!$C$13),G400)&gt;1,10,0)</f>
        <v>0</v>
      </c>
      <c r="I400" s="14">
        <f ca="1">IF(E400&lt;&gt;"",IF(LEN(E400)&gt;150,1,0)+IF(COUNTIF(INDIRECT(wew!$C$15),E400)&gt;1,10,0),0)</f>
        <v>0</v>
      </c>
      <c r="J400" s="14" t="b">
        <f t="shared" ca="1" si="94"/>
        <v>0</v>
      </c>
      <c r="K400" s="14" t="str">
        <f ca="1">ADDRESS(3,(B400+1)*2-1,4,,"[" &amp; wew!$G$7 &amp; "]" &amp; _sheetname_labels) &amp; ":" &amp; ADDRESS(2+ster!$B$20,(B400+1)*2-1,4)</f>
        <v>'[dane surowe2c.xlsm]labels'!ADQ3:ADQ36</v>
      </c>
      <c r="L400" s="14" t="str">
        <f ca="1">IF(F400&gt;0,ADDRESS(3,(B400+1)*2-1,4,,"[" &amp; wew!$G$7 &amp; "]" &amp; _sheetname_labels) &amp; ":" &amp; ADDRESS(2+F400,(B400+1)*2-1,4),"")</f>
        <v/>
      </c>
      <c r="M400" s="14" t="str">
        <f ca="1">IF(F400&gt;0,ADDRESS(3,(B400+1)*2,4,,"["&amp;wew!$G$7&amp;"]"&amp;_sheetname_labels)&amp;":"&amp;ADDRESS(2+F400,(B400+1)*2,4),"")</f>
        <v/>
      </c>
      <c r="N400" s="14" t="str">
        <f ca="1">ADDRESS(3,B400+1,4,,"[" &amp; wew!$G$7 &amp; "]" &amp;_sheetname_dataframe) &amp; ":" &amp; ADDRESS(2+ster!$C$14,B400+1,4)</f>
        <v>'[dane surowe2c.xlsm]data_frame'!OI3:OI35</v>
      </c>
      <c r="O400" s="14" t="str">
        <f t="shared" ca="1" si="95"/>
        <v/>
      </c>
      <c r="P400" s="14" t="str">
        <f ca="1">IF(AND($AD400,$S400=1),IF(wew!$B$3,MIN(INDIRECT($N400)),"&lt;włącz podświetlanie wartości&gt;"),"—")</f>
        <v>—</v>
      </c>
      <c r="Q400" s="14" t="str">
        <f ca="1">IF(AND($AD400,$S400=1),IF(wew!$B$3,MAX(INDIRECT($N400)),"&lt;włącz podświetlanie wartości&gt;"),"—")</f>
        <v>—</v>
      </c>
      <c r="R400" s="14" t="str">
        <f ca="1">IF(AD400,ster!$C$14- (COUNTIF( INDIRECT(N400),"" )+ COUNT(INDIRECT(N400)) +COUNTIF( INDIRECT(N400),"NA" )),"")</f>
        <v/>
      </c>
      <c r="S400" s="12" t="str">
        <f ca="1">IF(AD400,IF(COUNTA(INDIRECT(N400))=0,0, 1-(ster!$C$14- COUNT(INDIRECT(N400)) -COUNTIF( INDIRECT(N400),"" )) /COUNTA(INDIRECT(N400))),"")</f>
        <v/>
      </c>
      <c r="T400" s="17" t="str">
        <f t="array" aca="1" ref="T400" ca="1">IF(L400&lt;&gt;"",SUM(IF(INDIRECT(L400)&lt;&gt;INT(INDIRECT(L400)),1,0)),"")</f>
        <v/>
      </c>
      <c r="U400" s="17" t="str">
        <f t="array" aca="1" ref="U400" ca="1">IF(S400=1,SUM(IF(ISNUMBER(INDIRECT(N400)),IF(INDIRECT(N400)&lt;&gt;INT(INDIRECT(N400)),1,0),0)),"")</f>
        <v/>
      </c>
      <c r="V400" s="17">
        <f t="shared" ca="1" si="96"/>
        <v>0</v>
      </c>
      <c r="W400" s="17">
        <f t="shared" ca="1" si="97"/>
        <v>0</v>
      </c>
      <c r="X400" s="24" t="str">
        <f t="array" aca="1" ref="X400" ca="1">IF(AD400,IF(AG400&lt;&gt;"",AG400,IF(J400,MIN(INDIRECT( K400)),"")),"")</f>
        <v/>
      </c>
      <c r="Y400" s="17" t="str">
        <f t="array" aca="1" ref="Y400" ca="1">IF(AD400,IF(AH400&lt;&gt;"",AH400,IF(J400,MAX(INDIRECT( K400)),"")),"")</f>
        <v/>
      </c>
      <c r="Z400" s="17" t="b">
        <f t="shared" ca="1" si="98"/>
        <v>0</v>
      </c>
      <c r="AC400" s="17" t="str">
        <f t="shared" ca="1" si="99"/>
        <v/>
      </c>
      <c r="AD400" s="14" t="b">
        <f t="shared" ca="1" si="100"/>
        <v>0</v>
      </c>
      <c r="AE400" s="15" t="b">
        <f t="shared" ca="1" si="101"/>
        <v>0</v>
      </c>
      <c r="AF400" s="16"/>
      <c r="AG400" s="16"/>
      <c r="AH400" s="16"/>
      <c r="AI400" s="16"/>
      <c r="AJ400" s="16"/>
      <c r="AK400" s="16"/>
      <c r="AL400" s="16"/>
      <c r="AM400" s="16"/>
    </row>
    <row r="401" spans="2:39">
      <c r="B401" s="14">
        <f t="shared" si="90"/>
        <v>399</v>
      </c>
      <c r="C401" s="14" t="str">
        <f t="shared" ca="1" si="91"/>
        <v/>
      </c>
      <c r="D401" s="14" t="str">
        <f t="shared" ca="1" si="92"/>
        <v/>
      </c>
      <c r="E401" s="14" t="str">
        <f t="shared" ca="1" si="89"/>
        <v/>
      </c>
      <c r="F401" s="14">
        <f t="shared" ca="1" si="88"/>
        <v>0</v>
      </c>
      <c r="G401" s="14" t="str">
        <f t="shared" ca="1" si="93"/>
        <v/>
      </c>
      <c r="H401" s="14">
        <f ca="1">IF(G401&lt;&gt;"",IFERROR( IsVariableNameLegal(G401),0),0)+IF(COUNTIF(INDIRECT(wew!$C$13),G401)&gt;1,10,0)</f>
        <v>0</v>
      </c>
      <c r="I401" s="14">
        <f ca="1">IF(E401&lt;&gt;"",IF(LEN(E401)&gt;150,1,0)+IF(COUNTIF(INDIRECT(wew!$C$15),E401)&gt;1,10,0),0)</f>
        <v>0</v>
      </c>
      <c r="J401" s="14" t="b">
        <f t="shared" ca="1" si="94"/>
        <v>0</v>
      </c>
      <c r="K401" s="14" t="str">
        <f ca="1">ADDRESS(3,(B401+1)*2-1,4,,"[" &amp; wew!$G$7 &amp; "]" &amp; _sheetname_labels) &amp; ":" &amp; ADDRESS(2+ster!$B$20,(B401+1)*2-1,4)</f>
        <v>'[dane surowe2c.xlsm]labels'!ADS3:ADS36</v>
      </c>
      <c r="L401" s="14" t="str">
        <f ca="1">IF(F401&gt;0,ADDRESS(3,(B401+1)*2-1,4,,"[" &amp; wew!$G$7 &amp; "]" &amp; _sheetname_labels) &amp; ":" &amp; ADDRESS(2+F401,(B401+1)*2-1,4),"")</f>
        <v/>
      </c>
      <c r="M401" s="14" t="str">
        <f ca="1">IF(F401&gt;0,ADDRESS(3,(B401+1)*2,4,,"["&amp;wew!$G$7&amp;"]"&amp;_sheetname_labels)&amp;":"&amp;ADDRESS(2+F401,(B401+1)*2,4),"")</f>
        <v/>
      </c>
      <c r="N401" s="14" t="str">
        <f ca="1">ADDRESS(3,B401+1,4,,"[" &amp; wew!$G$7 &amp; "]" &amp;_sheetname_dataframe) &amp; ":" &amp; ADDRESS(2+ster!$C$14,B401+1,4)</f>
        <v>'[dane surowe2c.xlsm]data_frame'!OJ3:OJ35</v>
      </c>
      <c r="O401" s="14" t="str">
        <f t="shared" ca="1" si="95"/>
        <v/>
      </c>
      <c r="P401" s="14" t="str">
        <f ca="1">IF(AND($AD401,$S401=1),IF(wew!$B$3,MIN(INDIRECT($N401)),"&lt;włącz podświetlanie wartości&gt;"),"—")</f>
        <v>—</v>
      </c>
      <c r="Q401" s="14" t="str">
        <f ca="1">IF(AND($AD401,$S401=1),IF(wew!$B$3,MAX(INDIRECT($N401)),"&lt;włącz podświetlanie wartości&gt;"),"—")</f>
        <v>—</v>
      </c>
      <c r="R401" s="14" t="str">
        <f ca="1">IF(AD401,ster!$C$14- (COUNTIF( INDIRECT(N401),"" )+ COUNT(INDIRECT(N401)) +COUNTIF( INDIRECT(N401),"NA" )),"")</f>
        <v/>
      </c>
      <c r="S401" s="12" t="str">
        <f ca="1">IF(AD401,IF(COUNTA(INDIRECT(N401))=0,0, 1-(ster!$C$14- COUNT(INDIRECT(N401)) -COUNTIF( INDIRECT(N401),"" )) /COUNTA(INDIRECT(N401))),"")</f>
        <v/>
      </c>
      <c r="T401" s="17" t="str">
        <f t="array" aca="1" ref="T401" ca="1">IF(L401&lt;&gt;"",SUM(IF(INDIRECT(L401)&lt;&gt;INT(INDIRECT(L401)),1,0)),"")</f>
        <v/>
      </c>
      <c r="U401" s="17" t="str">
        <f t="array" aca="1" ref="U401" ca="1">IF(S401=1,SUM(IF(ISNUMBER(INDIRECT(N401)),IF(INDIRECT(N401)&lt;&gt;INT(INDIRECT(N401)),1,0),0)),"")</f>
        <v/>
      </c>
      <c r="V401" s="17">
        <f t="shared" ca="1" si="96"/>
        <v>0</v>
      </c>
      <c r="W401" s="17">
        <f t="shared" ca="1" si="97"/>
        <v>0</v>
      </c>
      <c r="X401" s="24" t="str">
        <f t="array" aca="1" ref="X401" ca="1">IF(AD401,IF(AG401&lt;&gt;"",AG401,IF(J401,MIN(INDIRECT( K401)),"")),"")</f>
        <v/>
      </c>
      <c r="Y401" s="17" t="str">
        <f t="array" aca="1" ref="Y401" ca="1">IF(AD401,IF(AH401&lt;&gt;"",AH401,IF(J401,MAX(INDIRECT( K401)),"")),"")</f>
        <v/>
      </c>
      <c r="Z401" s="17" t="b">
        <f t="shared" ca="1" si="98"/>
        <v>0</v>
      </c>
      <c r="AC401" s="17" t="str">
        <f t="shared" ca="1" si="99"/>
        <v/>
      </c>
      <c r="AD401" s="14" t="b">
        <f t="shared" ca="1" si="100"/>
        <v>0</v>
      </c>
      <c r="AE401" s="15" t="b">
        <f t="shared" ca="1" si="101"/>
        <v>0</v>
      </c>
      <c r="AF401" s="16"/>
      <c r="AG401" s="16"/>
      <c r="AH401" s="16"/>
      <c r="AI401" s="16"/>
      <c r="AJ401" s="16"/>
      <c r="AK401" s="16"/>
      <c r="AL401" s="16"/>
      <c r="AM401" s="16"/>
    </row>
    <row r="402" spans="2:39">
      <c r="B402" s="14">
        <f t="shared" si="90"/>
        <v>400</v>
      </c>
      <c r="C402" s="14" t="str">
        <f t="shared" ca="1" si="91"/>
        <v/>
      </c>
      <c r="D402" s="14" t="str">
        <f t="shared" ca="1" si="92"/>
        <v/>
      </c>
      <c r="E402" s="14" t="str">
        <f t="shared" ca="1" si="89"/>
        <v/>
      </c>
      <c r="F402" s="14">
        <f t="shared" ca="1" si="88"/>
        <v>0</v>
      </c>
      <c r="G402" s="14" t="str">
        <f t="shared" ca="1" si="93"/>
        <v/>
      </c>
      <c r="H402" s="14">
        <f ca="1">IF(G402&lt;&gt;"",IFERROR( IsVariableNameLegal(G402),0),0)+IF(COUNTIF(INDIRECT(wew!$C$13),G402)&gt;1,10,0)</f>
        <v>0</v>
      </c>
      <c r="I402" s="14">
        <f ca="1">IF(E402&lt;&gt;"",IF(LEN(E402)&gt;150,1,0)+IF(COUNTIF(INDIRECT(wew!$C$15),E402)&gt;1,10,0),0)</f>
        <v>0</v>
      </c>
      <c r="J402" s="14" t="b">
        <f t="shared" ca="1" si="94"/>
        <v>0</v>
      </c>
      <c r="K402" s="14" t="str">
        <f ca="1">ADDRESS(3,(B402+1)*2-1,4,,"[" &amp; wew!$G$7 &amp; "]" &amp; _sheetname_labels) &amp; ":" &amp; ADDRESS(2+ster!$B$20,(B402+1)*2-1,4)</f>
        <v>'[dane surowe2c.xlsm]labels'!ADU3:ADU36</v>
      </c>
      <c r="L402" s="14" t="str">
        <f ca="1">IF(F402&gt;0,ADDRESS(3,(B402+1)*2-1,4,,"[" &amp; wew!$G$7 &amp; "]" &amp; _sheetname_labels) &amp; ":" &amp; ADDRESS(2+F402,(B402+1)*2-1,4),"")</f>
        <v/>
      </c>
      <c r="M402" s="14" t="str">
        <f ca="1">IF(F402&gt;0,ADDRESS(3,(B402+1)*2,4,,"["&amp;wew!$G$7&amp;"]"&amp;_sheetname_labels)&amp;":"&amp;ADDRESS(2+F402,(B402+1)*2,4),"")</f>
        <v/>
      </c>
      <c r="N402" s="14" t="str">
        <f ca="1">ADDRESS(3,B402+1,4,,"[" &amp; wew!$G$7 &amp; "]" &amp;_sheetname_dataframe) &amp; ":" &amp; ADDRESS(2+ster!$C$14,B402+1,4)</f>
        <v>'[dane surowe2c.xlsm]data_frame'!OK3:OK35</v>
      </c>
      <c r="O402" s="14" t="str">
        <f t="shared" ca="1" si="95"/>
        <v/>
      </c>
      <c r="P402" s="14" t="str">
        <f ca="1">IF(AND($AD402,$S402=1),IF(wew!$B$3,MIN(INDIRECT($N402)),"&lt;włącz podświetlanie wartości&gt;"),"—")</f>
        <v>—</v>
      </c>
      <c r="Q402" s="14" t="str">
        <f ca="1">IF(AND($AD402,$S402=1),IF(wew!$B$3,MAX(INDIRECT($N402)),"&lt;włącz podświetlanie wartości&gt;"),"—")</f>
        <v>—</v>
      </c>
      <c r="R402" s="14" t="str">
        <f ca="1">IF(AD402,ster!$C$14- (COUNTIF( INDIRECT(N402),"" )+ COUNT(INDIRECT(N402)) +COUNTIF( INDIRECT(N402),"NA" )),"")</f>
        <v/>
      </c>
      <c r="S402" s="12" t="str">
        <f ca="1">IF(AD402,IF(COUNTA(INDIRECT(N402))=0,0, 1-(ster!$C$14- COUNT(INDIRECT(N402)) -COUNTIF( INDIRECT(N402),"" )) /COUNTA(INDIRECT(N402))),"")</f>
        <v/>
      </c>
      <c r="T402" s="17" t="str">
        <f t="array" aca="1" ref="T402" ca="1">IF(L402&lt;&gt;"",SUM(IF(INDIRECT(L402)&lt;&gt;INT(INDIRECT(L402)),1,0)),"")</f>
        <v/>
      </c>
      <c r="U402" s="17" t="str">
        <f t="array" aca="1" ref="U402" ca="1">IF(S402=1,SUM(IF(ISNUMBER(INDIRECT(N402)),IF(INDIRECT(N402)&lt;&gt;INT(INDIRECT(N402)),1,0),0)),"")</f>
        <v/>
      </c>
      <c r="V402" s="17">
        <f t="shared" ca="1" si="96"/>
        <v>0</v>
      </c>
      <c r="W402" s="17">
        <f t="shared" ca="1" si="97"/>
        <v>0</v>
      </c>
      <c r="X402" s="24" t="str">
        <f t="array" aca="1" ref="X402" ca="1">IF(AD402,IF(AG402&lt;&gt;"",AG402,IF(J402,MIN(INDIRECT( K402)),"")),"")</f>
        <v/>
      </c>
      <c r="Y402" s="17" t="str">
        <f t="array" aca="1" ref="Y402" ca="1">IF(AD402,IF(AH402&lt;&gt;"",AH402,IF(J402,MAX(INDIRECT( K402)),"")),"")</f>
        <v/>
      </c>
      <c r="Z402" s="17" t="b">
        <f t="shared" ca="1" si="98"/>
        <v>0</v>
      </c>
      <c r="AC402" s="17" t="str">
        <f t="shared" ca="1" si="99"/>
        <v/>
      </c>
      <c r="AD402" s="14" t="b">
        <f t="shared" ca="1" si="100"/>
        <v>0</v>
      </c>
      <c r="AE402" s="15" t="b">
        <f t="shared" ca="1" si="101"/>
        <v>0</v>
      </c>
      <c r="AF402" s="16"/>
      <c r="AG402" s="16"/>
      <c r="AH402" s="16"/>
      <c r="AI402" s="16"/>
      <c r="AJ402" s="16"/>
      <c r="AK402" s="16"/>
      <c r="AL402" s="16"/>
      <c r="AM402" s="16"/>
    </row>
    <row r="403" spans="2:39">
      <c r="B403" s="14">
        <f t="shared" si="90"/>
        <v>401</v>
      </c>
      <c r="C403" s="14" t="str">
        <f t="shared" ca="1" si="91"/>
        <v/>
      </c>
      <c r="D403" s="14" t="str">
        <f t="shared" ca="1" si="92"/>
        <v/>
      </c>
      <c r="E403" s="14" t="str">
        <f t="shared" ca="1" si="89"/>
        <v/>
      </c>
      <c r="F403" s="14">
        <f t="shared" ca="1" si="88"/>
        <v>0</v>
      </c>
      <c r="G403" s="14" t="str">
        <f t="shared" ca="1" si="93"/>
        <v/>
      </c>
      <c r="H403" s="14">
        <f ca="1">IF(G403&lt;&gt;"",IFERROR( IsVariableNameLegal(G403),0),0)+IF(COUNTIF(INDIRECT(wew!$C$13),G403)&gt;1,10,0)</f>
        <v>0</v>
      </c>
      <c r="I403" s="14">
        <f ca="1">IF(E403&lt;&gt;"",IF(LEN(E403)&gt;150,1,0)+IF(COUNTIF(INDIRECT(wew!$C$15),E403)&gt;1,10,0),0)</f>
        <v>0</v>
      </c>
      <c r="J403" s="14" t="b">
        <f t="shared" ca="1" si="94"/>
        <v>0</v>
      </c>
      <c r="K403" s="14" t="str">
        <f ca="1">ADDRESS(3,(B403+1)*2-1,4,,"[" &amp; wew!$G$7 &amp; "]" &amp; _sheetname_labels) &amp; ":" &amp; ADDRESS(2+ster!$B$20,(B403+1)*2-1,4)</f>
        <v>'[dane surowe2c.xlsm]labels'!ADW3:ADW36</v>
      </c>
      <c r="L403" s="14" t="str">
        <f ca="1">IF(F403&gt;0,ADDRESS(3,(B403+1)*2-1,4,,"[" &amp; wew!$G$7 &amp; "]" &amp; _sheetname_labels) &amp; ":" &amp; ADDRESS(2+F403,(B403+1)*2-1,4),"")</f>
        <v/>
      </c>
      <c r="M403" s="14" t="str">
        <f ca="1">IF(F403&gt;0,ADDRESS(3,(B403+1)*2,4,,"["&amp;wew!$G$7&amp;"]"&amp;_sheetname_labels)&amp;":"&amp;ADDRESS(2+F403,(B403+1)*2,4),"")</f>
        <v/>
      </c>
      <c r="N403" s="14" t="str">
        <f ca="1">ADDRESS(3,B403+1,4,,"[" &amp; wew!$G$7 &amp; "]" &amp;_sheetname_dataframe) &amp; ":" &amp; ADDRESS(2+ster!$C$14,B403+1,4)</f>
        <v>'[dane surowe2c.xlsm]data_frame'!OL3:OL35</v>
      </c>
      <c r="O403" s="14" t="str">
        <f t="shared" ca="1" si="95"/>
        <v/>
      </c>
      <c r="P403" s="14" t="str">
        <f ca="1">IF(AND($AD403,$S403=1),IF(wew!$B$3,MIN(INDIRECT($N403)),"&lt;włącz podświetlanie wartości&gt;"),"—")</f>
        <v>—</v>
      </c>
      <c r="Q403" s="14" t="str">
        <f ca="1">IF(AND($AD403,$S403=1),IF(wew!$B$3,MAX(INDIRECT($N403)),"&lt;włącz podświetlanie wartości&gt;"),"—")</f>
        <v>—</v>
      </c>
      <c r="R403" s="14" t="str">
        <f ca="1">IF(AD403,ster!$C$14- (COUNTIF( INDIRECT(N403),"" )+ COUNT(INDIRECT(N403)) +COUNTIF( INDIRECT(N403),"NA" )),"")</f>
        <v/>
      </c>
      <c r="S403" s="12" t="str">
        <f ca="1">IF(AD403,IF(COUNTA(INDIRECT(N403))=0,0, 1-(ster!$C$14- COUNT(INDIRECT(N403)) -COUNTIF( INDIRECT(N403),"" )) /COUNTA(INDIRECT(N403))),"")</f>
        <v/>
      </c>
      <c r="T403" s="17" t="str">
        <f t="array" aca="1" ref="T403" ca="1">IF(L403&lt;&gt;"",SUM(IF(INDIRECT(L403)&lt;&gt;INT(INDIRECT(L403)),1,0)),"")</f>
        <v/>
      </c>
      <c r="U403" s="17" t="str">
        <f t="array" aca="1" ref="U403" ca="1">IF(S403=1,SUM(IF(ISNUMBER(INDIRECT(N403)),IF(INDIRECT(N403)&lt;&gt;INT(INDIRECT(N403)),1,0),0)),"")</f>
        <v/>
      </c>
      <c r="V403" s="17">
        <f t="shared" ca="1" si="96"/>
        <v>0</v>
      </c>
      <c r="W403" s="17">
        <f t="shared" ca="1" si="97"/>
        <v>0</v>
      </c>
      <c r="X403" s="24" t="str">
        <f t="array" aca="1" ref="X403" ca="1">IF(AD403,IF(AG403&lt;&gt;"",AG403,IF(J403,MIN(INDIRECT( K403)),"")),"")</f>
        <v/>
      </c>
      <c r="Y403" s="17" t="str">
        <f t="array" aca="1" ref="Y403" ca="1">IF(AD403,IF(AH403&lt;&gt;"",AH403,IF(J403,MAX(INDIRECT( K403)),"")),"")</f>
        <v/>
      </c>
      <c r="Z403" s="17" t="b">
        <f t="shared" ca="1" si="98"/>
        <v>0</v>
      </c>
      <c r="AC403" s="17" t="str">
        <f t="shared" ca="1" si="99"/>
        <v/>
      </c>
      <c r="AD403" s="14" t="b">
        <f t="shared" ca="1" si="100"/>
        <v>0</v>
      </c>
      <c r="AE403" s="15" t="b">
        <f t="shared" ca="1" si="101"/>
        <v>0</v>
      </c>
      <c r="AF403" s="16"/>
      <c r="AG403" s="16"/>
      <c r="AH403" s="16"/>
      <c r="AI403" s="16"/>
      <c r="AJ403" s="16"/>
      <c r="AK403" s="16"/>
      <c r="AL403" s="16"/>
      <c r="AM403" s="16"/>
    </row>
    <row r="404" spans="2:39">
      <c r="B404" s="14">
        <f t="shared" si="90"/>
        <v>402</v>
      </c>
      <c r="C404" s="14" t="str">
        <f t="shared" ca="1" si="91"/>
        <v/>
      </c>
      <c r="D404" s="14" t="str">
        <f t="shared" ca="1" si="92"/>
        <v/>
      </c>
      <c r="E404" s="14" t="str">
        <f t="shared" ca="1" si="89"/>
        <v/>
      </c>
      <c r="F404" s="14">
        <f t="shared" ca="1" si="88"/>
        <v>0</v>
      </c>
      <c r="G404" s="14" t="str">
        <f t="shared" ca="1" si="93"/>
        <v/>
      </c>
      <c r="H404" s="14">
        <f ca="1">IF(G404&lt;&gt;"",IFERROR( IsVariableNameLegal(G404),0),0)+IF(COUNTIF(INDIRECT(wew!$C$13),G404)&gt;1,10,0)</f>
        <v>0</v>
      </c>
      <c r="I404" s="14">
        <f ca="1">IF(E404&lt;&gt;"",IF(LEN(E404)&gt;150,1,0)+IF(COUNTIF(INDIRECT(wew!$C$15),E404)&gt;1,10,0),0)</f>
        <v>0</v>
      </c>
      <c r="J404" s="14" t="b">
        <f t="shared" ca="1" si="94"/>
        <v>0</v>
      </c>
      <c r="K404" s="14" t="str">
        <f ca="1">ADDRESS(3,(B404+1)*2-1,4,,"[" &amp; wew!$G$7 &amp; "]" &amp; _sheetname_labels) &amp; ":" &amp; ADDRESS(2+ster!$B$20,(B404+1)*2-1,4)</f>
        <v>'[dane surowe2c.xlsm]labels'!ADY3:ADY36</v>
      </c>
      <c r="L404" s="14" t="str">
        <f ca="1">IF(F404&gt;0,ADDRESS(3,(B404+1)*2-1,4,,"[" &amp; wew!$G$7 &amp; "]" &amp; _sheetname_labels) &amp; ":" &amp; ADDRESS(2+F404,(B404+1)*2-1,4),"")</f>
        <v/>
      </c>
      <c r="M404" s="14" t="str">
        <f ca="1">IF(F404&gt;0,ADDRESS(3,(B404+1)*2,4,,"["&amp;wew!$G$7&amp;"]"&amp;_sheetname_labels)&amp;":"&amp;ADDRESS(2+F404,(B404+1)*2,4),"")</f>
        <v/>
      </c>
      <c r="N404" s="14" t="str">
        <f ca="1">ADDRESS(3,B404+1,4,,"[" &amp; wew!$G$7 &amp; "]" &amp;_sheetname_dataframe) &amp; ":" &amp; ADDRESS(2+ster!$C$14,B404+1,4)</f>
        <v>'[dane surowe2c.xlsm]data_frame'!OM3:OM35</v>
      </c>
      <c r="O404" s="14" t="str">
        <f t="shared" ca="1" si="95"/>
        <v/>
      </c>
      <c r="P404" s="14" t="str">
        <f ca="1">IF(AND($AD404,$S404=1),IF(wew!$B$3,MIN(INDIRECT($N404)),"&lt;włącz podświetlanie wartości&gt;"),"—")</f>
        <v>—</v>
      </c>
      <c r="Q404" s="14" t="str">
        <f ca="1">IF(AND($AD404,$S404=1),IF(wew!$B$3,MAX(INDIRECT($N404)),"&lt;włącz podświetlanie wartości&gt;"),"—")</f>
        <v>—</v>
      </c>
      <c r="R404" s="14" t="str">
        <f ca="1">IF(AD404,ster!$C$14- (COUNTIF( INDIRECT(N404),"" )+ COUNT(INDIRECT(N404)) +COUNTIF( INDIRECT(N404),"NA" )),"")</f>
        <v/>
      </c>
      <c r="S404" s="12" t="str">
        <f ca="1">IF(AD404,IF(COUNTA(INDIRECT(N404))=0,0, 1-(ster!$C$14- COUNT(INDIRECT(N404)) -COUNTIF( INDIRECT(N404),"" )) /COUNTA(INDIRECT(N404))),"")</f>
        <v/>
      </c>
      <c r="T404" s="17" t="str">
        <f t="array" aca="1" ref="T404" ca="1">IF(L404&lt;&gt;"",SUM(IF(INDIRECT(L404)&lt;&gt;INT(INDIRECT(L404)),1,0)),"")</f>
        <v/>
      </c>
      <c r="U404" s="17" t="str">
        <f t="array" aca="1" ref="U404" ca="1">IF(S404=1,SUM(IF(ISNUMBER(INDIRECT(N404)),IF(INDIRECT(N404)&lt;&gt;INT(INDIRECT(N404)),1,0),0)),"")</f>
        <v/>
      </c>
      <c r="V404" s="17">
        <f t="shared" ca="1" si="96"/>
        <v>0</v>
      </c>
      <c r="W404" s="17">
        <f t="shared" ca="1" si="97"/>
        <v>0</v>
      </c>
      <c r="X404" s="24" t="str">
        <f t="array" aca="1" ref="X404" ca="1">IF(AD404,IF(AG404&lt;&gt;"",AG404,IF(J404,MIN(INDIRECT( K404)),"")),"")</f>
        <v/>
      </c>
      <c r="Y404" s="17" t="str">
        <f t="array" aca="1" ref="Y404" ca="1">IF(AD404,IF(AH404&lt;&gt;"",AH404,IF(J404,MAX(INDIRECT( K404)),"")),"")</f>
        <v/>
      </c>
      <c r="Z404" s="17" t="b">
        <f t="shared" ca="1" si="98"/>
        <v>0</v>
      </c>
      <c r="AC404" s="17" t="str">
        <f t="shared" ca="1" si="99"/>
        <v/>
      </c>
      <c r="AD404" s="14" t="b">
        <f t="shared" ca="1" si="100"/>
        <v>0</v>
      </c>
      <c r="AE404" s="15" t="b">
        <f t="shared" ca="1" si="101"/>
        <v>0</v>
      </c>
      <c r="AF404" s="16"/>
      <c r="AG404" s="16"/>
      <c r="AH404" s="16"/>
      <c r="AI404" s="16"/>
      <c r="AJ404" s="16"/>
      <c r="AK404" s="16"/>
      <c r="AL404" s="16"/>
      <c r="AM404" s="16"/>
    </row>
    <row r="405" spans="2:39">
      <c r="B405" s="14">
        <f t="shared" si="90"/>
        <v>403</v>
      </c>
      <c r="C405" s="14" t="str">
        <f t="shared" ca="1" si="91"/>
        <v/>
      </c>
      <c r="D405" s="14" t="str">
        <f t="shared" ca="1" si="92"/>
        <v/>
      </c>
      <c r="E405" s="14" t="str">
        <f t="shared" ca="1" si="89"/>
        <v/>
      </c>
      <c r="F405" s="14">
        <f t="shared" ca="1" si="88"/>
        <v>0</v>
      </c>
      <c r="G405" s="14" t="str">
        <f t="shared" ca="1" si="93"/>
        <v/>
      </c>
      <c r="H405" s="14">
        <f ca="1">IF(G405&lt;&gt;"",IFERROR( IsVariableNameLegal(G405),0),0)+IF(COUNTIF(INDIRECT(wew!$C$13),G405)&gt;1,10,0)</f>
        <v>0</v>
      </c>
      <c r="I405" s="14">
        <f ca="1">IF(E405&lt;&gt;"",IF(LEN(E405)&gt;150,1,0)+IF(COUNTIF(INDIRECT(wew!$C$15),E405)&gt;1,10,0),0)</f>
        <v>0</v>
      </c>
      <c r="J405" s="14" t="b">
        <f t="shared" ca="1" si="94"/>
        <v>0</v>
      </c>
      <c r="K405" s="14" t="str">
        <f ca="1">ADDRESS(3,(B405+1)*2-1,4,,"[" &amp; wew!$G$7 &amp; "]" &amp; _sheetname_labels) &amp; ":" &amp; ADDRESS(2+ster!$B$20,(B405+1)*2-1,4)</f>
        <v>'[dane surowe2c.xlsm]labels'!AEA3:AEA36</v>
      </c>
      <c r="L405" s="14" t="str">
        <f ca="1">IF(F405&gt;0,ADDRESS(3,(B405+1)*2-1,4,,"[" &amp; wew!$G$7 &amp; "]" &amp; _sheetname_labels) &amp; ":" &amp; ADDRESS(2+F405,(B405+1)*2-1,4),"")</f>
        <v/>
      </c>
      <c r="M405" s="14" t="str">
        <f ca="1">IF(F405&gt;0,ADDRESS(3,(B405+1)*2,4,,"["&amp;wew!$G$7&amp;"]"&amp;_sheetname_labels)&amp;":"&amp;ADDRESS(2+F405,(B405+1)*2,4),"")</f>
        <v/>
      </c>
      <c r="N405" s="14" t="str">
        <f ca="1">ADDRESS(3,B405+1,4,,"[" &amp; wew!$G$7 &amp; "]" &amp;_sheetname_dataframe) &amp; ":" &amp; ADDRESS(2+ster!$C$14,B405+1,4)</f>
        <v>'[dane surowe2c.xlsm]data_frame'!ON3:ON35</v>
      </c>
      <c r="O405" s="14" t="str">
        <f t="shared" ca="1" si="95"/>
        <v/>
      </c>
      <c r="P405" s="14" t="str">
        <f ca="1">IF(AND($AD405,$S405=1),IF(wew!$B$3,MIN(INDIRECT($N405)),"&lt;włącz podświetlanie wartości&gt;"),"—")</f>
        <v>—</v>
      </c>
      <c r="Q405" s="14" t="str">
        <f ca="1">IF(AND($AD405,$S405=1),IF(wew!$B$3,MAX(INDIRECT($N405)),"&lt;włącz podświetlanie wartości&gt;"),"—")</f>
        <v>—</v>
      </c>
      <c r="R405" s="14" t="str">
        <f ca="1">IF(AD405,ster!$C$14- (COUNTIF( INDIRECT(N405),"" )+ COUNT(INDIRECT(N405)) +COUNTIF( INDIRECT(N405),"NA" )),"")</f>
        <v/>
      </c>
      <c r="S405" s="12" t="str">
        <f ca="1">IF(AD405,IF(COUNTA(INDIRECT(N405))=0,0, 1-(ster!$C$14- COUNT(INDIRECT(N405)) -COUNTIF( INDIRECT(N405),"" )) /COUNTA(INDIRECT(N405))),"")</f>
        <v/>
      </c>
      <c r="T405" s="17" t="str">
        <f t="array" aca="1" ref="T405" ca="1">IF(L405&lt;&gt;"",SUM(IF(INDIRECT(L405)&lt;&gt;INT(INDIRECT(L405)),1,0)),"")</f>
        <v/>
      </c>
      <c r="U405" s="17" t="str">
        <f t="array" aca="1" ref="U405" ca="1">IF(S405=1,SUM(IF(ISNUMBER(INDIRECT(N405)),IF(INDIRECT(N405)&lt;&gt;INT(INDIRECT(N405)),1,0),0)),"")</f>
        <v/>
      </c>
      <c r="V405" s="17">
        <f t="shared" ca="1" si="96"/>
        <v>0</v>
      </c>
      <c r="W405" s="17">
        <f t="shared" ca="1" si="97"/>
        <v>0</v>
      </c>
      <c r="X405" s="24" t="str">
        <f t="array" aca="1" ref="X405" ca="1">IF(AD405,IF(AG405&lt;&gt;"",AG405,IF(J405,MIN(INDIRECT( K405)),"")),"")</f>
        <v/>
      </c>
      <c r="Y405" s="17" t="str">
        <f t="array" aca="1" ref="Y405" ca="1">IF(AD405,IF(AH405&lt;&gt;"",AH405,IF(J405,MAX(INDIRECT( K405)),"")),"")</f>
        <v/>
      </c>
      <c r="Z405" s="17" t="b">
        <f t="shared" ca="1" si="98"/>
        <v>0</v>
      </c>
      <c r="AC405" s="17" t="str">
        <f t="shared" ca="1" si="99"/>
        <v/>
      </c>
      <c r="AD405" s="14" t="b">
        <f t="shared" ca="1" si="100"/>
        <v>0</v>
      </c>
      <c r="AE405" s="15" t="b">
        <f t="shared" ca="1" si="101"/>
        <v>0</v>
      </c>
      <c r="AF405" s="16"/>
      <c r="AG405" s="16"/>
      <c r="AH405" s="16"/>
      <c r="AI405" s="16"/>
      <c r="AJ405" s="16"/>
      <c r="AK405" s="16"/>
      <c r="AL405" s="16"/>
      <c r="AM405" s="16"/>
    </row>
    <row r="406" spans="2:39">
      <c r="B406" s="14">
        <f t="shared" si="90"/>
        <v>404</v>
      </c>
      <c r="C406" s="14" t="str">
        <f t="shared" ca="1" si="91"/>
        <v/>
      </c>
      <c r="D406" s="14" t="str">
        <f t="shared" ca="1" si="92"/>
        <v/>
      </c>
      <c r="E406" s="14" t="str">
        <f t="shared" ca="1" si="89"/>
        <v/>
      </c>
      <c r="F406" s="14">
        <f t="shared" ca="1" si="88"/>
        <v>0</v>
      </c>
      <c r="G406" s="14" t="str">
        <f t="shared" ca="1" si="93"/>
        <v/>
      </c>
      <c r="H406" s="14">
        <f ca="1">IF(G406&lt;&gt;"",IFERROR( IsVariableNameLegal(G406),0),0)+IF(COUNTIF(INDIRECT(wew!$C$13),G406)&gt;1,10,0)</f>
        <v>0</v>
      </c>
      <c r="I406" s="14">
        <f ca="1">IF(E406&lt;&gt;"",IF(LEN(E406)&gt;150,1,0)+IF(COUNTIF(INDIRECT(wew!$C$15),E406)&gt;1,10,0),0)</f>
        <v>0</v>
      </c>
      <c r="J406" s="14" t="b">
        <f t="shared" ca="1" si="94"/>
        <v>0</v>
      </c>
      <c r="K406" s="14" t="str">
        <f ca="1">ADDRESS(3,(B406+1)*2-1,4,,"[" &amp; wew!$G$7 &amp; "]" &amp; _sheetname_labels) &amp; ":" &amp; ADDRESS(2+ster!$B$20,(B406+1)*2-1,4)</f>
        <v>'[dane surowe2c.xlsm]labels'!AEC3:AEC36</v>
      </c>
      <c r="L406" s="14" t="str">
        <f ca="1">IF(F406&gt;0,ADDRESS(3,(B406+1)*2-1,4,,"[" &amp; wew!$G$7 &amp; "]" &amp; _sheetname_labels) &amp; ":" &amp; ADDRESS(2+F406,(B406+1)*2-1,4),"")</f>
        <v/>
      </c>
      <c r="M406" s="14" t="str">
        <f ca="1">IF(F406&gt;0,ADDRESS(3,(B406+1)*2,4,,"["&amp;wew!$G$7&amp;"]"&amp;_sheetname_labels)&amp;":"&amp;ADDRESS(2+F406,(B406+1)*2,4),"")</f>
        <v/>
      </c>
      <c r="N406" s="14" t="str">
        <f ca="1">ADDRESS(3,B406+1,4,,"[" &amp; wew!$G$7 &amp; "]" &amp;_sheetname_dataframe) &amp; ":" &amp; ADDRESS(2+ster!$C$14,B406+1,4)</f>
        <v>'[dane surowe2c.xlsm]data_frame'!OO3:OO35</v>
      </c>
      <c r="O406" s="14" t="str">
        <f t="shared" ca="1" si="95"/>
        <v/>
      </c>
      <c r="P406" s="14" t="str">
        <f ca="1">IF(AND($AD406,$S406=1),IF(wew!$B$3,MIN(INDIRECT($N406)),"&lt;włącz podświetlanie wartości&gt;"),"—")</f>
        <v>—</v>
      </c>
      <c r="Q406" s="14" t="str">
        <f ca="1">IF(AND($AD406,$S406=1),IF(wew!$B$3,MAX(INDIRECT($N406)),"&lt;włącz podświetlanie wartości&gt;"),"—")</f>
        <v>—</v>
      </c>
      <c r="R406" s="14" t="str">
        <f ca="1">IF(AD406,ster!$C$14- (COUNTIF( INDIRECT(N406),"" )+ COUNT(INDIRECT(N406)) +COUNTIF( INDIRECT(N406),"NA" )),"")</f>
        <v/>
      </c>
      <c r="S406" s="12" t="str">
        <f ca="1">IF(AD406,IF(COUNTA(INDIRECT(N406))=0,0, 1-(ster!$C$14- COUNT(INDIRECT(N406)) -COUNTIF( INDIRECT(N406),"" )) /COUNTA(INDIRECT(N406))),"")</f>
        <v/>
      </c>
      <c r="T406" s="17" t="str">
        <f t="array" aca="1" ref="T406" ca="1">IF(L406&lt;&gt;"",SUM(IF(INDIRECT(L406)&lt;&gt;INT(INDIRECT(L406)),1,0)),"")</f>
        <v/>
      </c>
      <c r="U406" s="17" t="str">
        <f t="array" aca="1" ref="U406" ca="1">IF(S406=1,SUM(IF(ISNUMBER(INDIRECT(N406)),IF(INDIRECT(N406)&lt;&gt;INT(INDIRECT(N406)),1,0),0)),"")</f>
        <v/>
      </c>
      <c r="V406" s="17">
        <f t="shared" ca="1" si="96"/>
        <v>0</v>
      </c>
      <c r="W406" s="17">
        <f t="shared" ca="1" si="97"/>
        <v>0</v>
      </c>
      <c r="X406" s="24" t="str">
        <f t="array" aca="1" ref="X406" ca="1">IF(AD406,IF(AG406&lt;&gt;"",AG406,IF(J406,MIN(INDIRECT( K406)),"")),"")</f>
        <v/>
      </c>
      <c r="Y406" s="17" t="str">
        <f t="array" aca="1" ref="Y406" ca="1">IF(AD406,IF(AH406&lt;&gt;"",AH406,IF(J406,MAX(INDIRECT( K406)),"")),"")</f>
        <v/>
      </c>
      <c r="Z406" s="17" t="b">
        <f t="shared" ca="1" si="98"/>
        <v>0</v>
      </c>
      <c r="AC406" s="17" t="str">
        <f t="shared" ca="1" si="99"/>
        <v/>
      </c>
      <c r="AD406" s="14" t="b">
        <f t="shared" ca="1" si="100"/>
        <v>0</v>
      </c>
      <c r="AE406" s="15" t="b">
        <f t="shared" ca="1" si="101"/>
        <v>0</v>
      </c>
      <c r="AF406" s="16"/>
      <c r="AG406" s="16"/>
      <c r="AH406" s="16"/>
      <c r="AI406" s="16"/>
      <c r="AJ406" s="16"/>
      <c r="AK406" s="16"/>
      <c r="AL406" s="16"/>
      <c r="AM406" s="16"/>
    </row>
    <row r="407" spans="2:39">
      <c r="B407" s="14">
        <f t="shared" si="90"/>
        <v>405</v>
      </c>
      <c r="C407" s="14" t="str">
        <f t="shared" ca="1" si="91"/>
        <v/>
      </c>
      <c r="D407" s="14" t="str">
        <f t="shared" ca="1" si="92"/>
        <v/>
      </c>
      <c r="E407" s="14" t="str">
        <f t="shared" ca="1" si="89"/>
        <v/>
      </c>
      <c r="F407" s="14">
        <f t="shared" ca="1" si="88"/>
        <v>0</v>
      </c>
      <c r="G407" s="14" t="str">
        <f t="shared" ca="1" si="93"/>
        <v/>
      </c>
      <c r="H407" s="14">
        <f ca="1">IF(G407&lt;&gt;"",IFERROR( IsVariableNameLegal(G407),0),0)+IF(COUNTIF(INDIRECT(wew!$C$13),G407)&gt;1,10,0)</f>
        <v>0</v>
      </c>
      <c r="I407" s="14">
        <f ca="1">IF(E407&lt;&gt;"",IF(LEN(E407)&gt;150,1,0)+IF(COUNTIF(INDIRECT(wew!$C$15),E407)&gt;1,10,0),0)</f>
        <v>0</v>
      </c>
      <c r="J407" s="14" t="b">
        <f t="shared" ca="1" si="94"/>
        <v>0</v>
      </c>
      <c r="K407" s="14" t="str">
        <f ca="1">ADDRESS(3,(B407+1)*2-1,4,,"[" &amp; wew!$G$7 &amp; "]" &amp; _sheetname_labels) &amp; ":" &amp; ADDRESS(2+ster!$B$20,(B407+1)*2-1,4)</f>
        <v>'[dane surowe2c.xlsm]labels'!AEE3:AEE36</v>
      </c>
      <c r="L407" s="14" t="str">
        <f ca="1">IF(F407&gt;0,ADDRESS(3,(B407+1)*2-1,4,,"[" &amp; wew!$G$7 &amp; "]" &amp; _sheetname_labels) &amp; ":" &amp; ADDRESS(2+F407,(B407+1)*2-1,4),"")</f>
        <v/>
      </c>
      <c r="M407" s="14" t="str">
        <f ca="1">IF(F407&gt;0,ADDRESS(3,(B407+1)*2,4,,"["&amp;wew!$G$7&amp;"]"&amp;_sheetname_labels)&amp;":"&amp;ADDRESS(2+F407,(B407+1)*2,4),"")</f>
        <v/>
      </c>
      <c r="N407" s="14" t="str">
        <f ca="1">ADDRESS(3,B407+1,4,,"[" &amp; wew!$G$7 &amp; "]" &amp;_sheetname_dataframe) &amp; ":" &amp; ADDRESS(2+ster!$C$14,B407+1,4)</f>
        <v>'[dane surowe2c.xlsm]data_frame'!OP3:OP35</v>
      </c>
      <c r="O407" s="14" t="str">
        <f t="shared" ca="1" si="95"/>
        <v/>
      </c>
      <c r="P407" s="14" t="str">
        <f ca="1">IF(AND($AD407,$S407=1),IF(wew!$B$3,MIN(INDIRECT($N407)),"&lt;włącz podświetlanie wartości&gt;"),"—")</f>
        <v>—</v>
      </c>
      <c r="Q407" s="14" t="str">
        <f ca="1">IF(AND($AD407,$S407=1),IF(wew!$B$3,MAX(INDIRECT($N407)),"&lt;włącz podświetlanie wartości&gt;"),"—")</f>
        <v>—</v>
      </c>
      <c r="R407" s="14" t="str">
        <f ca="1">IF(AD407,ster!$C$14- (COUNTIF( INDIRECT(N407),"" )+ COUNT(INDIRECT(N407)) +COUNTIF( INDIRECT(N407),"NA" )),"")</f>
        <v/>
      </c>
      <c r="S407" s="12" t="str">
        <f ca="1">IF(AD407,IF(COUNTA(INDIRECT(N407))=0,0, 1-(ster!$C$14- COUNT(INDIRECT(N407)) -COUNTIF( INDIRECT(N407),"" )) /COUNTA(INDIRECT(N407))),"")</f>
        <v/>
      </c>
      <c r="T407" s="17" t="str">
        <f t="array" aca="1" ref="T407" ca="1">IF(L407&lt;&gt;"",SUM(IF(INDIRECT(L407)&lt;&gt;INT(INDIRECT(L407)),1,0)),"")</f>
        <v/>
      </c>
      <c r="U407" s="17" t="str">
        <f t="array" aca="1" ref="U407" ca="1">IF(S407=1,SUM(IF(ISNUMBER(INDIRECT(N407)),IF(INDIRECT(N407)&lt;&gt;INT(INDIRECT(N407)),1,0),0)),"")</f>
        <v/>
      </c>
      <c r="V407" s="17">
        <f t="shared" ca="1" si="96"/>
        <v>0</v>
      </c>
      <c r="W407" s="17">
        <f t="shared" ca="1" si="97"/>
        <v>0</v>
      </c>
      <c r="X407" s="24" t="str">
        <f t="array" aca="1" ref="X407" ca="1">IF(AD407,IF(AG407&lt;&gt;"",AG407,IF(J407,MIN(INDIRECT( K407)),"")),"")</f>
        <v/>
      </c>
      <c r="Y407" s="17" t="str">
        <f t="array" aca="1" ref="Y407" ca="1">IF(AD407,IF(AH407&lt;&gt;"",AH407,IF(J407,MAX(INDIRECT( K407)),"")),"")</f>
        <v/>
      </c>
      <c r="Z407" s="17" t="b">
        <f t="shared" ca="1" si="98"/>
        <v>0</v>
      </c>
      <c r="AC407" s="17" t="str">
        <f t="shared" ca="1" si="99"/>
        <v/>
      </c>
      <c r="AD407" s="14" t="b">
        <f t="shared" ca="1" si="100"/>
        <v>0</v>
      </c>
      <c r="AE407" s="15" t="b">
        <f t="shared" ca="1" si="101"/>
        <v>0</v>
      </c>
      <c r="AF407" s="16"/>
      <c r="AG407" s="16"/>
      <c r="AH407" s="16"/>
      <c r="AI407" s="16"/>
      <c r="AJ407" s="16"/>
      <c r="AK407" s="16"/>
      <c r="AL407" s="16"/>
      <c r="AM407" s="16"/>
    </row>
    <row r="408" spans="2:39">
      <c r="B408" s="14">
        <f t="shared" si="90"/>
        <v>406</v>
      </c>
      <c r="C408" s="14" t="str">
        <f t="shared" ca="1" si="91"/>
        <v/>
      </c>
      <c r="D408" s="14" t="str">
        <f t="shared" ca="1" si="92"/>
        <v/>
      </c>
      <c r="E408" s="14" t="str">
        <f t="shared" ca="1" si="89"/>
        <v/>
      </c>
      <c r="F408" s="14">
        <f t="shared" ca="1" si="88"/>
        <v>0</v>
      </c>
      <c r="G408" s="14" t="str">
        <f t="shared" ca="1" si="93"/>
        <v/>
      </c>
      <c r="H408" s="14">
        <f ca="1">IF(G408&lt;&gt;"",IFERROR( IsVariableNameLegal(G408),0),0)+IF(COUNTIF(INDIRECT(wew!$C$13),G408)&gt;1,10,0)</f>
        <v>0</v>
      </c>
      <c r="I408" s="14">
        <f ca="1">IF(E408&lt;&gt;"",IF(LEN(E408)&gt;150,1,0)+IF(COUNTIF(INDIRECT(wew!$C$15),E408)&gt;1,10,0),0)</f>
        <v>0</v>
      </c>
      <c r="J408" s="14" t="b">
        <f t="shared" ca="1" si="94"/>
        <v>0</v>
      </c>
      <c r="K408" s="14" t="str">
        <f ca="1">ADDRESS(3,(B408+1)*2-1,4,,"[" &amp; wew!$G$7 &amp; "]" &amp; _sheetname_labels) &amp; ":" &amp; ADDRESS(2+ster!$B$20,(B408+1)*2-1,4)</f>
        <v>'[dane surowe2c.xlsm]labels'!AEG3:AEG36</v>
      </c>
      <c r="L408" s="14" t="str">
        <f ca="1">IF(F408&gt;0,ADDRESS(3,(B408+1)*2-1,4,,"[" &amp; wew!$G$7 &amp; "]" &amp; _sheetname_labels) &amp; ":" &amp; ADDRESS(2+F408,(B408+1)*2-1,4),"")</f>
        <v/>
      </c>
      <c r="M408" s="14" t="str">
        <f ca="1">IF(F408&gt;0,ADDRESS(3,(B408+1)*2,4,,"["&amp;wew!$G$7&amp;"]"&amp;_sheetname_labels)&amp;":"&amp;ADDRESS(2+F408,(B408+1)*2,4),"")</f>
        <v/>
      </c>
      <c r="N408" s="14" t="str">
        <f ca="1">ADDRESS(3,B408+1,4,,"[" &amp; wew!$G$7 &amp; "]" &amp;_sheetname_dataframe) &amp; ":" &amp; ADDRESS(2+ster!$C$14,B408+1,4)</f>
        <v>'[dane surowe2c.xlsm]data_frame'!OQ3:OQ35</v>
      </c>
      <c r="O408" s="14" t="str">
        <f t="shared" ca="1" si="95"/>
        <v/>
      </c>
      <c r="P408" s="14" t="str">
        <f ca="1">IF(AND($AD408,$S408=1),IF(wew!$B$3,MIN(INDIRECT($N408)),"&lt;włącz podświetlanie wartości&gt;"),"—")</f>
        <v>—</v>
      </c>
      <c r="Q408" s="14" t="str">
        <f ca="1">IF(AND($AD408,$S408=1),IF(wew!$B$3,MAX(INDIRECT($N408)),"&lt;włącz podświetlanie wartości&gt;"),"—")</f>
        <v>—</v>
      </c>
      <c r="R408" s="14" t="str">
        <f ca="1">IF(AD408,ster!$C$14- (COUNTIF( INDIRECT(N408),"" )+ COUNT(INDIRECT(N408)) +COUNTIF( INDIRECT(N408),"NA" )),"")</f>
        <v/>
      </c>
      <c r="S408" s="12" t="str">
        <f ca="1">IF(AD408,IF(COUNTA(INDIRECT(N408))=0,0, 1-(ster!$C$14- COUNT(INDIRECT(N408)) -COUNTIF( INDIRECT(N408),"" )) /COUNTA(INDIRECT(N408))),"")</f>
        <v/>
      </c>
      <c r="T408" s="17" t="str">
        <f t="array" aca="1" ref="T408" ca="1">IF(L408&lt;&gt;"",SUM(IF(INDIRECT(L408)&lt;&gt;INT(INDIRECT(L408)),1,0)),"")</f>
        <v/>
      </c>
      <c r="U408" s="17" t="str">
        <f t="array" aca="1" ref="U408" ca="1">IF(S408=1,SUM(IF(ISNUMBER(INDIRECT(N408)),IF(INDIRECT(N408)&lt;&gt;INT(INDIRECT(N408)),1,0),0)),"")</f>
        <v/>
      </c>
      <c r="V408" s="17">
        <f t="shared" ca="1" si="96"/>
        <v>0</v>
      </c>
      <c r="W408" s="17">
        <f t="shared" ca="1" si="97"/>
        <v>0</v>
      </c>
      <c r="X408" s="24" t="str">
        <f t="array" aca="1" ref="X408" ca="1">IF(AD408,IF(AG408&lt;&gt;"",AG408,IF(J408,MIN(INDIRECT( K408)),"")),"")</f>
        <v/>
      </c>
      <c r="Y408" s="17" t="str">
        <f t="array" aca="1" ref="Y408" ca="1">IF(AD408,IF(AH408&lt;&gt;"",AH408,IF(J408,MAX(INDIRECT( K408)),"")),"")</f>
        <v/>
      </c>
      <c r="Z408" s="17" t="b">
        <f t="shared" ca="1" si="98"/>
        <v>0</v>
      </c>
      <c r="AC408" s="17" t="str">
        <f t="shared" ca="1" si="99"/>
        <v/>
      </c>
      <c r="AD408" s="14" t="b">
        <f t="shared" ca="1" si="100"/>
        <v>0</v>
      </c>
      <c r="AE408" s="15" t="b">
        <f t="shared" ca="1" si="101"/>
        <v>0</v>
      </c>
      <c r="AF408" s="16"/>
      <c r="AG408" s="16"/>
      <c r="AH408" s="16"/>
      <c r="AI408" s="16"/>
      <c r="AJ408" s="16"/>
      <c r="AK408" s="16"/>
      <c r="AL408" s="16"/>
      <c r="AM408" s="16"/>
    </row>
    <row r="409" spans="2:39">
      <c r="B409" s="14">
        <f t="shared" si="90"/>
        <v>407</v>
      </c>
      <c r="C409" s="14" t="str">
        <f t="shared" ca="1" si="91"/>
        <v/>
      </c>
      <c r="D409" s="14" t="str">
        <f t="shared" ca="1" si="92"/>
        <v/>
      </c>
      <c r="E409" s="14" t="str">
        <f t="shared" ca="1" si="89"/>
        <v/>
      </c>
      <c r="F409" s="14">
        <f t="shared" ca="1" si="88"/>
        <v>0</v>
      </c>
      <c r="G409" s="14" t="str">
        <f t="shared" ca="1" si="93"/>
        <v/>
      </c>
      <c r="H409" s="14">
        <f ca="1">IF(G409&lt;&gt;"",IFERROR( IsVariableNameLegal(G409),0),0)+IF(COUNTIF(INDIRECT(wew!$C$13),G409)&gt;1,10,0)</f>
        <v>0</v>
      </c>
      <c r="I409" s="14">
        <f ca="1">IF(E409&lt;&gt;"",IF(LEN(E409)&gt;150,1,0)+IF(COUNTIF(INDIRECT(wew!$C$15),E409)&gt;1,10,0),0)</f>
        <v>0</v>
      </c>
      <c r="J409" s="14" t="b">
        <f t="shared" ca="1" si="94"/>
        <v>0</v>
      </c>
      <c r="K409" s="14" t="str">
        <f ca="1">ADDRESS(3,(B409+1)*2-1,4,,"[" &amp; wew!$G$7 &amp; "]" &amp; _sheetname_labels) &amp; ":" &amp; ADDRESS(2+ster!$B$20,(B409+1)*2-1,4)</f>
        <v>'[dane surowe2c.xlsm]labels'!AEI3:AEI36</v>
      </c>
      <c r="L409" s="14" t="str">
        <f ca="1">IF(F409&gt;0,ADDRESS(3,(B409+1)*2-1,4,,"[" &amp; wew!$G$7 &amp; "]" &amp; _sheetname_labels) &amp; ":" &amp; ADDRESS(2+F409,(B409+1)*2-1,4),"")</f>
        <v/>
      </c>
      <c r="M409" s="14" t="str">
        <f ca="1">IF(F409&gt;0,ADDRESS(3,(B409+1)*2,4,,"["&amp;wew!$G$7&amp;"]"&amp;_sheetname_labels)&amp;":"&amp;ADDRESS(2+F409,(B409+1)*2,4),"")</f>
        <v/>
      </c>
      <c r="N409" s="14" t="str">
        <f ca="1">ADDRESS(3,B409+1,4,,"[" &amp; wew!$G$7 &amp; "]" &amp;_sheetname_dataframe) &amp; ":" &amp; ADDRESS(2+ster!$C$14,B409+1,4)</f>
        <v>'[dane surowe2c.xlsm]data_frame'!OR3:OR35</v>
      </c>
      <c r="O409" s="14" t="str">
        <f t="shared" ca="1" si="95"/>
        <v/>
      </c>
      <c r="P409" s="14" t="str">
        <f ca="1">IF(AND($AD409,$S409=1),IF(wew!$B$3,MIN(INDIRECT($N409)),"&lt;włącz podświetlanie wartości&gt;"),"—")</f>
        <v>—</v>
      </c>
      <c r="Q409" s="14" t="str">
        <f ca="1">IF(AND($AD409,$S409=1),IF(wew!$B$3,MAX(INDIRECT($N409)),"&lt;włącz podświetlanie wartości&gt;"),"—")</f>
        <v>—</v>
      </c>
      <c r="R409" s="14" t="str">
        <f ca="1">IF(AD409,ster!$C$14- (COUNTIF( INDIRECT(N409),"" )+ COUNT(INDIRECT(N409)) +COUNTIF( INDIRECT(N409),"NA" )),"")</f>
        <v/>
      </c>
      <c r="S409" s="12" t="str">
        <f ca="1">IF(AD409,IF(COUNTA(INDIRECT(N409))=0,0, 1-(ster!$C$14- COUNT(INDIRECT(N409)) -COUNTIF( INDIRECT(N409),"" )) /COUNTA(INDIRECT(N409))),"")</f>
        <v/>
      </c>
      <c r="T409" s="17" t="str">
        <f t="array" aca="1" ref="T409" ca="1">IF(L409&lt;&gt;"",SUM(IF(INDIRECT(L409)&lt;&gt;INT(INDIRECT(L409)),1,0)),"")</f>
        <v/>
      </c>
      <c r="U409" s="17" t="str">
        <f t="array" aca="1" ref="U409" ca="1">IF(S409=1,SUM(IF(ISNUMBER(INDIRECT(N409)),IF(INDIRECT(N409)&lt;&gt;INT(INDIRECT(N409)),1,0),0)),"")</f>
        <v/>
      </c>
      <c r="V409" s="17">
        <f t="shared" ca="1" si="96"/>
        <v>0</v>
      </c>
      <c r="W409" s="17">
        <f t="shared" ca="1" si="97"/>
        <v>0</v>
      </c>
      <c r="X409" s="24" t="str">
        <f t="array" aca="1" ref="X409" ca="1">IF(AD409,IF(AG409&lt;&gt;"",AG409,IF(J409,MIN(INDIRECT( K409)),"")),"")</f>
        <v/>
      </c>
      <c r="Y409" s="17" t="str">
        <f t="array" aca="1" ref="Y409" ca="1">IF(AD409,IF(AH409&lt;&gt;"",AH409,IF(J409,MAX(INDIRECT( K409)),"")),"")</f>
        <v/>
      </c>
      <c r="Z409" s="17" t="b">
        <f t="shared" ca="1" si="98"/>
        <v>0</v>
      </c>
      <c r="AC409" s="17" t="str">
        <f t="shared" ca="1" si="99"/>
        <v/>
      </c>
      <c r="AD409" s="14" t="b">
        <f t="shared" ca="1" si="100"/>
        <v>0</v>
      </c>
      <c r="AE409" s="15" t="b">
        <f t="shared" ca="1" si="101"/>
        <v>0</v>
      </c>
      <c r="AF409" s="16"/>
      <c r="AG409" s="16"/>
      <c r="AH409" s="16"/>
      <c r="AI409" s="16"/>
      <c r="AJ409" s="16"/>
      <c r="AK409" s="16"/>
      <c r="AL409" s="16"/>
      <c r="AM409" s="16"/>
    </row>
    <row r="410" spans="2:39">
      <c r="B410" s="14">
        <f t="shared" si="90"/>
        <v>408</v>
      </c>
      <c r="C410" s="14" t="str">
        <f t="shared" ca="1" si="91"/>
        <v/>
      </c>
      <c r="D410" s="14" t="str">
        <f t="shared" ca="1" si="92"/>
        <v/>
      </c>
      <c r="E410" s="14" t="str">
        <f t="shared" ca="1" si="89"/>
        <v/>
      </c>
      <c r="F410" s="14">
        <f t="shared" ca="1" si="88"/>
        <v>0</v>
      </c>
      <c r="G410" s="14" t="str">
        <f t="shared" ca="1" si="93"/>
        <v/>
      </c>
      <c r="H410" s="14">
        <f ca="1">IF(G410&lt;&gt;"",IFERROR( IsVariableNameLegal(G410),0),0)+IF(COUNTIF(INDIRECT(wew!$C$13),G410)&gt;1,10,0)</f>
        <v>0</v>
      </c>
      <c r="I410" s="14">
        <f ca="1">IF(E410&lt;&gt;"",IF(LEN(E410)&gt;150,1,0)+IF(COUNTIF(INDIRECT(wew!$C$15),E410)&gt;1,10,0),0)</f>
        <v>0</v>
      </c>
      <c r="J410" s="14" t="b">
        <f t="shared" ca="1" si="94"/>
        <v>0</v>
      </c>
      <c r="K410" s="14" t="str">
        <f ca="1">ADDRESS(3,(B410+1)*2-1,4,,"[" &amp; wew!$G$7 &amp; "]" &amp; _sheetname_labels) &amp; ":" &amp; ADDRESS(2+ster!$B$20,(B410+1)*2-1,4)</f>
        <v>'[dane surowe2c.xlsm]labels'!AEK3:AEK36</v>
      </c>
      <c r="L410" s="14" t="str">
        <f ca="1">IF(F410&gt;0,ADDRESS(3,(B410+1)*2-1,4,,"[" &amp; wew!$G$7 &amp; "]" &amp; _sheetname_labels) &amp; ":" &amp; ADDRESS(2+F410,(B410+1)*2-1,4),"")</f>
        <v/>
      </c>
      <c r="M410" s="14" t="str">
        <f ca="1">IF(F410&gt;0,ADDRESS(3,(B410+1)*2,4,,"["&amp;wew!$G$7&amp;"]"&amp;_sheetname_labels)&amp;":"&amp;ADDRESS(2+F410,(B410+1)*2,4),"")</f>
        <v/>
      </c>
      <c r="N410" s="14" t="str">
        <f ca="1">ADDRESS(3,B410+1,4,,"[" &amp; wew!$G$7 &amp; "]" &amp;_sheetname_dataframe) &amp; ":" &amp; ADDRESS(2+ster!$C$14,B410+1,4)</f>
        <v>'[dane surowe2c.xlsm]data_frame'!OS3:OS35</v>
      </c>
      <c r="O410" s="14" t="str">
        <f t="shared" ca="1" si="95"/>
        <v/>
      </c>
      <c r="P410" s="14" t="str">
        <f ca="1">IF(AND($AD410,$S410=1),IF(wew!$B$3,MIN(INDIRECT($N410)),"&lt;włącz podświetlanie wartości&gt;"),"—")</f>
        <v>—</v>
      </c>
      <c r="Q410" s="14" t="str">
        <f ca="1">IF(AND($AD410,$S410=1),IF(wew!$B$3,MAX(INDIRECT($N410)),"&lt;włącz podświetlanie wartości&gt;"),"—")</f>
        <v>—</v>
      </c>
      <c r="R410" s="14" t="str">
        <f ca="1">IF(AD410,ster!$C$14- (COUNTIF( INDIRECT(N410),"" )+ COUNT(INDIRECT(N410)) +COUNTIF( INDIRECT(N410),"NA" )),"")</f>
        <v/>
      </c>
      <c r="S410" s="12" t="str">
        <f ca="1">IF(AD410,IF(COUNTA(INDIRECT(N410))=0,0, 1-(ster!$C$14- COUNT(INDIRECT(N410)) -COUNTIF( INDIRECT(N410),"" )) /COUNTA(INDIRECT(N410))),"")</f>
        <v/>
      </c>
      <c r="T410" s="17" t="str">
        <f t="array" aca="1" ref="T410" ca="1">IF(L410&lt;&gt;"",SUM(IF(INDIRECT(L410)&lt;&gt;INT(INDIRECT(L410)),1,0)),"")</f>
        <v/>
      </c>
      <c r="U410" s="17" t="str">
        <f t="array" aca="1" ref="U410" ca="1">IF(S410=1,SUM(IF(ISNUMBER(INDIRECT(N410)),IF(INDIRECT(N410)&lt;&gt;INT(INDIRECT(N410)),1,0),0)),"")</f>
        <v/>
      </c>
      <c r="V410" s="17">
        <f t="shared" ca="1" si="96"/>
        <v>0</v>
      </c>
      <c r="W410" s="17">
        <f t="shared" ca="1" si="97"/>
        <v>0</v>
      </c>
      <c r="X410" s="24" t="str">
        <f t="array" aca="1" ref="X410" ca="1">IF(AD410,IF(AG410&lt;&gt;"",AG410,IF(J410,MIN(INDIRECT( K410)),"")),"")</f>
        <v/>
      </c>
      <c r="Y410" s="17" t="str">
        <f t="array" aca="1" ref="Y410" ca="1">IF(AD410,IF(AH410&lt;&gt;"",AH410,IF(J410,MAX(INDIRECT( K410)),"")),"")</f>
        <v/>
      </c>
      <c r="Z410" s="17" t="b">
        <f t="shared" ca="1" si="98"/>
        <v>0</v>
      </c>
      <c r="AC410" s="17" t="str">
        <f t="shared" ca="1" si="99"/>
        <v/>
      </c>
      <c r="AD410" s="14" t="b">
        <f t="shared" ca="1" si="100"/>
        <v>0</v>
      </c>
      <c r="AE410" s="15" t="b">
        <f t="shared" ca="1" si="101"/>
        <v>0</v>
      </c>
      <c r="AF410" s="16"/>
      <c r="AG410" s="16"/>
      <c r="AH410" s="16"/>
      <c r="AI410" s="16"/>
      <c r="AJ410" s="16"/>
      <c r="AK410" s="16"/>
      <c r="AL410" s="16"/>
      <c r="AM410" s="16"/>
    </row>
    <row r="411" spans="2:39">
      <c r="B411" s="14">
        <f t="shared" si="90"/>
        <v>409</v>
      </c>
      <c r="C411" s="14" t="str">
        <f t="shared" ca="1" si="91"/>
        <v/>
      </c>
      <c r="D411" s="14" t="str">
        <f t="shared" ca="1" si="92"/>
        <v/>
      </c>
      <c r="E411" s="14" t="str">
        <f t="shared" ca="1" si="89"/>
        <v/>
      </c>
      <c r="F411" s="14">
        <f t="shared" ca="1" si="88"/>
        <v>0</v>
      </c>
      <c r="G411" s="14" t="str">
        <f t="shared" ca="1" si="93"/>
        <v/>
      </c>
      <c r="H411" s="14">
        <f ca="1">IF(G411&lt;&gt;"",IFERROR( IsVariableNameLegal(G411),0),0)+IF(COUNTIF(INDIRECT(wew!$C$13),G411)&gt;1,10,0)</f>
        <v>0</v>
      </c>
      <c r="I411" s="14">
        <f ca="1">IF(E411&lt;&gt;"",IF(LEN(E411)&gt;150,1,0)+IF(COUNTIF(INDIRECT(wew!$C$15),E411)&gt;1,10,0),0)</f>
        <v>0</v>
      </c>
      <c r="J411" s="14" t="b">
        <f t="shared" ca="1" si="94"/>
        <v>0</v>
      </c>
      <c r="K411" s="14" t="str">
        <f ca="1">ADDRESS(3,(B411+1)*2-1,4,,"[" &amp; wew!$G$7 &amp; "]" &amp; _sheetname_labels) &amp; ":" &amp; ADDRESS(2+ster!$B$20,(B411+1)*2-1,4)</f>
        <v>'[dane surowe2c.xlsm]labels'!AEM3:AEM36</v>
      </c>
      <c r="L411" s="14" t="str">
        <f ca="1">IF(F411&gt;0,ADDRESS(3,(B411+1)*2-1,4,,"[" &amp; wew!$G$7 &amp; "]" &amp; _sheetname_labels) &amp; ":" &amp; ADDRESS(2+F411,(B411+1)*2-1,4),"")</f>
        <v/>
      </c>
      <c r="M411" s="14" t="str">
        <f ca="1">IF(F411&gt;0,ADDRESS(3,(B411+1)*2,4,,"["&amp;wew!$G$7&amp;"]"&amp;_sheetname_labels)&amp;":"&amp;ADDRESS(2+F411,(B411+1)*2,4),"")</f>
        <v/>
      </c>
      <c r="N411" s="14" t="str">
        <f ca="1">ADDRESS(3,B411+1,4,,"[" &amp; wew!$G$7 &amp; "]" &amp;_sheetname_dataframe) &amp; ":" &amp; ADDRESS(2+ster!$C$14,B411+1,4)</f>
        <v>'[dane surowe2c.xlsm]data_frame'!OT3:OT35</v>
      </c>
      <c r="O411" s="14" t="str">
        <f t="shared" ca="1" si="95"/>
        <v/>
      </c>
      <c r="P411" s="14" t="str">
        <f ca="1">IF(AND($AD411,$S411=1),IF(wew!$B$3,MIN(INDIRECT($N411)),"&lt;włącz podświetlanie wartości&gt;"),"—")</f>
        <v>—</v>
      </c>
      <c r="Q411" s="14" t="str">
        <f ca="1">IF(AND($AD411,$S411=1),IF(wew!$B$3,MAX(INDIRECT($N411)),"&lt;włącz podświetlanie wartości&gt;"),"—")</f>
        <v>—</v>
      </c>
      <c r="R411" s="14" t="str">
        <f ca="1">IF(AD411,ster!$C$14- (COUNTIF( INDIRECT(N411),"" )+ COUNT(INDIRECT(N411)) +COUNTIF( INDIRECT(N411),"NA" )),"")</f>
        <v/>
      </c>
      <c r="S411" s="12" t="str">
        <f ca="1">IF(AD411,IF(COUNTA(INDIRECT(N411))=0,0, 1-(ster!$C$14- COUNT(INDIRECT(N411)) -COUNTIF( INDIRECT(N411),"" )) /COUNTA(INDIRECT(N411))),"")</f>
        <v/>
      </c>
      <c r="T411" s="17" t="str">
        <f t="array" aca="1" ref="T411" ca="1">IF(L411&lt;&gt;"",SUM(IF(INDIRECT(L411)&lt;&gt;INT(INDIRECT(L411)),1,0)),"")</f>
        <v/>
      </c>
      <c r="U411" s="17" t="str">
        <f t="array" aca="1" ref="U411" ca="1">IF(S411=1,SUM(IF(ISNUMBER(INDIRECT(N411)),IF(INDIRECT(N411)&lt;&gt;INT(INDIRECT(N411)),1,0),0)),"")</f>
        <v/>
      </c>
      <c r="V411" s="17">
        <f t="shared" ca="1" si="96"/>
        <v>0</v>
      </c>
      <c r="W411" s="17">
        <f t="shared" ca="1" si="97"/>
        <v>0</v>
      </c>
      <c r="X411" s="24" t="str">
        <f t="array" aca="1" ref="X411" ca="1">IF(AD411,IF(AG411&lt;&gt;"",AG411,IF(J411,MIN(INDIRECT( K411)),"")),"")</f>
        <v/>
      </c>
      <c r="Y411" s="17" t="str">
        <f t="array" aca="1" ref="Y411" ca="1">IF(AD411,IF(AH411&lt;&gt;"",AH411,IF(J411,MAX(INDIRECT( K411)),"")),"")</f>
        <v/>
      </c>
      <c r="Z411" s="17" t="b">
        <f t="shared" ca="1" si="98"/>
        <v>0</v>
      </c>
      <c r="AC411" s="17" t="str">
        <f t="shared" ca="1" si="99"/>
        <v/>
      </c>
      <c r="AD411" s="14" t="b">
        <f t="shared" ca="1" si="100"/>
        <v>0</v>
      </c>
      <c r="AE411" s="15" t="b">
        <f t="shared" ca="1" si="101"/>
        <v>0</v>
      </c>
      <c r="AF411" s="16"/>
      <c r="AG411" s="16"/>
      <c r="AH411" s="16"/>
      <c r="AI411" s="16"/>
      <c r="AJ411" s="16"/>
      <c r="AK411" s="16"/>
      <c r="AL411" s="16"/>
      <c r="AM411" s="16"/>
    </row>
    <row r="412" spans="2:39">
      <c r="B412" s="14">
        <f t="shared" si="90"/>
        <v>410</v>
      </c>
      <c r="C412" s="14" t="str">
        <f t="shared" ca="1" si="91"/>
        <v/>
      </c>
      <c r="D412" s="14" t="str">
        <f t="shared" ca="1" si="92"/>
        <v/>
      </c>
      <c r="E412" s="14" t="str">
        <f t="shared" ca="1" si="89"/>
        <v/>
      </c>
      <c r="F412" s="14">
        <f t="shared" ca="1" si="88"/>
        <v>0</v>
      </c>
      <c r="G412" s="14" t="str">
        <f t="shared" ca="1" si="93"/>
        <v/>
      </c>
      <c r="H412" s="14">
        <f ca="1">IF(G412&lt;&gt;"",IFERROR( IsVariableNameLegal(G412),0),0)+IF(COUNTIF(INDIRECT(wew!$C$13),G412)&gt;1,10,0)</f>
        <v>0</v>
      </c>
      <c r="I412" s="14">
        <f ca="1">IF(E412&lt;&gt;"",IF(LEN(E412)&gt;150,1,0)+IF(COUNTIF(INDIRECT(wew!$C$15),E412)&gt;1,10,0),0)</f>
        <v>0</v>
      </c>
      <c r="J412" s="14" t="b">
        <f t="shared" ca="1" si="94"/>
        <v>0</v>
      </c>
      <c r="K412" s="14" t="str">
        <f ca="1">ADDRESS(3,(B412+1)*2-1,4,,"[" &amp; wew!$G$7 &amp; "]" &amp; _sheetname_labels) &amp; ":" &amp; ADDRESS(2+ster!$B$20,(B412+1)*2-1,4)</f>
        <v>'[dane surowe2c.xlsm]labels'!AEO3:AEO36</v>
      </c>
      <c r="L412" s="14" t="str">
        <f ca="1">IF(F412&gt;0,ADDRESS(3,(B412+1)*2-1,4,,"[" &amp; wew!$G$7 &amp; "]" &amp; _sheetname_labels) &amp; ":" &amp; ADDRESS(2+F412,(B412+1)*2-1,4),"")</f>
        <v/>
      </c>
      <c r="M412" s="14" t="str">
        <f ca="1">IF(F412&gt;0,ADDRESS(3,(B412+1)*2,4,,"["&amp;wew!$G$7&amp;"]"&amp;_sheetname_labels)&amp;":"&amp;ADDRESS(2+F412,(B412+1)*2,4),"")</f>
        <v/>
      </c>
      <c r="N412" s="14" t="str">
        <f ca="1">ADDRESS(3,B412+1,4,,"[" &amp; wew!$G$7 &amp; "]" &amp;_sheetname_dataframe) &amp; ":" &amp; ADDRESS(2+ster!$C$14,B412+1,4)</f>
        <v>'[dane surowe2c.xlsm]data_frame'!OU3:OU35</v>
      </c>
      <c r="O412" s="14" t="str">
        <f t="shared" ca="1" si="95"/>
        <v/>
      </c>
      <c r="P412" s="14" t="str">
        <f ca="1">IF(AND($AD412,$S412=1),IF(wew!$B$3,MIN(INDIRECT($N412)),"&lt;włącz podświetlanie wartości&gt;"),"—")</f>
        <v>—</v>
      </c>
      <c r="Q412" s="14" t="str">
        <f ca="1">IF(AND($AD412,$S412=1),IF(wew!$B$3,MAX(INDIRECT($N412)),"&lt;włącz podświetlanie wartości&gt;"),"—")</f>
        <v>—</v>
      </c>
      <c r="R412" s="14" t="str">
        <f ca="1">IF(AD412,ster!$C$14- (COUNTIF( INDIRECT(N412),"" )+ COUNT(INDIRECT(N412)) +COUNTIF( INDIRECT(N412),"NA" )),"")</f>
        <v/>
      </c>
      <c r="S412" s="12" t="str">
        <f ca="1">IF(AD412,IF(COUNTA(INDIRECT(N412))=0,0, 1-(ster!$C$14- COUNT(INDIRECT(N412)) -COUNTIF( INDIRECT(N412),"" )) /COUNTA(INDIRECT(N412))),"")</f>
        <v/>
      </c>
      <c r="T412" s="17" t="str">
        <f t="array" aca="1" ref="T412" ca="1">IF(L412&lt;&gt;"",SUM(IF(INDIRECT(L412)&lt;&gt;INT(INDIRECT(L412)),1,0)),"")</f>
        <v/>
      </c>
      <c r="U412" s="17" t="str">
        <f t="array" aca="1" ref="U412" ca="1">IF(S412=1,SUM(IF(ISNUMBER(INDIRECT(N412)),IF(INDIRECT(N412)&lt;&gt;INT(INDIRECT(N412)),1,0),0)),"")</f>
        <v/>
      </c>
      <c r="V412" s="17">
        <f t="shared" ca="1" si="96"/>
        <v>0</v>
      </c>
      <c r="W412" s="17">
        <f t="shared" ca="1" si="97"/>
        <v>0</v>
      </c>
      <c r="X412" s="24" t="str">
        <f t="array" aca="1" ref="X412" ca="1">IF(AD412,IF(AG412&lt;&gt;"",AG412,IF(J412,MIN(INDIRECT( K412)),"")),"")</f>
        <v/>
      </c>
      <c r="Y412" s="17" t="str">
        <f t="array" aca="1" ref="Y412" ca="1">IF(AD412,IF(AH412&lt;&gt;"",AH412,IF(J412,MAX(INDIRECT( K412)),"")),"")</f>
        <v/>
      </c>
      <c r="Z412" s="17" t="b">
        <f t="shared" ca="1" si="98"/>
        <v>0</v>
      </c>
      <c r="AC412" s="17" t="str">
        <f t="shared" ca="1" si="99"/>
        <v/>
      </c>
      <c r="AD412" s="14" t="b">
        <f t="shared" ca="1" si="100"/>
        <v>0</v>
      </c>
      <c r="AE412" s="15" t="b">
        <f t="shared" ca="1" si="101"/>
        <v>0</v>
      </c>
      <c r="AF412" s="16"/>
      <c r="AG412" s="16"/>
      <c r="AH412" s="16"/>
      <c r="AI412" s="16"/>
      <c r="AJ412" s="16"/>
      <c r="AK412" s="16"/>
      <c r="AL412" s="16"/>
      <c r="AM412" s="16"/>
    </row>
    <row r="413" spans="2:39">
      <c r="B413" s="14">
        <f t="shared" si="90"/>
        <v>411</v>
      </c>
      <c r="C413" s="14" t="str">
        <f t="shared" ca="1" si="91"/>
        <v/>
      </c>
      <c r="D413" s="14" t="str">
        <f t="shared" ca="1" si="92"/>
        <v/>
      </c>
      <c r="E413" s="14" t="str">
        <f t="shared" ca="1" si="89"/>
        <v/>
      </c>
      <c r="F413" s="14">
        <f t="shared" ca="1" si="88"/>
        <v>0</v>
      </c>
      <c r="G413" s="14" t="str">
        <f t="shared" ca="1" si="93"/>
        <v/>
      </c>
      <c r="H413" s="14">
        <f ca="1">IF(G413&lt;&gt;"",IFERROR( IsVariableNameLegal(G413),0),0)+IF(COUNTIF(INDIRECT(wew!$C$13),G413)&gt;1,10,0)</f>
        <v>0</v>
      </c>
      <c r="I413" s="14">
        <f ca="1">IF(E413&lt;&gt;"",IF(LEN(E413)&gt;150,1,0)+IF(COUNTIF(INDIRECT(wew!$C$15),E413)&gt;1,10,0),0)</f>
        <v>0</v>
      </c>
      <c r="J413" s="14" t="b">
        <f t="shared" ca="1" si="94"/>
        <v>0</v>
      </c>
      <c r="K413" s="14" t="str">
        <f ca="1">ADDRESS(3,(B413+1)*2-1,4,,"[" &amp; wew!$G$7 &amp; "]" &amp; _sheetname_labels) &amp; ":" &amp; ADDRESS(2+ster!$B$20,(B413+1)*2-1,4)</f>
        <v>'[dane surowe2c.xlsm]labels'!AEQ3:AEQ36</v>
      </c>
      <c r="L413" s="14" t="str">
        <f ca="1">IF(F413&gt;0,ADDRESS(3,(B413+1)*2-1,4,,"[" &amp; wew!$G$7 &amp; "]" &amp; _sheetname_labels) &amp; ":" &amp; ADDRESS(2+F413,(B413+1)*2-1,4),"")</f>
        <v/>
      </c>
      <c r="M413" s="14" t="str">
        <f ca="1">IF(F413&gt;0,ADDRESS(3,(B413+1)*2,4,,"["&amp;wew!$G$7&amp;"]"&amp;_sheetname_labels)&amp;":"&amp;ADDRESS(2+F413,(B413+1)*2,4),"")</f>
        <v/>
      </c>
      <c r="N413" s="14" t="str">
        <f ca="1">ADDRESS(3,B413+1,4,,"[" &amp; wew!$G$7 &amp; "]" &amp;_sheetname_dataframe) &amp; ":" &amp; ADDRESS(2+ster!$C$14,B413+1,4)</f>
        <v>'[dane surowe2c.xlsm]data_frame'!OV3:OV35</v>
      </c>
      <c r="O413" s="14" t="str">
        <f t="shared" ca="1" si="95"/>
        <v/>
      </c>
      <c r="P413" s="14" t="str">
        <f ca="1">IF(AND($AD413,$S413=1),IF(wew!$B$3,MIN(INDIRECT($N413)),"&lt;włącz podświetlanie wartości&gt;"),"—")</f>
        <v>—</v>
      </c>
      <c r="Q413" s="14" t="str">
        <f ca="1">IF(AND($AD413,$S413=1),IF(wew!$B$3,MAX(INDIRECT($N413)),"&lt;włącz podświetlanie wartości&gt;"),"—")</f>
        <v>—</v>
      </c>
      <c r="R413" s="14" t="str">
        <f ca="1">IF(AD413,ster!$C$14- (COUNTIF( INDIRECT(N413),"" )+ COUNT(INDIRECT(N413)) +COUNTIF( INDIRECT(N413),"NA" )),"")</f>
        <v/>
      </c>
      <c r="S413" s="12" t="str">
        <f ca="1">IF(AD413,IF(COUNTA(INDIRECT(N413))=0,0, 1-(ster!$C$14- COUNT(INDIRECT(N413)) -COUNTIF( INDIRECT(N413),"" )) /COUNTA(INDIRECT(N413))),"")</f>
        <v/>
      </c>
      <c r="T413" s="17" t="str">
        <f t="array" aca="1" ref="T413" ca="1">IF(L413&lt;&gt;"",SUM(IF(INDIRECT(L413)&lt;&gt;INT(INDIRECT(L413)),1,0)),"")</f>
        <v/>
      </c>
      <c r="U413" s="17" t="str">
        <f t="array" aca="1" ref="U413" ca="1">IF(S413=1,SUM(IF(ISNUMBER(INDIRECT(N413)),IF(INDIRECT(N413)&lt;&gt;INT(INDIRECT(N413)),1,0),0)),"")</f>
        <v/>
      </c>
      <c r="V413" s="17">
        <f t="shared" ca="1" si="96"/>
        <v>0</v>
      </c>
      <c r="W413" s="17">
        <f t="shared" ca="1" si="97"/>
        <v>0</v>
      </c>
      <c r="X413" s="24" t="str">
        <f t="array" aca="1" ref="X413" ca="1">IF(AD413,IF(AG413&lt;&gt;"",AG413,IF(J413,MIN(INDIRECT( K413)),"")),"")</f>
        <v/>
      </c>
      <c r="Y413" s="17" t="str">
        <f t="array" aca="1" ref="Y413" ca="1">IF(AD413,IF(AH413&lt;&gt;"",AH413,IF(J413,MAX(INDIRECT( K413)),"")),"")</f>
        <v/>
      </c>
      <c r="Z413" s="17" t="b">
        <f t="shared" ca="1" si="98"/>
        <v>0</v>
      </c>
      <c r="AC413" s="17" t="str">
        <f t="shared" ca="1" si="99"/>
        <v/>
      </c>
      <c r="AD413" s="14" t="b">
        <f t="shared" ca="1" si="100"/>
        <v>0</v>
      </c>
      <c r="AE413" s="15" t="b">
        <f t="shared" ca="1" si="101"/>
        <v>0</v>
      </c>
      <c r="AF413" s="16"/>
      <c r="AG413" s="16"/>
      <c r="AH413" s="16"/>
      <c r="AI413" s="16"/>
      <c r="AJ413" s="16"/>
      <c r="AK413" s="16"/>
      <c r="AL413" s="16"/>
      <c r="AM413" s="16"/>
    </row>
    <row r="414" spans="2:39">
      <c r="B414" s="14">
        <f t="shared" si="90"/>
        <v>412</v>
      </c>
      <c r="C414" s="14" t="str">
        <f t="shared" ca="1" si="91"/>
        <v/>
      </c>
      <c r="D414" s="14" t="str">
        <f t="shared" ca="1" si="92"/>
        <v/>
      </c>
      <c r="E414" s="14" t="str">
        <f t="shared" ca="1" si="89"/>
        <v/>
      </c>
      <c r="F414" s="14">
        <f t="shared" ca="1" si="88"/>
        <v>0</v>
      </c>
      <c r="G414" s="14" t="str">
        <f t="shared" ca="1" si="93"/>
        <v/>
      </c>
      <c r="H414" s="14">
        <f ca="1">IF(G414&lt;&gt;"",IFERROR( IsVariableNameLegal(G414),0),0)+IF(COUNTIF(INDIRECT(wew!$C$13),G414)&gt;1,10,0)</f>
        <v>0</v>
      </c>
      <c r="I414" s="14">
        <f ca="1">IF(E414&lt;&gt;"",IF(LEN(E414)&gt;150,1,0)+IF(COUNTIF(INDIRECT(wew!$C$15),E414)&gt;1,10,0),0)</f>
        <v>0</v>
      </c>
      <c r="J414" s="14" t="b">
        <f t="shared" ca="1" si="94"/>
        <v>0</v>
      </c>
      <c r="K414" s="14" t="str">
        <f ca="1">ADDRESS(3,(B414+1)*2-1,4,,"[" &amp; wew!$G$7 &amp; "]" &amp; _sheetname_labels) &amp; ":" &amp; ADDRESS(2+ster!$B$20,(B414+1)*2-1,4)</f>
        <v>'[dane surowe2c.xlsm]labels'!AES3:AES36</v>
      </c>
      <c r="L414" s="14" t="str">
        <f ca="1">IF(F414&gt;0,ADDRESS(3,(B414+1)*2-1,4,,"[" &amp; wew!$G$7 &amp; "]" &amp; _sheetname_labels) &amp; ":" &amp; ADDRESS(2+F414,(B414+1)*2-1,4),"")</f>
        <v/>
      </c>
      <c r="M414" s="14" t="str">
        <f ca="1">IF(F414&gt;0,ADDRESS(3,(B414+1)*2,4,,"["&amp;wew!$G$7&amp;"]"&amp;_sheetname_labels)&amp;":"&amp;ADDRESS(2+F414,(B414+1)*2,4),"")</f>
        <v/>
      </c>
      <c r="N414" s="14" t="str">
        <f ca="1">ADDRESS(3,B414+1,4,,"[" &amp; wew!$G$7 &amp; "]" &amp;_sheetname_dataframe) &amp; ":" &amp; ADDRESS(2+ster!$C$14,B414+1,4)</f>
        <v>'[dane surowe2c.xlsm]data_frame'!OW3:OW35</v>
      </c>
      <c r="O414" s="14" t="str">
        <f t="shared" ca="1" si="95"/>
        <v/>
      </c>
      <c r="P414" s="14" t="str">
        <f ca="1">IF(AND($AD414,$S414=1),IF(wew!$B$3,MIN(INDIRECT($N414)),"&lt;włącz podświetlanie wartości&gt;"),"—")</f>
        <v>—</v>
      </c>
      <c r="Q414" s="14" t="str">
        <f ca="1">IF(AND($AD414,$S414=1),IF(wew!$B$3,MAX(INDIRECT($N414)),"&lt;włącz podświetlanie wartości&gt;"),"—")</f>
        <v>—</v>
      </c>
      <c r="R414" s="14" t="str">
        <f ca="1">IF(AD414,ster!$C$14- (COUNTIF( INDIRECT(N414),"" )+ COUNT(INDIRECT(N414)) +COUNTIF( INDIRECT(N414),"NA" )),"")</f>
        <v/>
      </c>
      <c r="S414" s="12" t="str">
        <f ca="1">IF(AD414,IF(COUNTA(INDIRECT(N414))=0,0, 1-(ster!$C$14- COUNT(INDIRECT(N414)) -COUNTIF( INDIRECT(N414),"" )) /COUNTA(INDIRECT(N414))),"")</f>
        <v/>
      </c>
      <c r="T414" s="17" t="str">
        <f t="array" aca="1" ref="T414" ca="1">IF(L414&lt;&gt;"",SUM(IF(INDIRECT(L414)&lt;&gt;INT(INDIRECT(L414)),1,0)),"")</f>
        <v/>
      </c>
      <c r="U414" s="17" t="str">
        <f t="array" aca="1" ref="U414" ca="1">IF(S414=1,SUM(IF(ISNUMBER(INDIRECT(N414)),IF(INDIRECT(N414)&lt;&gt;INT(INDIRECT(N414)),1,0),0)),"")</f>
        <v/>
      </c>
      <c r="V414" s="17">
        <f t="shared" ca="1" si="96"/>
        <v>0</v>
      </c>
      <c r="W414" s="17">
        <f t="shared" ca="1" si="97"/>
        <v>0</v>
      </c>
      <c r="X414" s="24" t="str">
        <f t="array" aca="1" ref="X414" ca="1">IF(AD414,IF(AG414&lt;&gt;"",AG414,IF(J414,MIN(INDIRECT( K414)),"")),"")</f>
        <v/>
      </c>
      <c r="Y414" s="17" t="str">
        <f t="array" aca="1" ref="Y414" ca="1">IF(AD414,IF(AH414&lt;&gt;"",AH414,IF(J414,MAX(INDIRECT( K414)),"")),"")</f>
        <v/>
      </c>
      <c r="Z414" s="17" t="b">
        <f t="shared" ca="1" si="98"/>
        <v>0</v>
      </c>
      <c r="AC414" s="17" t="str">
        <f t="shared" ca="1" si="99"/>
        <v/>
      </c>
      <c r="AD414" s="14" t="b">
        <f t="shared" ca="1" si="100"/>
        <v>0</v>
      </c>
      <c r="AE414" s="15" t="b">
        <f t="shared" ca="1" si="101"/>
        <v>0</v>
      </c>
      <c r="AF414" s="16"/>
      <c r="AG414" s="16"/>
      <c r="AH414" s="16"/>
      <c r="AI414" s="16"/>
      <c r="AJ414" s="16"/>
      <c r="AK414" s="16"/>
      <c r="AL414" s="16"/>
      <c r="AM414" s="16"/>
    </row>
    <row r="415" spans="2:39">
      <c r="B415" s="14">
        <f t="shared" si="90"/>
        <v>413</v>
      </c>
      <c r="C415" s="14" t="str">
        <f t="shared" ca="1" si="91"/>
        <v/>
      </c>
      <c r="D415" s="14" t="str">
        <f t="shared" ca="1" si="92"/>
        <v/>
      </c>
      <c r="E415" s="14" t="str">
        <f t="shared" ca="1" si="89"/>
        <v/>
      </c>
      <c r="F415" s="14">
        <f t="shared" ca="1" si="88"/>
        <v>0</v>
      </c>
      <c r="G415" s="14" t="str">
        <f t="shared" ca="1" si="93"/>
        <v/>
      </c>
      <c r="H415" s="14">
        <f ca="1">IF(G415&lt;&gt;"",IFERROR( IsVariableNameLegal(G415),0),0)+IF(COUNTIF(INDIRECT(wew!$C$13),G415)&gt;1,10,0)</f>
        <v>0</v>
      </c>
      <c r="I415" s="14">
        <f ca="1">IF(E415&lt;&gt;"",IF(LEN(E415)&gt;150,1,0)+IF(COUNTIF(INDIRECT(wew!$C$15),E415)&gt;1,10,0),0)</f>
        <v>0</v>
      </c>
      <c r="J415" s="14" t="b">
        <f t="shared" ca="1" si="94"/>
        <v>0</v>
      </c>
      <c r="K415" s="14" t="str">
        <f ca="1">ADDRESS(3,(B415+1)*2-1,4,,"[" &amp; wew!$G$7 &amp; "]" &amp; _sheetname_labels) &amp; ":" &amp; ADDRESS(2+ster!$B$20,(B415+1)*2-1,4)</f>
        <v>'[dane surowe2c.xlsm]labels'!AEU3:AEU36</v>
      </c>
      <c r="L415" s="14" t="str">
        <f ca="1">IF(F415&gt;0,ADDRESS(3,(B415+1)*2-1,4,,"[" &amp; wew!$G$7 &amp; "]" &amp; _sheetname_labels) &amp; ":" &amp; ADDRESS(2+F415,(B415+1)*2-1,4),"")</f>
        <v/>
      </c>
      <c r="M415" s="14" t="str">
        <f ca="1">IF(F415&gt;0,ADDRESS(3,(B415+1)*2,4,,"["&amp;wew!$G$7&amp;"]"&amp;_sheetname_labels)&amp;":"&amp;ADDRESS(2+F415,(B415+1)*2,4),"")</f>
        <v/>
      </c>
      <c r="N415" s="14" t="str">
        <f ca="1">ADDRESS(3,B415+1,4,,"[" &amp; wew!$G$7 &amp; "]" &amp;_sheetname_dataframe) &amp; ":" &amp; ADDRESS(2+ster!$C$14,B415+1,4)</f>
        <v>'[dane surowe2c.xlsm]data_frame'!OX3:OX35</v>
      </c>
      <c r="O415" s="14" t="str">
        <f t="shared" ca="1" si="95"/>
        <v/>
      </c>
      <c r="P415" s="14" t="str">
        <f ca="1">IF(AND($AD415,$S415=1),IF(wew!$B$3,MIN(INDIRECT($N415)),"&lt;włącz podświetlanie wartości&gt;"),"—")</f>
        <v>—</v>
      </c>
      <c r="Q415" s="14" t="str">
        <f ca="1">IF(AND($AD415,$S415=1),IF(wew!$B$3,MAX(INDIRECT($N415)),"&lt;włącz podświetlanie wartości&gt;"),"—")</f>
        <v>—</v>
      </c>
      <c r="R415" s="14" t="str">
        <f ca="1">IF(AD415,ster!$C$14- (COUNTIF( INDIRECT(N415),"" )+ COUNT(INDIRECT(N415)) +COUNTIF( INDIRECT(N415),"NA" )),"")</f>
        <v/>
      </c>
      <c r="S415" s="12" t="str">
        <f ca="1">IF(AD415,IF(COUNTA(INDIRECT(N415))=0,0, 1-(ster!$C$14- COUNT(INDIRECT(N415)) -COUNTIF( INDIRECT(N415),"" )) /COUNTA(INDIRECT(N415))),"")</f>
        <v/>
      </c>
      <c r="T415" s="17" t="str">
        <f t="array" aca="1" ref="T415" ca="1">IF(L415&lt;&gt;"",SUM(IF(INDIRECT(L415)&lt;&gt;INT(INDIRECT(L415)),1,0)),"")</f>
        <v/>
      </c>
      <c r="U415" s="17" t="str">
        <f t="array" aca="1" ref="U415" ca="1">IF(S415=1,SUM(IF(ISNUMBER(INDIRECT(N415)),IF(INDIRECT(N415)&lt;&gt;INT(INDIRECT(N415)),1,0),0)),"")</f>
        <v/>
      </c>
      <c r="V415" s="17">
        <f t="shared" ca="1" si="96"/>
        <v>0</v>
      </c>
      <c r="W415" s="17">
        <f t="shared" ca="1" si="97"/>
        <v>0</v>
      </c>
      <c r="X415" s="24" t="str">
        <f t="array" aca="1" ref="X415" ca="1">IF(AD415,IF(AG415&lt;&gt;"",AG415,IF(J415,MIN(INDIRECT( K415)),"")),"")</f>
        <v/>
      </c>
      <c r="Y415" s="17" t="str">
        <f t="array" aca="1" ref="Y415" ca="1">IF(AD415,IF(AH415&lt;&gt;"",AH415,IF(J415,MAX(INDIRECT( K415)),"")),"")</f>
        <v/>
      </c>
      <c r="Z415" s="17" t="b">
        <f t="shared" ca="1" si="98"/>
        <v>0</v>
      </c>
      <c r="AC415" s="17" t="str">
        <f t="shared" ca="1" si="99"/>
        <v/>
      </c>
      <c r="AD415" s="14" t="b">
        <f t="shared" ca="1" si="100"/>
        <v>0</v>
      </c>
      <c r="AE415" s="15" t="b">
        <f t="shared" ca="1" si="101"/>
        <v>0</v>
      </c>
      <c r="AF415" s="16"/>
      <c r="AG415" s="16"/>
      <c r="AH415" s="16"/>
      <c r="AI415" s="16"/>
      <c r="AJ415" s="16"/>
      <c r="AK415" s="16"/>
      <c r="AL415" s="16"/>
      <c r="AM415" s="16"/>
    </row>
    <row r="416" spans="2:39">
      <c r="B416" s="14">
        <f t="shared" si="90"/>
        <v>414</v>
      </c>
      <c r="C416" s="14" t="str">
        <f t="shared" ca="1" si="91"/>
        <v/>
      </c>
      <c r="D416" s="14" t="str">
        <f t="shared" ca="1" si="92"/>
        <v/>
      </c>
      <c r="E416" s="14" t="str">
        <f t="shared" ca="1" si="89"/>
        <v/>
      </c>
      <c r="F416" s="14">
        <f t="shared" ca="1" si="88"/>
        <v>0</v>
      </c>
      <c r="G416" s="14" t="str">
        <f t="shared" ca="1" si="93"/>
        <v/>
      </c>
      <c r="H416" s="14">
        <f ca="1">IF(G416&lt;&gt;"",IFERROR( IsVariableNameLegal(G416),0),0)+IF(COUNTIF(INDIRECT(wew!$C$13),G416)&gt;1,10,0)</f>
        <v>0</v>
      </c>
      <c r="I416" s="14">
        <f ca="1">IF(E416&lt;&gt;"",IF(LEN(E416)&gt;150,1,0)+IF(COUNTIF(INDIRECT(wew!$C$15),E416)&gt;1,10,0),0)</f>
        <v>0</v>
      </c>
      <c r="J416" s="14" t="b">
        <f t="shared" ca="1" si="94"/>
        <v>0</v>
      </c>
      <c r="K416" s="14" t="str">
        <f ca="1">ADDRESS(3,(B416+1)*2-1,4,,"[" &amp; wew!$G$7 &amp; "]" &amp; _sheetname_labels) &amp; ":" &amp; ADDRESS(2+ster!$B$20,(B416+1)*2-1,4)</f>
        <v>'[dane surowe2c.xlsm]labels'!AEW3:AEW36</v>
      </c>
      <c r="L416" s="14" t="str">
        <f ca="1">IF(F416&gt;0,ADDRESS(3,(B416+1)*2-1,4,,"[" &amp; wew!$G$7 &amp; "]" &amp; _sheetname_labels) &amp; ":" &amp; ADDRESS(2+F416,(B416+1)*2-1,4),"")</f>
        <v/>
      </c>
      <c r="M416" s="14" t="str">
        <f ca="1">IF(F416&gt;0,ADDRESS(3,(B416+1)*2,4,,"["&amp;wew!$G$7&amp;"]"&amp;_sheetname_labels)&amp;":"&amp;ADDRESS(2+F416,(B416+1)*2,4),"")</f>
        <v/>
      </c>
      <c r="N416" s="14" t="str">
        <f ca="1">ADDRESS(3,B416+1,4,,"[" &amp; wew!$G$7 &amp; "]" &amp;_sheetname_dataframe) &amp; ":" &amp; ADDRESS(2+ster!$C$14,B416+1,4)</f>
        <v>'[dane surowe2c.xlsm]data_frame'!OY3:OY35</v>
      </c>
      <c r="O416" s="14" t="str">
        <f t="shared" ca="1" si="95"/>
        <v/>
      </c>
      <c r="P416" s="14" t="str">
        <f ca="1">IF(AND($AD416,$S416=1),IF(wew!$B$3,MIN(INDIRECT($N416)),"&lt;włącz podświetlanie wartości&gt;"),"—")</f>
        <v>—</v>
      </c>
      <c r="Q416" s="14" t="str">
        <f ca="1">IF(AND($AD416,$S416=1),IF(wew!$B$3,MAX(INDIRECT($N416)),"&lt;włącz podświetlanie wartości&gt;"),"—")</f>
        <v>—</v>
      </c>
      <c r="R416" s="14" t="str">
        <f ca="1">IF(AD416,ster!$C$14- (COUNTIF( INDIRECT(N416),"" )+ COUNT(INDIRECT(N416)) +COUNTIF( INDIRECT(N416),"NA" )),"")</f>
        <v/>
      </c>
      <c r="S416" s="12" t="str">
        <f ca="1">IF(AD416,IF(COUNTA(INDIRECT(N416))=0,0, 1-(ster!$C$14- COUNT(INDIRECT(N416)) -COUNTIF( INDIRECT(N416),"" )) /COUNTA(INDIRECT(N416))),"")</f>
        <v/>
      </c>
      <c r="T416" s="17" t="str">
        <f t="array" aca="1" ref="T416" ca="1">IF(L416&lt;&gt;"",SUM(IF(INDIRECT(L416)&lt;&gt;INT(INDIRECT(L416)),1,0)),"")</f>
        <v/>
      </c>
      <c r="U416" s="17" t="str">
        <f t="array" aca="1" ref="U416" ca="1">IF(S416=1,SUM(IF(ISNUMBER(INDIRECT(N416)),IF(INDIRECT(N416)&lt;&gt;INT(INDIRECT(N416)),1,0),0)),"")</f>
        <v/>
      </c>
      <c r="V416" s="17">
        <f t="shared" ca="1" si="96"/>
        <v>0</v>
      </c>
      <c r="W416" s="17">
        <f t="shared" ca="1" si="97"/>
        <v>0</v>
      </c>
      <c r="X416" s="24" t="str">
        <f t="array" aca="1" ref="X416" ca="1">IF(AD416,IF(AG416&lt;&gt;"",AG416,IF(J416,MIN(INDIRECT( K416)),"")),"")</f>
        <v/>
      </c>
      <c r="Y416" s="17" t="str">
        <f t="array" aca="1" ref="Y416" ca="1">IF(AD416,IF(AH416&lt;&gt;"",AH416,IF(J416,MAX(INDIRECT( K416)),"")),"")</f>
        <v/>
      </c>
      <c r="Z416" s="17" t="b">
        <f t="shared" ca="1" si="98"/>
        <v>0</v>
      </c>
      <c r="AC416" s="17" t="str">
        <f t="shared" ca="1" si="99"/>
        <v/>
      </c>
      <c r="AD416" s="14" t="b">
        <f t="shared" ca="1" si="100"/>
        <v>0</v>
      </c>
      <c r="AE416" s="15" t="b">
        <f t="shared" ca="1" si="101"/>
        <v>0</v>
      </c>
      <c r="AF416" s="16"/>
      <c r="AG416" s="16"/>
      <c r="AH416" s="16"/>
      <c r="AI416" s="16"/>
      <c r="AJ416" s="16"/>
      <c r="AK416" s="16"/>
      <c r="AL416" s="16"/>
      <c r="AM416" s="16"/>
    </row>
    <row r="417" spans="2:39">
      <c r="B417" s="14">
        <f t="shared" si="90"/>
        <v>415</v>
      </c>
      <c r="C417" s="14" t="str">
        <f t="shared" ca="1" si="91"/>
        <v/>
      </c>
      <c r="D417" s="14" t="str">
        <f t="shared" ca="1" si="92"/>
        <v/>
      </c>
      <c r="E417" s="14" t="str">
        <f t="shared" ca="1" si="89"/>
        <v/>
      </c>
      <c r="F417" s="14">
        <f t="shared" ca="1" si="88"/>
        <v>0</v>
      </c>
      <c r="G417" s="14" t="str">
        <f t="shared" ca="1" si="93"/>
        <v/>
      </c>
      <c r="H417" s="14">
        <f ca="1">IF(G417&lt;&gt;"",IFERROR( IsVariableNameLegal(G417),0),0)+IF(COUNTIF(INDIRECT(wew!$C$13),G417)&gt;1,10,0)</f>
        <v>0</v>
      </c>
      <c r="I417" s="14">
        <f ca="1">IF(E417&lt;&gt;"",IF(LEN(E417)&gt;150,1,0)+IF(COUNTIF(INDIRECT(wew!$C$15),E417)&gt;1,10,0),0)</f>
        <v>0</v>
      </c>
      <c r="J417" s="14" t="b">
        <f t="shared" ca="1" si="94"/>
        <v>0</v>
      </c>
      <c r="K417" s="14" t="str">
        <f ca="1">ADDRESS(3,(B417+1)*2-1,4,,"[" &amp; wew!$G$7 &amp; "]" &amp; _sheetname_labels) &amp; ":" &amp; ADDRESS(2+ster!$B$20,(B417+1)*2-1,4)</f>
        <v>'[dane surowe2c.xlsm]labels'!AEY3:AEY36</v>
      </c>
      <c r="L417" s="14" t="str">
        <f ca="1">IF(F417&gt;0,ADDRESS(3,(B417+1)*2-1,4,,"[" &amp; wew!$G$7 &amp; "]" &amp; _sheetname_labels) &amp; ":" &amp; ADDRESS(2+F417,(B417+1)*2-1,4),"")</f>
        <v/>
      </c>
      <c r="M417" s="14" t="str">
        <f ca="1">IF(F417&gt;0,ADDRESS(3,(B417+1)*2,4,,"["&amp;wew!$G$7&amp;"]"&amp;_sheetname_labels)&amp;":"&amp;ADDRESS(2+F417,(B417+1)*2,4),"")</f>
        <v/>
      </c>
      <c r="N417" s="14" t="str">
        <f ca="1">ADDRESS(3,B417+1,4,,"[" &amp; wew!$G$7 &amp; "]" &amp;_sheetname_dataframe) &amp; ":" &amp; ADDRESS(2+ster!$C$14,B417+1,4)</f>
        <v>'[dane surowe2c.xlsm]data_frame'!OZ3:OZ35</v>
      </c>
      <c r="O417" s="14" t="str">
        <f t="shared" ca="1" si="95"/>
        <v/>
      </c>
      <c r="P417" s="14" t="str">
        <f ca="1">IF(AND($AD417,$S417=1),IF(wew!$B$3,MIN(INDIRECT($N417)),"&lt;włącz podświetlanie wartości&gt;"),"—")</f>
        <v>—</v>
      </c>
      <c r="Q417" s="14" t="str">
        <f ca="1">IF(AND($AD417,$S417=1),IF(wew!$B$3,MAX(INDIRECT($N417)),"&lt;włącz podświetlanie wartości&gt;"),"—")</f>
        <v>—</v>
      </c>
      <c r="R417" s="14" t="str">
        <f ca="1">IF(AD417,ster!$C$14- (COUNTIF( INDIRECT(N417),"" )+ COUNT(INDIRECT(N417)) +COUNTIF( INDIRECT(N417),"NA" )),"")</f>
        <v/>
      </c>
      <c r="S417" s="12" t="str">
        <f ca="1">IF(AD417,IF(COUNTA(INDIRECT(N417))=0,0, 1-(ster!$C$14- COUNT(INDIRECT(N417)) -COUNTIF( INDIRECT(N417),"" )) /COUNTA(INDIRECT(N417))),"")</f>
        <v/>
      </c>
      <c r="T417" s="17" t="str">
        <f t="array" aca="1" ref="T417" ca="1">IF(L417&lt;&gt;"",SUM(IF(INDIRECT(L417)&lt;&gt;INT(INDIRECT(L417)),1,0)),"")</f>
        <v/>
      </c>
      <c r="U417" s="17" t="str">
        <f t="array" aca="1" ref="U417" ca="1">IF(S417=1,SUM(IF(ISNUMBER(INDIRECT(N417)),IF(INDIRECT(N417)&lt;&gt;INT(INDIRECT(N417)),1,0),0)),"")</f>
        <v/>
      </c>
      <c r="V417" s="17">
        <f t="shared" ca="1" si="96"/>
        <v>0</v>
      </c>
      <c r="W417" s="17">
        <f t="shared" ca="1" si="97"/>
        <v>0</v>
      </c>
      <c r="X417" s="24" t="str">
        <f t="array" aca="1" ref="X417" ca="1">IF(AD417,IF(AG417&lt;&gt;"",AG417,IF(J417,MIN(INDIRECT( K417)),"")),"")</f>
        <v/>
      </c>
      <c r="Y417" s="17" t="str">
        <f t="array" aca="1" ref="Y417" ca="1">IF(AD417,IF(AH417&lt;&gt;"",AH417,IF(J417,MAX(INDIRECT( K417)),"")),"")</f>
        <v/>
      </c>
      <c r="Z417" s="17" t="b">
        <f t="shared" ca="1" si="98"/>
        <v>0</v>
      </c>
      <c r="AC417" s="17" t="str">
        <f t="shared" ca="1" si="99"/>
        <v/>
      </c>
      <c r="AD417" s="14" t="b">
        <f t="shared" ca="1" si="100"/>
        <v>0</v>
      </c>
      <c r="AE417" s="15" t="b">
        <f t="shared" ca="1" si="101"/>
        <v>0</v>
      </c>
      <c r="AF417" s="16"/>
      <c r="AG417" s="16"/>
      <c r="AH417" s="16"/>
      <c r="AI417" s="16"/>
      <c r="AJ417" s="16"/>
      <c r="AK417" s="16"/>
      <c r="AL417" s="16"/>
      <c r="AM417" s="16"/>
    </row>
    <row r="418" spans="2:39">
      <c r="B418" s="14">
        <f t="shared" si="90"/>
        <v>416</v>
      </c>
      <c r="C418" s="14" t="str">
        <f t="shared" ca="1" si="91"/>
        <v/>
      </c>
      <c r="D418" s="14" t="str">
        <f t="shared" ca="1" si="92"/>
        <v/>
      </c>
      <c r="E418" s="14" t="str">
        <f t="shared" ca="1" si="89"/>
        <v/>
      </c>
      <c r="F418" s="14">
        <f t="shared" ca="1" si="88"/>
        <v>0</v>
      </c>
      <c r="G418" s="14" t="str">
        <f t="shared" ca="1" si="93"/>
        <v/>
      </c>
      <c r="H418" s="14">
        <f ca="1">IF(G418&lt;&gt;"",IFERROR( IsVariableNameLegal(G418),0),0)+IF(COUNTIF(INDIRECT(wew!$C$13),G418)&gt;1,10,0)</f>
        <v>0</v>
      </c>
      <c r="I418" s="14">
        <f ca="1">IF(E418&lt;&gt;"",IF(LEN(E418)&gt;150,1,0)+IF(COUNTIF(INDIRECT(wew!$C$15),E418)&gt;1,10,0),0)</f>
        <v>0</v>
      </c>
      <c r="J418" s="14" t="b">
        <f t="shared" ca="1" si="94"/>
        <v>0</v>
      </c>
      <c r="K418" s="14" t="str">
        <f ca="1">ADDRESS(3,(B418+1)*2-1,4,,"[" &amp; wew!$G$7 &amp; "]" &amp; _sheetname_labels) &amp; ":" &amp; ADDRESS(2+ster!$B$20,(B418+1)*2-1,4)</f>
        <v>'[dane surowe2c.xlsm]labels'!AFA3:AFA36</v>
      </c>
      <c r="L418" s="14" t="str">
        <f ca="1">IF(F418&gt;0,ADDRESS(3,(B418+1)*2-1,4,,"[" &amp; wew!$G$7 &amp; "]" &amp; _sheetname_labels) &amp; ":" &amp; ADDRESS(2+F418,(B418+1)*2-1,4),"")</f>
        <v/>
      </c>
      <c r="M418" s="14" t="str">
        <f ca="1">IF(F418&gt;0,ADDRESS(3,(B418+1)*2,4,,"["&amp;wew!$G$7&amp;"]"&amp;_sheetname_labels)&amp;":"&amp;ADDRESS(2+F418,(B418+1)*2,4),"")</f>
        <v/>
      </c>
      <c r="N418" s="14" t="str">
        <f ca="1">ADDRESS(3,B418+1,4,,"[" &amp; wew!$G$7 &amp; "]" &amp;_sheetname_dataframe) &amp; ":" &amp; ADDRESS(2+ster!$C$14,B418+1,4)</f>
        <v>'[dane surowe2c.xlsm]data_frame'!PA3:PA35</v>
      </c>
      <c r="O418" s="14" t="str">
        <f t="shared" ca="1" si="95"/>
        <v/>
      </c>
      <c r="P418" s="14" t="str">
        <f ca="1">IF(AND($AD418,$S418=1),IF(wew!$B$3,MIN(INDIRECT($N418)),"&lt;włącz podświetlanie wartości&gt;"),"—")</f>
        <v>—</v>
      </c>
      <c r="Q418" s="14" t="str">
        <f ca="1">IF(AND($AD418,$S418=1),IF(wew!$B$3,MAX(INDIRECT($N418)),"&lt;włącz podświetlanie wartości&gt;"),"—")</f>
        <v>—</v>
      </c>
      <c r="R418" s="14" t="str">
        <f ca="1">IF(AD418,ster!$C$14- (COUNTIF( INDIRECT(N418),"" )+ COUNT(INDIRECT(N418)) +COUNTIF( INDIRECT(N418),"NA" )),"")</f>
        <v/>
      </c>
      <c r="S418" s="12" t="str">
        <f ca="1">IF(AD418,IF(COUNTA(INDIRECT(N418))=0,0, 1-(ster!$C$14- COUNT(INDIRECT(N418)) -COUNTIF( INDIRECT(N418),"" )) /COUNTA(INDIRECT(N418))),"")</f>
        <v/>
      </c>
      <c r="T418" s="17" t="str">
        <f t="array" aca="1" ref="T418" ca="1">IF(L418&lt;&gt;"",SUM(IF(INDIRECT(L418)&lt;&gt;INT(INDIRECT(L418)),1,0)),"")</f>
        <v/>
      </c>
      <c r="U418" s="17" t="str">
        <f t="array" aca="1" ref="U418" ca="1">IF(S418=1,SUM(IF(ISNUMBER(INDIRECT(N418)),IF(INDIRECT(N418)&lt;&gt;INT(INDIRECT(N418)),1,0),0)),"")</f>
        <v/>
      </c>
      <c r="V418" s="17">
        <f t="shared" ca="1" si="96"/>
        <v>0</v>
      </c>
      <c r="W418" s="17">
        <f t="shared" ca="1" si="97"/>
        <v>0</v>
      </c>
      <c r="X418" s="24" t="str">
        <f t="array" aca="1" ref="X418" ca="1">IF(AD418,IF(AG418&lt;&gt;"",AG418,IF(J418,MIN(INDIRECT( K418)),"")),"")</f>
        <v/>
      </c>
      <c r="Y418" s="17" t="str">
        <f t="array" aca="1" ref="Y418" ca="1">IF(AD418,IF(AH418&lt;&gt;"",AH418,IF(J418,MAX(INDIRECT( K418)),"")),"")</f>
        <v/>
      </c>
      <c r="Z418" s="17" t="b">
        <f t="shared" ca="1" si="98"/>
        <v>0</v>
      </c>
      <c r="AC418" s="17" t="str">
        <f t="shared" ca="1" si="99"/>
        <v/>
      </c>
      <c r="AD418" s="14" t="b">
        <f t="shared" ca="1" si="100"/>
        <v>0</v>
      </c>
      <c r="AE418" s="15" t="b">
        <f t="shared" ca="1" si="101"/>
        <v>0</v>
      </c>
      <c r="AF418" s="16"/>
      <c r="AG418" s="16"/>
      <c r="AH418" s="16"/>
      <c r="AI418" s="16"/>
      <c r="AJ418" s="16"/>
      <c r="AK418" s="16"/>
      <c r="AL418" s="16"/>
      <c r="AM418" s="16"/>
    </row>
    <row r="419" spans="2:39">
      <c r="B419" s="14">
        <f t="shared" si="90"/>
        <v>417</v>
      </c>
      <c r="C419" s="14" t="str">
        <f t="shared" ca="1" si="91"/>
        <v/>
      </c>
      <c r="D419" s="14" t="str">
        <f t="shared" ca="1" si="92"/>
        <v/>
      </c>
      <c r="E419" s="14" t="str">
        <f t="shared" ca="1" si="89"/>
        <v/>
      </c>
      <c r="F419" s="14">
        <f t="shared" ref="F419:F482" ca="1" si="102">IF(AD419,COUNT(INDIRECT(K419)),0)</f>
        <v>0</v>
      </c>
      <c r="G419" s="14" t="str">
        <f t="shared" ca="1" si="93"/>
        <v/>
      </c>
      <c r="H419" s="14">
        <f ca="1">IF(G419&lt;&gt;"",IFERROR( IsVariableNameLegal(G419),0),0)+IF(COUNTIF(INDIRECT(wew!$C$13),G419)&gt;1,10,0)</f>
        <v>0</v>
      </c>
      <c r="I419" s="14">
        <f ca="1">IF(E419&lt;&gt;"",IF(LEN(E419)&gt;150,1,0)+IF(COUNTIF(INDIRECT(wew!$C$15),E419)&gt;1,10,0),0)</f>
        <v>0</v>
      </c>
      <c r="J419" s="14" t="b">
        <f t="shared" ca="1" si="94"/>
        <v>0</v>
      </c>
      <c r="K419" s="14" t="str">
        <f ca="1">ADDRESS(3,(B419+1)*2-1,4,,"[" &amp; wew!$G$7 &amp; "]" &amp; _sheetname_labels) &amp; ":" &amp; ADDRESS(2+ster!$B$20,(B419+1)*2-1,4)</f>
        <v>'[dane surowe2c.xlsm]labels'!AFC3:AFC36</v>
      </c>
      <c r="L419" s="14" t="str">
        <f ca="1">IF(F419&gt;0,ADDRESS(3,(B419+1)*2-1,4,,"[" &amp; wew!$G$7 &amp; "]" &amp; _sheetname_labels) &amp; ":" &amp; ADDRESS(2+F419,(B419+1)*2-1,4),"")</f>
        <v/>
      </c>
      <c r="M419" s="14" t="str">
        <f ca="1">IF(F419&gt;0,ADDRESS(3,(B419+1)*2,4,,"["&amp;wew!$G$7&amp;"]"&amp;_sheetname_labels)&amp;":"&amp;ADDRESS(2+F419,(B419+1)*2,4),"")</f>
        <v/>
      </c>
      <c r="N419" s="14" t="str">
        <f ca="1">ADDRESS(3,B419+1,4,,"[" &amp; wew!$G$7 &amp; "]" &amp;_sheetname_dataframe) &amp; ":" &amp; ADDRESS(2+ster!$C$14,B419+1,4)</f>
        <v>'[dane surowe2c.xlsm]data_frame'!PB3:PB35</v>
      </c>
      <c r="O419" s="14" t="str">
        <f t="shared" ca="1" si="95"/>
        <v/>
      </c>
      <c r="P419" s="14" t="str">
        <f ca="1">IF(AND($AD419,$S419=1),IF(wew!$B$3,MIN(INDIRECT($N419)),"&lt;włącz podświetlanie wartości&gt;"),"—")</f>
        <v>—</v>
      </c>
      <c r="Q419" s="14" t="str">
        <f ca="1">IF(AND($AD419,$S419=1),IF(wew!$B$3,MAX(INDIRECT($N419)),"&lt;włącz podświetlanie wartości&gt;"),"—")</f>
        <v>—</v>
      </c>
      <c r="R419" s="14" t="str">
        <f ca="1">IF(AD419,ster!$C$14- (COUNTIF( INDIRECT(N419),"" )+ COUNT(INDIRECT(N419)) +COUNTIF( INDIRECT(N419),"NA" )),"")</f>
        <v/>
      </c>
      <c r="S419" s="12" t="str">
        <f ca="1">IF(AD419,IF(COUNTA(INDIRECT(N419))=0,0, 1-(ster!$C$14- COUNT(INDIRECT(N419)) -COUNTIF( INDIRECT(N419),"" )) /COUNTA(INDIRECT(N419))),"")</f>
        <v/>
      </c>
      <c r="T419" s="17" t="str">
        <f t="array" aca="1" ref="T419" ca="1">IF(L419&lt;&gt;"",SUM(IF(INDIRECT(L419)&lt;&gt;INT(INDIRECT(L419)),1,0)),"")</f>
        <v/>
      </c>
      <c r="U419" s="17" t="str">
        <f t="array" aca="1" ref="U419" ca="1">IF(S419=1,SUM(IF(ISNUMBER(INDIRECT(N419)),IF(INDIRECT(N419)&lt;&gt;INT(INDIRECT(N419)),1,0),0)),"")</f>
        <v/>
      </c>
      <c r="V419" s="17">
        <f t="shared" ca="1" si="96"/>
        <v>0</v>
      </c>
      <c r="W419" s="17">
        <f t="shared" ca="1" si="97"/>
        <v>0</v>
      </c>
      <c r="X419" s="24" t="str">
        <f t="array" aca="1" ref="X419" ca="1">IF(AD419,IF(AG419&lt;&gt;"",AG419,IF(J419,MIN(INDIRECT( K419)),"")),"")</f>
        <v/>
      </c>
      <c r="Y419" s="17" t="str">
        <f t="array" aca="1" ref="Y419" ca="1">IF(AD419,IF(AH419&lt;&gt;"",AH419,IF(J419,MAX(INDIRECT( K419)),"")),"")</f>
        <v/>
      </c>
      <c r="Z419" s="17" t="b">
        <f t="shared" ca="1" si="98"/>
        <v>0</v>
      </c>
      <c r="AC419" s="17" t="str">
        <f t="shared" ca="1" si="99"/>
        <v/>
      </c>
      <c r="AD419" s="14" t="b">
        <f t="shared" ca="1" si="100"/>
        <v>0</v>
      </c>
      <c r="AE419" s="15" t="b">
        <f t="shared" ca="1" si="101"/>
        <v>0</v>
      </c>
      <c r="AF419" s="16"/>
      <c r="AG419" s="16"/>
      <c r="AH419" s="16"/>
      <c r="AI419" s="16"/>
      <c r="AJ419" s="16"/>
      <c r="AK419" s="16"/>
      <c r="AL419" s="16"/>
      <c r="AM419" s="16"/>
    </row>
    <row r="420" spans="2:39">
      <c r="B420" s="14">
        <f t="shared" si="90"/>
        <v>418</v>
      </c>
      <c r="C420" s="14" t="str">
        <f t="shared" ca="1" si="91"/>
        <v/>
      </c>
      <c r="D420" s="14" t="str">
        <f t="shared" ca="1" si="92"/>
        <v/>
      </c>
      <c r="E420" s="14" t="str">
        <f t="shared" ca="1" si="89"/>
        <v/>
      </c>
      <c r="F420" s="14">
        <f t="shared" ca="1" si="102"/>
        <v>0</v>
      </c>
      <c r="G420" s="14" t="str">
        <f t="shared" ca="1" si="93"/>
        <v/>
      </c>
      <c r="H420" s="14">
        <f ca="1">IF(G420&lt;&gt;"",IFERROR( IsVariableNameLegal(G420),0),0)+IF(COUNTIF(INDIRECT(wew!$C$13),G420)&gt;1,10,0)</f>
        <v>0</v>
      </c>
      <c r="I420" s="14">
        <f ca="1">IF(E420&lt;&gt;"",IF(LEN(E420)&gt;150,1,0)+IF(COUNTIF(INDIRECT(wew!$C$15),E420)&gt;1,10,0),0)</f>
        <v>0</v>
      </c>
      <c r="J420" s="14" t="b">
        <f t="shared" ca="1" si="94"/>
        <v>0</v>
      </c>
      <c r="K420" s="14" t="str">
        <f ca="1">ADDRESS(3,(B420+1)*2-1,4,,"[" &amp; wew!$G$7 &amp; "]" &amp; _sheetname_labels) &amp; ":" &amp; ADDRESS(2+ster!$B$20,(B420+1)*2-1,4)</f>
        <v>'[dane surowe2c.xlsm]labels'!AFE3:AFE36</v>
      </c>
      <c r="L420" s="14" t="str">
        <f ca="1">IF(F420&gt;0,ADDRESS(3,(B420+1)*2-1,4,,"[" &amp; wew!$G$7 &amp; "]" &amp; _sheetname_labels) &amp; ":" &amp; ADDRESS(2+F420,(B420+1)*2-1,4),"")</f>
        <v/>
      </c>
      <c r="M420" s="14" t="str">
        <f ca="1">IF(F420&gt;0,ADDRESS(3,(B420+1)*2,4,,"["&amp;wew!$G$7&amp;"]"&amp;_sheetname_labels)&amp;":"&amp;ADDRESS(2+F420,(B420+1)*2,4),"")</f>
        <v/>
      </c>
      <c r="N420" s="14" t="str">
        <f ca="1">ADDRESS(3,B420+1,4,,"[" &amp; wew!$G$7 &amp; "]" &amp;_sheetname_dataframe) &amp; ":" &amp; ADDRESS(2+ster!$C$14,B420+1,4)</f>
        <v>'[dane surowe2c.xlsm]data_frame'!PC3:PC35</v>
      </c>
      <c r="O420" s="14" t="str">
        <f t="shared" ca="1" si="95"/>
        <v/>
      </c>
      <c r="P420" s="14" t="str">
        <f ca="1">IF(AND($AD420,$S420=1),IF(wew!$B$3,MIN(INDIRECT($N420)),"&lt;włącz podświetlanie wartości&gt;"),"—")</f>
        <v>—</v>
      </c>
      <c r="Q420" s="14" t="str">
        <f ca="1">IF(AND($AD420,$S420=1),IF(wew!$B$3,MAX(INDIRECT($N420)),"&lt;włącz podświetlanie wartości&gt;"),"—")</f>
        <v>—</v>
      </c>
      <c r="R420" s="14" t="str">
        <f ca="1">IF(AD420,ster!$C$14- (COUNTIF( INDIRECT(N420),"" )+ COUNT(INDIRECT(N420)) +COUNTIF( INDIRECT(N420),"NA" )),"")</f>
        <v/>
      </c>
      <c r="S420" s="12" t="str">
        <f ca="1">IF(AD420,IF(COUNTA(INDIRECT(N420))=0,0, 1-(ster!$C$14- COUNT(INDIRECT(N420)) -COUNTIF( INDIRECT(N420),"" )) /COUNTA(INDIRECT(N420))),"")</f>
        <v/>
      </c>
      <c r="T420" s="17" t="str">
        <f t="array" aca="1" ref="T420" ca="1">IF(L420&lt;&gt;"",SUM(IF(INDIRECT(L420)&lt;&gt;INT(INDIRECT(L420)),1,0)),"")</f>
        <v/>
      </c>
      <c r="U420" s="17" t="str">
        <f t="array" aca="1" ref="U420" ca="1">IF(S420=1,SUM(IF(ISNUMBER(INDIRECT(N420)),IF(INDIRECT(N420)&lt;&gt;INT(INDIRECT(N420)),1,0),0)),"")</f>
        <v/>
      </c>
      <c r="V420" s="17">
        <f t="shared" ca="1" si="96"/>
        <v>0</v>
      </c>
      <c r="W420" s="17">
        <f t="shared" ca="1" si="97"/>
        <v>0</v>
      </c>
      <c r="X420" s="24" t="str">
        <f t="array" aca="1" ref="X420" ca="1">IF(AD420,IF(AG420&lt;&gt;"",AG420,IF(J420,MIN(INDIRECT( K420)),"")),"")</f>
        <v/>
      </c>
      <c r="Y420" s="17" t="str">
        <f t="array" aca="1" ref="Y420" ca="1">IF(AD420,IF(AH420&lt;&gt;"",AH420,IF(J420,MAX(INDIRECT( K420)),"")),"")</f>
        <v/>
      </c>
      <c r="Z420" s="17" t="b">
        <f t="shared" ca="1" si="98"/>
        <v>0</v>
      </c>
      <c r="AC420" s="17" t="str">
        <f t="shared" ca="1" si="99"/>
        <v/>
      </c>
      <c r="AD420" s="14" t="b">
        <f t="shared" ca="1" si="100"/>
        <v>0</v>
      </c>
      <c r="AE420" s="15" t="b">
        <f t="shared" ca="1" si="101"/>
        <v>0</v>
      </c>
      <c r="AF420" s="16"/>
      <c r="AG420" s="16"/>
      <c r="AH420" s="16"/>
      <c r="AI420" s="16"/>
      <c r="AJ420" s="16"/>
      <c r="AK420" s="16"/>
      <c r="AL420" s="16"/>
      <c r="AM420" s="16"/>
    </row>
    <row r="421" spans="2:39">
      <c r="B421" s="14">
        <f t="shared" si="90"/>
        <v>419</v>
      </c>
      <c r="C421" s="14" t="str">
        <f t="shared" ca="1" si="91"/>
        <v/>
      </c>
      <c r="D421" s="14" t="str">
        <f t="shared" ca="1" si="92"/>
        <v/>
      </c>
      <c r="E421" s="14" t="str">
        <f t="shared" ca="1" si="89"/>
        <v/>
      </c>
      <c r="F421" s="14">
        <f t="shared" ca="1" si="102"/>
        <v>0</v>
      </c>
      <c r="G421" s="14" t="str">
        <f t="shared" ca="1" si="93"/>
        <v/>
      </c>
      <c r="H421" s="14">
        <f ca="1">IF(G421&lt;&gt;"",IFERROR( IsVariableNameLegal(G421),0),0)+IF(COUNTIF(INDIRECT(wew!$C$13),G421)&gt;1,10,0)</f>
        <v>0</v>
      </c>
      <c r="I421" s="14">
        <f ca="1">IF(E421&lt;&gt;"",IF(LEN(E421)&gt;150,1,0)+IF(COUNTIF(INDIRECT(wew!$C$15),E421)&gt;1,10,0),0)</f>
        <v>0</v>
      </c>
      <c r="J421" s="14" t="b">
        <f t="shared" ca="1" si="94"/>
        <v>0</v>
      </c>
      <c r="K421" s="14" t="str">
        <f ca="1">ADDRESS(3,(B421+1)*2-1,4,,"[" &amp; wew!$G$7 &amp; "]" &amp; _sheetname_labels) &amp; ":" &amp; ADDRESS(2+ster!$B$20,(B421+1)*2-1,4)</f>
        <v>'[dane surowe2c.xlsm]labels'!AFG3:AFG36</v>
      </c>
      <c r="L421" s="14" t="str">
        <f ca="1">IF(F421&gt;0,ADDRESS(3,(B421+1)*2-1,4,,"[" &amp; wew!$G$7 &amp; "]" &amp; _sheetname_labels) &amp; ":" &amp; ADDRESS(2+F421,(B421+1)*2-1,4),"")</f>
        <v/>
      </c>
      <c r="M421" s="14" t="str">
        <f ca="1">IF(F421&gt;0,ADDRESS(3,(B421+1)*2,4,,"["&amp;wew!$G$7&amp;"]"&amp;_sheetname_labels)&amp;":"&amp;ADDRESS(2+F421,(B421+1)*2,4),"")</f>
        <v/>
      </c>
      <c r="N421" s="14" t="str">
        <f ca="1">ADDRESS(3,B421+1,4,,"[" &amp; wew!$G$7 &amp; "]" &amp;_sheetname_dataframe) &amp; ":" &amp; ADDRESS(2+ster!$C$14,B421+1,4)</f>
        <v>'[dane surowe2c.xlsm]data_frame'!PD3:PD35</v>
      </c>
      <c r="O421" s="14" t="str">
        <f t="shared" ca="1" si="95"/>
        <v/>
      </c>
      <c r="P421" s="14" t="str">
        <f ca="1">IF(AND($AD421,$S421=1),IF(wew!$B$3,MIN(INDIRECT($N421)),"&lt;włącz podświetlanie wartości&gt;"),"—")</f>
        <v>—</v>
      </c>
      <c r="Q421" s="14" t="str">
        <f ca="1">IF(AND($AD421,$S421=1),IF(wew!$B$3,MAX(INDIRECT($N421)),"&lt;włącz podświetlanie wartości&gt;"),"—")</f>
        <v>—</v>
      </c>
      <c r="R421" s="14" t="str">
        <f ca="1">IF(AD421,ster!$C$14- (COUNTIF( INDIRECT(N421),"" )+ COUNT(INDIRECT(N421)) +COUNTIF( INDIRECT(N421),"NA" )),"")</f>
        <v/>
      </c>
      <c r="S421" s="12" t="str">
        <f ca="1">IF(AD421,IF(COUNTA(INDIRECT(N421))=0,0, 1-(ster!$C$14- COUNT(INDIRECT(N421)) -COUNTIF( INDIRECT(N421),"" )) /COUNTA(INDIRECT(N421))),"")</f>
        <v/>
      </c>
      <c r="T421" s="17" t="str">
        <f t="array" aca="1" ref="T421" ca="1">IF(L421&lt;&gt;"",SUM(IF(INDIRECT(L421)&lt;&gt;INT(INDIRECT(L421)),1,0)),"")</f>
        <v/>
      </c>
      <c r="U421" s="17" t="str">
        <f t="array" aca="1" ref="U421" ca="1">IF(S421=1,SUM(IF(ISNUMBER(INDIRECT(N421)),IF(INDIRECT(N421)&lt;&gt;INT(INDIRECT(N421)),1,0),0)),"")</f>
        <v/>
      </c>
      <c r="V421" s="17">
        <f t="shared" ca="1" si="96"/>
        <v>0</v>
      </c>
      <c r="W421" s="17">
        <f t="shared" ca="1" si="97"/>
        <v>0</v>
      </c>
      <c r="X421" s="24" t="str">
        <f t="array" aca="1" ref="X421" ca="1">IF(AD421,IF(AG421&lt;&gt;"",AG421,IF(J421,MIN(INDIRECT( K421)),"")),"")</f>
        <v/>
      </c>
      <c r="Y421" s="17" t="str">
        <f t="array" aca="1" ref="Y421" ca="1">IF(AD421,IF(AH421&lt;&gt;"",AH421,IF(J421,MAX(INDIRECT( K421)),"")),"")</f>
        <v/>
      </c>
      <c r="Z421" s="17" t="b">
        <f t="shared" ca="1" si="98"/>
        <v>0</v>
      </c>
      <c r="AC421" s="17" t="str">
        <f t="shared" ca="1" si="99"/>
        <v/>
      </c>
      <c r="AD421" s="14" t="b">
        <f t="shared" ca="1" si="100"/>
        <v>0</v>
      </c>
      <c r="AE421" s="15" t="b">
        <f t="shared" ca="1" si="101"/>
        <v>0</v>
      </c>
      <c r="AF421" s="16"/>
      <c r="AG421" s="16"/>
      <c r="AH421" s="16"/>
      <c r="AI421" s="16"/>
      <c r="AJ421" s="16"/>
      <c r="AK421" s="16"/>
      <c r="AL421" s="16"/>
      <c r="AM421" s="16"/>
    </row>
    <row r="422" spans="2:39">
      <c r="B422" s="14">
        <f t="shared" si="90"/>
        <v>420</v>
      </c>
      <c r="C422" s="14" t="str">
        <f t="shared" ca="1" si="91"/>
        <v/>
      </c>
      <c r="D422" s="14" t="str">
        <f t="shared" ca="1" si="92"/>
        <v/>
      </c>
      <c r="E422" s="14" t="str">
        <f t="shared" ca="1" si="89"/>
        <v/>
      </c>
      <c r="F422" s="14">
        <f t="shared" ca="1" si="102"/>
        <v>0</v>
      </c>
      <c r="G422" s="14" t="str">
        <f t="shared" ca="1" si="93"/>
        <v/>
      </c>
      <c r="H422" s="14">
        <f ca="1">IF(G422&lt;&gt;"",IFERROR( IsVariableNameLegal(G422),0),0)+IF(COUNTIF(INDIRECT(wew!$C$13),G422)&gt;1,10,0)</f>
        <v>0</v>
      </c>
      <c r="I422" s="14">
        <f ca="1">IF(E422&lt;&gt;"",IF(LEN(E422)&gt;150,1,0)+IF(COUNTIF(INDIRECT(wew!$C$15),E422)&gt;1,10,0),0)</f>
        <v>0</v>
      </c>
      <c r="J422" s="14" t="b">
        <f t="shared" ca="1" si="94"/>
        <v>0</v>
      </c>
      <c r="K422" s="14" t="str">
        <f ca="1">ADDRESS(3,(B422+1)*2-1,4,,"[" &amp; wew!$G$7 &amp; "]" &amp; _sheetname_labels) &amp; ":" &amp; ADDRESS(2+ster!$B$20,(B422+1)*2-1,4)</f>
        <v>'[dane surowe2c.xlsm]labels'!AFI3:AFI36</v>
      </c>
      <c r="L422" s="14" t="str">
        <f ca="1">IF(F422&gt;0,ADDRESS(3,(B422+1)*2-1,4,,"[" &amp; wew!$G$7 &amp; "]" &amp; _sheetname_labels) &amp; ":" &amp; ADDRESS(2+F422,(B422+1)*2-1,4),"")</f>
        <v/>
      </c>
      <c r="M422" s="14" t="str">
        <f ca="1">IF(F422&gt;0,ADDRESS(3,(B422+1)*2,4,,"["&amp;wew!$G$7&amp;"]"&amp;_sheetname_labels)&amp;":"&amp;ADDRESS(2+F422,(B422+1)*2,4),"")</f>
        <v/>
      </c>
      <c r="N422" s="14" t="str">
        <f ca="1">ADDRESS(3,B422+1,4,,"[" &amp; wew!$G$7 &amp; "]" &amp;_sheetname_dataframe) &amp; ":" &amp; ADDRESS(2+ster!$C$14,B422+1,4)</f>
        <v>'[dane surowe2c.xlsm]data_frame'!PE3:PE35</v>
      </c>
      <c r="O422" s="14" t="str">
        <f t="shared" ca="1" si="95"/>
        <v/>
      </c>
      <c r="P422" s="14" t="str">
        <f ca="1">IF(AND($AD422,$S422=1),IF(wew!$B$3,MIN(INDIRECT($N422)),"&lt;włącz podświetlanie wartości&gt;"),"—")</f>
        <v>—</v>
      </c>
      <c r="Q422" s="14" t="str">
        <f ca="1">IF(AND($AD422,$S422=1),IF(wew!$B$3,MAX(INDIRECT($N422)),"&lt;włącz podświetlanie wartości&gt;"),"—")</f>
        <v>—</v>
      </c>
      <c r="R422" s="14" t="str">
        <f ca="1">IF(AD422,ster!$C$14- (COUNTIF( INDIRECT(N422),"" )+ COUNT(INDIRECT(N422)) +COUNTIF( INDIRECT(N422),"NA" )),"")</f>
        <v/>
      </c>
      <c r="S422" s="12" t="str">
        <f ca="1">IF(AD422,IF(COUNTA(INDIRECT(N422))=0,0, 1-(ster!$C$14- COUNT(INDIRECT(N422)) -COUNTIF( INDIRECT(N422),"" )) /COUNTA(INDIRECT(N422))),"")</f>
        <v/>
      </c>
      <c r="T422" s="17" t="str">
        <f t="array" aca="1" ref="T422" ca="1">IF(L422&lt;&gt;"",SUM(IF(INDIRECT(L422)&lt;&gt;INT(INDIRECT(L422)),1,0)),"")</f>
        <v/>
      </c>
      <c r="U422" s="17" t="str">
        <f t="array" aca="1" ref="U422" ca="1">IF(S422=1,SUM(IF(ISNUMBER(INDIRECT(N422)),IF(INDIRECT(N422)&lt;&gt;INT(INDIRECT(N422)),1,0),0)),"")</f>
        <v/>
      </c>
      <c r="V422" s="17">
        <f t="shared" ca="1" si="96"/>
        <v>0</v>
      </c>
      <c r="W422" s="17">
        <f t="shared" ca="1" si="97"/>
        <v>0</v>
      </c>
      <c r="X422" s="24" t="str">
        <f t="array" aca="1" ref="X422" ca="1">IF(AD422,IF(AG422&lt;&gt;"",AG422,IF(J422,MIN(INDIRECT( K422)),"")),"")</f>
        <v/>
      </c>
      <c r="Y422" s="17" t="str">
        <f t="array" aca="1" ref="Y422" ca="1">IF(AD422,IF(AH422&lt;&gt;"",AH422,IF(J422,MAX(INDIRECT( K422)),"")),"")</f>
        <v/>
      </c>
      <c r="Z422" s="17" t="b">
        <f t="shared" ca="1" si="98"/>
        <v>0</v>
      </c>
      <c r="AC422" s="17" t="str">
        <f t="shared" ca="1" si="99"/>
        <v/>
      </c>
      <c r="AD422" s="14" t="b">
        <f t="shared" ca="1" si="100"/>
        <v>0</v>
      </c>
      <c r="AE422" s="15" t="b">
        <f t="shared" ca="1" si="101"/>
        <v>0</v>
      </c>
      <c r="AF422" s="16"/>
      <c r="AG422" s="16"/>
      <c r="AH422" s="16"/>
      <c r="AI422" s="16"/>
      <c r="AJ422" s="16"/>
      <c r="AK422" s="16"/>
      <c r="AL422" s="16"/>
      <c r="AM422" s="16"/>
    </row>
    <row r="423" spans="2:39">
      <c r="B423" s="14">
        <f t="shared" si="90"/>
        <v>421</v>
      </c>
      <c r="C423" s="14" t="str">
        <f t="shared" ca="1" si="91"/>
        <v/>
      </c>
      <c r="D423" s="14" t="str">
        <f t="shared" ca="1" si="92"/>
        <v/>
      </c>
      <c r="E423" s="14" t="str">
        <f t="shared" ca="1" si="89"/>
        <v/>
      </c>
      <c r="F423" s="14">
        <f t="shared" ca="1" si="102"/>
        <v>0</v>
      </c>
      <c r="G423" s="14" t="str">
        <f t="shared" ca="1" si="93"/>
        <v/>
      </c>
      <c r="H423" s="14">
        <f ca="1">IF(G423&lt;&gt;"",IFERROR( IsVariableNameLegal(G423),0),0)+IF(COUNTIF(INDIRECT(wew!$C$13),G423)&gt;1,10,0)</f>
        <v>0</v>
      </c>
      <c r="I423" s="14">
        <f ca="1">IF(E423&lt;&gt;"",IF(LEN(E423)&gt;150,1,0)+IF(COUNTIF(INDIRECT(wew!$C$15),E423)&gt;1,10,0),0)</f>
        <v>0</v>
      </c>
      <c r="J423" s="14" t="b">
        <f t="shared" ca="1" si="94"/>
        <v>0</v>
      </c>
      <c r="K423" s="14" t="str">
        <f ca="1">ADDRESS(3,(B423+1)*2-1,4,,"[" &amp; wew!$G$7 &amp; "]" &amp; _sheetname_labels) &amp; ":" &amp; ADDRESS(2+ster!$B$20,(B423+1)*2-1,4)</f>
        <v>'[dane surowe2c.xlsm]labels'!AFK3:AFK36</v>
      </c>
      <c r="L423" s="14" t="str">
        <f ca="1">IF(F423&gt;0,ADDRESS(3,(B423+1)*2-1,4,,"[" &amp; wew!$G$7 &amp; "]" &amp; _sheetname_labels) &amp; ":" &amp; ADDRESS(2+F423,(B423+1)*2-1,4),"")</f>
        <v/>
      </c>
      <c r="M423" s="14" t="str">
        <f ca="1">IF(F423&gt;0,ADDRESS(3,(B423+1)*2,4,,"["&amp;wew!$G$7&amp;"]"&amp;_sheetname_labels)&amp;":"&amp;ADDRESS(2+F423,(B423+1)*2,4),"")</f>
        <v/>
      </c>
      <c r="N423" s="14" t="str">
        <f ca="1">ADDRESS(3,B423+1,4,,"[" &amp; wew!$G$7 &amp; "]" &amp;_sheetname_dataframe) &amp; ":" &amp; ADDRESS(2+ster!$C$14,B423+1,4)</f>
        <v>'[dane surowe2c.xlsm]data_frame'!PF3:PF35</v>
      </c>
      <c r="O423" s="14" t="str">
        <f t="shared" ca="1" si="95"/>
        <v/>
      </c>
      <c r="P423" s="14" t="str">
        <f ca="1">IF(AND($AD423,$S423=1),IF(wew!$B$3,MIN(INDIRECT($N423)),"&lt;włącz podświetlanie wartości&gt;"),"—")</f>
        <v>—</v>
      </c>
      <c r="Q423" s="14" t="str">
        <f ca="1">IF(AND($AD423,$S423=1),IF(wew!$B$3,MAX(INDIRECT($N423)),"&lt;włącz podświetlanie wartości&gt;"),"—")</f>
        <v>—</v>
      </c>
      <c r="R423" s="14" t="str">
        <f ca="1">IF(AD423,ster!$C$14- (COUNTIF( INDIRECT(N423),"" )+ COUNT(INDIRECT(N423)) +COUNTIF( INDIRECT(N423),"NA" )),"")</f>
        <v/>
      </c>
      <c r="S423" s="12" t="str">
        <f ca="1">IF(AD423,IF(COUNTA(INDIRECT(N423))=0,0, 1-(ster!$C$14- COUNT(INDIRECT(N423)) -COUNTIF( INDIRECT(N423),"" )) /COUNTA(INDIRECT(N423))),"")</f>
        <v/>
      </c>
      <c r="T423" s="17" t="str">
        <f t="array" aca="1" ref="T423" ca="1">IF(L423&lt;&gt;"",SUM(IF(INDIRECT(L423)&lt;&gt;INT(INDIRECT(L423)),1,0)),"")</f>
        <v/>
      </c>
      <c r="U423" s="17" t="str">
        <f t="array" aca="1" ref="U423" ca="1">IF(S423=1,SUM(IF(ISNUMBER(INDIRECT(N423)),IF(INDIRECT(N423)&lt;&gt;INT(INDIRECT(N423)),1,0),0)),"")</f>
        <v/>
      </c>
      <c r="V423" s="17">
        <f t="shared" ca="1" si="96"/>
        <v>0</v>
      </c>
      <c r="W423" s="17">
        <f t="shared" ca="1" si="97"/>
        <v>0</v>
      </c>
      <c r="X423" s="24" t="str">
        <f t="array" aca="1" ref="X423" ca="1">IF(AD423,IF(AG423&lt;&gt;"",AG423,IF(J423,MIN(INDIRECT( K423)),"")),"")</f>
        <v/>
      </c>
      <c r="Y423" s="17" t="str">
        <f t="array" aca="1" ref="Y423" ca="1">IF(AD423,IF(AH423&lt;&gt;"",AH423,IF(J423,MAX(INDIRECT( K423)),"")),"")</f>
        <v/>
      </c>
      <c r="Z423" s="17" t="b">
        <f t="shared" ca="1" si="98"/>
        <v>0</v>
      </c>
      <c r="AC423" s="17" t="str">
        <f t="shared" ca="1" si="99"/>
        <v/>
      </c>
      <c r="AD423" s="14" t="b">
        <f t="shared" ca="1" si="100"/>
        <v>0</v>
      </c>
      <c r="AE423" s="15" t="b">
        <f t="shared" ca="1" si="101"/>
        <v>0</v>
      </c>
      <c r="AF423" s="16"/>
      <c r="AG423" s="16"/>
      <c r="AH423" s="16"/>
      <c r="AI423" s="16"/>
      <c r="AJ423" s="16"/>
      <c r="AK423" s="16"/>
      <c r="AL423" s="16"/>
      <c r="AM423" s="16"/>
    </row>
    <row r="424" spans="2:39">
      <c r="B424" s="14">
        <f t="shared" si="90"/>
        <v>422</v>
      </c>
      <c r="C424" s="14" t="str">
        <f t="shared" ca="1" si="91"/>
        <v/>
      </c>
      <c r="D424" s="14" t="str">
        <f t="shared" ca="1" si="92"/>
        <v/>
      </c>
      <c r="E424" s="14" t="str">
        <f t="shared" ca="1" si="89"/>
        <v/>
      </c>
      <c r="F424" s="14">
        <f t="shared" ca="1" si="102"/>
        <v>0</v>
      </c>
      <c r="G424" s="14" t="str">
        <f t="shared" ca="1" si="93"/>
        <v/>
      </c>
      <c r="H424" s="14">
        <f ca="1">IF(G424&lt;&gt;"",IFERROR( IsVariableNameLegal(G424),0),0)+IF(COUNTIF(INDIRECT(wew!$C$13),G424)&gt;1,10,0)</f>
        <v>0</v>
      </c>
      <c r="I424" s="14">
        <f ca="1">IF(E424&lt;&gt;"",IF(LEN(E424)&gt;150,1,0)+IF(COUNTIF(INDIRECT(wew!$C$15),E424)&gt;1,10,0),0)</f>
        <v>0</v>
      </c>
      <c r="J424" s="14" t="b">
        <f t="shared" ca="1" si="94"/>
        <v>0</v>
      </c>
      <c r="K424" s="14" t="str">
        <f ca="1">ADDRESS(3,(B424+1)*2-1,4,,"[" &amp; wew!$G$7 &amp; "]" &amp; _sheetname_labels) &amp; ":" &amp; ADDRESS(2+ster!$B$20,(B424+1)*2-1,4)</f>
        <v>'[dane surowe2c.xlsm]labels'!AFM3:AFM36</v>
      </c>
      <c r="L424" s="14" t="str">
        <f ca="1">IF(F424&gt;0,ADDRESS(3,(B424+1)*2-1,4,,"[" &amp; wew!$G$7 &amp; "]" &amp; _sheetname_labels) &amp; ":" &amp; ADDRESS(2+F424,(B424+1)*2-1,4),"")</f>
        <v/>
      </c>
      <c r="M424" s="14" t="str">
        <f ca="1">IF(F424&gt;0,ADDRESS(3,(B424+1)*2,4,,"["&amp;wew!$G$7&amp;"]"&amp;_sheetname_labels)&amp;":"&amp;ADDRESS(2+F424,(B424+1)*2,4),"")</f>
        <v/>
      </c>
      <c r="N424" s="14" t="str">
        <f ca="1">ADDRESS(3,B424+1,4,,"[" &amp; wew!$G$7 &amp; "]" &amp;_sheetname_dataframe) &amp; ":" &amp; ADDRESS(2+ster!$C$14,B424+1,4)</f>
        <v>'[dane surowe2c.xlsm]data_frame'!PG3:PG35</v>
      </c>
      <c r="O424" s="14" t="str">
        <f t="shared" ca="1" si="95"/>
        <v/>
      </c>
      <c r="P424" s="14" t="str">
        <f ca="1">IF(AND($AD424,$S424=1),IF(wew!$B$3,MIN(INDIRECT($N424)),"&lt;włącz podświetlanie wartości&gt;"),"—")</f>
        <v>—</v>
      </c>
      <c r="Q424" s="14" t="str">
        <f ca="1">IF(AND($AD424,$S424=1),IF(wew!$B$3,MAX(INDIRECT($N424)),"&lt;włącz podświetlanie wartości&gt;"),"—")</f>
        <v>—</v>
      </c>
      <c r="R424" s="14" t="str">
        <f ca="1">IF(AD424,ster!$C$14- (COUNTIF( INDIRECT(N424),"" )+ COUNT(INDIRECT(N424)) +COUNTIF( INDIRECT(N424),"NA" )),"")</f>
        <v/>
      </c>
      <c r="S424" s="12" t="str">
        <f ca="1">IF(AD424,IF(COUNTA(INDIRECT(N424))=0,0, 1-(ster!$C$14- COUNT(INDIRECT(N424)) -COUNTIF( INDIRECT(N424),"" )) /COUNTA(INDIRECT(N424))),"")</f>
        <v/>
      </c>
      <c r="T424" s="17" t="str">
        <f t="array" aca="1" ref="T424" ca="1">IF(L424&lt;&gt;"",SUM(IF(INDIRECT(L424)&lt;&gt;INT(INDIRECT(L424)),1,0)),"")</f>
        <v/>
      </c>
      <c r="U424" s="17" t="str">
        <f t="array" aca="1" ref="U424" ca="1">IF(S424=1,SUM(IF(ISNUMBER(INDIRECT(N424)),IF(INDIRECT(N424)&lt;&gt;INT(INDIRECT(N424)),1,0),0)),"")</f>
        <v/>
      </c>
      <c r="V424" s="17">
        <f t="shared" ca="1" si="96"/>
        <v>0</v>
      </c>
      <c r="W424" s="17">
        <f t="shared" ca="1" si="97"/>
        <v>0</v>
      </c>
      <c r="X424" s="24" t="str">
        <f t="array" aca="1" ref="X424" ca="1">IF(AD424,IF(AG424&lt;&gt;"",AG424,IF(J424,MIN(INDIRECT( K424)),"")),"")</f>
        <v/>
      </c>
      <c r="Y424" s="17" t="str">
        <f t="array" aca="1" ref="Y424" ca="1">IF(AD424,IF(AH424&lt;&gt;"",AH424,IF(J424,MAX(INDIRECT( K424)),"")),"")</f>
        <v/>
      </c>
      <c r="Z424" s="17" t="b">
        <f t="shared" ca="1" si="98"/>
        <v>0</v>
      </c>
      <c r="AC424" s="17" t="str">
        <f t="shared" ca="1" si="99"/>
        <v/>
      </c>
      <c r="AD424" s="14" t="b">
        <f t="shared" ca="1" si="100"/>
        <v>0</v>
      </c>
      <c r="AE424" s="15" t="b">
        <f t="shared" ca="1" si="101"/>
        <v>0</v>
      </c>
      <c r="AF424" s="16"/>
      <c r="AG424" s="16"/>
      <c r="AH424" s="16"/>
      <c r="AI424" s="16"/>
      <c r="AJ424" s="16"/>
      <c r="AK424" s="16"/>
      <c r="AL424" s="16"/>
      <c r="AM424" s="16"/>
    </row>
    <row r="425" spans="2:39">
      <c r="B425" s="14">
        <f t="shared" si="90"/>
        <v>423</v>
      </c>
      <c r="C425" s="14" t="str">
        <f t="shared" ca="1" si="91"/>
        <v/>
      </c>
      <c r="D425" s="14" t="str">
        <f t="shared" ca="1" si="92"/>
        <v/>
      </c>
      <c r="E425" s="14" t="str">
        <f t="shared" ca="1" si="89"/>
        <v/>
      </c>
      <c r="F425" s="14">
        <f t="shared" ca="1" si="102"/>
        <v>0</v>
      </c>
      <c r="G425" s="14" t="str">
        <f t="shared" ca="1" si="93"/>
        <v/>
      </c>
      <c r="H425" s="14">
        <f ca="1">IF(G425&lt;&gt;"",IFERROR( IsVariableNameLegal(G425),0),0)+IF(COUNTIF(INDIRECT(wew!$C$13),G425)&gt;1,10,0)</f>
        <v>0</v>
      </c>
      <c r="I425" s="14">
        <f ca="1">IF(E425&lt;&gt;"",IF(LEN(E425)&gt;150,1,0)+IF(COUNTIF(INDIRECT(wew!$C$15),E425)&gt;1,10,0),0)</f>
        <v>0</v>
      </c>
      <c r="J425" s="14" t="b">
        <f t="shared" ca="1" si="94"/>
        <v>0</v>
      </c>
      <c r="K425" s="14" t="str">
        <f ca="1">ADDRESS(3,(B425+1)*2-1,4,,"[" &amp; wew!$G$7 &amp; "]" &amp; _sheetname_labels) &amp; ":" &amp; ADDRESS(2+ster!$B$20,(B425+1)*2-1,4)</f>
        <v>'[dane surowe2c.xlsm]labels'!AFO3:AFO36</v>
      </c>
      <c r="L425" s="14" t="str">
        <f ca="1">IF(F425&gt;0,ADDRESS(3,(B425+1)*2-1,4,,"[" &amp; wew!$G$7 &amp; "]" &amp; _sheetname_labels) &amp; ":" &amp; ADDRESS(2+F425,(B425+1)*2-1,4),"")</f>
        <v/>
      </c>
      <c r="M425" s="14" t="str">
        <f ca="1">IF(F425&gt;0,ADDRESS(3,(B425+1)*2,4,,"["&amp;wew!$G$7&amp;"]"&amp;_sheetname_labels)&amp;":"&amp;ADDRESS(2+F425,(B425+1)*2,4),"")</f>
        <v/>
      </c>
      <c r="N425" s="14" t="str">
        <f ca="1">ADDRESS(3,B425+1,4,,"[" &amp; wew!$G$7 &amp; "]" &amp;_sheetname_dataframe) &amp; ":" &amp; ADDRESS(2+ster!$C$14,B425+1,4)</f>
        <v>'[dane surowe2c.xlsm]data_frame'!PH3:PH35</v>
      </c>
      <c r="O425" s="14" t="str">
        <f t="shared" ca="1" si="95"/>
        <v/>
      </c>
      <c r="P425" s="14" t="str">
        <f ca="1">IF(AND($AD425,$S425=1),IF(wew!$B$3,MIN(INDIRECT($N425)),"&lt;włącz podświetlanie wartości&gt;"),"—")</f>
        <v>—</v>
      </c>
      <c r="Q425" s="14" t="str">
        <f ca="1">IF(AND($AD425,$S425=1),IF(wew!$B$3,MAX(INDIRECT($N425)),"&lt;włącz podświetlanie wartości&gt;"),"—")</f>
        <v>—</v>
      </c>
      <c r="R425" s="14" t="str">
        <f ca="1">IF(AD425,ster!$C$14- (COUNTIF( INDIRECT(N425),"" )+ COUNT(INDIRECT(N425)) +COUNTIF( INDIRECT(N425),"NA" )),"")</f>
        <v/>
      </c>
      <c r="S425" s="12" t="str">
        <f ca="1">IF(AD425,IF(COUNTA(INDIRECT(N425))=0,0, 1-(ster!$C$14- COUNT(INDIRECT(N425)) -COUNTIF( INDIRECT(N425),"" )) /COUNTA(INDIRECT(N425))),"")</f>
        <v/>
      </c>
      <c r="T425" s="17" t="str">
        <f t="array" aca="1" ref="T425" ca="1">IF(L425&lt;&gt;"",SUM(IF(INDIRECT(L425)&lt;&gt;INT(INDIRECT(L425)),1,0)),"")</f>
        <v/>
      </c>
      <c r="U425" s="17" t="str">
        <f t="array" aca="1" ref="U425" ca="1">IF(S425=1,SUM(IF(ISNUMBER(INDIRECT(N425)),IF(INDIRECT(N425)&lt;&gt;INT(INDIRECT(N425)),1,0),0)),"")</f>
        <v/>
      </c>
      <c r="V425" s="17">
        <f t="shared" ca="1" si="96"/>
        <v>0</v>
      </c>
      <c r="W425" s="17">
        <f t="shared" ca="1" si="97"/>
        <v>0</v>
      </c>
      <c r="X425" s="24" t="str">
        <f t="array" aca="1" ref="X425" ca="1">IF(AD425,IF(AG425&lt;&gt;"",AG425,IF(J425,MIN(INDIRECT( K425)),"")),"")</f>
        <v/>
      </c>
      <c r="Y425" s="17" t="str">
        <f t="array" aca="1" ref="Y425" ca="1">IF(AD425,IF(AH425&lt;&gt;"",AH425,IF(J425,MAX(INDIRECT( K425)),"")),"")</f>
        <v/>
      </c>
      <c r="Z425" s="17" t="b">
        <f t="shared" ca="1" si="98"/>
        <v>0</v>
      </c>
      <c r="AC425" s="17" t="str">
        <f t="shared" ca="1" si="99"/>
        <v/>
      </c>
      <c r="AD425" s="14" t="b">
        <f t="shared" ca="1" si="100"/>
        <v>0</v>
      </c>
      <c r="AE425" s="15" t="b">
        <f t="shared" ca="1" si="101"/>
        <v>0</v>
      </c>
      <c r="AF425" s="16"/>
      <c r="AG425" s="16"/>
      <c r="AH425" s="16"/>
      <c r="AI425" s="16"/>
      <c r="AJ425" s="16"/>
      <c r="AK425" s="16"/>
      <c r="AL425" s="16"/>
      <c r="AM425" s="16"/>
    </row>
    <row r="426" spans="2:39">
      <c r="B426" s="14">
        <f t="shared" si="90"/>
        <v>424</v>
      </c>
      <c r="C426" s="14" t="str">
        <f t="shared" ca="1" si="91"/>
        <v/>
      </c>
      <c r="D426" s="14" t="str">
        <f t="shared" ca="1" si="92"/>
        <v/>
      </c>
      <c r="E426" s="14" t="str">
        <f t="shared" ca="1" si="89"/>
        <v/>
      </c>
      <c r="F426" s="14">
        <f t="shared" ca="1" si="102"/>
        <v>0</v>
      </c>
      <c r="G426" s="14" t="str">
        <f t="shared" ca="1" si="93"/>
        <v/>
      </c>
      <c r="H426" s="14">
        <f ca="1">IF(G426&lt;&gt;"",IFERROR( IsVariableNameLegal(G426),0),0)+IF(COUNTIF(INDIRECT(wew!$C$13),G426)&gt;1,10,0)</f>
        <v>0</v>
      </c>
      <c r="I426" s="14">
        <f ca="1">IF(E426&lt;&gt;"",IF(LEN(E426)&gt;150,1,0)+IF(COUNTIF(INDIRECT(wew!$C$15),E426)&gt;1,10,0),0)</f>
        <v>0</v>
      </c>
      <c r="J426" s="14" t="b">
        <f t="shared" ca="1" si="94"/>
        <v>0</v>
      </c>
      <c r="K426" s="14" t="str">
        <f ca="1">ADDRESS(3,(B426+1)*2-1,4,,"[" &amp; wew!$G$7 &amp; "]" &amp; _sheetname_labels) &amp; ":" &amp; ADDRESS(2+ster!$B$20,(B426+1)*2-1,4)</f>
        <v>'[dane surowe2c.xlsm]labels'!AFQ3:AFQ36</v>
      </c>
      <c r="L426" s="14" t="str">
        <f ca="1">IF(F426&gt;0,ADDRESS(3,(B426+1)*2-1,4,,"[" &amp; wew!$G$7 &amp; "]" &amp; _sheetname_labels) &amp; ":" &amp; ADDRESS(2+F426,(B426+1)*2-1,4),"")</f>
        <v/>
      </c>
      <c r="M426" s="14" t="str">
        <f ca="1">IF(F426&gt;0,ADDRESS(3,(B426+1)*2,4,,"["&amp;wew!$G$7&amp;"]"&amp;_sheetname_labels)&amp;":"&amp;ADDRESS(2+F426,(B426+1)*2,4),"")</f>
        <v/>
      </c>
      <c r="N426" s="14" t="str">
        <f ca="1">ADDRESS(3,B426+1,4,,"[" &amp; wew!$G$7 &amp; "]" &amp;_sheetname_dataframe) &amp; ":" &amp; ADDRESS(2+ster!$C$14,B426+1,4)</f>
        <v>'[dane surowe2c.xlsm]data_frame'!PI3:PI35</v>
      </c>
      <c r="O426" s="14" t="str">
        <f t="shared" ca="1" si="95"/>
        <v/>
      </c>
      <c r="P426" s="14" t="str">
        <f ca="1">IF(AND($AD426,$S426=1),IF(wew!$B$3,MIN(INDIRECT($N426)),"&lt;włącz podświetlanie wartości&gt;"),"—")</f>
        <v>—</v>
      </c>
      <c r="Q426" s="14" t="str">
        <f ca="1">IF(AND($AD426,$S426=1),IF(wew!$B$3,MAX(INDIRECT($N426)),"&lt;włącz podświetlanie wartości&gt;"),"—")</f>
        <v>—</v>
      </c>
      <c r="R426" s="14" t="str">
        <f ca="1">IF(AD426,ster!$C$14- (COUNTIF( INDIRECT(N426),"" )+ COUNT(INDIRECT(N426)) +COUNTIF( INDIRECT(N426),"NA" )),"")</f>
        <v/>
      </c>
      <c r="S426" s="12" t="str">
        <f ca="1">IF(AD426,IF(COUNTA(INDIRECT(N426))=0,0, 1-(ster!$C$14- COUNT(INDIRECT(N426)) -COUNTIF( INDIRECT(N426),"" )) /COUNTA(INDIRECT(N426))),"")</f>
        <v/>
      </c>
      <c r="T426" s="17" t="str">
        <f t="array" aca="1" ref="T426" ca="1">IF(L426&lt;&gt;"",SUM(IF(INDIRECT(L426)&lt;&gt;INT(INDIRECT(L426)),1,0)),"")</f>
        <v/>
      </c>
      <c r="U426" s="17" t="str">
        <f t="array" aca="1" ref="U426" ca="1">IF(S426=1,SUM(IF(ISNUMBER(INDIRECT(N426)),IF(INDIRECT(N426)&lt;&gt;INT(INDIRECT(N426)),1,0),0)),"")</f>
        <v/>
      </c>
      <c r="V426" s="17">
        <f t="shared" ca="1" si="96"/>
        <v>0</v>
      </c>
      <c r="W426" s="17">
        <f t="shared" ca="1" si="97"/>
        <v>0</v>
      </c>
      <c r="X426" s="24" t="str">
        <f t="array" aca="1" ref="X426" ca="1">IF(AD426,IF(AG426&lt;&gt;"",AG426,IF(J426,MIN(INDIRECT( K426)),"")),"")</f>
        <v/>
      </c>
      <c r="Y426" s="17" t="str">
        <f t="array" aca="1" ref="Y426" ca="1">IF(AD426,IF(AH426&lt;&gt;"",AH426,IF(J426,MAX(INDIRECT( K426)),"")),"")</f>
        <v/>
      </c>
      <c r="Z426" s="17" t="b">
        <f t="shared" ca="1" si="98"/>
        <v>0</v>
      </c>
      <c r="AC426" s="17" t="str">
        <f t="shared" ca="1" si="99"/>
        <v/>
      </c>
      <c r="AD426" s="14" t="b">
        <f t="shared" ca="1" si="100"/>
        <v>0</v>
      </c>
      <c r="AE426" s="15" t="b">
        <f t="shared" ca="1" si="101"/>
        <v>0</v>
      </c>
      <c r="AF426" s="16"/>
      <c r="AG426" s="16"/>
      <c r="AH426" s="16"/>
      <c r="AI426" s="16"/>
      <c r="AJ426" s="16"/>
      <c r="AK426" s="16"/>
      <c r="AL426" s="16"/>
      <c r="AM426" s="16"/>
    </row>
    <row r="427" spans="2:39">
      <c r="B427" s="14">
        <f t="shared" si="90"/>
        <v>425</v>
      </c>
      <c r="C427" s="14" t="str">
        <f t="shared" ca="1" si="91"/>
        <v/>
      </c>
      <c r="D427" s="14" t="str">
        <f t="shared" ca="1" si="92"/>
        <v/>
      </c>
      <c r="E427" s="14" t="str">
        <f t="shared" ca="1" si="89"/>
        <v/>
      </c>
      <c r="F427" s="14">
        <f t="shared" ca="1" si="102"/>
        <v>0</v>
      </c>
      <c r="G427" s="14" t="str">
        <f t="shared" ca="1" si="93"/>
        <v/>
      </c>
      <c r="H427" s="14">
        <f ca="1">IF(G427&lt;&gt;"",IFERROR( IsVariableNameLegal(G427),0),0)+IF(COUNTIF(INDIRECT(wew!$C$13),G427)&gt;1,10,0)</f>
        <v>0</v>
      </c>
      <c r="I427" s="14">
        <f ca="1">IF(E427&lt;&gt;"",IF(LEN(E427)&gt;150,1,0)+IF(COUNTIF(INDIRECT(wew!$C$15),E427)&gt;1,10,0),0)</f>
        <v>0</v>
      </c>
      <c r="J427" s="14" t="b">
        <f t="shared" ca="1" si="94"/>
        <v>0</v>
      </c>
      <c r="K427" s="14" t="str">
        <f ca="1">ADDRESS(3,(B427+1)*2-1,4,,"[" &amp; wew!$G$7 &amp; "]" &amp; _sheetname_labels) &amp; ":" &amp; ADDRESS(2+ster!$B$20,(B427+1)*2-1,4)</f>
        <v>'[dane surowe2c.xlsm]labels'!AFS3:AFS36</v>
      </c>
      <c r="L427" s="14" t="str">
        <f ca="1">IF(F427&gt;0,ADDRESS(3,(B427+1)*2-1,4,,"[" &amp; wew!$G$7 &amp; "]" &amp; _sheetname_labels) &amp; ":" &amp; ADDRESS(2+F427,(B427+1)*2-1,4),"")</f>
        <v/>
      </c>
      <c r="M427" s="14" t="str">
        <f ca="1">IF(F427&gt;0,ADDRESS(3,(B427+1)*2,4,,"["&amp;wew!$G$7&amp;"]"&amp;_sheetname_labels)&amp;":"&amp;ADDRESS(2+F427,(B427+1)*2,4),"")</f>
        <v/>
      </c>
      <c r="N427" s="14" t="str">
        <f ca="1">ADDRESS(3,B427+1,4,,"[" &amp; wew!$G$7 &amp; "]" &amp;_sheetname_dataframe) &amp; ":" &amp; ADDRESS(2+ster!$C$14,B427+1,4)</f>
        <v>'[dane surowe2c.xlsm]data_frame'!PJ3:PJ35</v>
      </c>
      <c r="O427" s="14" t="str">
        <f t="shared" ca="1" si="95"/>
        <v/>
      </c>
      <c r="P427" s="14" t="str">
        <f ca="1">IF(AND($AD427,$S427=1),IF(wew!$B$3,MIN(INDIRECT($N427)),"&lt;włącz podświetlanie wartości&gt;"),"—")</f>
        <v>—</v>
      </c>
      <c r="Q427" s="14" t="str">
        <f ca="1">IF(AND($AD427,$S427=1),IF(wew!$B$3,MAX(INDIRECT($N427)),"&lt;włącz podświetlanie wartości&gt;"),"—")</f>
        <v>—</v>
      </c>
      <c r="R427" s="14" t="str">
        <f ca="1">IF(AD427,ster!$C$14- (COUNTIF( INDIRECT(N427),"" )+ COUNT(INDIRECT(N427)) +COUNTIF( INDIRECT(N427),"NA" )),"")</f>
        <v/>
      </c>
      <c r="S427" s="12" t="str">
        <f ca="1">IF(AD427,IF(COUNTA(INDIRECT(N427))=0,0, 1-(ster!$C$14- COUNT(INDIRECT(N427)) -COUNTIF( INDIRECT(N427),"" )) /COUNTA(INDIRECT(N427))),"")</f>
        <v/>
      </c>
      <c r="T427" s="17" t="str">
        <f t="array" aca="1" ref="T427" ca="1">IF(L427&lt;&gt;"",SUM(IF(INDIRECT(L427)&lt;&gt;INT(INDIRECT(L427)),1,0)),"")</f>
        <v/>
      </c>
      <c r="U427" s="17" t="str">
        <f t="array" aca="1" ref="U427" ca="1">IF(S427=1,SUM(IF(ISNUMBER(INDIRECT(N427)),IF(INDIRECT(N427)&lt;&gt;INT(INDIRECT(N427)),1,0),0)),"")</f>
        <v/>
      </c>
      <c r="V427" s="17">
        <f t="shared" ca="1" si="96"/>
        <v>0</v>
      </c>
      <c r="W427" s="17">
        <f t="shared" ca="1" si="97"/>
        <v>0</v>
      </c>
      <c r="X427" s="24" t="str">
        <f t="array" aca="1" ref="X427" ca="1">IF(AD427,IF(AG427&lt;&gt;"",AG427,IF(J427,MIN(INDIRECT( K427)),"")),"")</f>
        <v/>
      </c>
      <c r="Y427" s="17" t="str">
        <f t="array" aca="1" ref="Y427" ca="1">IF(AD427,IF(AH427&lt;&gt;"",AH427,IF(J427,MAX(INDIRECT( K427)),"")),"")</f>
        <v/>
      </c>
      <c r="Z427" s="17" t="b">
        <f t="shared" ca="1" si="98"/>
        <v>0</v>
      </c>
      <c r="AC427" s="17" t="str">
        <f t="shared" ca="1" si="99"/>
        <v/>
      </c>
      <c r="AD427" s="14" t="b">
        <f t="shared" ca="1" si="100"/>
        <v>0</v>
      </c>
      <c r="AE427" s="15" t="b">
        <f t="shared" ca="1" si="101"/>
        <v>0</v>
      </c>
      <c r="AF427" s="16"/>
      <c r="AG427" s="16"/>
      <c r="AH427" s="16"/>
      <c r="AI427" s="16"/>
      <c r="AJ427" s="16"/>
      <c r="AK427" s="16"/>
      <c r="AL427" s="16"/>
      <c r="AM427" s="16"/>
    </row>
    <row r="428" spans="2:39">
      <c r="B428" s="14">
        <f t="shared" si="90"/>
        <v>426</v>
      </c>
      <c r="C428" s="14" t="str">
        <f t="shared" ca="1" si="91"/>
        <v/>
      </c>
      <c r="D428" s="14" t="str">
        <f t="shared" ca="1" si="92"/>
        <v/>
      </c>
      <c r="E428" s="14" t="str">
        <f t="shared" ca="1" si="89"/>
        <v/>
      </c>
      <c r="F428" s="14">
        <f t="shared" ca="1" si="102"/>
        <v>0</v>
      </c>
      <c r="G428" s="14" t="str">
        <f t="shared" ca="1" si="93"/>
        <v/>
      </c>
      <c r="H428" s="14">
        <f ca="1">IF(G428&lt;&gt;"",IFERROR( IsVariableNameLegal(G428),0),0)+IF(COUNTIF(INDIRECT(wew!$C$13),G428)&gt;1,10,0)</f>
        <v>0</v>
      </c>
      <c r="I428" s="14">
        <f ca="1">IF(E428&lt;&gt;"",IF(LEN(E428)&gt;150,1,0)+IF(COUNTIF(INDIRECT(wew!$C$15),E428)&gt;1,10,0),0)</f>
        <v>0</v>
      </c>
      <c r="J428" s="14" t="b">
        <f t="shared" ca="1" si="94"/>
        <v>0</v>
      </c>
      <c r="K428" s="14" t="str">
        <f ca="1">ADDRESS(3,(B428+1)*2-1,4,,"[" &amp; wew!$G$7 &amp; "]" &amp; _sheetname_labels) &amp; ":" &amp; ADDRESS(2+ster!$B$20,(B428+1)*2-1,4)</f>
        <v>'[dane surowe2c.xlsm]labels'!AFU3:AFU36</v>
      </c>
      <c r="L428" s="14" t="str">
        <f ca="1">IF(F428&gt;0,ADDRESS(3,(B428+1)*2-1,4,,"[" &amp; wew!$G$7 &amp; "]" &amp; _sheetname_labels) &amp; ":" &amp; ADDRESS(2+F428,(B428+1)*2-1,4),"")</f>
        <v/>
      </c>
      <c r="M428" s="14" t="str">
        <f ca="1">IF(F428&gt;0,ADDRESS(3,(B428+1)*2,4,,"["&amp;wew!$G$7&amp;"]"&amp;_sheetname_labels)&amp;":"&amp;ADDRESS(2+F428,(B428+1)*2,4),"")</f>
        <v/>
      </c>
      <c r="N428" s="14" t="str">
        <f ca="1">ADDRESS(3,B428+1,4,,"[" &amp; wew!$G$7 &amp; "]" &amp;_sheetname_dataframe) &amp; ":" &amp; ADDRESS(2+ster!$C$14,B428+1,4)</f>
        <v>'[dane surowe2c.xlsm]data_frame'!PK3:PK35</v>
      </c>
      <c r="O428" s="14" t="str">
        <f t="shared" ca="1" si="95"/>
        <v/>
      </c>
      <c r="P428" s="14" t="str">
        <f ca="1">IF(AND($AD428,$S428=1),IF(wew!$B$3,MIN(INDIRECT($N428)),"&lt;włącz podświetlanie wartości&gt;"),"—")</f>
        <v>—</v>
      </c>
      <c r="Q428" s="14" t="str">
        <f ca="1">IF(AND($AD428,$S428=1),IF(wew!$B$3,MAX(INDIRECT($N428)),"&lt;włącz podświetlanie wartości&gt;"),"—")</f>
        <v>—</v>
      </c>
      <c r="R428" s="14" t="str">
        <f ca="1">IF(AD428,ster!$C$14- (COUNTIF( INDIRECT(N428),"" )+ COUNT(INDIRECT(N428)) +COUNTIF( INDIRECT(N428),"NA" )),"")</f>
        <v/>
      </c>
      <c r="S428" s="12" t="str">
        <f ca="1">IF(AD428,IF(COUNTA(INDIRECT(N428))=0,0, 1-(ster!$C$14- COUNT(INDIRECT(N428)) -COUNTIF( INDIRECT(N428),"" )) /COUNTA(INDIRECT(N428))),"")</f>
        <v/>
      </c>
      <c r="T428" s="17" t="str">
        <f t="array" aca="1" ref="T428" ca="1">IF(L428&lt;&gt;"",SUM(IF(INDIRECT(L428)&lt;&gt;INT(INDIRECT(L428)),1,0)),"")</f>
        <v/>
      </c>
      <c r="U428" s="17" t="str">
        <f t="array" aca="1" ref="U428" ca="1">IF(S428=1,SUM(IF(ISNUMBER(INDIRECT(N428)),IF(INDIRECT(N428)&lt;&gt;INT(INDIRECT(N428)),1,0),0)),"")</f>
        <v/>
      </c>
      <c r="V428" s="17">
        <f t="shared" ca="1" si="96"/>
        <v>0</v>
      </c>
      <c r="W428" s="17">
        <f t="shared" ca="1" si="97"/>
        <v>0</v>
      </c>
      <c r="X428" s="24" t="str">
        <f t="array" aca="1" ref="X428" ca="1">IF(AD428,IF(AG428&lt;&gt;"",AG428,IF(J428,MIN(INDIRECT( K428)),"")),"")</f>
        <v/>
      </c>
      <c r="Y428" s="17" t="str">
        <f t="array" aca="1" ref="Y428" ca="1">IF(AD428,IF(AH428&lt;&gt;"",AH428,IF(J428,MAX(INDIRECT( K428)),"")),"")</f>
        <v/>
      </c>
      <c r="Z428" s="17" t="b">
        <f t="shared" ca="1" si="98"/>
        <v>0</v>
      </c>
      <c r="AC428" s="17" t="str">
        <f t="shared" ca="1" si="99"/>
        <v/>
      </c>
      <c r="AD428" s="14" t="b">
        <f t="shared" ca="1" si="100"/>
        <v>0</v>
      </c>
      <c r="AE428" s="15" t="b">
        <f t="shared" ca="1" si="101"/>
        <v>0</v>
      </c>
      <c r="AF428" s="16"/>
      <c r="AG428" s="16"/>
      <c r="AH428" s="16"/>
      <c r="AI428" s="16"/>
      <c r="AJ428" s="16"/>
      <c r="AK428" s="16"/>
      <c r="AL428" s="16"/>
      <c r="AM428" s="16"/>
    </row>
    <row r="429" spans="2:39">
      <c r="B429" s="14">
        <f t="shared" si="90"/>
        <v>427</v>
      </c>
      <c r="C429" s="14" t="str">
        <f t="shared" ca="1" si="91"/>
        <v/>
      </c>
      <c r="D429" s="14" t="str">
        <f t="shared" ca="1" si="92"/>
        <v/>
      </c>
      <c r="E429" s="14" t="str">
        <f t="shared" ca="1" si="89"/>
        <v/>
      </c>
      <c r="F429" s="14">
        <f t="shared" ca="1" si="102"/>
        <v>0</v>
      </c>
      <c r="G429" s="14" t="str">
        <f t="shared" ca="1" si="93"/>
        <v/>
      </c>
      <c r="H429" s="14">
        <f ca="1">IF(G429&lt;&gt;"",IFERROR( IsVariableNameLegal(G429),0),0)+IF(COUNTIF(INDIRECT(wew!$C$13),G429)&gt;1,10,0)</f>
        <v>0</v>
      </c>
      <c r="I429" s="14">
        <f ca="1">IF(E429&lt;&gt;"",IF(LEN(E429)&gt;150,1,0)+IF(COUNTIF(INDIRECT(wew!$C$15),E429)&gt;1,10,0),0)</f>
        <v>0</v>
      </c>
      <c r="J429" s="14" t="b">
        <f t="shared" ca="1" si="94"/>
        <v>0</v>
      </c>
      <c r="K429" s="14" t="str">
        <f ca="1">ADDRESS(3,(B429+1)*2-1,4,,"[" &amp; wew!$G$7 &amp; "]" &amp; _sheetname_labels) &amp; ":" &amp; ADDRESS(2+ster!$B$20,(B429+1)*2-1,4)</f>
        <v>'[dane surowe2c.xlsm]labels'!AFW3:AFW36</v>
      </c>
      <c r="L429" s="14" t="str">
        <f ca="1">IF(F429&gt;0,ADDRESS(3,(B429+1)*2-1,4,,"[" &amp; wew!$G$7 &amp; "]" &amp; _sheetname_labels) &amp; ":" &amp; ADDRESS(2+F429,(B429+1)*2-1,4),"")</f>
        <v/>
      </c>
      <c r="M429" s="14" t="str">
        <f ca="1">IF(F429&gt;0,ADDRESS(3,(B429+1)*2,4,,"["&amp;wew!$G$7&amp;"]"&amp;_sheetname_labels)&amp;":"&amp;ADDRESS(2+F429,(B429+1)*2,4),"")</f>
        <v/>
      </c>
      <c r="N429" s="14" t="str">
        <f ca="1">ADDRESS(3,B429+1,4,,"[" &amp; wew!$G$7 &amp; "]" &amp;_sheetname_dataframe) &amp; ":" &amp; ADDRESS(2+ster!$C$14,B429+1,4)</f>
        <v>'[dane surowe2c.xlsm]data_frame'!PL3:PL35</v>
      </c>
      <c r="O429" s="14" t="str">
        <f t="shared" ca="1" si="95"/>
        <v/>
      </c>
      <c r="P429" s="14" t="str">
        <f ca="1">IF(AND($AD429,$S429=1),IF(wew!$B$3,MIN(INDIRECT($N429)),"&lt;włącz podświetlanie wartości&gt;"),"—")</f>
        <v>—</v>
      </c>
      <c r="Q429" s="14" t="str">
        <f ca="1">IF(AND($AD429,$S429=1),IF(wew!$B$3,MAX(INDIRECT($N429)),"&lt;włącz podświetlanie wartości&gt;"),"—")</f>
        <v>—</v>
      </c>
      <c r="R429" s="14" t="str">
        <f ca="1">IF(AD429,ster!$C$14- (COUNTIF( INDIRECT(N429),"" )+ COUNT(INDIRECT(N429)) +COUNTIF( INDIRECT(N429),"NA" )),"")</f>
        <v/>
      </c>
      <c r="S429" s="12" t="str">
        <f ca="1">IF(AD429,IF(COUNTA(INDIRECT(N429))=0,0, 1-(ster!$C$14- COUNT(INDIRECT(N429)) -COUNTIF( INDIRECT(N429),"" )) /COUNTA(INDIRECT(N429))),"")</f>
        <v/>
      </c>
      <c r="T429" s="17" t="str">
        <f t="array" aca="1" ref="T429" ca="1">IF(L429&lt;&gt;"",SUM(IF(INDIRECT(L429)&lt;&gt;INT(INDIRECT(L429)),1,0)),"")</f>
        <v/>
      </c>
      <c r="U429" s="17" t="str">
        <f t="array" aca="1" ref="U429" ca="1">IF(S429=1,SUM(IF(ISNUMBER(INDIRECT(N429)),IF(INDIRECT(N429)&lt;&gt;INT(INDIRECT(N429)),1,0),0)),"")</f>
        <v/>
      </c>
      <c r="V429" s="17">
        <f t="shared" ca="1" si="96"/>
        <v>0</v>
      </c>
      <c r="W429" s="17">
        <f t="shared" ca="1" si="97"/>
        <v>0</v>
      </c>
      <c r="X429" s="24" t="str">
        <f t="array" aca="1" ref="X429" ca="1">IF(AD429,IF(AG429&lt;&gt;"",AG429,IF(J429,MIN(INDIRECT( K429)),"")),"")</f>
        <v/>
      </c>
      <c r="Y429" s="17" t="str">
        <f t="array" aca="1" ref="Y429" ca="1">IF(AD429,IF(AH429&lt;&gt;"",AH429,IF(J429,MAX(INDIRECT( K429)),"")),"")</f>
        <v/>
      </c>
      <c r="Z429" s="17" t="b">
        <f t="shared" ca="1" si="98"/>
        <v>0</v>
      </c>
      <c r="AC429" s="17" t="str">
        <f t="shared" ca="1" si="99"/>
        <v/>
      </c>
      <c r="AD429" s="14" t="b">
        <f t="shared" ca="1" si="100"/>
        <v>0</v>
      </c>
      <c r="AE429" s="15" t="b">
        <f t="shared" ca="1" si="101"/>
        <v>0</v>
      </c>
      <c r="AF429" s="16"/>
      <c r="AG429" s="16"/>
      <c r="AH429" s="16"/>
      <c r="AI429" s="16"/>
      <c r="AJ429" s="16"/>
      <c r="AK429" s="16"/>
      <c r="AL429" s="16"/>
      <c r="AM429" s="16"/>
    </row>
    <row r="430" spans="2:39">
      <c r="B430" s="14">
        <f t="shared" si="90"/>
        <v>428</v>
      </c>
      <c r="C430" s="14" t="str">
        <f t="shared" ca="1" si="91"/>
        <v/>
      </c>
      <c r="D430" s="14" t="str">
        <f t="shared" ca="1" si="92"/>
        <v/>
      </c>
      <c r="E430" s="14" t="str">
        <f t="shared" ca="1" si="89"/>
        <v/>
      </c>
      <c r="F430" s="14">
        <f t="shared" ca="1" si="102"/>
        <v>0</v>
      </c>
      <c r="G430" s="14" t="str">
        <f t="shared" ca="1" si="93"/>
        <v/>
      </c>
      <c r="H430" s="14">
        <f ca="1">IF(G430&lt;&gt;"",IFERROR( IsVariableNameLegal(G430),0),0)+IF(COUNTIF(INDIRECT(wew!$C$13),G430)&gt;1,10,0)</f>
        <v>0</v>
      </c>
      <c r="I430" s="14">
        <f ca="1">IF(E430&lt;&gt;"",IF(LEN(E430)&gt;150,1,0)+IF(COUNTIF(INDIRECT(wew!$C$15),E430)&gt;1,10,0),0)</f>
        <v>0</v>
      </c>
      <c r="J430" s="14" t="b">
        <f t="shared" ca="1" si="94"/>
        <v>0</v>
      </c>
      <c r="K430" s="14" t="str">
        <f ca="1">ADDRESS(3,(B430+1)*2-1,4,,"[" &amp; wew!$G$7 &amp; "]" &amp; _sheetname_labels) &amp; ":" &amp; ADDRESS(2+ster!$B$20,(B430+1)*2-1,4)</f>
        <v>'[dane surowe2c.xlsm]labels'!AFY3:AFY36</v>
      </c>
      <c r="L430" s="14" t="str">
        <f ca="1">IF(F430&gt;0,ADDRESS(3,(B430+1)*2-1,4,,"[" &amp; wew!$G$7 &amp; "]" &amp; _sheetname_labels) &amp; ":" &amp; ADDRESS(2+F430,(B430+1)*2-1,4),"")</f>
        <v/>
      </c>
      <c r="M430" s="14" t="str">
        <f ca="1">IF(F430&gt;0,ADDRESS(3,(B430+1)*2,4,,"["&amp;wew!$G$7&amp;"]"&amp;_sheetname_labels)&amp;":"&amp;ADDRESS(2+F430,(B430+1)*2,4),"")</f>
        <v/>
      </c>
      <c r="N430" s="14" t="str">
        <f ca="1">ADDRESS(3,B430+1,4,,"[" &amp; wew!$G$7 &amp; "]" &amp;_sheetname_dataframe) &amp; ":" &amp; ADDRESS(2+ster!$C$14,B430+1,4)</f>
        <v>'[dane surowe2c.xlsm]data_frame'!PM3:PM35</v>
      </c>
      <c r="O430" s="14" t="str">
        <f t="shared" ca="1" si="95"/>
        <v/>
      </c>
      <c r="P430" s="14" t="str">
        <f ca="1">IF(AND($AD430,$S430=1),IF(wew!$B$3,MIN(INDIRECT($N430)),"&lt;włącz podświetlanie wartości&gt;"),"—")</f>
        <v>—</v>
      </c>
      <c r="Q430" s="14" t="str">
        <f ca="1">IF(AND($AD430,$S430=1),IF(wew!$B$3,MAX(INDIRECT($N430)),"&lt;włącz podświetlanie wartości&gt;"),"—")</f>
        <v>—</v>
      </c>
      <c r="R430" s="14" t="str">
        <f ca="1">IF(AD430,ster!$C$14- (COUNTIF( INDIRECT(N430),"" )+ COUNT(INDIRECT(N430)) +COUNTIF( INDIRECT(N430),"NA" )),"")</f>
        <v/>
      </c>
      <c r="S430" s="12" t="str">
        <f ca="1">IF(AD430,IF(COUNTA(INDIRECT(N430))=0,0, 1-(ster!$C$14- COUNT(INDIRECT(N430)) -COUNTIF( INDIRECT(N430),"" )) /COUNTA(INDIRECT(N430))),"")</f>
        <v/>
      </c>
      <c r="T430" s="17" t="str">
        <f t="array" aca="1" ref="T430" ca="1">IF(L430&lt;&gt;"",SUM(IF(INDIRECT(L430)&lt;&gt;INT(INDIRECT(L430)),1,0)),"")</f>
        <v/>
      </c>
      <c r="U430" s="17" t="str">
        <f t="array" aca="1" ref="U430" ca="1">IF(S430=1,SUM(IF(ISNUMBER(INDIRECT(N430)),IF(INDIRECT(N430)&lt;&gt;INT(INDIRECT(N430)),1,0),0)),"")</f>
        <v/>
      </c>
      <c r="V430" s="17">
        <f t="shared" ca="1" si="96"/>
        <v>0</v>
      </c>
      <c r="W430" s="17">
        <f t="shared" ca="1" si="97"/>
        <v>0</v>
      </c>
      <c r="X430" s="24" t="str">
        <f t="array" aca="1" ref="X430" ca="1">IF(AD430,IF(AG430&lt;&gt;"",AG430,IF(J430,MIN(INDIRECT( K430)),"")),"")</f>
        <v/>
      </c>
      <c r="Y430" s="17" t="str">
        <f t="array" aca="1" ref="Y430" ca="1">IF(AD430,IF(AH430&lt;&gt;"",AH430,IF(J430,MAX(INDIRECT( K430)),"")),"")</f>
        <v/>
      </c>
      <c r="Z430" s="17" t="b">
        <f t="shared" ca="1" si="98"/>
        <v>0</v>
      </c>
      <c r="AC430" s="17" t="str">
        <f t="shared" ca="1" si="99"/>
        <v/>
      </c>
      <c r="AD430" s="14" t="b">
        <f t="shared" ca="1" si="100"/>
        <v>0</v>
      </c>
      <c r="AE430" s="15" t="b">
        <f t="shared" ca="1" si="101"/>
        <v>0</v>
      </c>
      <c r="AF430" s="16"/>
      <c r="AG430" s="16"/>
      <c r="AH430" s="16"/>
      <c r="AI430" s="16"/>
      <c r="AJ430" s="16"/>
      <c r="AK430" s="16"/>
      <c r="AL430" s="16"/>
      <c r="AM430" s="16"/>
    </row>
    <row r="431" spans="2:39">
      <c r="B431" s="14">
        <f t="shared" si="90"/>
        <v>429</v>
      </c>
      <c r="C431" s="14" t="str">
        <f t="shared" ca="1" si="91"/>
        <v/>
      </c>
      <c r="D431" s="14" t="str">
        <f t="shared" ca="1" si="92"/>
        <v/>
      </c>
      <c r="E431" s="14" t="str">
        <f t="shared" ca="1" si="89"/>
        <v/>
      </c>
      <c r="F431" s="14">
        <f t="shared" ca="1" si="102"/>
        <v>0</v>
      </c>
      <c r="G431" s="14" t="str">
        <f t="shared" ca="1" si="93"/>
        <v/>
      </c>
      <c r="H431" s="14">
        <f ca="1">IF(G431&lt;&gt;"",IFERROR( IsVariableNameLegal(G431),0),0)+IF(COUNTIF(INDIRECT(wew!$C$13),G431)&gt;1,10,0)</f>
        <v>0</v>
      </c>
      <c r="I431" s="14">
        <f ca="1">IF(E431&lt;&gt;"",IF(LEN(E431)&gt;150,1,0)+IF(COUNTIF(INDIRECT(wew!$C$15),E431)&gt;1,10,0),0)</f>
        <v>0</v>
      </c>
      <c r="J431" s="14" t="b">
        <f t="shared" ca="1" si="94"/>
        <v>0</v>
      </c>
      <c r="K431" s="14" t="str">
        <f ca="1">ADDRESS(3,(B431+1)*2-1,4,,"[" &amp; wew!$G$7 &amp; "]" &amp; _sheetname_labels) &amp; ":" &amp; ADDRESS(2+ster!$B$20,(B431+1)*2-1,4)</f>
        <v>'[dane surowe2c.xlsm]labels'!AGA3:AGA36</v>
      </c>
      <c r="L431" s="14" t="str">
        <f ca="1">IF(F431&gt;0,ADDRESS(3,(B431+1)*2-1,4,,"[" &amp; wew!$G$7 &amp; "]" &amp; _sheetname_labels) &amp; ":" &amp; ADDRESS(2+F431,(B431+1)*2-1,4),"")</f>
        <v/>
      </c>
      <c r="M431" s="14" t="str">
        <f ca="1">IF(F431&gt;0,ADDRESS(3,(B431+1)*2,4,,"["&amp;wew!$G$7&amp;"]"&amp;_sheetname_labels)&amp;":"&amp;ADDRESS(2+F431,(B431+1)*2,4),"")</f>
        <v/>
      </c>
      <c r="N431" s="14" t="str">
        <f ca="1">ADDRESS(3,B431+1,4,,"[" &amp; wew!$G$7 &amp; "]" &amp;_sheetname_dataframe) &amp; ":" &amp; ADDRESS(2+ster!$C$14,B431+1,4)</f>
        <v>'[dane surowe2c.xlsm]data_frame'!PN3:PN35</v>
      </c>
      <c r="O431" s="14" t="str">
        <f t="shared" ca="1" si="95"/>
        <v/>
      </c>
      <c r="P431" s="14" t="str">
        <f ca="1">IF(AND($AD431,$S431=1),IF(wew!$B$3,MIN(INDIRECT($N431)),"&lt;włącz podświetlanie wartości&gt;"),"—")</f>
        <v>—</v>
      </c>
      <c r="Q431" s="14" t="str">
        <f ca="1">IF(AND($AD431,$S431=1),IF(wew!$B$3,MAX(INDIRECT($N431)),"&lt;włącz podświetlanie wartości&gt;"),"—")</f>
        <v>—</v>
      </c>
      <c r="R431" s="14" t="str">
        <f ca="1">IF(AD431,ster!$C$14- (COUNTIF( INDIRECT(N431),"" )+ COUNT(INDIRECT(N431)) +COUNTIF( INDIRECT(N431),"NA" )),"")</f>
        <v/>
      </c>
      <c r="S431" s="12" t="str">
        <f ca="1">IF(AD431,IF(COUNTA(INDIRECT(N431))=0,0, 1-(ster!$C$14- COUNT(INDIRECT(N431)) -COUNTIF( INDIRECT(N431),"" )) /COUNTA(INDIRECT(N431))),"")</f>
        <v/>
      </c>
      <c r="T431" s="17" t="str">
        <f t="array" aca="1" ref="T431" ca="1">IF(L431&lt;&gt;"",SUM(IF(INDIRECT(L431)&lt;&gt;INT(INDIRECT(L431)),1,0)),"")</f>
        <v/>
      </c>
      <c r="U431" s="17" t="str">
        <f t="array" aca="1" ref="U431" ca="1">IF(S431=1,SUM(IF(ISNUMBER(INDIRECT(N431)),IF(INDIRECT(N431)&lt;&gt;INT(INDIRECT(N431)),1,0),0)),"")</f>
        <v/>
      </c>
      <c r="V431" s="17">
        <f t="shared" ca="1" si="96"/>
        <v>0</v>
      </c>
      <c r="W431" s="17">
        <f t="shared" ca="1" si="97"/>
        <v>0</v>
      </c>
      <c r="X431" s="24" t="str">
        <f t="array" aca="1" ref="X431" ca="1">IF(AD431,IF(AG431&lt;&gt;"",AG431,IF(J431,MIN(INDIRECT( K431)),"")),"")</f>
        <v/>
      </c>
      <c r="Y431" s="17" t="str">
        <f t="array" aca="1" ref="Y431" ca="1">IF(AD431,IF(AH431&lt;&gt;"",AH431,IF(J431,MAX(INDIRECT( K431)),"")),"")</f>
        <v/>
      </c>
      <c r="Z431" s="17" t="b">
        <f t="shared" ca="1" si="98"/>
        <v>0</v>
      </c>
      <c r="AC431" s="17" t="str">
        <f t="shared" ca="1" si="99"/>
        <v/>
      </c>
      <c r="AD431" s="14" t="b">
        <f t="shared" ca="1" si="100"/>
        <v>0</v>
      </c>
      <c r="AE431" s="15" t="b">
        <f t="shared" ca="1" si="101"/>
        <v>0</v>
      </c>
      <c r="AF431" s="16"/>
      <c r="AG431" s="16"/>
      <c r="AH431" s="16"/>
      <c r="AI431" s="16"/>
      <c r="AJ431" s="16"/>
      <c r="AK431" s="16"/>
      <c r="AL431" s="16"/>
      <c r="AM431" s="16"/>
    </row>
    <row r="432" spans="2:39">
      <c r="B432" s="14">
        <f t="shared" si="90"/>
        <v>430</v>
      </c>
      <c r="C432" s="14" t="str">
        <f t="shared" ca="1" si="91"/>
        <v/>
      </c>
      <c r="D432" s="14" t="str">
        <f t="shared" ca="1" si="92"/>
        <v/>
      </c>
      <c r="E432" s="14" t="str">
        <f t="shared" ca="1" si="89"/>
        <v/>
      </c>
      <c r="F432" s="14">
        <f t="shared" ca="1" si="102"/>
        <v>0</v>
      </c>
      <c r="G432" s="14" t="str">
        <f t="shared" ca="1" si="93"/>
        <v/>
      </c>
      <c r="H432" s="14">
        <f ca="1">IF(G432&lt;&gt;"",IFERROR( IsVariableNameLegal(G432),0),0)+IF(COUNTIF(INDIRECT(wew!$C$13),G432)&gt;1,10,0)</f>
        <v>0</v>
      </c>
      <c r="I432" s="14">
        <f ca="1">IF(E432&lt;&gt;"",IF(LEN(E432)&gt;150,1,0)+IF(COUNTIF(INDIRECT(wew!$C$15),E432)&gt;1,10,0),0)</f>
        <v>0</v>
      </c>
      <c r="J432" s="14" t="b">
        <f t="shared" ca="1" si="94"/>
        <v>0</v>
      </c>
      <c r="K432" s="14" t="str">
        <f ca="1">ADDRESS(3,(B432+1)*2-1,4,,"[" &amp; wew!$G$7 &amp; "]" &amp; _sheetname_labels) &amp; ":" &amp; ADDRESS(2+ster!$B$20,(B432+1)*2-1,4)</f>
        <v>'[dane surowe2c.xlsm]labels'!AGC3:AGC36</v>
      </c>
      <c r="L432" s="14" t="str">
        <f ca="1">IF(F432&gt;0,ADDRESS(3,(B432+1)*2-1,4,,"[" &amp; wew!$G$7 &amp; "]" &amp; _sheetname_labels) &amp; ":" &amp; ADDRESS(2+F432,(B432+1)*2-1,4),"")</f>
        <v/>
      </c>
      <c r="M432" s="14" t="str">
        <f ca="1">IF(F432&gt;0,ADDRESS(3,(B432+1)*2,4,,"["&amp;wew!$G$7&amp;"]"&amp;_sheetname_labels)&amp;":"&amp;ADDRESS(2+F432,(B432+1)*2,4),"")</f>
        <v/>
      </c>
      <c r="N432" s="14" t="str">
        <f ca="1">ADDRESS(3,B432+1,4,,"[" &amp; wew!$G$7 &amp; "]" &amp;_sheetname_dataframe) &amp; ":" &amp; ADDRESS(2+ster!$C$14,B432+1,4)</f>
        <v>'[dane surowe2c.xlsm]data_frame'!PO3:PO35</v>
      </c>
      <c r="O432" s="14" t="str">
        <f t="shared" ca="1" si="95"/>
        <v/>
      </c>
      <c r="P432" s="14" t="str">
        <f ca="1">IF(AND($AD432,$S432=1),IF(wew!$B$3,MIN(INDIRECT($N432)),"&lt;włącz podświetlanie wartości&gt;"),"—")</f>
        <v>—</v>
      </c>
      <c r="Q432" s="14" t="str">
        <f ca="1">IF(AND($AD432,$S432=1),IF(wew!$B$3,MAX(INDIRECT($N432)),"&lt;włącz podświetlanie wartości&gt;"),"—")</f>
        <v>—</v>
      </c>
      <c r="R432" s="14" t="str">
        <f ca="1">IF(AD432,ster!$C$14- (COUNTIF( INDIRECT(N432),"" )+ COUNT(INDIRECT(N432)) +COUNTIF( INDIRECT(N432),"NA" )),"")</f>
        <v/>
      </c>
      <c r="S432" s="12" t="str">
        <f ca="1">IF(AD432,IF(COUNTA(INDIRECT(N432))=0,0, 1-(ster!$C$14- COUNT(INDIRECT(N432)) -COUNTIF( INDIRECT(N432),"" )) /COUNTA(INDIRECT(N432))),"")</f>
        <v/>
      </c>
      <c r="T432" s="17" t="str">
        <f t="array" aca="1" ref="T432" ca="1">IF(L432&lt;&gt;"",SUM(IF(INDIRECT(L432)&lt;&gt;INT(INDIRECT(L432)),1,0)),"")</f>
        <v/>
      </c>
      <c r="U432" s="17" t="str">
        <f t="array" aca="1" ref="U432" ca="1">IF(S432=1,SUM(IF(ISNUMBER(INDIRECT(N432)),IF(INDIRECT(N432)&lt;&gt;INT(INDIRECT(N432)),1,0),0)),"")</f>
        <v/>
      </c>
      <c r="V432" s="17">
        <f t="shared" ca="1" si="96"/>
        <v>0</v>
      </c>
      <c r="W432" s="17">
        <f t="shared" ca="1" si="97"/>
        <v>0</v>
      </c>
      <c r="X432" s="24" t="str">
        <f t="array" aca="1" ref="X432" ca="1">IF(AD432,IF(AG432&lt;&gt;"",AG432,IF(J432,MIN(INDIRECT( K432)),"")),"")</f>
        <v/>
      </c>
      <c r="Y432" s="17" t="str">
        <f t="array" aca="1" ref="Y432" ca="1">IF(AD432,IF(AH432&lt;&gt;"",AH432,IF(J432,MAX(INDIRECT( K432)),"")),"")</f>
        <v/>
      </c>
      <c r="Z432" s="17" t="b">
        <f t="shared" ca="1" si="98"/>
        <v>0</v>
      </c>
      <c r="AC432" s="17" t="str">
        <f t="shared" ca="1" si="99"/>
        <v/>
      </c>
      <c r="AD432" s="14" t="b">
        <f t="shared" ca="1" si="100"/>
        <v>0</v>
      </c>
      <c r="AE432" s="15" t="b">
        <f t="shared" ca="1" si="101"/>
        <v>0</v>
      </c>
      <c r="AF432" s="16"/>
      <c r="AG432" s="16"/>
      <c r="AH432" s="16"/>
      <c r="AI432" s="16"/>
      <c r="AJ432" s="16"/>
      <c r="AK432" s="16"/>
      <c r="AL432" s="16"/>
      <c r="AM432" s="16"/>
    </row>
    <row r="433" spans="2:39">
      <c r="B433" s="14">
        <f t="shared" si="90"/>
        <v>431</v>
      </c>
      <c r="C433" s="14" t="str">
        <f t="shared" ca="1" si="91"/>
        <v/>
      </c>
      <c r="D433" s="14" t="str">
        <f t="shared" ca="1" si="92"/>
        <v/>
      </c>
      <c r="E433" s="14" t="str">
        <f t="shared" ca="1" si="89"/>
        <v/>
      </c>
      <c r="F433" s="14">
        <f t="shared" ca="1" si="102"/>
        <v>0</v>
      </c>
      <c r="G433" s="14" t="str">
        <f t="shared" ca="1" si="93"/>
        <v/>
      </c>
      <c r="H433" s="14">
        <f ca="1">IF(G433&lt;&gt;"",IFERROR( IsVariableNameLegal(G433),0),0)+IF(COUNTIF(INDIRECT(wew!$C$13),G433)&gt;1,10,0)</f>
        <v>0</v>
      </c>
      <c r="I433" s="14">
        <f ca="1">IF(E433&lt;&gt;"",IF(LEN(E433)&gt;150,1,0)+IF(COUNTIF(INDIRECT(wew!$C$15),E433)&gt;1,10,0),0)</f>
        <v>0</v>
      </c>
      <c r="J433" s="14" t="b">
        <f t="shared" ca="1" si="94"/>
        <v>0</v>
      </c>
      <c r="K433" s="14" t="str">
        <f ca="1">ADDRESS(3,(B433+1)*2-1,4,,"[" &amp; wew!$G$7 &amp; "]" &amp; _sheetname_labels) &amp; ":" &amp; ADDRESS(2+ster!$B$20,(B433+1)*2-1,4)</f>
        <v>'[dane surowe2c.xlsm]labels'!AGE3:AGE36</v>
      </c>
      <c r="L433" s="14" t="str">
        <f ca="1">IF(F433&gt;0,ADDRESS(3,(B433+1)*2-1,4,,"[" &amp; wew!$G$7 &amp; "]" &amp; _sheetname_labels) &amp; ":" &amp; ADDRESS(2+F433,(B433+1)*2-1,4),"")</f>
        <v/>
      </c>
      <c r="M433" s="14" t="str">
        <f ca="1">IF(F433&gt;0,ADDRESS(3,(B433+1)*2,4,,"["&amp;wew!$G$7&amp;"]"&amp;_sheetname_labels)&amp;":"&amp;ADDRESS(2+F433,(B433+1)*2,4),"")</f>
        <v/>
      </c>
      <c r="N433" s="14" t="str">
        <f ca="1">ADDRESS(3,B433+1,4,,"[" &amp; wew!$G$7 &amp; "]" &amp;_sheetname_dataframe) &amp; ":" &amp; ADDRESS(2+ster!$C$14,B433+1,4)</f>
        <v>'[dane surowe2c.xlsm]data_frame'!PP3:PP35</v>
      </c>
      <c r="O433" s="14" t="str">
        <f t="shared" ca="1" si="95"/>
        <v/>
      </c>
      <c r="P433" s="14" t="str">
        <f ca="1">IF(AND($AD433,$S433=1),IF(wew!$B$3,MIN(INDIRECT($N433)),"&lt;włącz podświetlanie wartości&gt;"),"—")</f>
        <v>—</v>
      </c>
      <c r="Q433" s="14" t="str">
        <f ca="1">IF(AND($AD433,$S433=1),IF(wew!$B$3,MAX(INDIRECT($N433)),"&lt;włącz podświetlanie wartości&gt;"),"—")</f>
        <v>—</v>
      </c>
      <c r="R433" s="14" t="str">
        <f ca="1">IF(AD433,ster!$C$14- (COUNTIF( INDIRECT(N433),"" )+ COUNT(INDIRECT(N433)) +COUNTIF( INDIRECT(N433),"NA" )),"")</f>
        <v/>
      </c>
      <c r="S433" s="12" t="str">
        <f ca="1">IF(AD433,IF(COUNTA(INDIRECT(N433))=0,0, 1-(ster!$C$14- COUNT(INDIRECT(N433)) -COUNTIF( INDIRECT(N433),"" )) /COUNTA(INDIRECT(N433))),"")</f>
        <v/>
      </c>
      <c r="T433" s="17" t="str">
        <f t="array" aca="1" ref="T433" ca="1">IF(L433&lt;&gt;"",SUM(IF(INDIRECT(L433)&lt;&gt;INT(INDIRECT(L433)),1,0)),"")</f>
        <v/>
      </c>
      <c r="U433" s="17" t="str">
        <f t="array" aca="1" ref="U433" ca="1">IF(S433=1,SUM(IF(ISNUMBER(INDIRECT(N433)),IF(INDIRECT(N433)&lt;&gt;INT(INDIRECT(N433)),1,0),0)),"")</f>
        <v/>
      </c>
      <c r="V433" s="17">
        <f t="shared" ca="1" si="96"/>
        <v>0</v>
      </c>
      <c r="W433" s="17">
        <f t="shared" ca="1" si="97"/>
        <v>0</v>
      </c>
      <c r="X433" s="24" t="str">
        <f t="array" aca="1" ref="X433" ca="1">IF(AD433,IF(AG433&lt;&gt;"",AG433,IF(J433,MIN(INDIRECT( K433)),"")),"")</f>
        <v/>
      </c>
      <c r="Y433" s="17" t="str">
        <f t="array" aca="1" ref="Y433" ca="1">IF(AD433,IF(AH433&lt;&gt;"",AH433,IF(J433,MAX(INDIRECT( K433)),"")),"")</f>
        <v/>
      </c>
      <c r="Z433" s="17" t="b">
        <f t="shared" ca="1" si="98"/>
        <v>0</v>
      </c>
      <c r="AC433" s="17" t="str">
        <f t="shared" ca="1" si="99"/>
        <v/>
      </c>
      <c r="AD433" s="14" t="b">
        <f t="shared" ca="1" si="100"/>
        <v>0</v>
      </c>
      <c r="AE433" s="15" t="b">
        <f t="shared" ca="1" si="101"/>
        <v>0</v>
      </c>
      <c r="AF433" s="16"/>
      <c r="AG433" s="16"/>
      <c r="AH433" s="16"/>
      <c r="AI433" s="16"/>
      <c r="AJ433" s="16"/>
      <c r="AK433" s="16"/>
      <c r="AL433" s="16"/>
      <c r="AM433" s="16"/>
    </row>
    <row r="434" spans="2:39">
      <c r="B434" s="14">
        <f t="shared" si="90"/>
        <v>432</v>
      </c>
      <c r="C434" s="14" t="str">
        <f t="shared" ca="1" si="91"/>
        <v/>
      </c>
      <c r="D434" s="14" t="str">
        <f t="shared" ca="1" si="92"/>
        <v/>
      </c>
      <c r="E434" s="14" t="str">
        <f t="shared" ca="1" si="89"/>
        <v/>
      </c>
      <c r="F434" s="14">
        <f t="shared" ca="1" si="102"/>
        <v>0</v>
      </c>
      <c r="G434" s="14" t="str">
        <f t="shared" ca="1" si="93"/>
        <v/>
      </c>
      <c r="H434" s="14">
        <f ca="1">IF(G434&lt;&gt;"",IFERROR( IsVariableNameLegal(G434),0),0)+IF(COUNTIF(INDIRECT(wew!$C$13),G434)&gt;1,10,0)</f>
        <v>0</v>
      </c>
      <c r="I434" s="14">
        <f ca="1">IF(E434&lt;&gt;"",IF(LEN(E434)&gt;150,1,0)+IF(COUNTIF(INDIRECT(wew!$C$15),E434)&gt;1,10,0),0)</f>
        <v>0</v>
      </c>
      <c r="J434" s="14" t="b">
        <f t="shared" ca="1" si="94"/>
        <v>0</v>
      </c>
      <c r="K434" s="14" t="str">
        <f ca="1">ADDRESS(3,(B434+1)*2-1,4,,"[" &amp; wew!$G$7 &amp; "]" &amp; _sheetname_labels) &amp; ":" &amp; ADDRESS(2+ster!$B$20,(B434+1)*2-1,4)</f>
        <v>'[dane surowe2c.xlsm]labels'!AGG3:AGG36</v>
      </c>
      <c r="L434" s="14" t="str">
        <f ca="1">IF(F434&gt;0,ADDRESS(3,(B434+1)*2-1,4,,"[" &amp; wew!$G$7 &amp; "]" &amp; _sheetname_labels) &amp; ":" &amp; ADDRESS(2+F434,(B434+1)*2-1,4),"")</f>
        <v/>
      </c>
      <c r="M434" s="14" t="str">
        <f ca="1">IF(F434&gt;0,ADDRESS(3,(B434+1)*2,4,,"["&amp;wew!$G$7&amp;"]"&amp;_sheetname_labels)&amp;":"&amp;ADDRESS(2+F434,(B434+1)*2,4),"")</f>
        <v/>
      </c>
      <c r="N434" s="14" t="str">
        <f ca="1">ADDRESS(3,B434+1,4,,"[" &amp; wew!$G$7 &amp; "]" &amp;_sheetname_dataframe) &amp; ":" &amp; ADDRESS(2+ster!$C$14,B434+1,4)</f>
        <v>'[dane surowe2c.xlsm]data_frame'!PQ3:PQ35</v>
      </c>
      <c r="O434" s="14" t="str">
        <f t="shared" ca="1" si="95"/>
        <v/>
      </c>
      <c r="P434" s="14" t="str">
        <f ca="1">IF(AND($AD434,$S434=1),IF(wew!$B$3,MIN(INDIRECT($N434)),"&lt;włącz podświetlanie wartości&gt;"),"—")</f>
        <v>—</v>
      </c>
      <c r="Q434" s="14" t="str">
        <f ca="1">IF(AND($AD434,$S434=1),IF(wew!$B$3,MAX(INDIRECT($N434)),"&lt;włącz podświetlanie wartości&gt;"),"—")</f>
        <v>—</v>
      </c>
      <c r="R434" s="14" t="str">
        <f ca="1">IF(AD434,ster!$C$14- (COUNTIF( INDIRECT(N434),"" )+ COUNT(INDIRECT(N434)) +COUNTIF( INDIRECT(N434),"NA" )),"")</f>
        <v/>
      </c>
      <c r="S434" s="12" t="str">
        <f ca="1">IF(AD434,IF(COUNTA(INDIRECT(N434))=0,0, 1-(ster!$C$14- COUNT(INDIRECT(N434)) -COUNTIF( INDIRECT(N434),"" )) /COUNTA(INDIRECT(N434))),"")</f>
        <v/>
      </c>
      <c r="T434" s="17" t="str">
        <f t="array" aca="1" ref="T434" ca="1">IF(L434&lt;&gt;"",SUM(IF(INDIRECT(L434)&lt;&gt;INT(INDIRECT(L434)),1,0)),"")</f>
        <v/>
      </c>
      <c r="U434" s="17" t="str">
        <f t="array" aca="1" ref="U434" ca="1">IF(S434=1,SUM(IF(ISNUMBER(INDIRECT(N434)),IF(INDIRECT(N434)&lt;&gt;INT(INDIRECT(N434)),1,0),0)),"")</f>
        <v/>
      </c>
      <c r="V434" s="17">
        <f t="shared" ca="1" si="96"/>
        <v>0</v>
      </c>
      <c r="W434" s="17">
        <f t="shared" ca="1" si="97"/>
        <v>0</v>
      </c>
      <c r="X434" s="24" t="str">
        <f t="array" aca="1" ref="X434" ca="1">IF(AD434,IF(AG434&lt;&gt;"",AG434,IF(J434,MIN(INDIRECT( K434)),"")),"")</f>
        <v/>
      </c>
      <c r="Y434" s="17" t="str">
        <f t="array" aca="1" ref="Y434" ca="1">IF(AD434,IF(AH434&lt;&gt;"",AH434,IF(J434,MAX(INDIRECT( K434)),"")),"")</f>
        <v/>
      </c>
      <c r="Z434" s="17" t="b">
        <f t="shared" ca="1" si="98"/>
        <v>0</v>
      </c>
      <c r="AC434" s="17" t="str">
        <f t="shared" ca="1" si="99"/>
        <v/>
      </c>
      <c r="AD434" s="14" t="b">
        <f t="shared" ca="1" si="100"/>
        <v>0</v>
      </c>
      <c r="AE434" s="15" t="b">
        <f t="shared" ca="1" si="101"/>
        <v>0</v>
      </c>
      <c r="AF434" s="16"/>
      <c r="AG434" s="16"/>
      <c r="AH434" s="16"/>
      <c r="AI434" s="16"/>
      <c r="AJ434" s="16"/>
      <c r="AK434" s="16"/>
      <c r="AL434" s="16"/>
      <c r="AM434" s="16"/>
    </row>
    <row r="435" spans="2:39">
      <c r="B435" s="14">
        <f t="shared" si="90"/>
        <v>433</v>
      </c>
      <c r="C435" s="14" t="str">
        <f t="shared" ca="1" si="91"/>
        <v/>
      </c>
      <c r="D435" s="14" t="str">
        <f t="shared" ca="1" si="92"/>
        <v/>
      </c>
      <c r="E435" s="14" t="str">
        <f t="shared" ca="1" si="89"/>
        <v/>
      </c>
      <c r="F435" s="14">
        <f t="shared" ca="1" si="102"/>
        <v>0</v>
      </c>
      <c r="G435" s="14" t="str">
        <f t="shared" ca="1" si="93"/>
        <v/>
      </c>
      <c r="H435" s="14">
        <f ca="1">IF(G435&lt;&gt;"",IFERROR( IsVariableNameLegal(G435),0),0)+IF(COUNTIF(INDIRECT(wew!$C$13),G435)&gt;1,10,0)</f>
        <v>0</v>
      </c>
      <c r="I435" s="14">
        <f ca="1">IF(E435&lt;&gt;"",IF(LEN(E435)&gt;150,1,0)+IF(COUNTIF(INDIRECT(wew!$C$15),E435)&gt;1,10,0),0)</f>
        <v>0</v>
      </c>
      <c r="J435" s="14" t="b">
        <f t="shared" ca="1" si="94"/>
        <v>0</v>
      </c>
      <c r="K435" s="14" t="str">
        <f ca="1">ADDRESS(3,(B435+1)*2-1,4,,"[" &amp; wew!$G$7 &amp; "]" &amp; _sheetname_labels) &amp; ":" &amp; ADDRESS(2+ster!$B$20,(B435+1)*2-1,4)</f>
        <v>'[dane surowe2c.xlsm]labels'!AGI3:AGI36</v>
      </c>
      <c r="L435" s="14" t="str">
        <f ca="1">IF(F435&gt;0,ADDRESS(3,(B435+1)*2-1,4,,"[" &amp; wew!$G$7 &amp; "]" &amp; _sheetname_labels) &amp; ":" &amp; ADDRESS(2+F435,(B435+1)*2-1,4),"")</f>
        <v/>
      </c>
      <c r="M435" s="14" t="str">
        <f ca="1">IF(F435&gt;0,ADDRESS(3,(B435+1)*2,4,,"["&amp;wew!$G$7&amp;"]"&amp;_sheetname_labels)&amp;":"&amp;ADDRESS(2+F435,(B435+1)*2,4),"")</f>
        <v/>
      </c>
      <c r="N435" s="14" t="str">
        <f ca="1">ADDRESS(3,B435+1,4,,"[" &amp; wew!$G$7 &amp; "]" &amp;_sheetname_dataframe) &amp; ":" &amp; ADDRESS(2+ster!$C$14,B435+1,4)</f>
        <v>'[dane surowe2c.xlsm]data_frame'!PR3:PR35</v>
      </c>
      <c r="O435" s="14" t="str">
        <f t="shared" ca="1" si="95"/>
        <v/>
      </c>
      <c r="P435" s="14" t="str">
        <f ca="1">IF(AND($AD435,$S435=1),IF(wew!$B$3,MIN(INDIRECT($N435)),"&lt;włącz podświetlanie wartości&gt;"),"—")</f>
        <v>—</v>
      </c>
      <c r="Q435" s="14" t="str">
        <f ca="1">IF(AND($AD435,$S435=1),IF(wew!$B$3,MAX(INDIRECT($N435)),"&lt;włącz podświetlanie wartości&gt;"),"—")</f>
        <v>—</v>
      </c>
      <c r="R435" s="14" t="str">
        <f ca="1">IF(AD435,ster!$C$14- (COUNTIF( INDIRECT(N435),"" )+ COUNT(INDIRECT(N435)) +COUNTIF( INDIRECT(N435),"NA" )),"")</f>
        <v/>
      </c>
      <c r="S435" s="12" t="str">
        <f ca="1">IF(AD435,IF(COUNTA(INDIRECT(N435))=0,0, 1-(ster!$C$14- COUNT(INDIRECT(N435)) -COUNTIF( INDIRECT(N435),"" )) /COUNTA(INDIRECT(N435))),"")</f>
        <v/>
      </c>
      <c r="T435" s="17" t="str">
        <f t="array" aca="1" ref="T435" ca="1">IF(L435&lt;&gt;"",SUM(IF(INDIRECT(L435)&lt;&gt;INT(INDIRECT(L435)),1,0)),"")</f>
        <v/>
      </c>
      <c r="U435" s="17" t="str">
        <f t="array" aca="1" ref="U435" ca="1">IF(S435=1,SUM(IF(ISNUMBER(INDIRECT(N435)),IF(INDIRECT(N435)&lt;&gt;INT(INDIRECT(N435)),1,0),0)),"")</f>
        <v/>
      </c>
      <c r="V435" s="17">
        <f t="shared" ca="1" si="96"/>
        <v>0</v>
      </c>
      <c r="W435" s="17">
        <f t="shared" ca="1" si="97"/>
        <v>0</v>
      </c>
      <c r="X435" s="24" t="str">
        <f t="array" aca="1" ref="X435" ca="1">IF(AD435,IF(AG435&lt;&gt;"",AG435,IF(J435,MIN(INDIRECT( K435)),"")),"")</f>
        <v/>
      </c>
      <c r="Y435" s="17" t="str">
        <f t="array" aca="1" ref="Y435" ca="1">IF(AD435,IF(AH435&lt;&gt;"",AH435,IF(J435,MAX(INDIRECT( K435)),"")),"")</f>
        <v/>
      </c>
      <c r="Z435" s="17" t="b">
        <f t="shared" ca="1" si="98"/>
        <v>0</v>
      </c>
      <c r="AC435" s="17" t="str">
        <f t="shared" ca="1" si="99"/>
        <v/>
      </c>
      <c r="AD435" s="14" t="b">
        <f t="shared" ca="1" si="100"/>
        <v>0</v>
      </c>
      <c r="AE435" s="15" t="b">
        <f t="shared" ca="1" si="101"/>
        <v>0</v>
      </c>
      <c r="AF435" s="16"/>
      <c r="AG435" s="16"/>
      <c r="AH435" s="16"/>
      <c r="AI435" s="16"/>
      <c r="AJ435" s="16"/>
      <c r="AK435" s="16"/>
      <c r="AL435" s="16"/>
      <c r="AM435" s="16"/>
    </row>
    <row r="436" spans="2:39">
      <c r="B436" s="14">
        <f t="shared" si="90"/>
        <v>434</v>
      </c>
      <c r="C436" s="14" t="str">
        <f t="shared" ca="1" si="91"/>
        <v/>
      </c>
      <c r="D436" s="14" t="str">
        <f t="shared" ca="1" si="92"/>
        <v/>
      </c>
      <c r="E436" s="14" t="str">
        <f t="shared" ca="1" si="89"/>
        <v/>
      </c>
      <c r="F436" s="14">
        <f t="shared" ca="1" si="102"/>
        <v>0</v>
      </c>
      <c r="G436" s="14" t="str">
        <f t="shared" ca="1" si="93"/>
        <v/>
      </c>
      <c r="H436" s="14">
        <f ca="1">IF(G436&lt;&gt;"",IFERROR( IsVariableNameLegal(G436),0),0)+IF(COUNTIF(INDIRECT(wew!$C$13),G436)&gt;1,10,0)</f>
        <v>0</v>
      </c>
      <c r="I436" s="14">
        <f ca="1">IF(E436&lt;&gt;"",IF(LEN(E436)&gt;150,1,0)+IF(COUNTIF(INDIRECT(wew!$C$15),E436)&gt;1,10,0),0)</f>
        <v>0</v>
      </c>
      <c r="J436" s="14" t="b">
        <f t="shared" ca="1" si="94"/>
        <v>0</v>
      </c>
      <c r="K436" s="14" t="str">
        <f ca="1">ADDRESS(3,(B436+1)*2-1,4,,"[" &amp; wew!$G$7 &amp; "]" &amp; _sheetname_labels) &amp; ":" &amp; ADDRESS(2+ster!$B$20,(B436+1)*2-1,4)</f>
        <v>'[dane surowe2c.xlsm]labels'!AGK3:AGK36</v>
      </c>
      <c r="L436" s="14" t="str">
        <f ca="1">IF(F436&gt;0,ADDRESS(3,(B436+1)*2-1,4,,"[" &amp; wew!$G$7 &amp; "]" &amp; _sheetname_labels) &amp; ":" &amp; ADDRESS(2+F436,(B436+1)*2-1,4),"")</f>
        <v/>
      </c>
      <c r="M436" s="14" t="str">
        <f ca="1">IF(F436&gt;0,ADDRESS(3,(B436+1)*2,4,,"["&amp;wew!$G$7&amp;"]"&amp;_sheetname_labels)&amp;":"&amp;ADDRESS(2+F436,(B436+1)*2,4),"")</f>
        <v/>
      </c>
      <c r="N436" s="14" t="str">
        <f ca="1">ADDRESS(3,B436+1,4,,"[" &amp; wew!$G$7 &amp; "]" &amp;_sheetname_dataframe) &amp; ":" &amp; ADDRESS(2+ster!$C$14,B436+1,4)</f>
        <v>'[dane surowe2c.xlsm]data_frame'!PS3:PS35</v>
      </c>
      <c r="O436" s="14" t="str">
        <f t="shared" ca="1" si="95"/>
        <v/>
      </c>
      <c r="P436" s="14" t="str">
        <f ca="1">IF(AND($AD436,$S436=1),IF(wew!$B$3,MIN(INDIRECT($N436)),"&lt;włącz podświetlanie wartości&gt;"),"—")</f>
        <v>—</v>
      </c>
      <c r="Q436" s="14" t="str">
        <f ca="1">IF(AND($AD436,$S436=1),IF(wew!$B$3,MAX(INDIRECT($N436)),"&lt;włącz podświetlanie wartości&gt;"),"—")</f>
        <v>—</v>
      </c>
      <c r="R436" s="14" t="str">
        <f ca="1">IF(AD436,ster!$C$14- (COUNTIF( INDIRECT(N436),"" )+ COUNT(INDIRECT(N436)) +COUNTIF( INDIRECT(N436),"NA" )),"")</f>
        <v/>
      </c>
      <c r="S436" s="12" t="str">
        <f ca="1">IF(AD436,IF(COUNTA(INDIRECT(N436))=0,0, 1-(ster!$C$14- COUNT(INDIRECT(N436)) -COUNTIF( INDIRECT(N436),"" )) /COUNTA(INDIRECT(N436))),"")</f>
        <v/>
      </c>
      <c r="T436" s="17" t="str">
        <f t="array" aca="1" ref="T436" ca="1">IF(L436&lt;&gt;"",SUM(IF(INDIRECT(L436)&lt;&gt;INT(INDIRECT(L436)),1,0)),"")</f>
        <v/>
      </c>
      <c r="U436" s="17" t="str">
        <f t="array" aca="1" ref="U436" ca="1">IF(S436=1,SUM(IF(ISNUMBER(INDIRECT(N436)),IF(INDIRECT(N436)&lt;&gt;INT(INDIRECT(N436)),1,0),0)),"")</f>
        <v/>
      </c>
      <c r="V436" s="17">
        <f t="shared" ca="1" si="96"/>
        <v>0</v>
      </c>
      <c r="W436" s="17">
        <f t="shared" ca="1" si="97"/>
        <v>0</v>
      </c>
      <c r="X436" s="24" t="str">
        <f t="array" aca="1" ref="X436" ca="1">IF(AD436,IF(AG436&lt;&gt;"",AG436,IF(J436,MIN(INDIRECT( K436)),"")),"")</f>
        <v/>
      </c>
      <c r="Y436" s="17" t="str">
        <f t="array" aca="1" ref="Y436" ca="1">IF(AD436,IF(AH436&lt;&gt;"",AH436,IF(J436,MAX(INDIRECT( K436)),"")),"")</f>
        <v/>
      </c>
      <c r="Z436" s="17" t="b">
        <f t="shared" ca="1" si="98"/>
        <v>0</v>
      </c>
      <c r="AC436" s="17" t="str">
        <f t="shared" ca="1" si="99"/>
        <v/>
      </c>
      <c r="AD436" s="14" t="b">
        <f t="shared" ca="1" si="100"/>
        <v>0</v>
      </c>
      <c r="AE436" s="15" t="b">
        <f t="shared" ca="1" si="101"/>
        <v>0</v>
      </c>
      <c r="AF436" s="16"/>
      <c r="AG436" s="16"/>
      <c r="AH436" s="16"/>
      <c r="AI436" s="16"/>
      <c r="AJ436" s="16"/>
      <c r="AK436" s="16"/>
      <c r="AL436" s="16"/>
      <c r="AM436" s="16"/>
    </row>
    <row r="437" spans="2:39">
      <c r="B437" s="14">
        <f t="shared" si="90"/>
        <v>435</v>
      </c>
      <c r="C437" s="14" t="str">
        <f t="shared" ca="1" si="91"/>
        <v/>
      </c>
      <c r="D437" s="14" t="str">
        <f t="shared" ca="1" si="92"/>
        <v/>
      </c>
      <c r="E437" s="14" t="str">
        <f t="shared" ca="1" si="89"/>
        <v/>
      </c>
      <c r="F437" s="14">
        <f t="shared" ca="1" si="102"/>
        <v>0</v>
      </c>
      <c r="G437" s="14" t="str">
        <f t="shared" ca="1" si="93"/>
        <v/>
      </c>
      <c r="H437" s="14">
        <f ca="1">IF(G437&lt;&gt;"",IFERROR( IsVariableNameLegal(G437),0),0)+IF(COUNTIF(INDIRECT(wew!$C$13),G437)&gt;1,10,0)</f>
        <v>0</v>
      </c>
      <c r="I437" s="14">
        <f ca="1">IF(E437&lt;&gt;"",IF(LEN(E437)&gt;150,1,0)+IF(COUNTIF(INDIRECT(wew!$C$15),E437)&gt;1,10,0),0)</f>
        <v>0</v>
      </c>
      <c r="J437" s="14" t="b">
        <f t="shared" ca="1" si="94"/>
        <v>0</v>
      </c>
      <c r="K437" s="14" t="str">
        <f ca="1">ADDRESS(3,(B437+1)*2-1,4,,"[" &amp; wew!$G$7 &amp; "]" &amp; _sheetname_labels) &amp; ":" &amp; ADDRESS(2+ster!$B$20,(B437+1)*2-1,4)</f>
        <v>'[dane surowe2c.xlsm]labels'!AGM3:AGM36</v>
      </c>
      <c r="L437" s="14" t="str">
        <f ca="1">IF(F437&gt;0,ADDRESS(3,(B437+1)*2-1,4,,"[" &amp; wew!$G$7 &amp; "]" &amp; _sheetname_labels) &amp; ":" &amp; ADDRESS(2+F437,(B437+1)*2-1,4),"")</f>
        <v/>
      </c>
      <c r="M437" s="14" t="str">
        <f ca="1">IF(F437&gt;0,ADDRESS(3,(B437+1)*2,4,,"["&amp;wew!$G$7&amp;"]"&amp;_sheetname_labels)&amp;":"&amp;ADDRESS(2+F437,(B437+1)*2,4),"")</f>
        <v/>
      </c>
      <c r="N437" s="14" t="str">
        <f ca="1">ADDRESS(3,B437+1,4,,"[" &amp; wew!$G$7 &amp; "]" &amp;_sheetname_dataframe) &amp; ":" &amp; ADDRESS(2+ster!$C$14,B437+1,4)</f>
        <v>'[dane surowe2c.xlsm]data_frame'!PT3:PT35</v>
      </c>
      <c r="O437" s="14" t="str">
        <f t="shared" ca="1" si="95"/>
        <v/>
      </c>
      <c r="P437" s="14" t="str">
        <f ca="1">IF(AND($AD437,$S437=1),IF(wew!$B$3,MIN(INDIRECT($N437)),"&lt;włącz podświetlanie wartości&gt;"),"—")</f>
        <v>—</v>
      </c>
      <c r="Q437" s="14" t="str">
        <f ca="1">IF(AND($AD437,$S437=1),IF(wew!$B$3,MAX(INDIRECT($N437)),"&lt;włącz podświetlanie wartości&gt;"),"—")</f>
        <v>—</v>
      </c>
      <c r="R437" s="14" t="str">
        <f ca="1">IF(AD437,ster!$C$14- (COUNTIF( INDIRECT(N437),"" )+ COUNT(INDIRECT(N437)) +COUNTIF( INDIRECT(N437),"NA" )),"")</f>
        <v/>
      </c>
      <c r="S437" s="12" t="str">
        <f ca="1">IF(AD437,IF(COUNTA(INDIRECT(N437))=0,0, 1-(ster!$C$14- COUNT(INDIRECT(N437)) -COUNTIF( INDIRECT(N437),"" )) /COUNTA(INDIRECT(N437))),"")</f>
        <v/>
      </c>
      <c r="T437" s="17" t="str">
        <f t="array" aca="1" ref="T437" ca="1">IF(L437&lt;&gt;"",SUM(IF(INDIRECT(L437)&lt;&gt;INT(INDIRECT(L437)),1,0)),"")</f>
        <v/>
      </c>
      <c r="U437" s="17" t="str">
        <f t="array" aca="1" ref="U437" ca="1">IF(S437=1,SUM(IF(ISNUMBER(INDIRECT(N437)),IF(INDIRECT(N437)&lt;&gt;INT(INDIRECT(N437)),1,0),0)),"")</f>
        <v/>
      </c>
      <c r="V437" s="17">
        <f t="shared" ca="1" si="96"/>
        <v>0</v>
      </c>
      <c r="W437" s="17">
        <f t="shared" ca="1" si="97"/>
        <v>0</v>
      </c>
      <c r="X437" s="24" t="str">
        <f t="array" aca="1" ref="X437" ca="1">IF(AD437,IF(AG437&lt;&gt;"",AG437,IF(J437,MIN(INDIRECT( K437)),"")),"")</f>
        <v/>
      </c>
      <c r="Y437" s="17" t="str">
        <f t="array" aca="1" ref="Y437" ca="1">IF(AD437,IF(AH437&lt;&gt;"",AH437,IF(J437,MAX(INDIRECT( K437)),"")),"")</f>
        <v/>
      </c>
      <c r="Z437" s="17" t="b">
        <f t="shared" ca="1" si="98"/>
        <v>0</v>
      </c>
      <c r="AC437" s="17" t="str">
        <f t="shared" ca="1" si="99"/>
        <v/>
      </c>
      <c r="AD437" s="14" t="b">
        <f t="shared" ca="1" si="100"/>
        <v>0</v>
      </c>
      <c r="AE437" s="15" t="b">
        <f t="shared" ca="1" si="101"/>
        <v>0</v>
      </c>
      <c r="AF437" s="16"/>
      <c r="AG437" s="16"/>
      <c r="AH437" s="16"/>
      <c r="AI437" s="16"/>
      <c r="AJ437" s="16"/>
      <c r="AK437" s="16"/>
      <c r="AL437" s="16"/>
      <c r="AM437" s="16"/>
    </row>
    <row r="438" spans="2:39">
      <c r="B438" s="14">
        <f t="shared" si="90"/>
        <v>436</v>
      </c>
      <c r="C438" s="14" t="str">
        <f t="shared" ca="1" si="91"/>
        <v/>
      </c>
      <c r="D438" s="14" t="str">
        <f t="shared" ca="1" si="92"/>
        <v/>
      </c>
      <c r="E438" s="14" t="str">
        <f t="shared" ca="1" si="89"/>
        <v/>
      </c>
      <c r="F438" s="14">
        <f t="shared" ca="1" si="102"/>
        <v>0</v>
      </c>
      <c r="G438" s="14" t="str">
        <f t="shared" ca="1" si="93"/>
        <v/>
      </c>
      <c r="H438" s="14">
        <f ca="1">IF(G438&lt;&gt;"",IFERROR( IsVariableNameLegal(G438),0),0)+IF(COUNTIF(INDIRECT(wew!$C$13),G438)&gt;1,10,0)</f>
        <v>0</v>
      </c>
      <c r="I438" s="14">
        <f ca="1">IF(E438&lt;&gt;"",IF(LEN(E438)&gt;150,1,0)+IF(COUNTIF(INDIRECT(wew!$C$15),E438)&gt;1,10,0),0)</f>
        <v>0</v>
      </c>
      <c r="J438" s="14" t="b">
        <f t="shared" ca="1" si="94"/>
        <v>0</v>
      </c>
      <c r="K438" s="14" t="str">
        <f ca="1">ADDRESS(3,(B438+1)*2-1,4,,"[" &amp; wew!$G$7 &amp; "]" &amp; _sheetname_labels) &amp; ":" &amp; ADDRESS(2+ster!$B$20,(B438+1)*2-1,4)</f>
        <v>'[dane surowe2c.xlsm]labels'!AGO3:AGO36</v>
      </c>
      <c r="L438" s="14" t="str">
        <f ca="1">IF(F438&gt;0,ADDRESS(3,(B438+1)*2-1,4,,"[" &amp; wew!$G$7 &amp; "]" &amp; _sheetname_labels) &amp; ":" &amp; ADDRESS(2+F438,(B438+1)*2-1,4),"")</f>
        <v/>
      </c>
      <c r="M438" s="14" t="str">
        <f ca="1">IF(F438&gt;0,ADDRESS(3,(B438+1)*2,4,,"["&amp;wew!$G$7&amp;"]"&amp;_sheetname_labels)&amp;":"&amp;ADDRESS(2+F438,(B438+1)*2,4),"")</f>
        <v/>
      </c>
      <c r="N438" s="14" t="str">
        <f ca="1">ADDRESS(3,B438+1,4,,"[" &amp; wew!$G$7 &amp; "]" &amp;_sheetname_dataframe) &amp; ":" &amp; ADDRESS(2+ster!$C$14,B438+1,4)</f>
        <v>'[dane surowe2c.xlsm]data_frame'!PU3:PU35</v>
      </c>
      <c r="O438" s="14" t="str">
        <f t="shared" ca="1" si="95"/>
        <v/>
      </c>
      <c r="P438" s="14" t="str">
        <f ca="1">IF(AND($AD438,$S438=1),IF(wew!$B$3,MIN(INDIRECT($N438)),"&lt;włącz podświetlanie wartości&gt;"),"—")</f>
        <v>—</v>
      </c>
      <c r="Q438" s="14" t="str">
        <f ca="1">IF(AND($AD438,$S438=1),IF(wew!$B$3,MAX(INDIRECT($N438)),"&lt;włącz podświetlanie wartości&gt;"),"—")</f>
        <v>—</v>
      </c>
      <c r="R438" s="14" t="str">
        <f ca="1">IF(AD438,ster!$C$14- (COUNTIF( INDIRECT(N438),"" )+ COUNT(INDIRECT(N438)) +COUNTIF( INDIRECT(N438),"NA" )),"")</f>
        <v/>
      </c>
      <c r="S438" s="12" t="str">
        <f ca="1">IF(AD438,IF(COUNTA(INDIRECT(N438))=0,0, 1-(ster!$C$14- COUNT(INDIRECT(N438)) -COUNTIF( INDIRECT(N438),"" )) /COUNTA(INDIRECT(N438))),"")</f>
        <v/>
      </c>
      <c r="T438" s="17" t="str">
        <f t="array" aca="1" ref="T438" ca="1">IF(L438&lt;&gt;"",SUM(IF(INDIRECT(L438)&lt;&gt;INT(INDIRECT(L438)),1,0)),"")</f>
        <v/>
      </c>
      <c r="U438" s="17" t="str">
        <f t="array" aca="1" ref="U438" ca="1">IF(S438=1,SUM(IF(ISNUMBER(INDIRECT(N438)),IF(INDIRECT(N438)&lt;&gt;INT(INDIRECT(N438)),1,0),0)),"")</f>
        <v/>
      </c>
      <c r="V438" s="17">
        <f t="shared" ca="1" si="96"/>
        <v>0</v>
      </c>
      <c r="W438" s="17">
        <f t="shared" ca="1" si="97"/>
        <v>0</v>
      </c>
      <c r="X438" s="24" t="str">
        <f t="array" aca="1" ref="X438" ca="1">IF(AD438,IF(AG438&lt;&gt;"",AG438,IF(J438,MIN(INDIRECT( K438)),"")),"")</f>
        <v/>
      </c>
      <c r="Y438" s="17" t="str">
        <f t="array" aca="1" ref="Y438" ca="1">IF(AD438,IF(AH438&lt;&gt;"",AH438,IF(J438,MAX(INDIRECT( K438)),"")),"")</f>
        <v/>
      </c>
      <c r="Z438" s="17" t="b">
        <f t="shared" ca="1" si="98"/>
        <v>0</v>
      </c>
      <c r="AC438" s="17" t="str">
        <f t="shared" ca="1" si="99"/>
        <v/>
      </c>
      <c r="AD438" s="14" t="b">
        <f t="shared" ca="1" si="100"/>
        <v>0</v>
      </c>
      <c r="AE438" s="15" t="b">
        <f t="shared" ca="1" si="101"/>
        <v>0</v>
      </c>
      <c r="AF438" s="16"/>
      <c r="AG438" s="16"/>
      <c r="AH438" s="16"/>
      <c r="AI438" s="16"/>
      <c r="AJ438" s="16"/>
      <c r="AK438" s="16"/>
      <c r="AL438" s="16"/>
      <c r="AM438" s="16"/>
    </row>
    <row r="439" spans="2:39">
      <c r="B439" s="14">
        <f t="shared" si="90"/>
        <v>437</v>
      </c>
      <c r="C439" s="14" t="str">
        <f t="shared" ca="1" si="91"/>
        <v/>
      </c>
      <c r="D439" s="14" t="str">
        <f t="shared" ca="1" si="92"/>
        <v/>
      </c>
      <c r="E439" s="14" t="str">
        <f t="shared" ca="1" si="89"/>
        <v/>
      </c>
      <c r="F439" s="14">
        <f t="shared" ca="1" si="102"/>
        <v>0</v>
      </c>
      <c r="G439" s="14" t="str">
        <f t="shared" ca="1" si="93"/>
        <v/>
      </c>
      <c r="H439" s="14">
        <f ca="1">IF(G439&lt;&gt;"",IFERROR( IsVariableNameLegal(G439),0),0)+IF(COUNTIF(INDIRECT(wew!$C$13),G439)&gt;1,10,0)</f>
        <v>0</v>
      </c>
      <c r="I439" s="14">
        <f ca="1">IF(E439&lt;&gt;"",IF(LEN(E439)&gt;150,1,0)+IF(COUNTIF(INDIRECT(wew!$C$15),E439)&gt;1,10,0),0)</f>
        <v>0</v>
      </c>
      <c r="J439" s="14" t="b">
        <f t="shared" ca="1" si="94"/>
        <v>0</v>
      </c>
      <c r="K439" s="14" t="str">
        <f ca="1">ADDRESS(3,(B439+1)*2-1,4,,"[" &amp; wew!$G$7 &amp; "]" &amp; _sheetname_labels) &amp; ":" &amp; ADDRESS(2+ster!$B$20,(B439+1)*2-1,4)</f>
        <v>'[dane surowe2c.xlsm]labels'!AGQ3:AGQ36</v>
      </c>
      <c r="L439" s="14" t="str">
        <f ca="1">IF(F439&gt;0,ADDRESS(3,(B439+1)*2-1,4,,"[" &amp; wew!$G$7 &amp; "]" &amp; _sheetname_labels) &amp; ":" &amp; ADDRESS(2+F439,(B439+1)*2-1,4),"")</f>
        <v/>
      </c>
      <c r="M439" s="14" t="str">
        <f ca="1">IF(F439&gt;0,ADDRESS(3,(B439+1)*2,4,,"["&amp;wew!$G$7&amp;"]"&amp;_sheetname_labels)&amp;":"&amp;ADDRESS(2+F439,(B439+1)*2,4),"")</f>
        <v/>
      </c>
      <c r="N439" s="14" t="str">
        <f ca="1">ADDRESS(3,B439+1,4,,"[" &amp; wew!$G$7 &amp; "]" &amp;_sheetname_dataframe) &amp; ":" &amp; ADDRESS(2+ster!$C$14,B439+1,4)</f>
        <v>'[dane surowe2c.xlsm]data_frame'!PV3:PV35</v>
      </c>
      <c r="O439" s="14" t="str">
        <f t="shared" ca="1" si="95"/>
        <v/>
      </c>
      <c r="P439" s="14" t="str">
        <f ca="1">IF(AND($AD439,$S439=1),IF(wew!$B$3,MIN(INDIRECT($N439)),"&lt;włącz podświetlanie wartości&gt;"),"—")</f>
        <v>—</v>
      </c>
      <c r="Q439" s="14" t="str">
        <f ca="1">IF(AND($AD439,$S439=1),IF(wew!$B$3,MAX(INDIRECT($N439)),"&lt;włącz podświetlanie wartości&gt;"),"—")</f>
        <v>—</v>
      </c>
      <c r="R439" s="14" t="str">
        <f ca="1">IF(AD439,ster!$C$14- (COUNTIF( INDIRECT(N439),"" )+ COUNT(INDIRECT(N439)) +COUNTIF( INDIRECT(N439),"NA" )),"")</f>
        <v/>
      </c>
      <c r="S439" s="12" t="str">
        <f ca="1">IF(AD439,IF(COUNTA(INDIRECT(N439))=0,0, 1-(ster!$C$14- COUNT(INDIRECT(N439)) -COUNTIF( INDIRECT(N439),"" )) /COUNTA(INDIRECT(N439))),"")</f>
        <v/>
      </c>
      <c r="T439" s="17" t="str">
        <f t="array" aca="1" ref="T439" ca="1">IF(L439&lt;&gt;"",SUM(IF(INDIRECT(L439)&lt;&gt;INT(INDIRECT(L439)),1,0)),"")</f>
        <v/>
      </c>
      <c r="U439" s="17" t="str">
        <f t="array" aca="1" ref="U439" ca="1">IF(S439=1,SUM(IF(ISNUMBER(INDIRECT(N439)),IF(INDIRECT(N439)&lt;&gt;INT(INDIRECT(N439)),1,0),0)),"")</f>
        <v/>
      </c>
      <c r="V439" s="17">
        <f t="shared" ca="1" si="96"/>
        <v>0</v>
      </c>
      <c r="W439" s="17">
        <f t="shared" ca="1" si="97"/>
        <v>0</v>
      </c>
      <c r="X439" s="24" t="str">
        <f t="array" aca="1" ref="X439" ca="1">IF(AD439,IF(AG439&lt;&gt;"",AG439,IF(J439,MIN(INDIRECT( K439)),"")),"")</f>
        <v/>
      </c>
      <c r="Y439" s="17" t="str">
        <f t="array" aca="1" ref="Y439" ca="1">IF(AD439,IF(AH439&lt;&gt;"",AH439,IF(J439,MAX(INDIRECT( K439)),"")),"")</f>
        <v/>
      </c>
      <c r="Z439" s="17" t="b">
        <f t="shared" ca="1" si="98"/>
        <v>0</v>
      </c>
      <c r="AC439" s="17" t="str">
        <f t="shared" ca="1" si="99"/>
        <v/>
      </c>
      <c r="AD439" s="14" t="b">
        <f t="shared" ca="1" si="100"/>
        <v>0</v>
      </c>
      <c r="AE439" s="15" t="b">
        <f t="shared" ca="1" si="101"/>
        <v>0</v>
      </c>
      <c r="AF439" s="16"/>
      <c r="AG439" s="16"/>
      <c r="AH439" s="16"/>
      <c r="AI439" s="16"/>
      <c r="AJ439" s="16"/>
      <c r="AK439" s="16"/>
      <c r="AL439" s="16"/>
      <c r="AM439" s="16"/>
    </row>
    <row r="440" spans="2:39">
      <c r="B440" s="14">
        <f t="shared" si="90"/>
        <v>438</v>
      </c>
      <c r="C440" s="14" t="str">
        <f t="shared" ca="1" si="91"/>
        <v/>
      </c>
      <c r="D440" s="14" t="str">
        <f t="shared" ca="1" si="92"/>
        <v/>
      </c>
      <c r="E440" s="14" t="str">
        <f t="shared" ca="1" si="89"/>
        <v/>
      </c>
      <c r="F440" s="14">
        <f t="shared" ca="1" si="102"/>
        <v>0</v>
      </c>
      <c r="G440" s="14" t="str">
        <f t="shared" ca="1" si="93"/>
        <v/>
      </c>
      <c r="H440" s="14">
        <f ca="1">IF(G440&lt;&gt;"",IFERROR( IsVariableNameLegal(G440),0),0)+IF(COUNTIF(INDIRECT(wew!$C$13),G440)&gt;1,10,0)</f>
        <v>0</v>
      </c>
      <c r="I440" s="14">
        <f ca="1">IF(E440&lt;&gt;"",IF(LEN(E440)&gt;150,1,0)+IF(COUNTIF(INDIRECT(wew!$C$15),E440)&gt;1,10,0),0)</f>
        <v>0</v>
      </c>
      <c r="J440" s="14" t="b">
        <f t="shared" ca="1" si="94"/>
        <v>0</v>
      </c>
      <c r="K440" s="14" t="str">
        <f ca="1">ADDRESS(3,(B440+1)*2-1,4,,"[" &amp; wew!$G$7 &amp; "]" &amp; _sheetname_labels) &amp; ":" &amp; ADDRESS(2+ster!$B$20,(B440+1)*2-1,4)</f>
        <v>'[dane surowe2c.xlsm]labels'!AGS3:AGS36</v>
      </c>
      <c r="L440" s="14" t="str">
        <f ca="1">IF(F440&gt;0,ADDRESS(3,(B440+1)*2-1,4,,"[" &amp; wew!$G$7 &amp; "]" &amp; _sheetname_labels) &amp; ":" &amp; ADDRESS(2+F440,(B440+1)*2-1,4),"")</f>
        <v/>
      </c>
      <c r="M440" s="14" t="str">
        <f ca="1">IF(F440&gt;0,ADDRESS(3,(B440+1)*2,4,,"["&amp;wew!$G$7&amp;"]"&amp;_sheetname_labels)&amp;":"&amp;ADDRESS(2+F440,(B440+1)*2,4),"")</f>
        <v/>
      </c>
      <c r="N440" s="14" t="str">
        <f ca="1">ADDRESS(3,B440+1,4,,"[" &amp; wew!$G$7 &amp; "]" &amp;_sheetname_dataframe) &amp; ":" &amp; ADDRESS(2+ster!$C$14,B440+1,4)</f>
        <v>'[dane surowe2c.xlsm]data_frame'!PW3:PW35</v>
      </c>
      <c r="O440" s="14" t="str">
        <f t="shared" ca="1" si="95"/>
        <v/>
      </c>
      <c r="P440" s="14" t="str">
        <f ca="1">IF(AND($AD440,$S440=1),IF(wew!$B$3,MIN(INDIRECT($N440)),"&lt;włącz podświetlanie wartości&gt;"),"—")</f>
        <v>—</v>
      </c>
      <c r="Q440" s="14" t="str">
        <f ca="1">IF(AND($AD440,$S440=1),IF(wew!$B$3,MAX(INDIRECT($N440)),"&lt;włącz podświetlanie wartości&gt;"),"—")</f>
        <v>—</v>
      </c>
      <c r="R440" s="14" t="str">
        <f ca="1">IF(AD440,ster!$C$14- (COUNTIF( INDIRECT(N440),"" )+ COUNT(INDIRECT(N440)) +COUNTIF( INDIRECT(N440),"NA" )),"")</f>
        <v/>
      </c>
      <c r="S440" s="12" t="str">
        <f ca="1">IF(AD440,IF(COUNTA(INDIRECT(N440))=0,0, 1-(ster!$C$14- COUNT(INDIRECT(N440)) -COUNTIF( INDIRECT(N440),"" )) /COUNTA(INDIRECT(N440))),"")</f>
        <v/>
      </c>
      <c r="T440" s="17" t="str">
        <f t="array" aca="1" ref="T440" ca="1">IF(L440&lt;&gt;"",SUM(IF(INDIRECT(L440)&lt;&gt;INT(INDIRECT(L440)),1,0)),"")</f>
        <v/>
      </c>
      <c r="U440" s="17" t="str">
        <f t="array" aca="1" ref="U440" ca="1">IF(S440=1,SUM(IF(ISNUMBER(INDIRECT(N440)),IF(INDIRECT(N440)&lt;&gt;INT(INDIRECT(N440)),1,0),0)),"")</f>
        <v/>
      </c>
      <c r="V440" s="17">
        <f t="shared" ca="1" si="96"/>
        <v>0</v>
      </c>
      <c r="W440" s="17">
        <f t="shared" ca="1" si="97"/>
        <v>0</v>
      </c>
      <c r="X440" s="24" t="str">
        <f t="array" aca="1" ref="X440" ca="1">IF(AD440,IF(AG440&lt;&gt;"",AG440,IF(J440,MIN(INDIRECT( K440)),"")),"")</f>
        <v/>
      </c>
      <c r="Y440" s="17" t="str">
        <f t="array" aca="1" ref="Y440" ca="1">IF(AD440,IF(AH440&lt;&gt;"",AH440,IF(J440,MAX(INDIRECT( K440)),"")),"")</f>
        <v/>
      </c>
      <c r="Z440" s="17" t="b">
        <f t="shared" ca="1" si="98"/>
        <v>0</v>
      </c>
      <c r="AC440" s="17" t="str">
        <f t="shared" ca="1" si="99"/>
        <v/>
      </c>
      <c r="AD440" s="14" t="b">
        <f t="shared" ca="1" si="100"/>
        <v>0</v>
      </c>
      <c r="AE440" s="15" t="b">
        <f t="shared" ca="1" si="101"/>
        <v>0</v>
      </c>
      <c r="AF440" s="16"/>
      <c r="AG440" s="16"/>
      <c r="AH440" s="16"/>
      <c r="AI440" s="16"/>
      <c r="AJ440" s="16"/>
      <c r="AK440" s="16"/>
      <c r="AL440" s="16"/>
      <c r="AM440" s="16"/>
    </row>
    <row r="441" spans="2:39">
      <c r="B441" s="14">
        <f t="shared" si="90"/>
        <v>439</v>
      </c>
      <c r="C441" s="14" t="str">
        <f t="shared" ca="1" si="91"/>
        <v/>
      </c>
      <c r="D441" s="14" t="str">
        <f t="shared" ca="1" si="92"/>
        <v/>
      </c>
      <c r="E441" s="14" t="str">
        <f t="shared" ca="1" si="89"/>
        <v/>
      </c>
      <c r="F441" s="14">
        <f t="shared" ca="1" si="102"/>
        <v>0</v>
      </c>
      <c r="G441" s="14" t="str">
        <f t="shared" ca="1" si="93"/>
        <v/>
      </c>
      <c r="H441" s="14">
        <f ca="1">IF(G441&lt;&gt;"",IFERROR( IsVariableNameLegal(G441),0),0)+IF(COUNTIF(INDIRECT(wew!$C$13),G441)&gt;1,10,0)</f>
        <v>0</v>
      </c>
      <c r="I441" s="14">
        <f ca="1">IF(E441&lt;&gt;"",IF(LEN(E441)&gt;150,1,0)+IF(COUNTIF(INDIRECT(wew!$C$15),E441)&gt;1,10,0),0)</f>
        <v>0</v>
      </c>
      <c r="J441" s="14" t="b">
        <f t="shared" ca="1" si="94"/>
        <v>0</v>
      </c>
      <c r="K441" s="14" t="str">
        <f ca="1">ADDRESS(3,(B441+1)*2-1,4,,"[" &amp; wew!$G$7 &amp; "]" &amp; _sheetname_labels) &amp; ":" &amp; ADDRESS(2+ster!$B$20,(B441+1)*2-1,4)</f>
        <v>'[dane surowe2c.xlsm]labels'!AGU3:AGU36</v>
      </c>
      <c r="L441" s="14" t="str">
        <f ca="1">IF(F441&gt;0,ADDRESS(3,(B441+1)*2-1,4,,"[" &amp; wew!$G$7 &amp; "]" &amp; _sheetname_labels) &amp; ":" &amp; ADDRESS(2+F441,(B441+1)*2-1,4),"")</f>
        <v/>
      </c>
      <c r="M441" s="14" t="str">
        <f ca="1">IF(F441&gt;0,ADDRESS(3,(B441+1)*2,4,,"["&amp;wew!$G$7&amp;"]"&amp;_sheetname_labels)&amp;":"&amp;ADDRESS(2+F441,(B441+1)*2,4),"")</f>
        <v/>
      </c>
      <c r="N441" s="14" t="str">
        <f ca="1">ADDRESS(3,B441+1,4,,"[" &amp; wew!$G$7 &amp; "]" &amp;_sheetname_dataframe) &amp; ":" &amp; ADDRESS(2+ster!$C$14,B441+1,4)</f>
        <v>'[dane surowe2c.xlsm]data_frame'!PX3:PX35</v>
      </c>
      <c r="O441" s="14" t="str">
        <f t="shared" ca="1" si="95"/>
        <v/>
      </c>
      <c r="P441" s="14" t="str">
        <f ca="1">IF(AND($AD441,$S441=1),IF(wew!$B$3,MIN(INDIRECT($N441)),"&lt;włącz podświetlanie wartości&gt;"),"—")</f>
        <v>—</v>
      </c>
      <c r="Q441" s="14" t="str">
        <f ca="1">IF(AND($AD441,$S441=1),IF(wew!$B$3,MAX(INDIRECT($N441)),"&lt;włącz podświetlanie wartości&gt;"),"—")</f>
        <v>—</v>
      </c>
      <c r="R441" s="14" t="str">
        <f ca="1">IF(AD441,ster!$C$14- (COUNTIF( INDIRECT(N441),"" )+ COUNT(INDIRECT(N441)) +COUNTIF( INDIRECT(N441),"NA" )),"")</f>
        <v/>
      </c>
      <c r="S441" s="12" t="str">
        <f ca="1">IF(AD441,IF(COUNTA(INDIRECT(N441))=0,0, 1-(ster!$C$14- COUNT(INDIRECT(N441)) -COUNTIF( INDIRECT(N441),"" )) /COUNTA(INDIRECT(N441))),"")</f>
        <v/>
      </c>
      <c r="T441" s="17" t="str">
        <f t="array" aca="1" ref="T441" ca="1">IF(L441&lt;&gt;"",SUM(IF(INDIRECT(L441)&lt;&gt;INT(INDIRECT(L441)),1,0)),"")</f>
        <v/>
      </c>
      <c r="U441" s="17" t="str">
        <f t="array" aca="1" ref="U441" ca="1">IF(S441=1,SUM(IF(ISNUMBER(INDIRECT(N441)),IF(INDIRECT(N441)&lt;&gt;INT(INDIRECT(N441)),1,0),0)),"")</f>
        <v/>
      </c>
      <c r="V441" s="17">
        <f t="shared" ca="1" si="96"/>
        <v>0</v>
      </c>
      <c r="W441" s="17">
        <f t="shared" ca="1" si="97"/>
        <v>0</v>
      </c>
      <c r="X441" s="24" t="str">
        <f t="array" aca="1" ref="X441" ca="1">IF(AD441,IF(AG441&lt;&gt;"",AG441,IF(J441,MIN(INDIRECT( K441)),"")),"")</f>
        <v/>
      </c>
      <c r="Y441" s="17" t="str">
        <f t="array" aca="1" ref="Y441" ca="1">IF(AD441,IF(AH441&lt;&gt;"",AH441,IF(J441,MAX(INDIRECT( K441)),"")),"")</f>
        <v/>
      </c>
      <c r="Z441" s="17" t="b">
        <f t="shared" ca="1" si="98"/>
        <v>0</v>
      </c>
      <c r="AC441" s="17" t="str">
        <f t="shared" ca="1" si="99"/>
        <v/>
      </c>
      <c r="AD441" s="14" t="b">
        <f t="shared" ca="1" si="100"/>
        <v>0</v>
      </c>
      <c r="AE441" s="15" t="b">
        <f t="shared" ca="1" si="101"/>
        <v>0</v>
      </c>
      <c r="AF441" s="16"/>
      <c r="AG441" s="16"/>
      <c r="AH441" s="16"/>
      <c r="AI441" s="16"/>
      <c r="AJ441" s="16"/>
      <c r="AK441" s="16"/>
      <c r="AL441" s="16"/>
      <c r="AM441" s="16"/>
    </row>
    <row r="442" spans="2:39">
      <c r="B442" s="14">
        <f t="shared" si="90"/>
        <v>440</v>
      </c>
      <c r="C442" s="14" t="str">
        <f t="shared" ca="1" si="91"/>
        <v/>
      </c>
      <c r="D442" s="14" t="str">
        <f t="shared" ca="1" si="92"/>
        <v/>
      </c>
      <c r="E442" s="14" t="str">
        <f t="shared" ca="1" si="89"/>
        <v/>
      </c>
      <c r="F442" s="14">
        <f t="shared" ca="1" si="102"/>
        <v>0</v>
      </c>
      <c r="G442" s="14" t="str">
        <f t="shared" ca="1" si="93"/>
        <v/>
      </c>
      <c r="H442" s="14">
        <f ca="1">IF(G442&lt;&gt;"",IFERROR( IsVariableNameLegal(G442),0),0)+IF(COUNTIF(INDIRECT(wew!$C$13),G442)&gt;1,10,0)</f>
        <v>0</v>
      </c>
      <c r="I442" s="14">
        <f ca="1">IF(E442&lt;&gt;"",IF(LEN(E442)&gt;150,1,0)+IF(COUNTIF(INDIRECT(wew!$C$15),E442)&gt;1,10,0),0)</f>
        <v>0</v>
      </c>
      <c r="J442" s="14" t="b">
        <f t="shared" ca="1" si="94"/>
        <v>0</v>
      </c>
      <c r="K442" s="14" t="str">
        <f ca="1">ADDRESS(3,(B442+1)*2-1,4,,"[" &amp; wew!$G$7 &amp; "]" &amp; _sheetname_labels) &amp; ":" &amp; ADDRESS(2+ster!$B$20,(B442+1)*2-1,4)</f>
        <v>'[dane surowe2c.xlsm]labels'!AGW3:AGW36</v>
      </c>
      <c r="L442" s="14" t="str">
        <f ca="1">IF(F442&gt;0,ADDRESS(3,(B442+1)*2-1,4,,"[" &amp; wew!$G$7 &amp; "]" &amp; _sheetname_labels) &amp; ":" &amp; ADDRESS(2+F442,(B442+1)*2-1,4),"")</f>
        <v/>
      </c>
      <c r="M442" s="14" t="str">
        <f ca="1">IF(F442&gt;0,ADDRESS(3,(B442+1)*2,4,,"["&amp;wew!$G$7&amp;"]"&amp;_sheetname_labels)&amp;":"&amp;ADDRESS(2+F442,(B442+1)*2,4),"")</f>
        <v/>
      </c>
      <c r="N442" s="14" t="str">
        <f ca="1">ADDRESS(3,B442+1,4,,"[" &amp; wew!$G$7 &amp; "]" &amp;_sheetname_dataframe) &amp; ":" &amp; ADDRESS(2+ster!$C$14,B442+1,4)</f>
        <v>'[dane surowe2c.xlsm]data_frame'!PY3:PY35</v>
      </c>
      <c r="O442" s="14" t="str">
        <f t="shared" ca="1" si="95"/>
        <v/>
      </c>
      <c r="P442" s="14" t="str">
        <f ca="1">IF(AND($AD442,$S442=1),IF(wew!$B$3,MIN(INDIRECT($N442)),"&lt;włącz podświetlanie wartości&gt;"),"—")</f>
        <v>—</v>
      </c>
      <c r="Q442" s="14" t="str">
        <f ca="1">IF(AND($AD442,$S442=1),IF(wew!$B$3,MAX(INDIRECT($N442)),"&lt;włącz podświetlanie wartości&gt;"),"—")</f>
        <v>—</v>
      </c>
      <c r="R442" s="14" t="str">
        <f ca="1">IF(AD442,ster!$C$14- (COUNTIF( INDIRECT(N442),"" )+ COUNT(INDIRECT(N442)) +COUNTIF( INDIRECT(N442),"NA" )),"")</f>
        <v/>
      </c>
      <c r="S442" s="12" t="str">
        <f ca="1">IF(AD442,IF(COUNTA(INDIRECT(N442))=0,0, 1-(ster!$C$14- COUNT(INDIRECT(N442)) -COUNTIF( INDIRECT(N442),"" )) /COUNTA(INDIRECT(N442))),"")</f>
        <v/>
      </c>
      <c r="T442" s="17" t="str">
        <f t="array" aca="1" ref="T442" ca="1">IF(L442&lt;&gt;"",SUM(IF(INDIRECT(L442)&lt;&gt;INT(INDIRECT(L442)),1,0)),"")</f>
        <v/>
      </c>
      <c r="U442" s="17" t="str">
        <f t="array" aca="1" ref="U442" ca="1">IF(S442=1,SUM(IF(ISNUMBER(INDIRECT(N442)),IF(INDIRECT(N442)&lt;&gt;INT(INDIRECT(N442)),1,0),0)),"")</f>
        <v/>
      </c>
      <c r="V442" s="17">
        <f t="shared" ca="1" si="96"/>
        <v>0</v>
      </c>
      <c r="W442" s="17">
        <f t="shared" ca="1" si="97"/>
        <v>0</v>
      </c>
      <c r="X442" s="24" t="str">
        <f t="array" aca="1" ref="X442" ca="1">IF(AD442,IF(AG442&lt;&gt;"",AG442,IF(J442,MIN(INDIRECT( K442)),"")),"")</f>
        <v/>
      </c>
      <c r="Y442" s="17" t="str">
        <f t="array" aca="1" ref="Y442" ca="1">IF(AD442,IF(AH442&lt;&gt;"",AH442,IF(J442,MAX(INDIRECT( K442)),"")),"")</f>
        <v/>
      </c>
      <c r="Z442" s="17" t="b">
        <f t="shared" ca="1" si="98"/>
        <v>0</v>
      </c>
      <c r="AC442" s="17" t="str">
        <f t="shared" ca="1" si="99"/>
        <v/>
      </c>
      <c r="AD442" s="14" t="b">
        <f t="shared" ca="1" si="100"/>
        <v>0</v>
      </c>
      <c r="AE442" s="15" t="b">
        <f t="shared" ca="1" si="101"/>
        <v>0</v>
      </c>
      <c r="AF442" s="16"/>
      <c r="AG442" s="16"/>
      <c r="AH442" s="16"/>
      <c r="AI442" s="16"/>
      <c r="AJ442" s="16"/>
      <c r="AK442" s="16"/>
      <c r="AL442" s="16"/>
      <c r="AM442" s="16"/>
    </row>
    <row r="443" spans="2:39">
      <c r="B443" s="14">
        <f t="shared" si="90"/>
        <v>441</v>
      </c>
      <c r="C443" s="14" t="str">
        <f t="shared" ca="1" si="91"/>
        <v/>
      </c>
      <c r="D443" s="14" t="str">
        <f t="shared" ca="1" si="92"/>
        <v/>
      </c>
      <c r="E443" s="14" t="str">
        <f t="shared" ca="1" si="89"/>
        <v/>
      </c>
      <c r="F443" s="14">
        <f t="shared" ca="1" si="102"/>
        <v>0</v>
      </c>
      <c r="G443" s="14" t="str">
        <f t="shared" ca="1" si="93"/>
        <v/>
      </c>
      <c r="H443" s="14">
        <f ca="1">IF(G443&lt;&gt;"",IFERROR( IsVariableNameLegal(G443),0),0)+IF(COUNTIF(INDIRECT(wew!$C$13),G443)&gt;1,10,0)</f>
        <v>0</v>
      </c>
      <c r="I443" s="14">
        <f ca="1">IF(E443&lt;&gt;"",IF(LEN(E443)&gt;150,1,0)+IF(COUNTIF(INDIRECT(wew!$C$15),E443)&gt;1,10,0),0)</f>
        <v>0</v>
      </c>
      <c r="J443" s="14" t="b">
        <f t="shared" ca="1" si="94"/>
        <v>0</v>
      </c>
      <c r="K443" s="14" t="str">
        <f ca="1">ADDRESS(3,(B443+1)*2-1,4,,"[" &amp; wew!$G$7 &amp; "]" &amp; _sheetname_labels) &amp; ":" &amp; ADDRESS(2+ster!$B$20,(B443+1)*2-1,4)</f>
        <v>'[dane surowe2c.xlsm]labels'!AGY3:AGY36</v>
      </c>
      <c r="L443" s="14" t="str">
        <f ca="1">IF(F443&gt;0,ADDRESS(3,(B443+1)*2-1,4,,"[" &amp; wew!$G$7 &amp; "]" &amp; _sheetname_labels) &amp; ":" &amp; ADDRESS(2+F443,(B443+1)*2-1,4),"")</f>
        <v/>
      </c>
      <c r="M443" s="14" t="str">
        <f ca="1">IF(F443&gt;0,ADDRESS(3,(B443+1)*2,4,,"["&amp;wew!$G$7&amp;"]"&amp;_sheetname_labels)&amp;":"&amp;ADDRESS(2+F443,(B443+1)*2,4),"")</f>
        <v/>
      </c>
      <c r="N443" s="14" t="str">
        <f ca="1">ADDRESS(3,B443+1,4,,"[" &amp; wew!$G$7 &amp; "]" &amp;_sheetname_dataframe) &amp; ":" &amp; ADDRESS(2+ster!$C$14,B443+1,4)</f>
        <v>'[dane surowe2c.xlsm]data_frame'!PZ3:PZ35</v>
      </c>
      <c r="O443" s="14" t="str">
        <f t="shared" ca="1" si="95"/>
        <v/>
      </c>
      <c r="P443" s="14" t="str">
        <f ca="1">IF(AND($AD443,$S443=1),IF(wew!$B$3,MIN(INDIRECT($N443)),"&lt;włącz podświetlanie wartości&gt;"),"—")</f>
        <v>—</v>
      </c>
      <c r="Q443" s="14" t="str">
        <f ca="1">IF(AND($AD443,$S443=1),IF(wew!$B$3,MAX(INDIRECT($N443)),"&lt;włącz podświetlanie wartości&gt;"),"—")</f>
        <v>—</v>
      </c>
      <c r="R443" s="14" t="str">
        <f ca="1">IF(AD443,ster!$C$14- (COUNTIF( INDIRECT(N443),"" )+ COUNT(INDIRECT(N443)) +COUNTIF( INDIRECT(N443),"NA" )),"")</f>
        <v/>
      </c>
      <c r="S443" s="12" t="str">
        <f ca="1">IF(AD443,IF(COUNTA(INDIRECT(N443))=0,0, 1-(ster!$C$14- COUNT(INDIRECT(N443)) -COUNTIF( INDIRECT(N443),"" )) /COUNTA(INDIRECT(N443))),"")</f>
        <v/>
      </c>
      <c r="T443" s="17" t="str">
        <f t="array" aca="1" ref="T443" ca="1">IF(L443&lt;&gt;"",SUM(IF(INDIRECT(L443)&lt;&gt;INT(INDIRECT(L443)),1,0)),"")</f>
        <v/>
      </c>
      <c r="U443" s="17" t="str">
        <f t="array" aca="1" ref="U443" ca="1">IF(S443=1,SUM(IF(ISNUMBER(INDIRECT(N443)),IF(INDIRECT(N443)&lt;&gt;INT(INDIRECT(N443)),1,0),0)),"")</f>
        <v/>
      </c>
      <c r="V443" s="17">
        <f t="shared" ca="1" si="96"/>
        <v>0</v>
      </c>
      <c r="W443" s="17">
        <f t="shared" ca="1" si="97"/>
        <v>0</v>
      </c>
      <c r="X443" s="24" t="str">
        <f t="array" aca="1" ref="X443" ca="1">IF(AD443,IF(AG443&lt;&gt;"",AG443,IF(J443,MIN(INDIRECT( K443)),"")),"")</f>
        <v/>
      </c>
      <c r="Y443" s="17" t="str">
        <f t="array" aca="1" ref="Y443" ca="1">IF(AD443,IF(AH443&lt;&gt;"",AH443,IF(J443,MAX(INDIRECT( K443)),"")),"")</f>
        <v/>
      </c>
      <c r="Z443" s="17" t="b">
        <f t="shared" ca="1" si="98"/>
        <v>0</v>
      </c>
      <c r="AC443" s="17" t="str">
        <f t="shared" ca="1" si="99"/>
        <v/>
      </c>
      <c r="AD443" s="14" t="b">
        <f t="shared" ca="1" si="100"/>
        <v>0</v>
      </c>
      <c r="AE443" s="15" t="b">
        <f t="shared" ca="1" si="101"/>
        <v>0</v>
      </c>
      <c r="AF443" s="16"/>
      <c r="AG443" s="16"/>
      <c r="AH443" s="16"/>
      <c r="AI443" s="16"/>
      <c r="AJ443" s="16"/>
      <c r="AK443" s="16"/>
      <c r="AL443" s="16"/>
      <c r="AM443" s="16"/>
    </row>
    <row r="444" spans="2:39">
      <c r="B444" s="14">
        <f t="shared" si="90"/>
        <v>442</v>
      </c>
      <c r="C444" s="14" t="str">
        <f t="shared" ca="1" si="91"/>
        <v/>
      </c>
      <c r="D444" s="14" t="str">
        <f t="shared" ca="1" si="92"/>
        <v/>
      </c>
      <c r="E444" s="14" t="str">
        <f t="shared" ca="1" si="89"/>
        <v/>
      </c>
      <c r="F444" s="14">
        <f t="shared" ca="1" si="102"/>
        <v>0</v>
      </c>
      <c r="G444" s="14" t="str">
        <f t="shared" ca="1" si="93"/>
        <v/>
      </c>
      <c r="H444" s="14">
        <f ca="1">IF(G444&lt;&gt;"",IFERROR( IsVariableNameLegal(G444),0),0)+IF(COUNTIF(INDIRECT(wew!$C$13),G444)&gt;1,10,0)</f>
        <v>0</v>
      </c>
      <c r="I444" s="14">
        <f ca="1">IF(E444&lt;&gt;"",IF(LEN(E444)&gt;150,1,0)+IF(COUNTIF(INDIRECT(wew!$C$15),E444)&gt;1,10,0),0)</f>
        <v>0</v>
      </c>
      <c r="J444" s="14" t="b">
        <f t="shared" ca="1" si="94"/>
        <v>0</v>
      </c>
      <c r="K444" s="14" t="str">
        <f ca="1">ADDRESS(3,(B444+1)*2-1,4,,"[" &amp; wew!$G$7 &amp; "]" &amp; _sheetname_labels) &amp; ":" &amp; ADDRESS(2+ster!$B$20,(B444+1)*2-1,4)</f>
        <v>'[dane surowe2c.xlsm]labels'!AHA3:AHA36</v>
      </c>
      <c r="L444" s="14" t="str">
        <f ca="1">IF(F444&gt;0,ADDRESS(3,(B444+1)*2-1,4,,"[" &amp; wew!$G$7 &amp; "]" &amp; _sheetname_labels) &amp; ":" &amp; ADDRESS(2+F444,(B444+1)*2-1,4),"")</f>
        <v/>
      </c>
      <c r="M444" s="14" t="str">
        <f ca="1">IF(F444&gt;0,ADDRESS(3,(B444+1)*2,4,,"["&amp;wew!$G$7&amp;"]"&amp;_sheetname_labels)&amp;":"&amp;ADDRESS(2+F444,(B444+1)*2,4),"")</f>
        <v/>
      </c>
      <c r="N444" s="14" t="str">
        <f ca="1">ADDRESS(3,B444+1,4,,"[" &amp; wew!$G$7 &amp; "]" &amp;_sheetname_dataframe) &amp; ":" &amp; ADDRESS(2+ster!$C$14,B444+1,4)</f>
        <v>'[dane surowe2c.xlsm]data_frame'!QA3:QA35</v>
      </c>
      <c r="O444" s="14" t="str">
        <f t="shared" ca="1" si="95"/>
        <v/>
      </c>
      <c r="P444" s="14" t="str">
        <f ca="1">IF(AND($AD444,$S444=1),IF(wew!$B$3,MIN(INDIRECT($N444)),"&lt;włącz podświetlanie wartości&gt;"),"—")</f>
        <v>—</v>
      </c>
      <c r="Q444" s="14" t="str">
        <f ca="1">IF(AND($AD444,$S444=1),IF(wew!$B$3,MAX(INDIRECT($N444)),"&lt;włącz podświetlanie wartości&gt;"),"—")</f>
        <v>—</v>
      </c>
      <c r="R444" s="14" t="str">
        <f ca="1">IF(AD444,ster!$C$14- (COUNTIF( INDIRECT(N444),"" )+ COUNT(INDIRECT(N444)) +COUNTIF( INDIRECT(N444),"NA" )),"")</f>
        <v/>
      </c>
      <c r="S444" s="12" t="str">
        <f ca="1">IF(AD444,IF(COUNTA(INDIRECT(N444))=0,0, 1-(ster!$C$14- COUNT(INDIRECT(N444)) -COUNTIF( INDIRECT(N444),"" )) /COUNTA(INDIRECT(N444))),"")</f>
        <v/>
      </c>
      <c r="T444" s="17" t="str">
        <f t="array" aca="1" ref="T444" ca="1">IF(L444&lt;&gt;"",SUM(IF(INDIRECT(L444)&lt;&gt;INT(INDIRECT(L444)),1,0)),"")</f>
        <v/>
      </c>
      <c r="U444" s="17" t="str">
        <f t="array" aca="1" ref="U444" ca="1">IF(S444=1,SUM(IF(ISNUMBER(INDIRECT(N444)),IF(INDIRECT(N444)&lt;&gt;INT(INDIRECT(N444)),1,0),0)),"")</f>
        <v/>
      </c>
      <c r="V444" s="17">
        <f t="shared" ca="1" si="96"/>
        <v>0</v>
      </c>
      <c r="W444" s="17">
        <f t="shared" ca="1" si="97"/>
        <v>0</v>
      </c>
      <c r="X444" s="24" t="str">
        <f t="array" aca="1" ref="X444" ca="1">IF(AD444,IF(AG444&lt;&gt;"",AG444,IF(J444,MIN(INDIRECT( K444)),"")),"")</f>
        <v/>
      </c>
      <c r="Y444" s="17" t="str">
        <f t="array" aca="1" ref="Y444" ca="1">IF(AD444,IF(AH444&lt;&gt;"",AH444,IF(J444,MAX(INDIRECT( K444)),"")),"")</f>
        <v/>
      </c>
      <c r="Z444" s="17" t="b">
        <f t="shared" ca="1" si="98"/>
        <v>0</v>
      </c>
      <c r="AC444" s="17" t="str">
        <f t="shared" ca="1" si="99"/>
        <v/>
      </c>
      <c r="AD444" s="14" t="b">
        <f t="shared" ca="1" si="100"/>
        <v>0</v>
      </c>
      <c r="AE444" s="15" t="b">
        <f t="shared" ca="1" si="101"/>
        <v>0</v>
      </c>
      <c r="AF444" s="16"/>
      <c r="AG444" s="16"/>
      <c r="AH444" s="16"/>
      <c r="AI444" s="16"/>
      <c r="AJ444" s="16"/>
      <c r="AK444" s="16"/>
      <c r="AL444" s="16"/>
      <c r="AM444" s="16"/>
    </row>
    <row r="445" spans="2:39">
      <c r="B445" s="14">
        <f t="shared" si="90"/>
        <v>443</v>
      </c>
      <c r="C445" s="14" t="str">
        <f t="shared" ca="1" si="91"/>
        <v/>
      </c>
      <c r="D445" s="14" t="str">
        <f t="shared" ca="1" si="92"/>
        <v/>
      </c>
      <c r="E445" s="14" t="str">
        <f t="shared" ca="1" si="89"/>
        <v/>
      </c>
      <c r="F445" s="14">
        <f t="shared" ca="1" si="102"/>
        <v>0</v>
      </c>
      <c r="G445" s="14" t="str">
        <f t="shared" ca="1" si="93"/>
        <v/>
      </c>
      <c r="H445" s="14">
        <f ca="1">IF(G445&lt;&gt;"",IFERROR( IsVariableNameLegal(G445),0),0)+IF(COUNTIF(INDIRECT(wew!$C$13),G445)&gt;1,10,0)</f>
        <v>0</v>
      </c>
      <c r="I445" s="14">
        <f ca="1">IF(E445&lt;&gt;"",IF(LEN(E445)&gt;150,1,0)+IF(COUNTIF(INDIRECT(wew!$C$15),E445)&gt;1,10,0),0)</f>
        <v>0</v>
      </c>
      <c r="J445" s="14" t="b">
        <f t="shared" ca="1" si="94"/>
        <v>0</v>
      </c>
      <c r="K445" s="14" t="str">
        <f ca="1">ADDRESS(3,(B445+1)*2-1,4,,"[" &amp; wew!$G$7 &amp; "]" &amp; _sheetname_labels) &amp; ":" &amp; ADDRESS(2+ster!$B$20,(B445+1)*2-1,4)</f>
        <v>'[dane surowe2c.xlsm]labels'!AHC3:AHC36</v>
      </c>
      <c r="L445" s="14" t="str">
        <f ca="1">IF(F445&gt;0,ADDRESS(3,(B445+1)*2-1,4,,"[" &amp; wew!$G$7 &amp; "]" &amp; _sheetname_labels) &amp; ":" &amp; ADDRESS(2+F445,(B445+1)*2-1,4),"")</f>
        <v/>
      </c>
      <c r="M445" s="14" t="str">
        <f ca="1">IF(F445&gt;0,ADDRESS(3,(B445+1)*2,4,,"["&amp;wew!$G$7&amp;"]"&amp;_sheetname_labels)&amp;":"&amp;ADDRESS(2+F445,(B445+1)*2,4),"")</f>
        <v/>
      </c>
      <c r="N445" s="14" t="str">
        <f ca="1">ADDRESS(3,B445+1,4,,"[" &amp; wew!$G$7 &amp; "]" &amp;_sheetname_dataframe) &amp; ":" &amp; ADDRESS(2+ster!$C$14,B445+1,4)</f>
        <v>'[dane surowe2c.xlsm]data_frame'!QB3:QB35</v>
      </c>
      <c r="O445" s="14" t="str">
        <f t="shared" ca="1" si="95"/>
        <v/>
      </c>
      <c r="P445" s="14" t="str">
        <f ca="1">IF(AND($AD445,$S445=1),IF(wew!$B$3,MIN(INDIRECT($N445)),"&lt;włącz podświetlanie wartości&gt;"),"—")</f>
        <v>—</v>
      </c>
      <c r="Q445" s="14" t="str">
        <f ca="1">IF(AND($AD445,$S445=1),IF(wew!$B$3,MAX(INDIRECT($N445)),"&lt;włącz podświetlanie wartości&gt;"),"—")</f>
        <v>—</v>
      </c>
      <c r="R445" s="14" t="str">
        <f ca="1">IF(AD445,ster!$C$14- (COUNTIF( INDIRECT(N445),"" )+ COUNT(INDIRECT(N445)) +COUNTIF( INDIRECT(N445),"NA" )),"")</f>
        <v/>
      </c>
      <c r="S445" s="12" t="str">
        <f ca="1">IF(AD445,IF(COUNTA(INDIRECT(N445))=0,0, 1-(ster!$C$14- COUNT(INDIRECT(N445)) -COUNTIF( INDIRECT(N445),"" )) /COUNTA(INDIRECT(N445))),"")</f>
        <v/>
      </c>
      <c r="T445" s="17" t="str">
        <f t="array" aca="1" ref="T445" ca="1">IF(L445&lt;&gt;"",SUM(IF(INDIRECT(L445)&lt;&gt;INT(INDIRECT(L445)),1,0)),"")</f>
        <v/>
      </c>
      <c r="U445" s="17" t="str">
        <f t="array" aca="1" ref="U445" ca="1">IF(S445=1,SUM(IF(ISNUMBER(INDIRECT(N445)),IF(INDIRECT(N445)&lt;&gt;INT(INDIRECT(N445)),1,0),0)),"")</f>
        <v/>
      </c>
      <c r="V445" s="17">
        <f t="shared" ca="1" si="96"/>
        <v>0</v>
      </c>
      <c r="W445" s="17">
        <f t="shared" ca="1" si="97"/>
        <v>0</v>
      </c>
      <c r="X445" s="24" t="str">
        <f t="array" aca="1" ref="X445" ca="1">IF(AD445,IF(AG445&lt;&gt;"",AG445,IF(J445,MIN(INDIRECT( K445)),"")),"")</f>
        <v/>
      </c>
      <c r="Y445" s="17" t="str">
        <f t="array" aca="1" ref="Y445" ca="1">IF(AD445,IF(AH445&lt;&gt;"",AH445,IF(J445,MAX(INDIRECT( K445)),"")),"")</f>
        <v/>
      </c>
      <c r="Z445" s="17" t="b">
        <f t="shared" ca="1" si="98"/>
        <v>0</v>
      </c>
      <c r="AC445" s="17" t="str">
        <f t="shared" ca="1" si="99"/>
        <v/>
      </c>
      <c r="AD445" s="14" t="b">
        <f t="shared" ca="1" si="100"/>
        <v>0</v>
      </c>
      <c r="AE445" s="15" t="b">
        <f t="shared" ca="1" si="101"/>
        <v>0</v>
      </c>
      <c r="AF445" s="16"/>
      <c r="AG445" s="16"/>
      <c r="AH445" s="16"/>
      <c r="AI445" s="16"/>
      <c r="AJ445" s="16"/>
      <c r="AK445" s="16"/>
      <c r="AL445" s="16"/>
      <c r="AM445" s="16"/>
    </row>
    <row r="446" spans="2:39">
      <c r="B446" s="14">
        <f t="shared" si="90"/>
        <v>444</v>
      </c>
      <c r="C446" s="14" t="str">
        <f t="shared" ca="1" si="91"/>
        <v/>
      </c>
      <c r="D446" s="14" t="str">
        <f t="shared" ca="1" si="92"/>
        <v/>
      </c>
      <c r="E446" s="14" t="str">
        <f t="shared" ca="1" si="89"/>
        <v/>
      </c>
      <c r="F446" s="14">
        <f t="shared" ca="1" si="102"/>
        <v>0</v>
      </c>
      <c r="G446" s="14" t="str">
        <f t="shared" ca="1" si="93"/>
        <v/>
      </c>
      <c r="H446" s="14">
        <f ca="1">IF(G446&lt;&gt;"",IFERROR( IsVariableNameLegal(G446),0),0)+IF(COUNTIF(INDIRECT(wew!$C$13),G446)&gt;1,10,0)</f>
        <v>0</v>
      </c>
      <c r="I446" s="14">
        <f ca="1">IF(E446&lt;&gt;"",IF(LEN(E446)&gt;150,1,0)+IF(COUNTIF(INDIRECT(wew!$C$15),E446)&gt;1,10,0),0)</f>
        <v>0</v>
      </c>
      <c r="J446" s="14" t="b">
        <f t="shared" ca="1" si="94"/>
        <v>0</v>
      </c>
      <c r="K446" s="14" t="str">
        <f ca="1">ADDRESS(3,(B446+1)*2-1,4,,"[" &amp; wew!$G$7 &amp; "]" &amp; _sheetname_labels) &amp; ":" &amp; ADDRESS(2+ster!$B$20,(B446+1)*2-1,4)</f>
        <v>'[dane surowe2c.xlsm]labels'!AHE3:AHE36</v>
      </c>
      <c r="L446" s="14" t="str">
        <f ca="1">IF(F446&gt;0,ADDRESS(3,(B446+1)*2-1,4,,"[" &amp; wew!$G$7 &amp; "]" &amp; _sheetname_labels) &amp; ":" &amp; ADDRESS(2+F446,(B446+1)*2-1,4),"")</f>
        <v/>
      </c>
      <c r="M446" s="14" t="str">
        <f ca="1">IF(F446&gt;0,ADDRESS(3,(B446+1)*2,4,,"["&amp;wew!$G$7&amp;"]"&amp;_sheetname_labels)&amp;":"&amp;ADDRESS(2+F446,(B446+1)*2,4),"")</f>
        <v/>
      </c>
      <c r="N446" s="14" t="str">
        <f ca="1">ADDRESS(3,B446+1,4,,"[" &amp; wew!$G$7 &amp; "]" &amp;_sheetname_dataframe) &amp; ":" &amp; ADDRESS(2+ster!$C$14,B446+1,4)</f>
        <v>'[dane surowe2c.xlsm]data_frame'!QC3:QC35</v>
      </c>
      <c r="O446" s="14" t="str">
        <f t="shared" ca="1" si="95"/>
        <v/>
      </c>
      <c r="P446" s="14" t="str">
        <f ca="1">IF(AND($AD446,$S446=1),IF(wew!$B$3,MIN(INDIRECT($N446)),"&lt;włącz podświetlanie wartości&gt;"),"—")</f>
        <v>—</v>
      </c>
      <c r="Q446" s="14" t="str">
        <f ca="1">IF(AND($AD446,$S446=1),IF(wew!$B$3,MAX(INDIRECT($N446)),"&lt;włącz podświetlanie wartości&gt;"),"—")</f>
        <v>—</v>
      </c>
      <c r="R446" s="14" t="str">
        <f ca="1">IF(AD446,ster!$C$14- (COUNTIF( INDIRECT(N446),"" )+ COUNT(INDIRECT(N446)) +COUNTIF( INDIRECT(N446),"NA" )),"")</f>
        <v/>
      </c>
      <c r="S446" s="12" t="str">
        <f ca="1">IF(AD446,IF(COUNTA(INDIRECT(N446))=0,0, 1-(ster!$C$14- COUNT(INDIRECT(N446)) -COUNTIF( INDIRECT(N446),"" )) /COUNTA(INDIRECT(N446))),"")</f>
        <v/>
      </c>
      <c r="T446" s="17" t="str">
        <f t="array" aca="1" ref="T446" ca="1">IF(L446&lt;&gt;"",SUM(IF(INDIRECT(L446)&lt;&gt;INT(INDIRECT(L446)),1,0)),"")</f>
        <v/>
      </c>
      <c r="U446" s="17" t="str">
        <f t="array" aca="1" ref="U446" ca="1">IF(S446=1,SUM(IF(ISNUMBER(INDIRECT(N446)),IF(INDIRECT(N446)&lt;&gt;INT(INDIRECT(N446)),1,0),0)),"")</f>
        <v/>
      </c>
      <c r="V446" s="17">
        <f t="shared" ca="1" si="96"/>
        <v>0</v>
      </c>
      <c r="W446" s="17">
        <f t="shared" ca="1" si="97"/>
        <v>0</v>
      </c>
      <c r="X446" s="24" t="str">
        <f t="array" aca="1" ref="X446" ca="1">IF(AD446,IF(AG446&lt;&gt;"",AG446,IF(J446,MIN(INDIRECT( K446)),"")),"")</f>
        <v/>
      </c>
      <c r="Y446" s="17" t="str">
        <f t="array" aca="1" ref="Y446" ca="1">IF(AD446,IF(AH446&lt;&gt;"",AH446,IF(J446,MAX(INDIRECT( K446)),"")),"")</f>
        <v/>
      </c>
      <c r="Z446" s="17" t="b">
        <f t="shared" ca="1" si="98"/>
        <v>0</v>
      </c>
      <c r="AC446" s="17" t="str">
        <f t="shared" ca="1" si="99"/>
        <v/>
      </c>
      <c r="AD446" s="14" t="b">
        <f t="shared" ca="1" si="100"/>
        <v>0</v>
      </c>
      <c r="AE446" s="15" t="b">
        <f t="shared" ca="1" si="101"/>
        <v>0</v>
      </c>
      <c r="AF446" s="16"/>
      <c r="AG446" s="16"/>
      <c r="AH446" s="16"/>
      <c r="AI446" s="16"/>
      <c r="AJ446" s="16"/>
      <c r="AK446" s="16"/>
      <c r="AL446" s="16"/>
      <c r="AM446" s="16"/>
    </row>
    <row r="447" spans="2:39">
      <c r="B447" s="14">
        <f t="shared" si="90"/>
        <v>445</v>
      </c>
      <c r="C447" s="14" t="str">
        <f t="shared" ca="1" si="91"/>
        <v/>
      </c>
      <c r="D447" s="14" t="str">
        <f t="shared" ca="1" si="92"/>
        <v/>
      </c>
      <c r="E447" s="14" t="str">
        <f t="shared" ca="1" si="89"/>
        <v/>
      </c>
      <c r="F447" s="14">
        <f t="shared" ca="1" si="102"/>
        <v>0</v>
      </c>
      <c r="G447" s="14" t="str">
        <f t="shared" ca="1" si="93"/>
        <v/>
      </c>
      <c r="H447" s="14">
        <f ca="1">IF(G447&lt;&gt;"",IFERROR( IsVariableNameLegal(G447),0),0)+IF(COUNTIF(INDIRECT(wew!$C$13),G447)&gt;1,10,0)</f>
        <v>0</v>
      </c>
      <c r="I447" s="14">
        <f ca="1">IF(E447&lt;&gt;"",IF(LEN(E447)&gt;150,1,0)+IF(COUNTIF(INDIRECT(wew!$C$15),E447)&gt;1,10,0),0)</f>
        <v>0</v>
      </c>
      <c r="J447" s="14" t="b">
        <f t="shared" ca="1" si="94"/>
        <v>0</v>
      </c>
      <c r="K447" s="14" t="str">
        <f ca="1">ADDRESS(3,(B447+1)*2-1,4,,"[" &amp; wew!$G$7 &amp; "]" &amp; _sheetname_labels) &amp; ":" &amp; ADDRESS(2+ster!$B$20,(B447+1)*2-1,4)</f>
        <v>'[dane surowe2c.xlsm]labels'!AHG3:AHG36</v>
      </c>
      <c r="L447" s="14" t="str">
        <f ca="1">IF(F447&gt;0,ADDRESS(3,(B447+1)*2-1,4,,"[" &amp; wew!$G$7 &amp; "]" &amp; _sheetname_labels) &amp; ":" &amp; ADDRESS(2+F447,(B447+1)*2-1,4),"")</f>
        <v/>
      </c>
      <c r="M447" s="14" t="str">
        <f ca="1">IF(F447&gt;0,ADDRESS(3,(B447+1)*2,4,,"["&amp;wew!$G$7&amp;"]"&amp;_sheetname_labels)&amp;":"&amp;ADDRESS(2+F447,(B447+1)*2,4),"")</f>
        <v/>
      </c>
      <c r="N447" s="14" t="str">
        <f ca="1">ADDRESS(3,B447+1,4,,"[" &amp; wew!$G$7 &amp; "]" &amp;_sheetname_dataframe) &amp; ":" &amp; ADDRESS(2+ster!$C$14,B447+1,4)</f>
        <v>'[dane surowe2c.xlsm]data_frame'!QD3:QD35</v>
      </c>
      <c r="O447" s="14" t="str">
        <f t="shared" ca="1" si="95"/>
        <v/>
      </c>
      <c r="P447" s="14" t="str">
        <f ca="1">IF(AND($AD447,$S447=1),IF(wew!$B$3,MIN(INDIRECT($N447)),"&lt;włącz podświetlanie wartości&gt;"),"—")</f>
        <v>—</v>
      </c>
      <c r="Q447" s="14" t="str">
        <f ca="1">IF(AND($AD447,$S447=1),IF(wew!$B$3,MAX(INDIRECT($N447)),"&lt;włącz podświetlanie wartości&gt;"),"—")</f>
        <v>—</v>
      </c>
      <c r="R447" s="14" t="str">
        <f ca="1">IF(AD447,ster!$C$14- (COUNTIF( INDIRECT(N447),"" )+ COUNT(INDIRECT(N447)) +COUNTIF( INDIRECT(N447),"NA" )),"")</f>
        <v/>
      </c>
      <c r="S447" s="12" t="str">
        <f ca="1">IF(AD447,IF(COUNTA(INDIRECT(N447))=0,0, 1-(ster!$C$14- COUNT(INDIRECT(N447)) -COUNTIF( INDIRECT(N447),"" )) /COUNTA(INDIRECT(N447))),"")</f>
        <v/>
      </c>
      <c r="T447" s="17" t="str">
        <f t="array" aca="1" ref="T447" ca="1">IF(L447&lt;&gt;"",SUM(IF(INDIRECT(L447)&lt;&gt;INT(INDIRECT(L447)),1,0)),"")</f>
        <v/>
      </c>
      <c r="U447" s="17" t="str">
        <f t="array" aca="1" ref="U447" ca="1">IF(S447=1,SUM(IF(ISNUMBER(INDIRECT(N447)),IF(INDIRECT(N447)&lt;&gt;INT(INDIRECT(N447)),1,0),0)),"")</f>
        <v/>
      </c>
      <c r="V447" s="17">
        <f t="shared" ca="1" si="96"/>
        <v>0</v>
      </c>
      <c r="W447" s="17">
        <f t="shared" ca="1" si="97"/>
        <v>0</v>
      </c>
      <c r="X447" s="24" t="str">
        <f t="array" aca="1" ref="X447" ca="1">IF(AD447,IF(AG447&lt;&gt;"",AG447,IF(J447,MIN(INDIRECT( K447)),"")),"")</f>
        <v/>
      </c>
      <c r="Y447" s="17" t="str">
        <f t="array" aca="1" ref="Y447" ca="1">IF(AD447,IF(AH447&lt;&gt;"",AH447,IF(J447,MAX(INDIRECT( K447)),"")),"")</f>
        <v/>
      </c>
      <c r="Z447" s="17" t="b">
        <f t="shared" ca="1" si="98"/>
        <v>0</v>
      </c>
      <c r="AC447" s="17" t="str">
        <f t="shared" ca="1" si="99"/>
        <v/>
      </c>
      <c r="AD447" s="14" t="b">
        <f t="shared" ca="1" si="100"/>
        <v>0</v>
      </c>
      <c r="AE447" s="15" t="b">
        <f t="shared" ca="1" si="101"/>
        <v>0</v>
      </c>
      <c r="AF447" s="16"/>
      <c r="AG447" s="16"/>
      <c r="AH447" s="16"/>
      <c r="AI447" s="16"/>
      <c r="AJ447" s="16"/>
      <c r="AK447" s="16"/>
      <c r="AL447" s="16"/>
      <c r="AM447" s="16"/>
    </row>
    <row r="448" spans="2:39">
      <c r="B448" s="14">
        <f t="shared" si="90"/>
        <v>446</v>
      </c>
      <c r="C448" s="14" t="str">
        <f t="shared" ca="1" si="91"/>
        <v/>
      </c>
      <c r="D448" s="14" t="str">
        <f t="shared" ca="1" si="92"/>
        <v/>
      </c>
      <c r="E448" s="14" t="str">
        <f t="shared" ca="1" si="89"/>
        <v/>
      </c>
      <c r="F448" s="14">
        <f t="shared" ca="1" si="102"/>
        <v>0</v>
      </c>
      <c r="G448" s="14" t="str">
        <f t="shared" ca="1" si="93"/>
        <v/>
      </c>
      <c r="H448" s="14">
        <f ca="1">IF(G448&lt;&gt;"",IFERROR( IsVariableNameLegal(G448),0),0)+IF(COUNTIF(INDIRECT(wew!$C$13),G448)&gt;1,10,0)</f>
        <v>0</v>
      </c>
      <c r="I448" s="14">
        <f ca="1">IF(E448&lt;&gt;"",IF(LEN(E448)&gt;150,1,0)+IF(COUNTIF(INDIRECT(wew!$C$15),E448)&gt;1,10,0),0)</f>
        <v>0</v>
      </c>
      <c r="J448" s="14" t="b">
        <f t="shared" ca="1" si="94"/>
        <v>0</v>
      </c>
      <c r="K448" s="14" t="str">
        <f ca="1">ADDRESS(3,(B448+1)*2-1,4,,"[" &amp; wew!$G$7 &amp; "]" &amp; _sheetname_labels) &amp; ":" &amp; ADDRESS(2+ster!$B$20,(B448+1)*2-1,4)</f>
        <v>'[dane surowe2c.xlsm]labels'!AHI3:AHI36</v>
      </c>
      <c r="L448" s="14" t="str">
        <f ca="1">IF(F448&gt;0,ADDRESS(3,(B448+1)*2-1,4,,"[" &amp; wew!$G$7 &amp; "]" &amp; _sheetname_labels) &amp; ":" &amp; ADDRESS(2+F448,(B448+1)*2-1,4),"")</f>
        <v/>
      </c>
      <c r="M448" s="14" t="str">
        <f ca="1">IF(F448&gt;0,ADDRESS(3,(B448+1)*2,4,,"["&amp;wew!$G$7&amp;"]"&amp;_sheetname_labels)&amp;":"&amp;ADDRESS(2+F448,(B448+1)*2,4),"")</f>
        <v/>
      </c>
      <c r="N448" s="14" t="str">
        <f ca="1">ADDRESS(3,B448+1,4,,"[" &amp; wew!$G$7 &amp; "]" &amp;_sheetname_dataframe) &amp; ":" &amp; ADDRESS(2+ster!$C$14,B448+1,4)</f>
        <v>'[dane surowe2c.xlsm]data_frame'!QE3:QE35</v>
      </c>
      <c r="O448" s="14" t="str">
        <f t="shared" ca="1" si="95"/>
        <v/>
      </c>
      <c r="P448" s="14" t="str">
        <f ca="1">IF(AND($AD448,$S448=1),IF(wew!$B$3,MIN(INDIRECT($N448)),"&lt;włącz podświetlanie wartości&gt;"),"—")</f>
        <v>—</v>
      </c>
      <c r="Q448" s="14" t="str">
        <f ca="1">IF(AND($AD448,$S448=1),IF(wew!$B$3,MAX(INDIRECT($N448)),"&lt;włącz podświetlanie wartości&gt;"),"—")</f>
        <v>—</v>
      </c>
      <c r="R448" s="14" t="str">
        <f ca="1">IF(AD448,ster!$C$14- (COUNTIF( INDIRECT(N448),"" )+ COUNT(INDIRECT(N448)) +COUNTIF( INDIRECT(N448),"NA" )),"")</f>
        <v/>
      </c>
      <c r="S448" s="12" t="str">
        <f ca="1">IF(AD448,IF(COUNTA(INDIRECT(N448))=0,0, 1-(ster!$C$14- COUNT(INDIRECT(N448)) -COUNTIF( INDIRECT(N448),"" )) /COUNTA(INDIRECT(N448))),"")</f>
        <v/>
      </c>
      <c r="T448" s="17" t="str">
        <f t="array" aca="1" ref="T448" ca="1">IF(L448&lt;&gt;"",SUM(IF(INDIRECT(L448)&lt;&gt;INT(INDIRECT(L448)),1,0)),"")</f>
        <v/>
      </c>
      <c r="U448" s="17" t="str">
        <f t="array" aca="1" ref="U448" ca="1">IF(S448=1,SUM(IF(ISNUMBER(INDIRECT(N448)),IF(INDIRECT(N448)&lt;&gt;INT(INDIRECT(N448)),1,0),0)),"")</f>
        <v/>
      </c>
      <c r="V448" s="17">
        <f t="shared" ca="1" si="96"/>
        <v>0</v>
      </c>
      <c r="W448" s="17">
        <f t="shared" ca="1" si="97"/>
        <v>0</v>
      </c>
      <c r="X448" s="24" t="str">
        <f t="array" aca="1" ref="X448" ca="1">IF(AD448,IF(AG448&lt;&gt;"",AG448,IF(J448,MIN(INDIRECT( K448)),"")),"")</f>
        <v/>
      </c>
      <c r="Y448" s="17" t="str">
        <f t="array" aca="1" ref="Y448" ca="1">IF(AD448,IF(AH448&lt;&gt;"",AH448,IF(J448,MAX(INDIRECT( K448)),"")),"")</f>
        <v/>
      </c>
      <c r="Z448" s="17" t="b">
        <f t="shared" ca="1" si="98"/>
        <v>0</v>
      </c>
      <c r="AC448" s="17" t="str">
        <f t="shared" ca="1" si="99"/>
        <v/>
      </c>
      <c r="AD448" s="14" t="b">
        <f t="shared" ca="1" si="100"/>
        <v>0</v>
      </c>
      <c r="AE448" s="15" t="b">
        <f t="shared" ca="1" si="101"/>
        <v>0</v>
      </c>
      <c r="AF448" s="16"/>
      <c r="AG448" s="16"/>
      <c r="AH448" s="16"/>
      <c r="AI448" s="16"/>
      <c r="AJ448" s="16"/>
      <c r="AK448" s="16"/>
      <c r="AL448" s="16"/>
      <c r="AM448" s="16"/>
    </row>
    <row r="449" spans="2:39">
      <c r="B449" s="14">
        <f t="shared" si="90"/>
        <v>447</v>
      </c>
      <c r="C449" s="14" t="str">
        <f t="shared" ca="1" si="91"/>
        <v/>
      </c>
      <c r="D449" s="14" t="str">
        <f t="shared" ca="1" si="92"/>
        <v/>
      </c>
      <c r="E449" s="14" t="str">
        <f t="shared" ca="1" si="89"/>
        <v/>
      </c>
      <c r="F449" s="14">
        <f t="shared" ca="1" si="102"/>
        <v>0</v>
      </c>
      <c r="G449" s="14" t="str">
        <f t="shared" ca="1" si="93"/>
        <v/>
      </c>
      <c r="H449" s="14">
        <f ca="1">IF(G449&lt;&gt;"",IFERROR( IsVariableNameLegal(G449),0),0)+IF(COUNTIF(INDIRECT(wew!$C$13),G449)&gt;1,10,0)</f>
        <v>0</v>
      </c>
      <c r="I449" s="14">
        <f ca="1">IF(E449&lt;&gt;"",IF(LEN(E449)&gt;150,1,0)+IF(COUNTIF(INDIRECT(wew!$C$15),E449)&gt;1,10,0),0)</f>
        <v>0</v>
      </c>
      <c r="J449" s="14" t="b">
        <f t="shared" ca="1" si="94"/>
        <v>0</v>
      </c>
      <c r="K449" s="14" t="str">
        <f ca="1">ADDRESS(3,(B449+1)*2-1,4,,"[" &amp; wew!$G$7 &amp; "]" &amp; _sheetname_labels) &amp; ":" &amp; ADDRESS(2+ster!$B$20,(B449+1)*2-1,4)</f>
        <v>'[dane surowe2c.xlsm]labels'!AHK3:AHK36</v>
      </c>
      <c r="L449" s="14" t="str">
        <f ca="1">IF(F449&gt;0,ADDRESS(3,(B449+1)*2-1,4,,"[" &amp; wew!$G$7 &amp; "]" &amp; _sheetname_labels) &amp; ":" &amp; ADDRESS(2+F449,(B449+1)*2-1,4),"")</f>
        <v/>
      </c>
      <c r="M449" s="14" t="str">
        <f ca="1">IF(F449&gt;0,ADDRESS(3,(B449+1)*2,4,,"["&amp;wew!$G$7&amp;"]"&amp;_sheetname_labels)&amp;":"&amp;ADDRESS(2+F449,(B449+1)*2,4),"")</f>
        <v/>
      </c>
      <c r="N449" s="14" t="str">
        <f ca="1">ADDRESS(3,B449+1,4,,"[" &amp; wew!$G$7 &amp; "]" &amp;_sheetname_dataframe) &amp; ":" &amp; ADDRESS(2+ster!$C$14,B449+1,4)</f>
        <v>'[dane surowe2c.xlsm]data_frame'!QF3:QF35</v>
      </c>
      <c r="O449" s="14" t="str">
        <f t="shared" ca="1" si="95"/>
        <v/>
      </c>
      <c r="P449" s="14" t="str">
        <f ca="1">IF(AND($AD449,$S449=1),IF(wew!$B$3,MIN(INDIRECT($N449)),"&lt;włącz podświetlanie wartości&gt;"),"—")</f>
        <v>—</v>
      </c>
      <c r="Q449" s="14" t="str">
        <f ca="1">IF(AND($AD449,$S449=1),IF(wew!$B$3,MAX(INDIRECT($N449)),"&lt;włącz podświetlanie wartości&gt;"),"—")</f>
        <v>—</v>
      </c>
      <c r="R449" s="14" t="str">
        <f ca="1">IF(AD449,ster!$C$14- (COUNTIF( INDIRECT(N449),"" )+ COUNT(INDIRECT(N449)) +COUNTIF( INDIRECT(N449),"NA" )),"")</f>
        <v/>
      </c>
      <c r="S449" s="12" t="str">
        <f ca="1">IF(AD449,IF(COUNTA(INDIRECT(N449))=0,0, 1-(ster!$C$14- COUNT(INDIRECT(N449)) -COUNTIF( INDIRECT(N449),"" )) /COUNTA(INDIRECT(N449))),"")</f>
        <v/>
      </c>
      <c r="T449" s="17" t="str">
        <f t="array" aca="1" ref="T449" ca="1">IF(L449&lt;&gt;"",SUM(IF(INDIRECT(L449)&lt;&gt;INT(INDIRECT(L449)),1,0)),"")</f>
        <v/>
      </c>
      <c r="U449" s="17" t="str">
        <f t="array" aca="1" ref="U449" ca="1">IF(S449=1,SUM(IF(ISNUMBER(INDIRECT(N449)),IF(INDIRECT(N449)&lt;&gt;INT(INDIRECT(N449)),1,0),0)),"")</f>
        <v/>
      </c>
      <c r="V449" s="17">
        <f t="shared" ca="1" si="96"/>
        <v>0</v>
      </c>
      <c r="W449" s="17">
        <f t="shared" ca="1" si="97"/>
        <v>0</v>
      </c>
      <c r="X449" s="24" t="str">
        <f t="array" aca="1" ref="X449" ca="1">IF(AD449,IF(AG449&lt;&gt;"",AG449,IF(J449,MIN(INDIRECT( K449)),"")),"")</f>
        <v/>
      </c>
      <c r="Y449" s="17" t="str">
        <f t="array" aca="1" ref="Y449" ca="1">IF(AD449,IF(AH449&lt;&gt;"",AH449,IF(J449,MAX(INDIRECT( K449)),"")),"")</f>
        <v/>
      </c>
      <c r="Z449" s="17" t="b">
        <f t="shared" ca="1" si="98"/>
        <v>0</v>
      </c>
      <c r="AC449" s="17" t="str">
        <f t="shared" ca="1" si="99"/>
        <v/>
      </c>
      <c r="AD449" s="14" t="b">
        <f t="shared" ca="1" si="100"/>
        <v>0</v>
      </c>
      <c r="AE449" s="15" t="b">
        <f t="shared" ca="1" si="101"/>
        <v>0</v>
      </c>
      <c r="AF449" s="16"/>
      <c r="AG449" s="16"/>
      <c r="AH449" s="16"/>
      <c r="AI449" s="16"/>
      <c r="AJ449" s="16"/>
      <c r="AK449" s="16"/>
      <c r="AL449" s="16"/>
      <c r="AM449" s="16"/>
    </row>
    <row r="450" spans="2:39">
      <c r="B450" s="14">
        <f t="shared" si="90"/>
        <v>448</v>
      </c>
      <c r="C450" s="14" t="str">
        <f t="shared" ca="1" si="91"/>
        <v/>
      </c>
      <c r="D450" s="14" t="str">
        <f t="shared" ca="1" si="92"/>
        <v/>
      </c>
      <c r="E450" s="14" t="str">
        <f t="shared" ref="E450:E513" ca="1" si="103">IF(AD450,IF(INDIRECT(ADDRESS(1,ROW(A449),,,_sheetname_dataframe))="","",INDIRECT(ADDRESS(1,ROW(A449),,,_sheetname_dataframe))),"")</f>
        <v/>
      </c>
      <c r="F450" s="14">
        <f t="shared" ca="1" si="102"/>
        <v>0</v>
      </c>
      <c r="G450" s="14" t="str">
        <f t="shared" ca="1" si="93"/>
        <v/>
      </c>
      <c r="H450" s="14">
        <f ca="1">IF(G450&lt;&gt;"",IFERROR( IsVariableNameLegal(G450),0),0)+IF(COUNTIF(INDIRECT(wew!$C$13),G450)&gt;1,10,0)</f>
        <v>0</v>
      </c>
      <c r="I450" s="14">
        <f ca="1">IF(E450&lt;&gt;"",IF(LEN(E450)&gt;150,1,0)+IF(COUNTIF(INDIRECT(wew!$C$15),E450)&gt;1,10,0),0)</f>
        <v>0</v>
      </c>
      <c r="J450" s="14" t="b">
        <f t="shared" ca="1" si="94"/>
        <v>0</v>
      </c>
      <c r="K450" s="14" t="str">
        <f ca="1">ADDRESS(3,(B450+1)*2-1,4,,"[" &amp; wew!$G$7 &amp; "]" &amp; _sheetname_labels) &amp; ":" &amp; ADDRESS(2+ster!$B$20,(B450+1)*2-1,4)</f>
        <v>'[dane surowe2c.xlsm]labels'!AHM3:AHM36</v>
      </c>
      <c r="L450" s="14" t="str">
        <f ca="1">IF(F450&gt;0,ADDRESS(3,(B450+1)*2-1,4,,"[" &amp; wew!$G$7 &amp; "]" &amp; _sheetname_labels) &amp; ":" &amp; ADDRESS(2+F450,(B450+1)*2-1,4),"")</f>
        <v/>
      </c>
      <c r="M450" s="14" t="str">
        <f ca="1">IF(F450&gt;0,ADDRESS(3,(B450+1)*2,4,,"["&amp;wew!$G$7&amp;"]"&amp;_sheetname_labels)&amp;":"&amp;ADDRESS(2+F450,(B450+1)*2,4),"")</f>
        <v/>
      </c>
      <c r="N450" s="14" t="str">
        <f ca="1">ADDRESS(3,B450+1,4,,"[" &amp; wew!$G$7 &amp; "]" &amp;_sheetname_dataframe) &amp; ":" &amp; ADDRESS(2+ster!$C$14,B450+1,4)</f>
        <v>'[dane surowe2c.xlsm]data_frame'!QG3:QG35</v>
      </c>
      <c r="O450" s="14" t="str">
        <f t="shared" ca="1" si="95"/>
        <v/>
      </c>
      <c r="P450" s="14" t="str">
        <f ca="1">IF(AND($AD450,$S450=1),IF(wew!$B$3,MIN(INDIRECT($N450)),"&lt;włącz podświetlanie wartości&gt;"),"—")</f>
        <v>—</v>
      </c>
      <c r="Q450" s="14" t="str">
        <f ca="1">IF(AND($AD450,$S450=1),IF(wew!$B$3,MAX(INDIRECT($N450)),"&lt;włącz podświetlanie wartości&gt;"),"—")</f>
        <v>—</v>
      </c>
      <c r="R450" s="14" t="str">
        <f ca="1">IF(AD450,ster!$C$14- (COUNTIF( INDIRECT(N450),"" )+ COUNT(INDIRECT(N450)) +COUNTIF( INDIRECT(N450),"NA" )),"")</f>
        <v/>
      </c>
      <c r="S450" s="12" t="str">
        <f ca="1">IF(AD450,IF(COUNTA(INDIRECT(N450))=0,0, 1-(ster!$C$14- COUNT(INDIRECT(N450)) -COUNTIF( INDIRECT(N450),"" )) /COUNTA(INDIRECT(N450))),"")</f>
        <v/>
      </c>
      <c r="T450" s="17" t="str">
        <f t="array" aca="1" ref="T450" ca="1">IF(L450&lt;&gt;"",SUM(IF(INDIRECT(L450)&lt;&gt;INT(INDIRECT(L450)),1,0)),"")</f>
        <v/>
      </c>
      <c r="U450" s="17" t="str">
        <f t="array" aca="1" ref="U450" ca="1">IF(S450=1,SUM(IF(ISNUMBER(INDIRECT(N450)),IF(INDIRECT(N450)&lt;&gt;INT(INDIRECT(N450)),1,0),0)),"")</f>
        <v/>
      </c>
      <c r="V450" s="17">
        <f t="shared" ca="1" si="96"/>
        <v>0</v>
      </c>
      <c r="W450" s="17">
        <f t="shared" ca="1" si="97"/>
        <v>0</v>
      </c>
      <c r="X450" s="24" t="str">
        <f t="array" aca="1" ref="X450" ca="1">IF(AD450,IF(AG450&lt;&gt;"",AG450,IF(J450,MIN(INDIRECT( K450)),"")),"")</f>
        <v/>
      </c>
      <c r="Y450" s="17" t="str">
        <f t="array" aca="1" ref="Y450" ca="1">IF(AD450,IF(AH450&lt;&gt;"",AH450,IF(J450,MAX(INDIRECT( K450)),"")),"")</f>
        <v/>
      </c>
      <c r="Z450" s="17" t="b">
        <f t="shared" ca="1" si="98"/>
        <v>0</v>
      </c>
      <c r="AC450" s="17" t="str">
        <f t="shared" ca="1" si="99"/>
        <v/>
      </c>
      <c r="AD450" s="14" t="b">
        <f t="shared" ca="1" si="100"/>
        <v>0</v>
      </c>
      <c r="AE450" s="15" t="b">
        <f t="shared" ca="1" si="101"/>
        <v>0</v>
      </c>
      <c r="AF450" s="16"/>
      <c r="AG450" s="16"/>
      <c r="AH450" s="16"/>
      <c r="AI450" s="16"/>
      <c r="AJ450" s="16"/>
      <c r="AK450" s="16"/>
      <c r="AL450" s="16"/>
      <c r="AM450" s="16"/>
    </row>
    <row r="451" spans="2:39">
      <c r="B451" s="14">
        <f t="shared" ref="B451:B514" si="104">ROW(A451)-2</f>
        <v>449</v>
      </c>
      <c r="C451" s="14" t="str">
        <f t="shared" ref="C451:C514" ca="1" si="105">IF(OR(E451="",ROW(E451)=2),"",IF(R451&gt;0,"S",IF(J451,IF(F451=2,"D","N"),"I")))</f>
        <v/>
      </c>
      <c r="D451" s="14" t="str">
        <f t="shared" ref="D451:D514" ca="1" si="106">IFERROR(CHOOSE(H451+1,G451,"Nazwa musi zaczynać się od litery:" &amp; G451, "Nazwa nie może kończyć się kropką","Nazwa nie może kończyć się podkreśleniem","Nazwa nie może być dłuższa od 64 znaków","?","Ta nazwa jest zarezerwowana i nie może być użyta"),G451)</f>
        <v/>
      </c>
      <c r="E451" s="14" t="str">
        <f t="shared" ca="1" si="103"/>
        <v/>
      </c>
      <c r="F451" s="14">
        <f t="shared" ca="1" si="102"/>
        <v>0</v>
      </c>
      <c r="G451" s="14" t="str">
        <f t="shared" ref="G451:G514" ca="1" si="107">IF(AD451,INDIRECT(ADDRESS(2,ROW(A450),,,_sheetname_dataframe)),"")</f>
        <v/>
      </c>
      <c r="H451" s="14">
        <f ca="1">IF(G451&lt;&gt;"",IFERROR( IsVariableNameLegal(G451),0),0)+IF(COUNTIF(INDIRECT(wew!$C$13),G451)&gt;1,10,0)</f>
        <v>0</v>
      </c>
      <c r="I451" s="14">
        <f ca="1">IF(E451&lt;&gt;"",IF(LEN(E451)&gt;150,1,0)+IF(COUNTIF(INDIRECT(wew!$C$15),E451)&gt;1,10,0),0)</f>
        <v>0</v>
      </c>
      <c r="J451" s="14" t="b">
        <f t="shared" ref="J451:J514" ca="1" si="108">F451&gt;0</f>
        <v>0</v>
      </c>
      <c r="K451" s="14" t="str">
        <f ca="1">ADDRESS(3,(B451+1)*2-1,4,,"[" &amp; wew!$G$7 &amp; "]" &amp; _sheetname_labels) &amp; ":" &amp; ADDRESS(2+ster!$B$20,(B451+1)*2-1,4)</f>
        <v>'[dane surowe2c.xlsm]labels'!AHO3:AHO36</v>
      </c>
      <c r="L451" s="14" t="str">
        <f ca="1">IF(F451&gt;0,ADDRESS(3,(B451+1)*2-1,4,,"[" &amp; wew!$G$7 &amp; "]" &amp; _sheetname_labels) &amp; ":" &amp; ADDRESS(2+F451,(B451+1)*2-1,4),"")</f>
        <v/>
      </c>
      <c r="M451" s="14" t="str">
        <f ca="1">IF(F451&gt;0,ADDRESS(3,(B451+1)*2,4,,"["&amp;wew!$G$7&amp;"]"&amp;_sheetname_labels)&amp;":"&amp;ADDRESS(2+F451,(B451+1)*2,4),"")</f>
        <v/>
      </c>
      <c r="N451" s="14" t="str">
        <f ca="1">ADDRESS(3,B451+1,4,,"[" &amp; wew!$G$7 &amp; "]" &amp;_sheetname_dataframe) &amp; ":" &amp; ADDRESS(2+ster!$C$14,B451+1,4)</f>
        <v>'[dane surowe2c.xlsm]data_frame'!QH3:QH35</v>
      </c>
      <c r="O451" s="14" t="str">
        <f t="shared" ref="O451:O514" ca="1" si="109">IF(AD451,COUNT(INDIRECT(N451)),"")</f>
        <v/>
      </c>
      <c r="P451" s="14" t="str">
        <f ca="1">IF(AND($AD451,$S451=1),IF(wew!$B$3,MIN(INDIRECT($N451)),"&lt;włącz podświetlanie wartości&gt;"),"—")</f>
        <v>—</v>
      </c>
      <c r="Q451" s="14" t="str">
        <f ca="1">IF(AND($AD451,$S451=1),IF(wew!$B$3,MAX(INDIRECT($N451)),"&lt;włącz podświetlanie wartości&gt;"),"—")</f>
        <v>—</v>
      </c>
      <c r="R451" s="14" t="str">
        <f ca="1">IF(AD451,ster!$C$14- (COUNTIF( INDIRECT(N451),"" )+ COUNT(INDIRECT(N451)) +COUNTIF( INDIRECT(N451),"NA" )),"")</f>
        <v/>
      </c>
      <c r="S451" s="12" t="str">
        <f ca="1">IF(AD451,IF(COUNTA(INDIRECT(N451))=0,0, 1-(ster!$C$14- COUNT(INDIRECT(N451)) -COUNTIF( INDIRECT(N451),"" )) /COUNTA(INDIRECT(N451))),"")</f>
        <v/>
      </c>
      <c r="T451" s="17" t="str">
        <f t="array" aca="1" ref="T451" ca="1">IF(L451&lt;&gt;"",SUM(IF(INDIRECT(L451)&lt;&gt;INT(INDIRECT(L451)),1,0)),"")</f>
        <v/>
      </c>
      <c r="U451" s="17" t="str">
        <f t="array" aca="1" ref="U451" ca="1">IF(S451=1,SUM(IF(ISNUMBER(INDIRECT(N451)),IF(INDIRECT(N451)&lt;&gt;INT(INDIRECT(N451)),1,0),0)),"")</f>
        <v/>
      </c>
      <c r="V451" s="17">
        <f t="shared" ref="V451:V514" ca="1" si="110">IF(U451&lt;&gt;"",IF(U451=0,1,IF(U451/O451&lt;0.05,2,3)),0)</f>
        <v>0</v>
      </c>
      <c r="W451" s="17">
        <f t="shared" ref="W451:W514" ca="1" si="111">IF(COUNTA(INDIRECT(N451))=0,0, IF(AND(X451&lt;&gt;"",P451&lt;X451),1,IF(AND(Y451&lt;&gt;"",Q451&gt;Y451),1,IF(AND(Z451,U451&gt;0),2,0))))</f>
        <v>0</v>
      </c>
      <c r="X451" s="24" t="str">
        <f t="array" aca="1" ref="X451" ca="1">IF(AD451,IF(AG451&lt;&gt;"",AG451,IF(J451,MIN(INDIRECT( K451)),"")),"")</f>
        <v/>
      </c>
      <c r="Y451" s="17" t="str">
        <f t="array" aca="1" ref="Y451" ca="1">IF(AD451,IF(AH451&lt;&gt;"",AH451,IF(J451,MAX(INDIRECT( K451)),"")),"")</f>
        <v/>
      </c>
      <c r="Z451" s="17" t="b">
        <f t="shared" ref="Z451:Z514" ca="1" si="112">IF(AD451,IF(AI451&lt;&gt;"",AI451,T451=0),FALSE)</f>
        <v>0</v>
      </c>
      <c r="AC451" s="17" t="str">
        <f t="shared" ref="AC451:AC514" ca="1" si="113">IF(AD451,C451="S","")</f>
        <v/>
      </c>
      <c r="AD451" s="14" t="b">
        <f t="shared" ref="AD451:AD514" ca="1" si="114">INDIRECT(ADDRESS(2,ROW(A450),,,_sheetname_dataframe))&lt;&gt;""</f>
        <v>0</v>
      </c>
      <c r="AE451" s="15" t="b">
        <f t="shared" ref="AE451:AE514" ca="1" si="115">J451</f>
        <v>0</v>
      </c>
      <c r="AF451" s="16"/>
      <c r="AG451" s="16"/>
      <c r="AH451" s="16"/>
      <c r="AI451" s="16"/>
      <c r="AJ451" s="16"/>
      <c r="AK451" s="16"/>
      <c r="AL451" s="16"/>
      <c r="AM451" s="16"/>
    </row>
    <row r="452" spans="2:39">
      <c r="B452" s="14">
        <f t="shared" si="104"/>
        <v>450</v>
      </c>
      <c r="C452" s="14" t="str">
        <f t="shared" ca="1" si="105"/>
        <v/>
      </c>
      <c r="D452" s="14" t="str">
        <f t="shared" ca="1" si="106"/>
        <v/>
      </c>
      <c r="E452" s="14" t="str">
        <f t="shared" ca="1" si="103"/>
        <v/>
      </c>
      <c r="F452" s="14">
        <f t="shared" ca="1" si="102"/>
        <v>0</v>
      </c>
      <c r="G452" s="14" t="str">
        <f t="shared" ca="1" si="107"/>
        <v/>
      </c>
      <c r="H452" s="14">
        <f ca="1">IF(G452&lt;&gt;"",IFERROR( IsVariableNameLegal(G452),0),0)+IF(COUNTIF(INDIRECT(wew!$C$13),G452)&gt;1,10,0)</f>
        <v>0</v>
      </c>
      <c r="I452" s="14">
        <f ca="1">IF(E452&lt;&gt;"",IF(LEN(E452)&gt;150,1,0)+IF(COUNTIF(INDIRECT(wew!$C$15),E452)&gt;1,10,0),0)</f>
        <v>0</v>
      </c>
      <c r="J452" s="14" t="b">
        <f t="shared" ca="1" si="108"/>
        <v>0</v>
      </c>
      <c r="K452" s="14" t="str">
        <f ca="1">ADDRESS(3,(B452+1)*2-1,4,,"[" &amp; wew!$G$7 &amp; "]" &amp; _sheetname_labels) &amp; ":" &amp; ADDRESS(2+ster!$B$20,(B452+1)*2-1,4)</f>
        <v>'[dane surowe2c.xlsm]labels'!AHQ3:AHQ36</v>
      </c>
      <c r="L452" s="14" t="str">
        <f ca="1">IF(F452&gt;0,ADDRESS(3,(B452+1)*2-1,4,,"[" &amp; wew!$G$7 &amp; "]" &amp; _sheetname_labels) &amp; ":" &amp; ADDRESS(2+F452,(B452+1)*2-1,4),"")</f>
        <v/>
      </c>
      <c r="M452" s="14" t="str">
        <f ca="1">IF(F452&gt;0,ADDRESS(3,(B452+1)*2,4,,"["&amp;wew!$G$7&amp;"]"&amp;_sheetname_labels)&amp;":"&amp;ADDRESS(2+F452,(B452+1)*2,4),"")</f>
        <v/>
      </c>
      <c r="N452" s="14" t="str">
        <f ca="1">ADDRESS(3,B452+1,4,,"[" &amp; wew!$G$7 &amp; "]" &amp;_sheetname_dataframe) &amp; ":" &amp; ADDRESS(2+ster!$C$14,B452+1,4)</f>
        <v>'[dane surowe2c.xlsm]data_frame'!QI3:QI35</v>
      </c>
      <c r="O452" s="14" t="str">
        <f t="shared" ca="1" si="109"/>
        <v/>
      </c>
      <c r="P452" s="14" t="str">
        <f ca="1">IF(AND($AD452,$S452=1),IF(wew!$B$3,MIN(INDIRECT($N452)),"&lt;włącz podświetlanie wartości&gt;"),"—")</f>
        <v>—</v>
      </c>
      <c r="Q452" s="14" t="str">
        <f ca="1">IF(AND($AD452,$S452=1),IF(wew!$B$3,MAX(INDIRECT($N452)),"&lt;włącz podświetlanie wartości&gt;"),"—")</f>
        <v>—</v>
      </c>
      <c r="R452" s="14" t="str">
        <f ca="1">IF(AD452,ster!$C$14- (COUNTIF( INDIRECT(N452),"" )+ COUNT(INDIRECT(N452)) +COUNTIF( INDIRECT(N452),"NA" )),"")</f>
        <v/>
      </c>
      <c r="S452" s="12" t="str">
        <f ca="1">IF(AD452,IF(COUNTA(INDIRECT(N452))=0,0, 1-(ster!$C$14- COUNT(INDIRECT(N452)) -COUNTIF( INDIRECT(N452),"" )) /COUNTA(INDIRECT(N452))),"")</f>
        <v/>
      </c>
      <c r="T452" s="17" t="str">
        <f t="array" aca="1" ref="T452" ca="1">IF(L452&lt;&gt;"",SUM(IF(INDIRECT(L452)&lt;&gt;INT(INDIRECT(L452)),1,0)),"")</f>
        <v/>
      </c>
      <c r="U452" s="17" t="str">
        <f t="array" aca="1" ref="U452" ca="1">IF(S452=1,SUM(IF(ISNUMBER(INDIRECT(N452)),IF(INDIRECT(N452)&lt;&gt;INT(INDIRECT(N452)),1,0),0)),"")</f>
        <v/>
      </c>
      <c r="V452" s="17">
        <f t="shared" ca="1" si="110"/>
        <v>0</v>
      </c>
      <c r="W452" s="17">
        <f t="shared" ca="1" si="111"/>
        <v>0</v>
      </c>
      <c r="X452" s="24" t="str">
        <f t="array" aca="1" ref="X452" ca="1">IF(AD452,IF(AG452&lt;&gt;"",AG452,IF(J452,MIN(INDIRECT( K452)),"")),"")</f>
        <v/>
      </c>
      <c r="Y452" s="17" t="str">
        <f t="array" aca="1" ref="Y452" ca="1">IF(AD452,IF(AH452&lt;&gt;"",AH452,IF(J452,MAX(INDIRECT( K452)),"")),"")</f>
        <v/>
      </c>
      <c r="Z452" s="17" t="b">
        <f t="shared" ca="1" si="112"/>
        <v>0</v>
      </c>
      <c r="AC452" s="17" t="str">
        <f t="shared" ca="1" si="113"/>
        <v/>
      </c>
      <c r="AD452" s="14" t="b">
        <f t="shared" ca="1" si="114"/>
        <v>0</v>
      </c>
      <c r="AE452" s="15" t="b">
        <f t="shared" ca="1" si="115"/>
        <v>0</v>
      </c>
      <c r="AF452" s="16"/>
      <c r="AG452" s="16"/>
      <c r="AH452" s="16"/>
      <c r="AI452" s="16"/>
      <c r="AJ452" s="16"/>
      <c r="AK452" s="16"/>
      <c r="AL452" s="16"/>
      <c r="AM452" s="16"/>
    </row>
    <row r="453" spans="2:39">
      <c r="B453" s="14">
        <f t="shared" si="104"/>
        <v>451</v>
      </c>
      <c r="C453" s="14" t="str">
        <f t="shared" ca="1" si="105"/>
        <v/>
      </c>
      <c r="D453" s="14" t="str">
        <f t="shared" ca="1" si="106"/>
        <v/>
      </c>
      <c r="E453" s="14" t="str">
        <f t="shared" ca="1" si="103"/>
        <v/>
      </c>
      <c r="F453" s="14">
        <f t="shared" ca="1" si="102"/>
        <v>0</v>
      </c>
      <c r="G453" s="14" t="str">
        <f t="shared" ca="1" si="107"/>
        <v/>
      </c>
      <c r="H453" s="14">
        <f ca="1">IF(G453&lt;&gt;"",IFERROR( IsVariableNameLegal(G453),0),0)+IF(COUNTIF(INDIRECT(wew!$C$13),G453)&gt;1,10,0)</f>
        <v>0</v>
      </c>
      <c r="I453" s="14">
        <f ca="1">IF(E453&lt;&gt;"",IF(LEN(E453)&gt;150,1,0)+IF(COUNTIF(INDIRECT(wew!$C$15),E453)&gt;1,10,0),0)</f>
        <v>0</v>
      </c>
      <c r="J453" s="14" t="b">
        <f t="shared" ca="1" si="108"/>
        <v>0</v>
      </c>
      <c r="K453" s="14" t="str">
        <f ca="1">ADDRESS(3,(B453+1)*2-1,4,,"[" &amp; wew!$G$7 &amp; "]" &amp; _sheetname_labels) &amp; ":" &amp; ADDRESS(2+ster!$B$20,(B453+1)*2-1,4)</f>
        <v>'[dane surowe2c.xlsm]labels'!AHS3:AHS36</v>
      </c>
      <c r="L453" s="14" t="str">
        <f ca="1">IF(F453&gt;0,ADDRESS(3,(B453+1)*2-1,4,,"[" &amp; wew!$G$7 &amp; "]" &amp; _sheetname_labels) &amp; ":" &amp; ADDRESS(2+F453,(B453+1)*2-1,4),"")</f>
        <v/>
      </c>
      <c r="M453" s="14" t="str">
        <f ca="1">IF(F453&gt;0,ADDRESS(3,(B453+1)*2,4,,"["&amp;wew!$G$7&amp;"]"&amp;_sheetname_labels)&amp;":"&amp;ADDRESS(2+F453,(B453+1)*2,4),"")</f>
        <v/>
      </c>
      <c r="N453" s="14" t="str">
        <f ca="1">ADDRESS(3,B453+1,4,,"[" &amp; wew!$G$7 &amp; "]" &amp;_sheetname_dataframe) &amp; ":" &amp; ADDRESS(2+ster!$C$14,B453+1,4)</f>
        <v>'[dane surowe2c.xlsm]data_frame'!QJ3:QJ35</v>
      </c>
      <c r="O453" s="14" t="str">
        <f t="shared" ca="1" si="109"/>
        <v/>
      </c>
      <c r="P453" s="14" t="str">
        <f ca="1">IF(AND($AD453,$S453=1),IF(wew!$B$3,MIN(INDIRECT($N453)),"&lt;włącz podświetlanie wartości&gt;"),"—")</f>
        <v>—</v>
      </c>
      <c r="Q453" s="14" t="str">
        <f ca="1">IF(AND($AD453,$S453=1),IF(wew!$B$3,MAX(INDIRECT($N453)),"&lt;włącz podświetlanie wartości&gt;"),"—")</f>
        <v>—</v>
      </c>
      <c r="R453" s="14" t="str">
        <f ca="1">IF(AD453,ster!$C$14- (COUNTIF( INDIRECT(N453),"" )+ COUNT(INDIRECT(N453)) +COUNTIF( INDIRECT(N453),"NA" )),"")</f>
        <v/>
      </c>
      <c r="S453" s="12" t="str">
        <f ca="1">IF(AD453,IF(COUNTA(INDIRECT(N453))=0,0, 1-(ster!$C$14- COUNT(INDIRECT(N453)) -COUNTIF( INDIRECT(N453),"" )) /COUNTA(INDIRECT(N453))),"")</f>
        <v/>
      </c>
      <c r="T453" s="17" t="str">
        <f t="array" aca="1" ref="T453" ca="1">IF(L453&lt;&gt;"",SUM(IF(INDIRECT(L453)&lt;&gt;INT(INDIRECT(L453)),1,0)),"")</f>
        <v/>
      </c>
      <c r="U453" s="17" t="str">
        <f t="array" aca="1" ref="U453" ca="1">IF(S453=1,SUM(IF(ISNUMBER(INDIRECT(N453)),IF(INDIRECT(N453)&lt;&gt;INT(INDIRECT(N453)),1,0),0)),"")</f>
        <v/>
      </c>
      <c r="V453" s="17">
        <f t="shared" ca="1" si="110"/>
        <v>0</v>
      </c>
      <c r="W453" s="17">
        <f t="shared" ca="1" si="111"/>
        <v>0</v>
      </c>
      <c r="X453" s="24" t="str">
        <f t="array" aca="1" ref="X453" ca="1">IF(AD453,IF(AG453&lt;&gt;"",AG453,IF(J453,MIN(INDIRECT( K453)),"")),"")</f>
        <v/>
      </c>
      <c r="Y453" s="17" t="str">
        <f t="array" aca="1" ref="Y453" ca="1">IF(AD453,IF(AH453&lt;&gt;"",AH453,IF(J453,MAX(INDIRECT( K453)),"")),"")</f>
        <v/>
      </c>
      <c r="Z453" s="17" t="b">
        <f t="shared" ca="1" si="112"/>
        <v>0</v>
      </c>
      <c r="AC453" s="17" t="str">
        <f t="shared" ca="1" si="113"/>
        <v/>
      </c>
      <c r="AD453" s="14" t="b">
        <f t="shared" ca="1" si="114"/>
        <v>0</v>
      </c>
      <c r="AE453" s="15" t="b">
        <f t="shared" ca="1" si="115"/>
        <v>0</v>
      </c>
      <c r="AF453" s="16"/>
      <c r="AG453" s="16"/>
      <c r="AH453" s="16"/>
      <c r="AI453" s="16"/>
      <c r="AJ453" s="16"/>
      <c r="AK453" s="16"/>
      <c r="AL453" s="16"/>
      <c r="AM453" s="16"/>
    </row>
    <row r="454" spans="2:39">
      <c r="B454" s="14">
        <f t="shared" si="104"/>
        <v>452</v>
      </c>
      <c r="C454" s="14" t="str">
        <f t="shared" ca="1" si="105"/>
        <v/>
      </c>
      <c r="D454" s="14" t="str">
        <f t="shared" ca="1" si="106"/>
        <v/>
      </c>
      <c r="E454" s="14" t="str">
        <f t="shared" ca="1" si="103"/>
        <v/>
      </c>
      <c r="F454" s="14">
        <f t="shared" ca="1" si="102"/>
        <v>0</v>
      </c>
      <c r="G454" s="14" t="str">
        <f t="shared" ca="1" si="107"/>
        <v/>
      </c>
      <c r="H454" s="14">
        <f ca="1">IF(G454&lt;&gt;"",IFERROR( IsVariableNameLegal(G454),0),0)+IF(COUNTIF(INDIRECT(wew!$C$13),G454)&gt;1,10,0)</f>
        <v>0</v>
      </c>
      <c r="I454" s="14">
        <f ca="1">IF(E454&lt;&gt;"",IF(LEN(E454)&gt;150,1,0)+IF(COUNTIF(INDIRECT(wew!$C$15),E454)&gt;1,10,0),0)</f>
        <v>0</v>
      </c>
      <c r="J454" s="14" t="b">
        <f t="shared" ca="1" si="108"/>
        <v>0</v>
      </c>
      <c r="K454" s="14" t="str">
        <f ca="1">ADDRESS(3,(B454+1)*2-1,4,,"[" &amp; wew!$G$7 &amp; "]" &amp; _sheetname_labels) &amp; ":" &amp; ADDRESS(2+ster!$B$20,(B454+1)*2-1,4)</f>
        <v>'[dane surowe2c.xlsm]labels'!AHU3:AHU36</v>
      </c>
      <c r="L454" s="14" t="str">
        <f ca="1">IF(F454&gt;0,ADDRESS(3,(B454+1)*2-1,4,,"[" &amp; wew!$G$7 &amp; "]" &amp; _sheetname_labels) &amp; ":" &amp; ADDRESS(2+F454,(B454+1)*2-1,4),"")</f>
        <v/>
      </c>
      <c r="M454" s="14" t="str">
        <f ca="1">IF(F454&gt;0,ADDRESS(3,(B454+1)*2,4,,"["&amp;wew!$G$7&amp;"]"&amp;_sheetname_labels)&amp;":"&amp;ADDRESS(2+F454,(B454+1)*2,4),"")</f>
        <v/>
      </c>
      <c r="N454" s="14" t="str">
        <f ca="1">ADDRESS(3,B454+1,4,,"[" &amp; wew!$G$7 &amp; "]" &amp;_sheetname_dataframe) &amp; ":" &amp; ADDRESS(2+ster!$C$14,B454+1,4)</f>
        <v>'[dane surowe2c.xlsm]data_frame'!QK3:QK35</v>
      </c>
      <c r="O454" s="14" t="str">
        <f t="shared" ca="1" si="109"/>
        <v/>
      </c>
      <c r="P454" s="14" t="str">
        <f ca="1">IF(AND($AD454,$S454=1),IF(wew!$B$3,MIN(INDIRECT($N454)),"&lt;włącz podświetlanie wartości&gt;"),"—")</f>
        <v>—</v>
      </c>
      <c r="Q454" s="14" t="str">
        <f ca="1">IF(AND($AD454,$S454=1),IF(wew!$B$3,MAX(INDIRECT($N454)),"&lt;włącz podświetlanie wartości&gt;"),"—")</f>
        <v>—</v>
      </c>
      <c r="R454" s="14" t="str">
        <f ca="1">IF(AD454,ster!$C$14- (COUNTIF( INDIRECT(N454),"" )+ COUNT(INDIRECT(N454)) +COUNTIF( INDIRECT(N454),"NA" )),"")</f>
        <v/>
      </c>
      <c r="S454" s="12" t="str">
        <f ca="1">IF(AD454,IF(COUNTA(INDIRECT(N454))=0,0, 1-(ster!$C$14- COUNT(INDIRECT(N454)) -COUNTIF( INDIRECT(N454),"" )) /COUNTA(INDIRECT(N454))),"")</f>
        <v/>
      </c>
      <c r="T454" s="17" t="str">
        <f t="array" aca="1" ref="T454" ca="1">IF(L454&lt;&gt;"",SUM(IF(INDIRECT(L454)&lt;&gt;INT(INDIRECT(L454)),1,0)),"")</f>
        <v/>
      </c>
      <c r="U454" s="17" t="str">
        <f t="array" aca="1" ref="U454" ca="1">IF(S454=1,SUM(IF(ISNUMBER(INDIRECT(N454)),IF(INDIRECT(N454)&lt;&gt;INT(INDIRECT(N454)),1,0),0)),"")</f>
        <v/>
      </c>
      <c r="V454" s="17">
        <f t="shared" ca="1" si="110"/>
        <v>0</v>
      </c>
      <c r="W454" s="17">
        <f t="shared" ca="1" si="111"/>
        <v>0</v>
      </c>
      <c r="X454" s="24" t="str">
        <f t="array" aca="1" ref="X454" ca="1">IF(AD454,IF(AG454&lt;&gt;"",AG454,IF(J454,MIN(INDIRECT( K454)),"")),"")</f>
        <v/>
      </c>
      <c r="Y454" s="17" t="str">
        <f t="array" aca="1" ref="Y454" ca="1">IF(AD454,IF(AH454&lt;&gt;"",AH454,IF(J454,MAX(INDIRECT( K454)),"")),"")</f>
        <v/>
      </c>
      <c r="Z454" s="17" t="b">
        <f t="shared" ca="1" si="112"/>
        <v>0</v>
      </c>
      <c r="AC454" s="17" t="str">
        <f t="shared" ca="1" si="113"/>
        <v/>
      </c>
      <c r="AD454" s="14" t="b">
        <f t="shared" ca="1" si="114"/>
        <v>0</v>
      </c>
      <c r="AE454" s="15" t="b">
        <f t="shared" ca="1" si="115"/>
        <v>0</v>
      </c>
      <c r="AF454" s="16"/>
      <c r="AG454" s="16"/>
      <c r="AH454" s="16"/>
      <c r="AI454" s="16"/>
      <c r="AJ454" s="16"/>
      <c r="AK454" s="16"/>
      <c r="AL454" s="16"/>
      <c r="AM454" s="16"/>
    </row>
    <row r="455" spans="2:39">
      <c r="B455" s="14">
        <f t="shared" si="104"/>
        <v>453</v>
      </c>
      <c r="C455" s="14" t="str">
        <f t="shared" ca="1" si="105"/>
        <v/>
      </c>
      <c r="D455" s="14" t="str">
        <f t="shared" ca="1" si="106"/>
        <v/>
      </c>
      <c r="E455" s="14" t="str">
        <f t="shared" ca="1" si="103"/>
        <v/>
      </c>
      <c r="F455" s="14">
        <f t="shared" ca="1" si="102"/>
        <v>0</v>
      </c>
      <c r="G455" s="14" t="str">
        <f t="shared" ca="1" si="107"/>
        <v/>
      </c>
      <c r="H455" s="14">
        <f ca="1">IF(G455&lt;&gt;"",IFERROR( IsVariableNameLegal(G455),0),0)+IF(COUNTIF(INDIRECT(wew!$C$13),G455)&gt;1,10,0)</f>
        <v>0</v>
      </c>
      <c r="I455" s="14">
        <f ca="1">IF(E455&lt;&gt;"",IF(LEN(E455)&gt;150,1,0)+IF(COUNTIF(INDIRECT(wew!$C$15),E455)&gt;1,10,0),0)</f>
        <v>0</v>
      </c>
      <c r="J455" s="14" t="b">
        <f t="shared" ca="1" si="108"/>
        <v>0</v>
      </c>
      <c r="K455" s="14" t="str">
        <f ca="1">ADDRESS(3,(B455+1)*2-1,4,,"[" &amp; wew!$G$7 &amp; "]" &amp; _sheetname_labels) &amp; ":" &amp; ADDRESS(2+ster!$B$20,(B455+1)*2-1,4)</f>
        <v>'[dane surowe2c.xlsm]labels'!AHW3:AHW36</v>
      </c>
      <c r="L455" s="14" t="str">
        <f ca="1">IF(F455&gt;0,ADDRESS(3,(B455+1)*2-1,4,,"[" &amp; wew!$G$7 &amp; "]" &amp; _sheetname_labels) &amp; ":" &amp; ADDRESS(2+F455,(B455+1)*2-1,4),"")</f>
        <v/>
      </c>
      <c r="M455" s="14" t="str">
        <f ca="1">IF(F455&gt;0,ADDRESS(3,(B455+1)*2,4,,"["&amp;wew!$G$7&amp;"]"&amp;_sheetname_labels)&amp;":"&amp;ADDRESS(2+F455,(B455+1)*2,4),"")</f>
        <v/>
      </c>
      <c r="N455" s="14" t="str">
        <f ca="1">ADDRESS(3,B455+1,4,,"[" &amp; wew!$G$7 &amp; "]" &amp;_sheetname_dataframe) &amp; ":" &amp; ADDRESS(2+ster!$C$14,B455+1,4)</f>
        <v>'[dane surowe2c.xlsm]data_frame'!QL3:QL35</v>
      </c>
      <c r="O455" s="14" t="str">
        <f t="shared" ca="1" si="109"/>
        <v/>
      </c>
      <c r="P455" s="14" t="str">
        <f ca="1">IF(AND($AD455,$S455=1),IF(wew!$B$3,MIN(INDIRECT($N455)),"&lt;włącz podświetlanie wartości&gt;"),"—")</f>
        <v>—</v>
      </c>
      <c r="Q455" s="14" t="str">
        <f ca="1">IF(AND($AD455,$S455=1),IF(wew!$B$3,MAX(INDIRECT($N455)),"&lt;włącz podświetlanie wartości&gt;"),"—")</f>
        <v>—</v>
      </c>
      <c r="R455" s="14" t="str">
        <f ca="1">IF(AD455,ster!$C$14- (COUNTIF( INDIRECT(N455),"" )+ COUNT(INDIRECT(N455)) +COUNTIF( INDIRECT(N455),"NA" )),"")</f>
        <v/>
      </c>
      <c r="S455" s="12" t="str">
        <f ca="1">IF(AD455,IF(COUNTA(INDIRECT(N455))=0,0, 1-(ster!$C$14- COUNT(INDIRECT(N455)) -COUNTIF( INDIRECT(N455),"" )) /COUNTA(INDIRECT(N455))),"")</f>
        <v/>
      </c>
      <c r="T455" s="17" t="str">
        <f t="array" aca="1" ref="T455" ca="1">IF(L455&lt;&gt;"",SUM(IF(INDIRECT(L455)&lt;&gt;INT(INDIRECT(L455)),1,0)),"")</f>
        <v/>
      </c>
      <c r="U455" s="17" t="str">
        <f t="array" aca="1" ref="U455" ca="1">IF(S455=1,SUM(IF(ISNUMBER(INDIRECT(N455)),IF(INDIRECT(N455)&lt;&gt;INT(INDIRECT(N455)),1,0),0)),"")</f>
        <v/>
      </c>
      <c r="V455" s="17">
        <f t="shared" ca="1" si="110"/>
        <v>0</v>
      </c>
      <c r="W455" s="17">
        <f t="shared" ca="1" si="111"/>
        <v>0</v>
      </c>
      <c r="X455" s="24" t="str">
        <f t="array" aca="1" ref="X455" ca="1">IF(AD455,IF(AG455&lt;&gt;"",AG455,IF(J455,MIN(INDIRECT( K455)),"")),"")</f>
        <v/>
      </c>
      <c r="Y455" s="17" t="str">
        <f t="array" aca="1" ref="Y455" ca="1">IF(AD455,IF(AH455&lt;&gt;"",AH455,IF(J455,MAX(INDIRECT( K455)),"")),"")</f>
        <v/>
      </c>
      <c r="Z455" s="17" t="b">
        <f t="shared" ca="1" si="112"/>
        <v>0</v>
      </c>
      <c r="AC455" s="17" t="str">
        <f t="shared" ca="1" si="113"/>
        <v/>
      </c>
      <c r="AD455" s="14" t="b">
        <f t="shared" ca="1" si="114"/>
        <v>0</v>
      </c>
      <c r="AE455" s="15" t="b">
        <f t="shared" ca="1" si="115"/>
        <v>0</v>
      </c>
      <c r="AF455" s="16"/>
      <c r="AG455" s="16"/>
      <c r="AH455" s="16"/>
      <c r="AI455" s="16"/>
      <c r="AJ455" s="16"/>
      <c r="AK455" s="16"/>
      <c r="AL455" s="16"/>
      <c r="AM455" s="16"/>
    </row>
    <row r="456" spans="2:39">
      <c r="B456" s="14">
        <f t="shared" si="104"/>
        <v>454</v>
      </c>
      <c r="C456" s="14" t="str">
        <f t="shared" ca="1" si="105"/>
        <v/>
      </c>
      <c r="D456" s="14" t="str">
        <f t="shared" ca="1" si="106"/>
        <v/>
      </c>
      <c r="E456" s="14" t="str">
        <f t="shared" ca="1" si="103"/>
        <v/>
      </c>
      <c r="F456" s="14">
        <f t="shared" ca="1" si="102"/>
        <v>0</v>
      </c>
      <c r="G456" s="14" t="str">
        <f t="shared" ca="1" si="107"/>
        <v/>
      </c>
      <c r="H456" s="14">
        <f ca="1">IF(G456&lt;&gt;"",IFERROR( IsVariableNameLegal(G456),0),0)+IF(COUNTIF(INDIRECT(wew!$C$13),G456)&gt;1,10,0)</f>
        <v>0</v>
      </c>
      <c r="I456" s="14">
        <f ca="1">IF(E456&lt;&gt;"",IF(LEN(E456)&gt;150,1,0)+IF(COUNTIF(INDIRECT(wew!$C$15),E456)&gt;1,10,0),0)</f>
        <v>0</v>
      </c>
      <c r="J456" s="14" t="b">
        <f t="shared" ca="1" si="108"/>
        <v>0</v>
      </c>
      <c r="K456" s="14" t="str">
        <f ca="1">ADDRESS(3,(B456+1)*2-1,4,,"[" &amp; wew!$G$7 &amp; "]" &amp; _sheetname_labels) &amp; ":" &amp; ADDRESS(2+ster!$B$20,(B456+1)*2-1,4)</f>
        <v>'[dane surowe2c.xlsm]labels'!AHY3:AHY36</v>
      </c>
      <c r="L456" s="14" t="str">
        <f ca="1">IF(F456&gt;0,ADDRESS(3,(B456+1)*2-1,4,,"[" &amp; wew!$G$7 &amp; "]" &amp; _sheetname_labels) &amp; ":" &amp; ADDRESS(2+F456,(B456+1)*2-1,4),"")</f>
        <v/>
      </c>
      <c r="M456" s="14" t="str">
        <f ca="1">IF(F456&gt;0,ADDRESS(3,(B456+1)*2,4,,"["&amp;wew!$G$7&amp;"]"&amp;_sheetname_labels)&amp;":"&amp;ADDRESS(2+F456,(B456+1)*2,4),"")</f>
        <v/>
      </c>
      <c r="N456" s="14" t="str">
        <f ca="1">ADDRESS(3,B456+1,4,,"[" &amp; wew!$G$7 &amp; "]" &amp;_sheetname_dataframe) &amp; ":" &amp; ADDRESS(2+ster!$C$14,B456+1,4)</f>
        <v>'[dane surowe2c.xlsm]data_frame'!QM3:QM35</v>
      </c>
      <c r="O456" s="14" t="str">
        <f t="shared" ca="1" si="109"/>
        <v/>
      </c>
      <c r="P456" s="14" t="str">
        <f ca="1">IF(AND($AD456,$S456=1),IF(wew!$B$3,MIN(INDIRECT($N456)),"&lt;włącz podświetlanie wartości&gt;"),"—")</f>
        <v>—</v>
      </c>
      <c r="Q456" s="14" t="str">
        <f ca="1">IF(AND($AD456,$S456=1),IF(wew!$B$3,MAX(INDIRECT($N456)),"&lt;włącz podświetlanie wartości&gt;"),"—")</f>
        <v>—</v>
      </c>
      <c r="R456" s="14" t="str">
        <f ca="1">IF(AD456,ster!$C$14- (COUNTIF( INDIRECT(N456),"" )+ COUNT(INDIRECT(N456)) +COUNTIF( INDIRECT(N456),"NA" )),"")</f>
        <v/>
      </c>
      <c r="S456" s="12" t="str">
        <f ca="1">IF(AD456,IF(COUNTA(INDIRECT(N456))=0,0, 1-(ster!$C$14- COUNT(INDIRECT(N456)) -COUNTIF( INDIRECT(N456),"" )) /COUNTA(INDIRECT(N456))),"")</f>
        <v/>
      </c>
      <c r="T456" s="17" t="str">
        <f t="array" aca="1" ref="T456" ca="1">IF(L456&lt;&gt;"",SUM(IF(INDIRECT(L456)&lt;&gt;INT(INDIRECT(L456)),1,0)),"")</f>
        <v/>
      </c>
      <c r="U456" s="17" t="str">
        <f t="array" aca="1" ref="U456" ca="1">IF(S456=1,SUM(IF(ISNUMBER(INDIRECT(N456)),IF(INDIRECT(N456)&lt;&gt;INT(INDIRECT(N456)),1,0),0)),"")</f>
        <v/>
      </c>
      <c r="V456" s="17">
        <f t="shared" ca="1" si="110"/>
        <v>0</v>
      </c>
      <c r="W456" s="17">
        <f t="shared" ca="1" si="111"/>
        <v>0</v>
      </c>
      <c r="X456" s="24" t="str">
        <f t="array" aca="1" ref="X456" ca="1">IF(AD456,IF(AG456&lt;&gt;"",AG456,IF(J456,MIN(INDIRECT( K456)),"")),"")</f>
        <v/>
      </c>
      <c r="Y456" s="17" t="str">
        <f t="array" aca="1" ref="Y456" ca="1">IF(AD456,IF(AH456&lt;&gt;"",AH456,IF(J456,MAX(INDIRECT( K456)),"")),"")</f>
        <v/>
      </c>
      <c r="Z456" s="17" t="b">
        <f t="shared" ca="1" si="112"/>
        <v>0</v>
      </c>
      <c r="AC456" s="17" t="str">
        <f t="shared" ca="1" si="113"/>
        <v/>
      </c>
      <c r="AD456" s="14" t="b">
        <f t="shared" ca="1" si="114"/>
        <v>0</v>
      </c>
      <c r="AE456" s="15" t="b">
        <f t="shared" ca="1" si="115"/>
        <v>0</v>
      </c>
      <c r="AF456" s="16"/>
      <c r="AG456" s="16"/>
      <c r="AH456" s="16"/>
      <c r="AI456" s="16"/>
      <c r="AJ456" s="16"/>
      <c r="AK456" s="16"/>
      <c r="AL456" s="16"/>
      <c r="AM456" s="16"/>
    </row>
    <row r="457" spans="2:39">
      <c r="B457" s="14">
        <f t="shared" si="104"/>
        <v>455</v>
      </c>
      <c r="C457" s="14" t="str">
        <f t="shared" ca="1" si="105"/>
        <v/>
      </c>
      <c r="D457" s="14" t="str">
        <f t="shared" ca="1" si="106"/>
        <v/>
      </c>
      <c r="E457" s="14" t="str">
        <f t="shared" ca="1" si="103"/>
        <v/>
      </c>
      <c r="F457" s="14">
        <f t="shared" ca="1" si="102"/>
        <v>0</v>
      </c>
      <c r="G457" s="14" t="str">
        <f t="shared" ca="1" si="107"/>
        <v/>
      </c>
      <c r="H457" s="14">
        <f ca="1">IF(G457&lt;&gt;"",IFERROR( IsVariableNameLegal(G457),0),0)+IF(COUNTIF(INDIRECT(wew!$C$13),G457)&gt;1,10,0)</f>
        <v>0</v>
      </c>
      <c r="I457" s="14">
        <f ca="1">IF(E457&lt;&gt;"",IF(LEN(E457)&gt;150,1,0)+IF(COUNTIF(INDIRECT(wew!$C$15),E457)&gt;1,10,0),0)</f>
        <v>0</v>
      </c>
      <c r="J457" s="14" t="b">
        <f t="shared" ca="1" si="108"/>
        <v>0</v>
      </c>
      <c r="K457" s="14" t="str">
        <f ca="1">ADDRESS(3,(B457+1)*2-1,4,,"[" &amp; wew!$G$7 &amp; "]" &amp; _sheetname_labels) &amp; ":" &amp; ADDRESS(2+ster!$B$20,(B457+1)*2-1,4)</f>
        <v>'[dane surowe2c.xlsm]labels'!AIA3:AIA36</v>
      </c>
      <c r="L457" s="14" t="str">
        <f ca="1">IF(F457&gt;0,ADDRESS(3,(B457+1)*2-1,4,,"[" &amp; wew!$G$7 &amp; "]" &amp; _sheetname_labels) &amp; ":" &amp; ADDRESS(2+F457,(B457+1)*2-1,4),"")</f>
        <v/>
      </c>
      <c r="M457" s="14" t="str">
        <f ca="1">IF(F457&gt;0,ADDRESS(3,(B457+1)*2,4,,"["&amp;wew!$G$7&amp;"]"&amp;_sheetname_labels)&amp;":"&amp;ADDRESS(2+F457,(B457+1)*2,4),"")</f>
        <v/>
      </c>
      <c r="N457" s="14" t="str">
        <f ca="1">ADDRESS(3,B457+1,4,,"[" &amp; wew!$G$7 &amp; "]" &amp;_sheetname_dataframe) &amp; ":" &amp; ADDRESS(2+ster!$C$14,B457+1,4)</f>
        <v>'[dane surowe2c.xlsm]data_frame'!QN3:QN35</v>
      </c>
      <c r="O457" s="14" t="str">
        <f t="shared" ca="1" si="109"/>
        <v/>
      </c>
      <c r="P457" s="14" t="str">
        <f ca="1">IF(AND($AD457,$S457=1),IF(wew!$B$3,MIN(INDIRECT($N457)),"&lt;włącz podświetlanie wartości&gt;"),"—")</f>
        <v>—</v>
      </c>
      <c r="Q457" s="14" t="str">
        <f ca="1">IF(AND($AD457,$S457=1),IF(wew!$B$3,MAX(INDIRECT($N457)),"&lt;włącz podświetlanie wartości&gt;"),"—")</f>
        <v>—</v>
      </c>
      <c r="R457" s="14" t="str">
        <f ca="1">IF(AD457,ster!$C$14- (COUNTIF( INDIRECT(N457),"" )+ COUNT(INDIRECT(N457)) +COUNTIF( INDIRECT(N457),"NA" )),"")</f>
        <v/>
      </c>
      <c r="S457" s="12" t="str">
        <f ca="1">IF(AD457,IF(COUNTA(INDIRECT(N457))=0,0, 1-(ster!$C$14- COUNT(INDIRECT(N457)) -COUNTIF( INDIRECT(N457),"" )) /COUNTA(INDIRECT(N457))),"")</f>
        <v/>
      </c>
      <c r="T457" s="17" t="str">
        <f t="array" aca="1" ref="T457" ca="1">IF(L457&lt;&gt;"",SUM(IF(INDIRECT(L457)&lt;&gt;INT(INDIRECT(L457)),1,0)),"")</f>
        <v/>
      </c>
      <c r="U457" s="17" t="str">
        <f t="array" aca="1" ref="U457" ca="1">IF(S457=1,SUM(IF(ISNUMBER(INDIRECT(N457)),IF(INDIRECT(N457)&lt;&gt;INT(INDIRECT(N457)),1,0),0)),"")</f>
        <v/>
      </c>
      <c r="V457" s="17">
        <f t="shared" ca="1" si="110"/>
        <v>0</v>
      </c>
      <c r="W457" s="17">
        <f t="shared" ca="1" si="111"/>
        <v>0</v>
      </c>
      <c r="X457" s="24" t="str">
        <f t="array" aca="1" ref="X457" ca="1">IF(AD457,IF(AG457&lt;&gt;"",AG457,IF(J457,MIN(INDIRECT( K457)),"")),"")</f>
        <v/>
      </c>
      <c r="Y457" s="17" t="str">
        <f t="array" aca="1" ref="Y457" ca="1">IF(AD457,IF(AH457&lt;&gt;"",AH457,IF(J457,MAX(INDIRECT( K457)),"")),"")</f>
        <v/>
      </c>
      <c r="Z457" s="17" t="b">
        <f t="shared" ca="1" si="112"/>
        <v>0</v>
      </c>
      <c r="AC457" s="17" t="str">
        <f t="shared" ca="1" si="113"/>
        <v/>
      </c>
      <c r="AD457" s="14" t="b">
        <f t="shared" ca="1" si="114"/>
        <v>0</v>
      </c>
      <c r="AE457" s="15" t="b">
        <f t="shared" ca="1" si="115"/>
        <v>0</v>
      </c>
      <c r="AF457" s="16"/>
      <c r="AG457" s="16"/>
      <c r="AH457" s="16"/>
      <c r="AI457" s="16"/>
      <c r="AJ457" s="16"/>
      <c r="AK457" s="16"/>
      <c r="AL457" s="16"/>
      <c r="AM457" s="16"/>
    </row>
    <row r="458" spans="2:39">
      <c r="B458" s="14">
        <f t="shared" si="104"/>
        <v>456</v>
      </c>
      <c r="C458" s="14" t="str">
        <f t="shared" ca="1" si="105"/>
        <v/>
      </c>
      <c r="D458" s="14" t="str">
        <f t="shared" ca="1" si="106"/>
        <v/>
      </c>
      <c r="E458" s="14" t="str">
        <f t="shared" ca="1" si="103"/>
        <v/>
      </c>
      <c r="F458" s="14">
        <f t="shared" ca="1" si="102"/>
        <v>0</v>
      </c>
      <c r="G458" s="14" t="str">
        <f t="shared" ca="1" si="107"/>
        <v/>
      </c>
      <c r="H458" s="14">
        <f ca="1">IF(G458&lt;&gt;"",IFERROR( IsVariableNameLegal(G458),0),0)+IF(COUNTIF(INDIRECT(wew!$C$13),G458)&gt;1,10,0)</f>
        <v>0</v>
      </c>
      <c r="I458" s="14">
        <f ca="1">IF(E458&lt;&gt;"",IF(LEN(E458)&gt;150,1,0)+IF(COUNTIF(INDIRECT(wew!$C$15),E458)&gt;1,10,0),0)</f>
        <v>0</v>
      </c>
      <c r="J458" s="14" t="b">
        <f t="shared" ca="1" si="108"/>
        <v>0</v>
      </c>
      <c r="K458" s="14" t="str">
        <f ca="1">ADDRESS(3,(B458+1)*2-1,4,,"[" &amp; wew!$G$7 &amp; "]" &amp; _sheetname_labels) &amp; ":" &amp; ADDRESS(2+ster!$B$20,(B458+1)*2-1,4)</f>
        <v>'[dane surowe2c.xlsm]labels'!AIC3:AIC36</v>
      </c>
      <c r="L458" s="14" t="str">
        <f ca="1">IF(F458&gt;0,ADDRESS(3,(B458+1)*2-1,4,,"[" &amp; wew!$G$7 &amp; "]" &amp; _sheetname_labels) &amp; ":" &amp; ADDRESS(2+F458,(B458+1)*2-1,4),"")</f>
        <v/>
      </c>
      <c r="M458" s="14" t="str">
        <f ca="1">IF(F458&gt;0,ADDRESS(3,(B458+1)*2,4,,"["&amp;wew!$G$7&amp;"]"&amp;_sheetname_labels)&amp;":"&amp;ADDRESS(2+F458,(B458+1)*2,4),"")</f>
        <v/>
      </c>
      <c r="N458" s="14" t="str">
        <f ca="1">ADDRESS(3,B458+1,4,,"[" &amp; wew!$G$7 &amp; "]" &amp;_sheetname_dataframe) &amp; ":" &amp; ADDRESS(2+ster!$C$14,B458+1,4)</f>
        <v>'[dane surowe2c.xlsm]data_frame'!QO3:QO35</v>
      </c>
      <c r="O458" s="14" t="str">
        <f t="shared" ca="1" si="109"/>
        <v/>
      </c>
      <c r="P458" s="14" t="str">
        <f ca="1">IF(AND($AD458,$S458=1),IF(wew!$B$3,MIN(INDIRECT($N458)),"&lt;włącz podświetlanie wartości&gt;"),"—")</f>
        <v>—</v>
      </c>
      <c r="Q458" s="14" t="str">
        <f ca="1">IF(AND($AD458,$S458=1),IF(wew!$B$3,MAX(INDIRECT($N458)),"&lt;włącz podświetlanie wartości&gt;"),"—")</f>
        <v>—</v>
      </c>
      <c r="R458" s="14" t="str">
        <f ca="1">IF(AD458,ster!$C$14- (COUNTIF( INDIRECT(N458),"" )+ COUNT(INDIRECT(N458)) +COUNTIF( INDIRECT(N458),"NA" )),"")</f>
        <v/>
      </c>
      <c r="S458" s="12" t="str">
        <f ca="1">IF(AD458,IF(COUNTA(INDIRECT(N458))=0,0, 1-(ster!$C$14- COUNT(INDIRECT(N458)) -COUNTIF( INDIRECT(N458),"" )) /COUNTA(INDIRECT(N458))),"")</f>
        <v/>
      </c>
      <c r="T458" s="17" t="str">
        <f t="array" aca="1" ref="T458" ca="1">IF(L458&lt;&gt;"",SUM(IF(INDIRECT(L458)&lt;&gt;INT(INDIRECT(L458)),1,0)),"")</f>
        <v/>
      </c>
      <c r="U458" s="17" t="str">
        <f t="array" aca="1" ref="U458" ca="1">IF(S458=1,SUM(IF(ISNUMBER(INDIRECT(N458)),IF(INDIRECT(N458)&lt;&gt;INT(INDIRECT(N458)),1,0),0)),"")</f>
        <v/>
      </c>
      <c r="V458" s="17">
        <f t="shared" ca="1" si="110"/>
        <v>0</v>
      </c>
      <c r="W458" s="17">
        <f t="shared" ca="1" si="111"/>
        <v>0</v>
      </c>
      <c r="X458" s="24" t="str">
        <f t="array" aca="1" ref="X458" ca="1">IF(AD458,IF(AG458&lt;&gt;"",AG458,IF(J458,MIN(INDIRECT( K458)),"")),"")</f>
        <v/>
      </c>
      <c r="Y458" s="17" t="str">
        <f t="array" aca="1" ref="Y458" ca="1">IF(AD458,IF(AH458&lt;&gt;"",AH458,IF(J458,MAX(INDIRECT( K458)),"")),"")</f>
        <v/>
      </c>
      <c r="Z458" s="17" t="b">
        <f t="shared" ca="1" si="112"/>
        <v>0</v>
      </c>
      <c r="AC458" s="17" t="str">
        <f t="shared" ca="1" si="113"/>
        <v/>
      </c>
      <c r="AD458" s="14" t="b">
        <f t="shared" ca="1" si="114"/>
        <v>0</v>
      </c>
      <c r="AE458" s="15" t="b">
        <f t="shared" ca="1" si="115"/>
        <v>0</v>
      </c>
      <c r="AF458" s="16"/>
      <c r="AG458" s="16"/>
      <c r="AH458" s="16"/>
      <c r="AI458" s="16"/>
      <c r="AJ458" s="16"/>
      <c r="AK458" s="16"/>
      <c r="AL458" s="16"/>
      <c r="AM458" s="16"/>
    </row>
    <row r="459" spans="2:39">
      <c r="B459" s="14">
        <f t="shared" si="104"/>
        <v>457</v>
      </c>
      <c r="C459" s="14" t="str">
        <f t="shared" ca="1" si="105"/>
        <v/>
      </c>
      <c r="D459" s="14" t="str">
        <f t="shared" ca="1" si="106"/>
        <v/>
      </c>
      <c r="E459" s="14" t="str">
        <f t="shared" ca="1" si="103"/>
        <v/>
      </c>
      <c r="F459" s="14">
        <f t="shared" ca="1" si="102"/>
        <v>0</v>
      </c>
      <c r="G459" s="14" t="str">
        <f t="shared" ca="1" si="107"/>
        <v/>
      </c>
      <c r="H459" s="14">
        <f ca="1">IF(G459&lt;&gt;"",IFERROR( IsVariableNameLegal(G459),0),0)+IF(COUNTIF(INDIRECT(wew!$C$13),G459)&gt;1,10,0)</f>
        <v>0</v>
      </c>
      <c r="I459" s="14">
        <f ca="1">IF(E459&lt;&gt;"",IF(LEN(E459)&gt;150,1,0)+IF(COUNTIF(INDIRECT(wew!$C$15),E459)&gt;1,10,0),0)</f>
        <v>0</v>
      </c>
      <c r="J459" s="14" t="b">
        <f t="shared" ca="1" si="108"/>
        <v>0</v>
      </c>
      <c r="K459" s="14" t="str">
        <f ca="1">ADDRESS(3,(B459+1)*2-1,4,,"[" &amp; wew!$G$7 &amp; "]" &amp; _sheetname_labels) &amp; ":" &amp; ADDRESS(2+ster!$B$20,(B459+1)*2-1,4)</f>
        <v>'[dane surowe2c.xlsm]labels'!AIE3:AIE36</v>
      </c>
      <c r="L459" s="14" t="str">
        <f ca="1">IF(F459&gt;0,ADDRESS(3,(B459+1)*2-1,4,,"[" &amp; wew!$G$7 &amp; "]" &amp; _sheetname_labels) &amp; ":" &amp; ADDRESS(2+F459,(B459+1)*2-1,4),"")</f>
        <v/>
      </c>
      <c r="M459" s="14" t="str">
        <f ca="1">IF(F459&gt;0,ADDRESS(3,(B459+1)*2,4,,"["&amp;wew!$G$7&amp;"]"&amp;_sheetname_labels)&amp;":"&amp;ADDRESS(2+F459,(B459+1)*2,4),"")</f>
        <v/>
      </c>
      <c r="N459" s="14" t="str">
        <f ca="1">ADDRESS(3,B459+1,4,,"[" &amp; wew!$G$7 &amp; "]" &amp;_sheetname_dataframe) &amp; ":" &amp; ADDRESS(2+ster!$C$14,B459+1,4)</f>
        <v>'[dane surowe2c.xlsm]data_frame'!QP3:QP35</v>
      </c>
      <c r="O459" s="14" t="str">
        <f t="shared" ca="1" si="109"/>
        <v/>
      </c>
      <c r="P459" s="14" t="str">
        <f ca="1">IF(AND($AD459,$S459=1),IF(wew!$B$3,MIN(INDIRECT($N459)),"&lt;włącz podświetlanie wartości&gt;"),"—")</f>
        <v>—</v>
      </c>
      <c r="Q459" s="14" t="str">
        <f ca="1">IF(AND($AD459,$S459=1),IF(wew!$B$3,MAX(INDIRECT($N459)),"&lt;włącz podświetlanie wartości&gt;"),"—")</f>
        <v>—</v>
      </c>
      <c r="R459" s="14" t="str">
        <f ca="1">IF(AD459,ster!$C$14- (COUNTIF( INDIRECT(N459),"" )+ COUNT(INDIRECT(N459)) +COUNTIF( INDIRECT(N459),"NA" )),"")</f>
        <v/>
      </c>
      <c r="S459" s="12" t="str">
        <f ca="1">IF(AD459,IF(COUNTA(INDIRECT(N459))=0,0, 1-(ster!$C$14- COUNT(INDIRECT(N459)) -COUNTIF( INDIRECT(N459),"" )) /COUNTA(INDIRECT(N459))),"")</f>
        <v/>
      </c>
      <c r="T459" s="17" t="str">
        <f t="array" aca="1" ref="T459" ca="1">IF(L459&lt;&gt;"",SUM(IF(INDIRECT(L459)&lt;&gt;INT(INDIRECT(L459)),1,0)),"")</f>
        <v/>
      </c>
      <c r="U459" s="17" t="str">
        <f t="array" aca="1" ref="U459" ca="1">IF(S459=1,SUM(IF(ISNUMBER(INDIRECT(N459)),IF(INDIRECT(N459)&lt;&gt;INT(INDIRECT(N459)),1,0),0)),"")</f>
        <v/>
      </c>
      <c r="V459" s="17">
        <f t="shared" ca="1" si="110"/>
        <v>0</v>
      </c>
      <c r="W459" s="17">
        <f t="shared" ca="1" si="111"/>
        <v>0</v>
      </c>
      <c r="X459" s="24" t="str">
        <f t="array" aca="1" ref="X459" ca="1">IF(AD459,IF(AG459&lt;&gt;"",AG459,IF(J459,MIN(INDIRECT( K459)),"")),"")</f>
        <v/>
      </c>
      <c r="Y459" s="17" t="str">
        <f t="array" aca="1" ref="Y459" ca="1">IF(AD459,IF(AH459&lt;&gt;"",AH459,IF(J459,MAX(INDIRECT( K459)),"")),"")</f>
        <v/>
      </c>
      <c r="Z459" s="17" t="b">
        <f t="shared" ca="1" si="112"/>
        <v>0</v>
      </c>
      <c r="AC459" s="17" t="str">
        <f t="shared" ca="1" si="113"/>
        <v/>
      </c>
      <c r="AD459" s="14" t="b">
        <f t="shared" ca="1" si="114"/>
        <v>0</v>
      </c>
      <c r="AE459" s="15" t="b">
        <f t="shared" ca="1" si="115"/>
        <v>0</v>
      </c>
      <c r="AF459" s="16"/>
      <c r="AG459" s="16"/>
      <c r="AH459" s="16"/>
      <c r="AI459" s="16"/>
      <c r="AJ459" s="16"/>
      <c r="AK459" s="16"/>
      <c r="AL459" s="16"/>
      <c r="AM459" s="16"/>
    </row>
    <row r="460" spans="2:39">
      <c r="B460" s="14">
        <f t="shared" si="104"/>
        <v>458</v>
      </c>
      <c r="C460" s="14" t="str">
        <f t="shared" ca="1" si="105"/>
        <v/>
      </c>
      <c r="D460" s="14" t="str">
        <f t="shared" ca="1" si="106"/>
        <v/>
      </c>
      <c r="E460" s="14" t="str">
        <f t="shared" ca="1" si="103"/>
        <v/>
      </c>
      <c r="F460" s="14">
        <f t="shared" ca="1" si="102"/>
        <v>0</v>
      </c>
      <c r="G460" s="14" t="str">
        <f t="shared" ca="1" si="107"/>
        <v/>
      </c>
      <c r="H460" s="14">
        <f ca="1">IF(G460&lt;&gt;"",IFERROR( IsVariableNameLegal(G460),0),0)+IF(COUNTIF(INDIRECT(wew!$C$13),G460)&gt;1,10,0)</f>
        <v>0</v>
      </c>
      <c r="I460" s="14">
        <f ca="1">IF(E460&lt;&gt;"",IF(LEN(E460)&gt;150,1,0)+IF(COUNTIF(INDIRECT(wew!$C$15),E460)&gt;1,10,0),0)</f>
        <v>0</v>
      </c>
      <c r="J460" s="14" t="b">
        <f t="shared" ca="1" si="108"/>
        <v>0</v>
      </c>
      <c r="K460" s="14" t="str">
        <f ca="1">ADDRESS(3,(B460+1)*2-1,4,,"[" &amp; wew!$G$7 &amp; "]" &amp; _sheetname_labels) &amp; ":" &amp; ADDRESS(2+ster!$B$20,(B460+1)*2-1,4)</f>
        <v>'[dane surowe2c.xlsm]labels'!AIG3:AIG36</v>
      </c>
      <c r="L460" s="14" t="str">
        <f ca="1">IF(F460&gt;0,ADDRESS(3,(B460+1)*2-1,4,,"[" &amp; wew!$G$7 &amp; "]" &amp; _sheetname_labels) &amp; ":" &amp; ADDRESS(2+F460,(B460+1)*2-1,4),"")</f>
        <v/>
      </c>
      <c r="M460" s="14" t="str">
        <f ca="1">IF(F460&gt;0,ADDRESS(3,(B460+1)*2,4,,"["&amp;wew!$G$7&amp;"]"&amp;_sheetname_labels)&amp;":"&amp;ADDRESS(2+F460,(B460+1)*2,4),"")</f>
        <v/>
      </c>
      <c r="N460" s="14" t="str">
        <f ca="1">ADDRESS(3,B460+1,4,,"[" &amp; wew!$G$7 &amp; "]" &amp;_sheetname_dataframe) &amp; ":" &amp; ADDRESS(2+ster!$C$14,B460+1,4)</f>
        <v>'[dane surowe2c.xlsm]data_frame'!QQ3:QQ35</v>
      </c>
      <c r="O460" s="14" t="str">
        <f t="shared" ca="1" si="109"/>
        <v/>
      </c>
      <c r="P460" s="14" t="str">
        <f ca="1">IF(AND($AD460,$S460=1),IF(wew!$B$3,MIN(INDIRECT($N460)),"&lt;włącz podświetlanie wartości&gt;"),"—")</f>
        <v>—</v>
      </c>
      <c r="Q460" s="14" t="str">
        <f ca="1">IF(AND($AD460,$S460=1),IF(wew!$B$3,MAX(INDIRECT($N460)),"&lt;włącz podświetlanie wartości&gt;"),"—")</f>
        <v>—</v>
      </c>
      <c r="R460" s="14" t="str">
        <f ca="1">IF(AD460,ster!$C$14- (COUNTIF( INDIRECT(N460),"" )+ COUNT(INDIRECT(N460)) +COUNTIF( INDIRECT(N460),"NA" )),"")</f>
        <v/>
      </c>
      <c r="S460" s="12" t="str">
        <f ca="1">IF(AD460,IF(COUNTA(INDIRECT(N460))=0,0, 1-(ster!$C$14- COUNT(INDIRECT(N460)) -COUNTIF( INDIRECT(N460),"" )) /COUNTA(INDIRECT(N460))),"")</f>
        <v/>
      </c>
      <c r="T460" s="17" t="str">
        <f t="array" aca="1" ref="T460" ca="1">IF(L460&lt;&gt;"",SUM(IF(INDIRECT(L460)&lt;&gt;INT(INDIRECT(L460)),1,0)),"")</f>
        <v/>
      </c>
      <c r="U460" s="17" t="str">
        <f t="array" aca="1" ref="U460" ca="1">IF(S460=1,SUM(IF(ISNUMBER(INDIRECT(N460)),IF(INDIRECT(N460)&lt;&gt;INT(INDIRECT(N460)),1,0),0)),"")</f>
        <v/>
      </c>
      <c r="V460" s="17">
        <f t="shared" ca="1" si="110"/>
        <v>0</v>
      </c>
      <c r="W460" s="17">
        <f t="shared" ca="1" si="111"/>
        <v>0</v>
      </c>
      <c r="X460" s="24" t="str">
        <f t="array" aca="1" ref="X460" ca="1">IF(AD460,IF(AG460&lt;&gt;"",AG460,IF(J460,MIN(INDIRECT( K460)),"")),"")</f>
        <v/>
      </c>
      <c r="Y460" s="17" t="str">
        <f t="array" aca="1" ref="Y460" ca="1">IF(AD460,IF(AH460&lt;&gt;"",AH460,IF(J460,MAX(INDIRECT( K460)),"")),"")</f>
        <v/>
      </c>
      <c r="Z460" s="17" t="b">
        <f t="shared" ca="1" si="112"/>
        <v>0</v>
      </c>
      <c r="AC460" s="17" t="str">
        <f t="shared" ca="1" si="113"/>
        <v/>
      </c>
      <c r="AD460" s="14" t="b">
        <f t="shared" ca="1" si="114"/>
        <v>0</v>
      </c>
      <c r="AE460" s="15" t="b">
        <f t="shared" ca="1" si="115"/>
        <v>0</v>
      </c>
      <c r="AF460" s="16"/>
      <c r="AG460" s="16"/>
      <c r="AH460" s="16"/>
      <c r="AI460" s="16"/>
      <c r="AJ460" s="16"/>
      <c r="AK460" s="16"/>
      <c r="AL460" s="16"/>
      <c r="AM460" s="16"/>
    </row>
    <row r="461" spans="2:39">
      <c r="B461" s="14">
        <f t="shared" si="104"/>
        <v>459</v>
      </c>
      <c r="C461" s="14" t="str">
        <f t="shared" ca="1" si="105"/>
        <v/>
      </c>
      <c r="D461" s="14" t="str">
        <f t="shared" ca="1" si="106"/>
        <v/>
      </c>
      <c r="E461" s="14" t="str">
        <f t="shared" ca="1" si="103"/>
        <v/>
      </c>
      <c r="F461" s="14">
        <f t="shared" ca="1" si="102"/>
        <v>0</v>
      </c>
      <c r="G461" s="14" t="str">
        <f t="shared" ca="1" si="107"/>
        <v/>
      </c>
      <c r="H461" s="14">
        <f ca="1">IF(G461&lt;&gt;"",IFERROR( IsVariableNameLegal(G461),0),0)+IF(COUNTIF(INDIRECT(wew!$C$13),G461)&gt;1,10,0)</f>
        <v>0</v>
      </c>
      <c r="I461" s="14">
        <f ca="1">IF(E461&lt;&gt;"",IF(LEN(E461)&gt;150,1,0)+IF(COUNTIF(INDIRECT(wew!$C$15),E461)&gt;1,10,0),0)</f>
        <v>0</v>
      </c>
      <c r="J461" s="14" t="b">
        <f t="shared" ca="1" si="108"/>
        <v>0</v>
      </c>
      <c r="K461" s="14" t="str">
        <f ca="1">ADDRESS(3,(B461+1)*2-1,4,,"[" &amp; wew!$G$7 &amp; "]" &amp; _sheetname_labels) &amp; ":" &amp; ADDRESS(2+ster!$B$20,(B461+1)*2-1,4)</f>
        <v>'[dane surowe2c.xlsm]labels'!AII3:AII36</v>
      </c>
      <c r="L461" s="14" t="str">
        <f ca="1">IF(F461&gt;0,ADDRESS(3,(B461+1)*2-1,4,,"[" &amp; wew!$G$7 &amp; "]" &amp; _sheetname_labels) &amp; ":" &amp; ADDRESS(2+F461,(B461+1)*2-1,4),"")</f>
        <v/>
      </c>
      <c r="M461" s="14" t="str">
        <f ca="1">IF(F461&gt;0,ADDRESS(3,(B461+1)*2,4,,"["&amp;wew!$G$7&amp;"]"&amp;_sheetname_labels)&amp;":"&amp;ADDRESS(2+F461,(B461+1)*2,4),"")</f>
        <v/>
      </c>
      <c r="N461" s="14" t="str">
        <f ca="1">ADDRESS(3,B461+1,4,,"[" &amp; wew!$G$7 &amp; "]" &amp;_sheetname_dataframe) &amp; ":" &amp; ADDRESS(2+ster!$C$14,B461+1,4)</f>
        <v>'[dane surowe2c.xlsm]data_frame'!QR3:QR35</v>
      </c>
      <c r="O461" s="14" t="str">
        <f t="shared" ca="1" si="109"/>
        <v/>
      </c>
      <c r="P461" s="14" t="str">
        <f ca="1">IF(AND($AD461,$S461=1),IF(wew!$B$3,MIN(INDIRECT($N461)),"&lt;włącz podświetlanie wartości&gt;"),"—")</f>
        <v>—</v>
      </c>
      <c r="Q461" s="14" t="str">
        <f ca="1">IF(AND($AD461,$S461=1),IF(wew!$B$3,MAX(INDIRECT($N461)),"&lt;włącz podświetlanie wartości&gt;"),"—")</f>
        <v>—</v>
      </c>
      <c r="R461" s="14" t="str">
        <f ca="1">IF(AD461,ster!$C$14- (COUNTIF( INDIRECT(N461),"" )+ COUNT(INDIRECT(N461)) +COUNTIF( INDIRECT(N461),"NA" )),"")</f>
        <v/>
      </c>
      <c r="S461" s="12" t="str">
        <f ca="1">IF(AD461,IF(COUNTA(INDIRECT(N461))=0,0, 1-(ster!$C$14- COUNT(INDIRECT(N461)) -COUNTIF( INDIRECT(N461),"" )) /COUNTA(INDIRECT(N461))),"")</f>
        <v/>
      </c>
      <c r="T461" s="17" t="str">
        <f t="array" aca="1" ref="T461" ca="1">IF(L461&lt;&gt;"",SUM(IF(INDIRECT(L461)&lt;&gt;INT(INDIRECT(L461)),1,0)),"")</f>
        <v/>
      </c>
      <c r="U461" s="17" t="str">
        <f t="array" aca="1" ref="U461" ca="1">IF(S461=1,SUM(IF(ISNUMBER(INDIRECT(N461)),IF(INDIRECT(N461)&lt;&gt;INT(INDIRECT(N461)),1,0),0)),"")</f>
        <v/>
      </c>
      <c r="V461" s="17">
        <f t="shared" ca="1" si="110"/>
        <v>0</v>
      </c>
      <c r="W461" s="17">
        <f t="shared" ca="1" si="111"/>
        <v>0</v>
      </c>
      <c r="X461" s="24" t="str">
        <f t="array" aca="1" ref="X461" ca="1">IF(AD461,IF(AG461&lt;&gt;"",AG461,IF(J461,MIN(INDIRECT( K461)),"")),"")</f>
        <v/>
      </c>
      <c r="Y461" s="17" t="str">
        <f t="array" aca="1" ref="Y461" ca="1">IF(AD461,IF(AH461&lt;&gt;"",AH461,IF(J461,MAX(INDIRECT( K461)),"")),"")</f>
        <v/>
      </c>
      <c r="Z461" s="17" t="b">
        <f t="shared" ca="1" si="112"/>
        <v>0</v>
      </c>
      <c r="AC461" s="17" t="str">
        <f t="shared" ca="1" si="113"/>
        <v/>
      </c>
      <c r="AD461" s="14" t="b">
        <f t="shared" ca="1" si="114"/>
        <v>0</v>
      </c>
      <c r="AE461" s="15" t="b">
        <f t="shared" ca="1" si="115"/>
        <v>0</v>
      </c>
      <c r="AF461" s="16"/>
      <c r="AG461" s="16"/>
      <c r="AH461" s="16"/>
      <c r="AI461" s="16"/>
      <c r="AJ461" s="16"/>
      <c r="AK461" s="16"/>
      <c r="AL461" s="16"/>
      <c r="AM461" s="16"/>
    </row>
    <row r="462" spans="2:39">
      <c r="B462" s="14">
        <f t="shared" si="104"/>
        <v>460</v>
      </c>
      <c r="C462" s="14" t="str">
        <f t="shared" ca="1" si="105"/>
        <v/>
      </c>
      <c r="D462" s="14" t="str">
        <f t="shared" ca="1" si="106"/>
        <v/>
      </c>
      <c r="E462" s="14" t="str">
        <f t="shared" ca="1" si="103"/>
        <v/>
      </c>
      <c r="F462" s="14">
        <f t="shared" ca="1" si="102"/>
        <v>0</v>
      </c>
      <c r="G462" s="14" t="str">
        <f t="shared" ca="1" si="107"/>
        <v/>
      </c>
      <c r="H462" s="14">
        <f ca="1">IF(G462&lt;&gt;"",IFERROR( IsVariableNameLegal(G462),0),0)+IF(COUNTIF(INDIRECT(wew!$C$13),G462)&gt;1,10,0)</f>
        <v>0</v>
      </c>
      <c r="I462" s="14">
        <f ca="1">IF(E462&lt;&gt;"",IF(LEN(E462)&gt;150,1,0)+IF(COUNTIF(INDIRECT(wew!$C$15),E462)&gt;1,10,0),0)</f>
        <v>0</v>
      </c>
      <c r="J462" s="14" t="b">
        <f t="shared" ca="1" si="108"/>
        <v>0</v>
      </c>
      <c r="K462" s="14" t="str">
        <f ca="1">ADDRESS(3,(B462+1)*2-1,4,,"[" &amp; wew!$G$7 &amp; "]" &amp; _sheetname_labels) &amp; ":" &amp; ADDRESS(2+ster!$B$20,(B462+1)*2-1,4)</f>
        <v>'[dane surowe2c.xlsm]labels'!AIK3:AIK36</v>
      </c>
      <c r="L462" s="14" t="str">
        <f ca="1">IF(F462&gt;0,ADDRESS(3,(B462+1)*2-1,4,,"[" &amp; wew!$G$7 &amp; "]" &amp; _sheetname_labels) &amp; ":" &amp; ADDRESS(2+F462,(B462+1)*2-1,4),"")</f>
        <v/>
      </c>
      <c r="M462" s="14" t="str">
        <f ca="1">IF(F462&gt;0,ADDRESS(3,(B462+1)*2,4,,"["&amp;wew!$G$7&amp;"]"&amp;_sheetname_labels)&amp;":"&amp;ADDRESS(2+F462,(B462+1)*2,4),"")</f>
        <v/>
      </c>
      <c r="N462" s="14" t="str">
        <f ca="1">ADDRESS(3,B462+1,4,,"[" &amp; wew!$G$7 &amp; "]" &amp;_sheetname_dataframe) &amp; ":" &amp; ADDRESS(2+ster!$C$14,B462+1,4)</f>
        <v>'[dane surowe2c.xlsm]data_frame'!QS3:QS35</v>
      </c>
      <c r="O462" s="14" t="str">
        <f t="shared" ca="1" si="109"/>
        <v/>
      </c>
      <c r="P462" s="14" t="str">
        <f ca="1">IF(AND($AD462,$S462=1),IF(wew!$B$3,MIN(INDIRECT($N462)),"&lt;włącz podświetlanie wartości&gt;"),"—")</f>
        <v>—</v>
      </c>
      <c r="Q462" s="14" t="str">
        <f ca="1">IF(AND($AD462,$S462=1),IF(wew!$B$3,MAX(INDIRECT($N462)),"&lt;włącz podświetlanie wartości&gt;"),"—")</f>
        <v>—</v>
      </c>
      <c r="R462" s="14" t="str">
        <f ca="1">IF(AD462,ster!$C$14- (COUNTIF( INDIRECT(N462),"" )+ COUNT(INDIRECT(N462)) +COUNTIF( INDIRECT(N462),"NA" )),"")</f>
        <v/>
      </c>
      <c r="S462" s="12" t="str">
        <f ca="1">IF(AD462,IF(COUNTA(INDIRECT(N462))=0,0, 1-(ster!$C$14- COUNT(INDIRECT(N462)) -COUNTIF( INDIRECT(N462),"" )) /COUNTA(INDIRECT(N462))),"")</f>
        <v/>
      </c>
      <c r="T462" s="17" t="str">
        <f t="array" aca="1" ref="T462" ca="1">IF(L462&lt;&gt;"",SUM(IF(INDIRECT(L462)&lt;&gt;INT(INDIRECT(L462)),1,0)),"")</f>
        <v/>
      </c>
      <c r="U462" s="17" t="str">
        <f t="array" aca="1" ref="U462" ca="1">IF(S462=1,SUM(IF(ISNUMBER(INDIRECT(N462)),IF(INDIRECT(N462)&lt;&gt;INT(INDIRECT(N462)),1,0),0)),"")</f>
        <v/>
      </c>
      <c r="V462" s="17">
        <f t="shared" ca="1" si="110"/>
        <v>0</v>
      </c>
      <c r="W462" s="17">
        <f t="shared" ca="1" si="111"/>
        <v>0</v>
      </c>
      <c r="X462" s="24" t="str">
        <f t="array" aca="1" ref="X462" ca="1">IF(AD462,IF(AG462&lt;&gt;"",AG462,IF(J462,MIN(INDIRECT( K462)),"")),"")</f>
        <v/>
      </c>
      <c r="Y462" s="17" t="str">
        <f t="array" aca="1" ref="Y462" ca="1">IF(AD462,IF(AH462&lt;&gt;"",AH462,IF(J462,MAX(INDIRECT( K462)),"")),"")</f>
        <v/>
      </c>
      <c r="Z462" s="17" t="b">
        <f t="shared" ca="1" si="112"/>
        <v>0</v>
      </c>
      <c r="AC462" s="17" t="str">
        <f t="shared" ca="1" si="113"/>
        <v/>
      </c>
      <c r="AD462" s="14" t="b">
        <f t="shared" ca="1" si="114"/>
        <v>0</v>
      </c>
      <c r="AE462" s="15" t="b">
        <f t="shared" ca="1" si="115"/>
        <v>0</v>
      </c>
      <c r="AF462" s="16"/>
      <c r="AG462" s="16"/>
      <c r="AH462" s="16"/>
      <c r="AI462" s="16"/>
      <c r="AJ462" s="16"/>
      <c r="AK462" s="16"/>
      <c r="AL462" s="16"/>
      <c r="AM462" s="16"/>
    </row>
    <row r="463" spans="2:39">
      <c r="B463" s="14">
        <f t="shared" si="104"/>
        <v>461</v>
      </c>
      <c r="C463" s="14" t="str">
        <f t="shared" ca="1" si="105"/>
        <v/>
      </c>
      <c r="D463" s="14" t="str">
        <f t="shared" ca="1" si="106"/>
        <v/>
      </c>
      <c r="E463" s="14" t="str">
        <f t="shared" ca="1" si="103"/>
        <v/>
      </c>
      <c r="F463" s="14">
        <f t="shared" ca="1" si="102"/>
        <v>0</v>
      </c>
      <c r="G463" s="14" t="str">
        <f t="shared" ca="1" si="107"/>
        <v/>
      </c>
      <c r="H463" s="14">
        <f ca="1">IF(G463&lt;&gt;"",IFERROR( IsVariableNameLegal(G463),0),0)+IF(COUNTIF(INDIRECT(wew!$C$13),G463)&gt;1,10,0)</f>
        <v>0</v>
      </c>
      <c r="I463" s="14">
        <f ca="1">IF(E463&lt;&gt;"",IF(LEN(E463)&gt;150,1,0)+IF(COUNTIF(INDIRECT(wew!$C$15),E463)&gt;1,10,0),0)</f>
        <v>0</v>
      </c>
      <c r="J463" s="14" t="b">
        <f t="shared" ca="1" si="108"/>
        <v>0</v>
      </c>
      <c r="K463" s="14" t="str">
        <f ca="1">ADDRESS(3,(B463+1)*2-1,4,,"[" &amp; wew!$G$7 &amp; "]" &amp; _sheetname_labels) &amp; ":" &amp; ADDRESS(2+ster!$B$20,(B463+1)*2-1,4)</f>
        <v>'[dane surowe2c.xlsm]labels'!AIM3:AIM36</v>
      </c>
      <c r="L463" s="14" t="str">
        <f ca="1">IF(F463&gt;0,ADDRESS(3,(B463+1)*2-1,4,,"[" &amp; wew!$G$7 &amp; "]" &amp; _sheetname_labels) &amp; ":" &amp; ADDRESS(2+F463,(B463+1)*2-1,4),"")</f>
        <v/>
      </c>
      <c r="M463" s="14" t="str">
        <f ca="1">IF(F463&gt;0,ADDRESS(3,(B463+1)*2,4,,"["&amp;wew!$G$7&amp;"]"&amp;_sheetname_labels)&amp;":"&amp;ADDRESS(2+F463,(B463+1)*2,4),"")</f>
        <v/>
      </c>
      <c r="N463" s="14" t="str">
        <f ca="1">ADDRESS(3,B463+1,4,,"[" &amp; wew!$G$7 &amp; "]" &amp;_sheetname_dataframe) &amp; ":" &amp; ADDRESS(2+ster!$C$14,B463+1,4)</f>
        <v>'[dane surowe2c.xlsm]data_frame'!QT3:QT35</v>
      </c>
      <c r="O463" s="14" t="str">
        <f t="shared" ca="1" si="109"/>
        <v/>
      </c>
      <c r="P463" s="14" t="str">
        <f ca="1">IF(AND($AD463,$S463=1),IF(wew!$B$3,MIN(INDIRECT($N463)),"&lt;włącz podświetlanie wartości&gt;"),"—")</f>
        <v>—</v>
      </c>
      <c r="Q463" s="14" t="str">
        <f ca="1">IF(AND($AD463,$S463=1),IF(wew!$B$3,MAX(INDIRECT($N463)),"&lt;włącz podświetlanie wartości&gt;"),"—")</f>
        <v>—</v>
      </c>
      <c r="R463" s="14" t="str">
        <f ca="1">IF(AD463,ster!$C$14- (COUNTIF( INDIRECT(N463),"" )+ COUNT(INDIRECT(N463)) +COUNTIF( INDIRECT(N463),"NA" )),"")</f>
        <v/>
      </c>
      <c r="S463" s="12" t="str">
        <f ca="1">IF(AD463,IF(COUNTA(INDIRECT(N463))=0,0, 1-(ster!$C$14- COUNT(INDIRECT(N463)) -COUNTIF( INDIRECT(N463),"" )) /COUNTA(INDIRECT(N463))),"")</f>
        <v/>
      </c>
      <c r="T463" s="17" t="str">
        <f t="array" aca="1" ref="T463" ca="1">IF(L463&lt;&gt;"",SUM(IF(INDIRECT(L463)&lt;&gt;INT(INDIRECT(L463)),1,0)),"")</f>
        <v/>
      </c>
      <c r="U463" s="17" t="str">
        <f t="array" aca="1" ref="U463" ca="1">IF(S463=1,SUM(IF(ISNUMBER(INDIRECT(N463)),IF(INDIRECT(N463)&lt;&gt;INT(INDIRECT(N463)),1,0),0)),"")</f>
        <v/>
      </c>
      <c r="V463" s="17">
        <f t="shared" ca="1" si="110"/>
        <v>0</v>
      </c>
      <c r="W463" s="17">
        <f t="shared" ca="1" si="111"/>
        <v>0</v>
      </c>
      <c r="X463" s="24" t="str">
        <f t="array" aca="1" ref="X463" ca="1">IF(AD463,IF(AG463&lt;&gt;"",AG463,IF(J463,MIN(INDIRECT( K463)),"")),"")</f>
        <v/>
      </c>
      <c r="Y463" s="17" t="str">
        <f t="array" aca="1" ref="Y463" ca="1">IF(AD463,IF(AH463&lt;&gt;"",AH463,IF(J463,MAX(INDIRECT( K463)),"")),"")</f>
        <v/>
      </c>
      <c r="Z463" s="17" t="b">
        <f t="shared" ca="1" si="112"/>
        <v>0</v>
      </c>
      <c r="AC463" s="17" t="str">
        <f t="shared" ca="1" si="113"/>
        <v/>
      </c>
      <c r="AD463" s="14" t="b">
        <f t="shared" ca="1" si="114"/>
        <v>0</v>
      </c>
      <c r="AE463" s="15" t="b">
        <f t="shared" ca="1" si="115"/>
        <v>0</v>
      </c>
      <c r="AF463" s="16"/>
      <c r="AG463" s="16"/>
      <c r="AH463" s="16"/>
      <c r="AI463" s="16"/>
      <c r="AJ463" s="16"/>
      <c r="AK463" s="16"/>
      <c r="AL463" s="16"/>
      <c r="AM463" s="16"/>
    </row>
    <row r="464" spans="2:39">
      <c r="B464" s="14">
        <f t="shared" si="104"/>
        <v>462</v>
      </c>
      <c r="C464" s="14" t="str">
        <f t="shared" ca="1" si="105"/>
        <v/>
      </c>
      <c r="D464" s="14" t="str">
        <f t="shared" ca="1" si="106"/>
        <v/>
      </c>
      <c r="E464" s="14" t="str">
        <f t="shared" ca="1" si="103"/>
        <v/>
      </c>
      <c r="F464" s="14">
        <f t="shared" ca="1" si="102"/>
        <v>0</v>
      </c>
      <c r="G464" s="14" t="str">
        <f t="shared" ca="1" si="107"/>
        <v/>
      </c>
      <c r="H464" s="14">
        <f ca="1">IF(G464&lt;&gt;"",IFERROR( IsVariableNameLegal(G464),0),0)+IF(COUNTIF(INDIRECT(wew!$C$13),G464)&gt;1,10,0)</f>
        <v>0</v>
      </c>
      <c r="I464" s="14">
        <f ca="1">IF(E464&lt;&gt;"",IF(LEN(E464)&gt;150,1,0)+IF(COUNTIF(INDIRECT(wew!$C$15),E464)&gt;1,10,0),0)</f>
        <v>0</v>
      </c>
      <c r="J464" s="14" t="b">
        <f t="shared" ca="1" si="108"/>
        <v>0</v>
      </c>
      <c r="K464" s="14" t="str">
        <f ca="1">ADDRESS(3,(B464+1)*2-1,4,,"[" &amp; wew!$G$7 &amp; "]" &amp; _sheetname_labels) &amp; ":" &amp; ADDRESS(2+ster!$B$20,(B464+1)*2-1,4)</f>
        <v>'[dane surowe2c.xlsm]labels'!AIO3:AIO36</v>
      </c>
      <c r="L464" s="14" t="str">
        <f ca="1">IF(F464&gt;0,ADDRESS(3,(B464+1)*2-1,4,,"[" &amp; wew!$G$7 &amp; "]" &amp; _sheetname_labels) &amp; ":" &amp; ADDRESS(2+F464,(B464+1)*2-1,4),"")</f>
        <v/>
      </c>
      <c r="M464" s="14" t="str">
        <f ca="1">IF(F464&gt;0,ADDRESS(3,(B464+1)*2,4,,"["&amp;wew!$G$7&amp;"]"&amp;_sheetname_labels)&amp;":"&amp;ADDRESS(2+F464,(B464+1)*2,4),"")</f>
        <v/>
      </c>
      <c r="N464" s="14" t="str">
        <f ca="1">ADDRESS(3,B464+1,4,,"[" &amp; wew!$G$7 &amp; "]" &amp;_sheetname_dataframe) &amp; ":" &amp; ADDRESS(2+ster!$C$14,B464+1,4)</f>
        <v>'[dane surowe2c.xlsm]data_frame'!QU3:QU35</v>
      </c>
      <c r="O464" s="14" t="str">
        <f t="shared" ca="1" si="109"/>
        <v/>
      </c>
      <c r="P464" s="14" t="str">
        <f ca="1">IF(AND($AD464,$S464=1),IF(wew!$B$3,MIN(INDIRECT($N464)),"&lt;włącz podświetlanie wartości&gt;"),"—")</f>
        <v>—</v>
      </c>
      <c r="Q464" s="14" t="str">
        <f ca="1">IF(AND($AD464,$S464=1),IF(wew!$B$3,MAX(INDIRECT($N464)),"&lt;włącz podświetlanie wartości&gt;"),"—")</f>
        <v>—</v>
      </c>
      <c r="R464" s="14" t="str">
        <f ca="1">IF(AD464,ster!$C$14- (COUNTIF( INDIRECT(N464),"" )+ COUNT(INDIRECT(N464)) +COUNTIF( INDIRECT(N464),"NA" )),"")</f>
        <v/>
      </c>
      <c r="S464" s="12" t="str">
        <f ca="1">IF(AD464,IF(COUNTA(INDIRECT(N464))=0,0, 1-(ster!$C$14- COUNT(INDIRECT(N464)) -COUNTIF( INDIRECT(N464),"" )) /COUNTA(INDIRECT(N464))),"")</f>
        <v/>
      </c>
      <c r="T464" s="17" t="str">
        <f t="array" aca="1" ref="T464" ca="1">IF(L464&lt;&gt;"",SUM(IF(INDIRECT(L464)&lt;&gt;INT(INDIRECT(L464)),1,0)),"")</f>
        <v/>
      </c>
      <c r="U464" s="17" t="str">
        <f t="array" aca="1" ref="U464" ca="1">IF(S464=1,SUM(IF(ISNUMBER(INDIRECT(N464)),IF(INDIRECT(N464)&lt;&gt;INT(INDIRECT(N464)),1,0),0)),"")</f>
        <v/>
      </c>
      <c r="V464" s="17">
        <f t="shared" ca="1" si="110"/>
        <v>0</v>
      </c>
      <c r="W464" s="17">
        <f t="shared" ca="1" si="111"/>
        <v>0</v>
      </c>
      <c r="X464" s="24" t="str">
        <f t="array" aca="1" ref="X464" ca="1">IF(AD464,IF(AG464&lt;&gt;"",AG464,IF(J464,MIN(INDIRECT( K464)),"")),"")</f>
        <v/>
      </c>
      <c r="Y464" s="17" t="str">
        <f t="array" aca="1" ref="Y464" ca="1">IF(AD464,IF(AH464&lt;&gt;"",AH464,IF(J464,MAX(INDIRECT( K464)),"")),"")</f>
        <v/>
      </c>
      <c r="Z464" s="17" t="b">
        <f t="shared" ca="1" si="112"/>
        <v>0</v>
      </c>
      <c r="AC464" s="17" t="str">
        <f t="shared" ca="1" si="113"/>
        <v/>
      </c>
      <c r="AD464" s="14" t="b">
        <f t="shared" ca="1" si="114"/>
        <v>0</v>
      </c>
      <c r="AE464" s="15" t="b">
        <f t="shared" ca="1" si="115"/>
        <v>0</v>
      </c>
      <c r="AF464" s="16"/>
      <c r="AG464" s="16"/>
      <c r="AH464" s="16"/>
      <c r="AI464" s="16"/>
      <c r="AJ464" s="16"/>
      <c r="AK464" s="16"/>
      <c r="AL464" s="16"/>
      <c r="AM464" s="16"/>
    </row>
    <row r="465" spans="2:39">
      <c r="B465" s="14">
        <f t="shared" si="104"/>
        <v>463</v>
      </c>
      <c r="C465" s="14" t="str">
        <f t="shared" ca="1" si="105"/>
        <v/>
      </c>
      <c r="D465" s="14" t="str">
        <f t="shared" ca="1" si="106"/>
        <v/>
      </c>
      <c r="E465" s="14" t="str">
        <f t="shared" ca="1" si="103"/>
        <v/>
      </c>
      <c r="F465" s="14">
        <f t="shared" ca="1" si="102"/>
        <v>0</v>
      </c>
      <c r="G465" s="14" t="str">
        <f t="shared" ca="1" si="107"/>
        <v/>
      </c>
      <c r="H465" s="14">
        <f ca="1">IF(G465&lt;&gt;"",IFERROR( IsVariableNameLegal(G465),0),0)+IF(COUNTIF(INDIRECT(wew!$C$13),G465)&gt;1,10,0)</f>
        <v>0</v>
      </c>
      <c r="I465" s="14">
        <f ca="1">IF(E465&lt;&gt;"",IF(LEN(E465)&gt;150,1,0)+IF(COUNTIF(INDIRECT(wew!$C$15),E465)&gt;1,10,0),0)</f>
        <v>0</v>
      </c>
      <c r="J465" s="14" t="b">
        <f t="shared" ca="1" si="108"/>
        <v>0</v>
      </c>
      <c r="K465" s="14" t="str">
        <f ca="1">ADDRESS(3,(B465+1)*2-1,4,,"[" &amp; wew!$G$7 &amp; "]" &amp; _sheetname_labels) &amp; ":" &amp; ADDRESS(2+ster!$B$20,(B465+1)*2-1,4)</f>
        <v>'[dane surowe2c.xlsm]labels'!AIQ3:AIQ36</v>
      </c>
      <c r="L465" s="14" t="str">
        <f ca="1">IF(F465&gt;0,ADDRESS(3,(B465+1)*2-1,4,,"[" &amp; wew!$G$7 &amp; "]" &amp; _sheetname_labels) &amp; ":" &amp; ADDRESS(2+F465,(B465+1)*2-1,4),"")</f>
        <v/>
      </c>
      <c r="M465" s="14" t="str">
        <f ca="1">IF(F465&gt;0,ADDRESS(3,(B465+1)*2,4,,"["&amp;wew!$G$7&amp;"]"&amp;_sheetname_labels)&amp;":"&amp;ADDRESS(2+F465,(B465+1)*2,4),"")</f>
        <v/>
      </c>
      <c r="N465" s="14" t="str">
        <f ca="1">ADDRESS(3,B465+1,4,,"[" &amp; wew!$G$7 &amp; "]" &amp;_sheetname_dataframe) &amp; ":" &amp; ADDRESS(2+ster!$C$14,B465+1,4)</f>
        <v>'[dane surowe2c.xlsm]data_frame'!QV3:QV35</v>
      </c>
      <c r="O465" s="14" t="str">
        <f t="shared" ca="1" si="109"/>
        <v/>
      </c>
      <c r="P465" s="14" t="str">
        <f ca="1">IF(AND($AD465,$S465=1),IF(wew!$B$3,MIN(INDIRECT($N465)),"&lt;włącz podświetlanie wartości&gt;"),"—")</f>
        <v>—</v>
      </c>
      <c r="Q465" s="14" t="str">
        <f ca="1">IF(AND($AD465,$S465=1),IF(wew!$B$3,MAX(INDIRECT($N465)),"&lt;włącz podświetlanie wartości&gt;"),"—")</f>
        <v>—</v>
      </c>
      <c r="R465" s="14" t="str">
        <f ca="1">IF(AD465,ster!$C$14- (COUNTIF( INDIRECT(N465),"" )+ COUNT(INDIRECT(N465)) +COUNTIF( INDIRECT(N465),"NA" )),"")</f>
        <v/>
      </c>
      <c r="S465" s="12" t="str">
        <f ca="1">IF(AD465,IF(COUNTA(INDIRECT(N465))=0,0, 1-(ster!$C$14- COUNT(INDIRECT(N465)) -COUNTIF( INDIRECT(N465),"" )) /COUNTA(INDIRECT(N465))),"")</f>
        <v/>
      </c>
      <c r="T465" s="17" t="str">
        <f t="array" aca="1" ref="T465" ca="1">IF(L465&lt;&gt;"",SUM(IF(INDIRECT(L465)&lt;&gt;INT(INDIRECT(L465)),1,0)),"")</f>
        <v/>
      </c>
      <c r="U465" s="17" t="str">
        <f t="array" aca="1" ref="U465" ca="1">IF(S465=1,SUM(IF(ISNUMBER(INDIRECT(N465)),IF(INDIRECT(N465)&lt;&gt;INT(INDIRECT(N465)),1,0),0)),"")</f>
        <v/>
      </c>
      <c r="V465" s="17">
        <f t="shared" ca="1" si="110"/>
        <v>0</v>
      </c>
      <c r="W465" s="17">
        <f t="shared" ca="1" si="111"/>
        <v>0</v>
      </c>
      <c r="X465" s="24" t="str">
        <f t="array" aca="1" ref="X465" ca="1">IF(AD465,IF(AG465&lt;&gt;"",AG465,IF(J465,MIN(INDIRECT( K465)),"")),"")</f>
        <v/>
      </c>
      <c r="Y465" s="17" t="str">
        <f t="array" aca="1" ref="Y465" ca="1">IF(AD465,IF(AH465&lt;&gt;"",AH465,IF(J465,MAX(INDIRECT( K465)),"")),"")</f>
        <v/>
      </c>
      <c r="Z465" s="17" t="b">
        <f t="shared" ca="1" si="112"/>
        <v>0</v>
      </c>
      <c r="AC465" s="17" t="str">
        <f t="shared" ca="1" si="113"/>
        <v/>
      </c>
      <c r="AD465" s="14" t="b">
        <f t="shared" ca="1" si="114"/>
        <v>0</v>
      </c>
      <c r="AE465" s="15" t="b">
        <f t="shared" ca="1" si="115"/>
        <v>0</v>
      </c>
      <c r="AF465" s="16"/>
      <c r="AG465" s="16"/>
      <c r="AH465" s="16"/>
      <c r="AI465" s="16"/>
      <c r="AJ465" s="16"/>
      <c r="AK465" s="16"/>
      <c r="AL465" s="16"/>
      <c r="AM465" s="16"/>
    </row>
    <row r="466" spans="2:39">
      <c r="B466" s="14">
        <f t="shared" si="104"/>
        <v>464</v>
      </c>
      <c r="C466" s="14" t="str">
        <f t="shared" ca="1" si="105"/>
        <v/>
      </c>
      <c r="D466" s="14" t="str">
        <f t="shared" ca="1" si="106"/>
        <v/>
      </c>
      <c r="E466" s="14" t="str">
        <f t="shared" ca="1" si="103"/>
        <v/>
      </c>
      <c r="F466" s="14">
        <f t="shared" ca="1" si="102"/>
        <v>0</v>
      </c>
      <c r="G466" s="14" t="str">
        <f t="shared" ca="1" si="107"/>
        <v/>
      </c>
      <c r="H466" s="14">
        <f ca="1">IF(G466&lt;&gt;"",IFERROR( IsVariableNameLegal(G466),0),0)+IF(COUNTIF(INDIRECT(wew!$C$13),G466)&gt;1,10,0)</f>
        <v>0</v>
      </c>
      <c r="I466" s="14">
        <f ca="1">IF(E466&lt;&gt;"",IF(LEN(E466)&gt;150,1,0)+IF(COUNTIF(INDIRECT(wew!$C$15),E466)&gt;1,10,0),0)</f>
        <v>0</v>
      </c>
      <c r="J466" s="14" t="b">
        <f t="shared" ca="1" si="108"/>
        <v>0</v>
      </c>
      <c r="K466" s="14" t="str">
        <f ca="1">ADDRESS(3,(B466+1)*2-1,4,,"[" &amp; wew!$G$7 &amp; "]" &amp; _sheetname_labels) &amp; ":" &amp; ADDRESS(2+ster!$B$20,(B466+1)*2-1,4)</f>
        <v>'[dane surowe2c.xlsm]labels'!AIS3:AIS36</v>
      </c>
      <c r="L466" s="14" t="str">
        <f ca="1">IF(F466&gt;0,ADDRESS(3,(B466+1)*2-1,4,,"[" &amp; wew!$G$7 &amp; "]" &amp; _sheetname_labels) &amp; ":" &amp; ADDRESS(2+F466,(B466+1)*2-1,4),"")</f>
        <v/>
      </c>
      <c r="M466" s="14" t="str">
        <f ca="1">IF(F466&gt;0,ADDRESS(3,(B466+1)*2,4,,"["&amp;wew!$G$7&amp;"]"&amp;_sheetname_labels)&amp;":"&amp;ADDRESS(2+F466,(B466+1)*2,4),"")</f>
        <v/>
      </c>
      <c r="N466" s="14" t="str">
        <f ca="1">ADDRESS(3,B466+1,4,,"[" &amp; wew!$G$7 &amp; "]" &amp;_sheetname_dataframe) &amp; ":" &amp; ADDRESS(2+ster!$C$14,B466+1,4)</f>
        <v>'[dane surowe2c.xlsm]data_frame'!QW3:QW35</v>
      </c>
      <c r="O466" s="14" t="str">
        <f t="shared" ca="1" si="109"/>
        <v/>
      </c>
      <c r="P466" s="14" t="str">
        <f ca="1">IF(AND($AD466,$S466=1),IF(wew!$B$3,MIN(INDIRECT($N466)),"&lt;włącz podświetlanie wartości&gt;"),"—")</f>
        <v>—</v>
      </c>
      <c r="Q466" s="14" t="str">
        <f ca="1">IF(AND($AD466,$S466=1),IF(wew!$B$3,MAX(INDIRECT($N466)),"&lt;włącz podświetlanie wartości&gt;"),"—")</f>
        <v>—</v>
      </c>
      <c r="R466" s="14" t="str">
        <f ca="1">IF(AD466,ster!$C$14- (COUNTIF( INDIRECT(N466),"" )+ COUNT(INDIRECT(N466)) +COUNTIF( INDIRECT(N466),"NA" )),"")</f>
        <v/>
      </c>
      <c r="S466" s="12" t="str">
        <f ca="1">IF(AD466,IF(COUNTA(INDIRECT(N466))=0,0, 1-(ster!$C$14- COUNT(INDIRECT(N466)) -COUNTIF( INDIRECT(N466),"" )) /COUNTA(INDIRECT(N466))),"")</f>
        <v/>
      </c>
      <c r="T466" s="17" t="str">
        <f t="array" aca="1" ref="T466" ca="1">IF(L466&lt;&gt;"",SUM(IF(INDIRECT(L466)&lt;&gt;INT(INDIRECT(L466)),1,0)),"")</f>
        <v/>
      </c>
      <c r="U466" s="17" t="str">
        <f t="array" aca="1" ref="U466" ca="1">IF(S466=1,SUM(IF(ISNUMBER(INDIRECT(N466)),IF(INDIRECT(N466)&lt;&gt;INT(INDIRECT(N466)),1,0),0)),"")</f>
        <v/>
      </c>
      <c r="V466" s="17">
        <f t="shared" ca="1" si="110"/>
        <v>0</v>
      </c>
      <c r="W466" s="17">
        <f t="shared" ca="1" si="111"/>
        <v>0</v>
      </c>
      <c r="X466" s="24" t="str">
        <f t="array" aca="1" ref="X466" ca="1">IF(AD466,IF(AG466&lt;&gt;"",AG466,IF(J466,MIN(INDIRECT( K466)),"")),"")</f>
        <v/>
      </c>
      <c r="Y466" s="17" t="str">
        <f t="array" aca="1" ref="Y466" ca="1">IF(AD466,IF(AH466&lt;&gt;"",AH466,IF(J466,MAX(INDIRECT( K466)),"")),"")</f>
        <v/>
      </c>
      <c r="Z466" s="17" t="b">
        <f t="shared" ca="1" si="112"/>
        <v>0</v>
      </c>
      <c r="AC466" s="17" t="str">
        <f t="shared" ca="1" si="113"/>
        <v/>
      </c>
      <c r="AD466" s="14" t="b">
        <f t="shared" ca="1" si="114"/>
        <v>0</v>
      </c>
      <c r="AE466" s="15" t="b">
        <f t="shared" ca="1" si="115"/>
        <v>0</v>
      </c>
      <c r="AF466" s="16"/>
      <c r="AG466" s="16"/>
      <c r="AH466" s="16"/>
      <c r="AI466" s="16"/>
      <c r="AJ466" s="16"/>
      <c r="AK466" s="16"/>
      <c r="AL466" s="16"/>
      <c r="AM466" s="16"/>
    </row>
    <row r="467" spans="2:39">
      <c r="B467" s="14">
        <f t="shared" si="104"/>
        <v>465</v>
      </c>
      <c r="C467" s="14" t="str">
        <f t="shared" ca="1" si="105"/>
        <v/>
      </c>
      <c r="D467" s="14" t="str">
        <f t="shared" ca="1" si="106"/>
        <v/>
      </c>
      <c r="E467" s="14" t="str">
        <f t="shared" ca="1" si="103"/>
        <v/>
      </c>
      <c r="F467" s="14">
        <f t="shared" ca="1" si="102"/>
        <v>0</v>
      </c>
      <c r="G467" s="14" t="str">
        <f t="shared" ca="1" si="107"/>
        <v/>
      </c>
      <c r="H467" s="14">
        <f ca="1">IF(G467&lt;&gt;"",IFERROR( IsVariableNameLegal(G467),0),0)+IF(COUNTIF(INDIRECT(wew!$C$13),G467)&gt;1,10,0)</f>
        <v>0</v>
      </c>
      <c r="I467" s="14">
        <f ca="1">IF(E467&lt;&gt;"",IF(LEN(E467)&gt;150,1,0)+IF(COUNTIF(INDIRECT(wew!$C$15),E467)&gt;1,10,0),0)</f>
        <v>0</v>
      </c>
      <c r="J467" s="14" t="b">
        <f t="shared" ca="1" si="108"/>
        <v>0</v>
      </c>
      <c r="K467" s="14" t="str">
        <f ca="1">ADDRESS(3,(B467+1)*2-1,4,,"[" &amp; wew!$G$7 &amp; "]" &amp; _sheetname_labels) &amp; ":" &amp; ADDRESS(2+ster!$B$20,(B467+1)*2-1,4)</f>
        <v>'[dane surowe2c.xlsm]labels'!AIU3:AIU36</v>
      </c>
      <c r="L467" s="14" t="str">
        <f ca="1">IF(F467&gt;0,ADDRESS(3,(B467+1)*2-1,4,,"[" &amp; wew!$G$7 &amp; "]" &amp; _sheetname_labels) &amp; ":" &amp; ADDRESS(2+F467,(B467+1)*2-1,4),"")</f>
        <v/>
      </c>
      <c r="M467" s="14" t="str">
        <f ca="1">IF(F467&gt;0,ADDRESS(3,(B467+1)*2,4,,"["&amp;wew!$G$7&amp;"]"&amp;_sheetname_labels)&amp;":"&amp;ADDRESS(2+F467,(B467+1)*2,4),"")</f>
        <v/>
      </c>
      <c r="N467" s="14" t="str">
        <f ca="1">ADDRESS(3,B467+1,4,,"[" &amp; wew!$G$7 &amp; "]" &amp;_sheetname_dataframe) &amp; ":" &amp; ADDRESS(2+ster!$C$14,B467+1,4)</f>
        <v>'[dane surowe2c.xlsm]data_frame'!QX3:QX35</v>
      </c>
      <c r="O467" s="14" t="str">
        <f t="shared" ca="1" si="109"/>
        <v/>
      </c>
      <c r="P467" s="14" t="str">
        <f ca="1">IF(AND($AD467,$S467=1),IF(wew!$B$3,MIN(INDIRECT($N467)),"&lt;włącz podświetlanie wartości&gt;"),"—")</f>
        <v>—</v>
      </c>
      <c r="Q467" s="14" t="str">
        <f ca="1">IF(AND($AD467,$S467=1),IF(wew!$B$3,MAX(INDIRECT($N467)),"&lt;włącz podświetlanie wartości&gt;"),"—")</f>
        <v>—</v>
      </c>
      <c r="R467" s="14" t="str">
        <f ca="1">IF(AD467,ster!$C$14- (COUNTIF( INDIRECT(N467),"" )+ COUNT(INDIRECT(N467)) +COUNTIF( INDIRECT(N467),"NA" )),"")</f>
        <v/>
      </c>
      <c r="S467" s="12" t="str">
        <f ca="1">IF(AD467,IF(COUNTA(INDIRECT(N467))=0,0, 1-(ster!$C$14- COUNT(INDIRECT(N467)) -COUNTIF( INDIRECT(N467),"" )) /COUNTA(INDIRECT(N467))),"")</f>
        <v/>
      </c>
      <c r="T467" s="17" t="str">
        <f t="array" aca="1" ref="T467" ca="1">IF(L467&lt;&gt;"",SUM(IF(INDIRECT(L467)&lt;&gt;INT(INDIRECT(L467)),1,0)),"")</f>
        <v/>
      </c>
      <c r="U467" s="17" t="str">
        <f t="array" aca="1" ref="U467" ca="1">IF(S467=1,SUM(IF(ISNUMBER(INDIRECT(N467)),IF(INDIRECT(N467)&lt;&gt;INT(INDIRECT(N467)),1,0),0)),"")</f>
        <v/>
      </c>
      <c r="V467" s="17">
        <f t="shared" ca="1" si="110"/>
        <v>0</v>
      </c>
      <c r="W467" s="17">
        <f t="shared" ca="1" si="111"/>
        <v>0</v>
      </c>
      <c r="X467" s="24" t="str">
        <f t="array" aca="1" ref="X467" ca="1">IF(AD467,IF(AG467&lt;&gt;"",AG467,IF(J467,MIN(INDIRECT( K467)),"")),"")</f>
        <v/>
      </c>
      <c r="Y467" s="17" t="str">
        <f t="array" aca="1" ref="Y467" ca="1">IF(AD467,IF(AH467&lt;&gt;"",AH467,IF(J467,MAX(INDIRECT( K467)),"")),"")</f>
        <v/>
      </c>
      <c r="Z467" s="17" t="b">
        <f t="shared" ca="1" si="112"/>
        <v>0</v>
      </c>
      <c r="AC467" s="17" t="str">
        <f t="shared" ca="1" si="113"/>
        <v/>
      </c>
      <c r="AD467" s="14" t="b">
        <f t="shared" ca="1" si="114"/>
        <v>0</v>
      </c>
      <c r="AE467" s="15" t="b">
        <f t="shared" ca="1" si="115"/>
        <v>0</v>
      </c>
      <c r="AF467" s="16"/>
      <c r="AG467" s="16"/>
      <c r="AH467" s="16"/>
      <c r="AI467" s="16"/>
      <c r="AJ467" s="16"/>
      <c r="AK467" s="16"/>
      <c r="AL467" s="16"/>
      <c r="AM467" s="16"/>
    </row>
    <row r="468" spans="2:39">
      <c r="B468" s="14">
        <f t="shared" si="104"/>
        <v>466</v>
      </c>
      <c r="C468" s="14" t="str">
        <f t="shared" ca="1" si="105"/>
        <v/>
      </c>
      <c r="D468" s="14" t="str">
        <f t="shared" ca="1" si="106"/>
        <v/>
      </c>
      <c r="E468" s="14" t="str">
        <f t="shared" ca="1" si="103"/>
        <v/>
      </c>
      <c r="F468" s="14">
        <f t="shared" ca="1" si="102"/>
        <v>0</v>
      </c>
      <c r="G468" s="14" t="str">
        <f t="shared" ca="1" si="107"/>
        <v/>
      </c>
      <c r="H468" s="14">
        <f ca="1">IF(G468&lt;&gt;"",IFERROR( IsVariableNameLegal(G468),0),0)+IF(COUNTIF(INDIRECT(wew!$C$13),G468)&gt;1,10,0)</f>
        <v>0</v>
      </c>
      <c r="I468" s="14">
        <f ca="1">IF(E468&lt;&gt;"",IF(LEN(E468)&gt;150,1,0)+IF(COUNTIF(INDIRECT(wew!$C$15),E468)&gt;1,10,0),0)</f>
        <v>0</v>
      </c>
      <c r="J468" s="14" t="b">
        <f t="shared" ca="1" si="108"/>
        <v>0</v>
      </c>
      <c r="K468" s="14" t="str">
        <f ca="1">ADDRESS(3,(B468+1)*2-1,4,,"[" &amp; wew!$G$7 &amp; "]" &amp; _sheetname_labels) &amp; ":" &amp; ADDRESS(2+ster!$B$20,(B468+1)*2-1,4)</f>
        <v>'[dane surowe2c.xlsm]labels'!AIW3:AIW36</v>
      </c>
      <c r="L468" s="14" t="str">
        <f ca="1">IF(F468&gt;0,ADDRESS(3,(B468+1)*2-1,4,,"[" &amp; wew!$G$7 &amp; "]" &amp; _sheetname_labels) &amp; ":" &amp; ADDRESS(2+F468,(B468+1)*2-1,4),"")</f>
        <v/>
      </c>
      <c r="M468" s="14" t="str">
        <f ca="1">IF(F468&gt;0,ADDRESS(3,(B468+1)*2,4,,"["&amp;wew!$G$7&amp;"]"&amp;_sheetname_labels)&amp;":"&amp;ADDRESS(2+F468,(B468+1)*2,4),"")</f>
        <v/>
      </c>
      <c r="N468" s="14" t="str">
        <f ca="1">ADDRESS(3,B468+1,4,,"[" &amp; wew!$G$7 &amp; "]" &amp;_sheetname_dataframe) &amp; ":" &amp; ADDRESS(2+ster!$C$14,B468+1,4)</f>
        <v>'[dane surowe2c.xlsm]data_frame'!QY3:QY35</v>
      </c>
      <c r="O468" s="14" t="str">
        <f t="shared" ca="1" si="109"/>
        <v/>
      </c>
      <c r="P468" s="14" t="str">
        <f ca="1">IF(AND($AD468,$S468=1),IF(wew!$B$3,MIN(INDIRECT($N468)),"&lt;włącz podświetlanie wartości&gt;"),"—")</f>
        <v>—</v>
      </c>
      <c r="Q468" s="14" t="str">
        <f ca="1">IF(AND($AD468,$S468=1),IF(wew!$B$3,MAX(INDIRECT($N468)),"&lt;włącz podświetlanie wartości&gt;"),"—")</f>
        <v>—</v>
      </c>
      <c r="R468" s="14" t="str">
        <f ca="1">IF(AD468,ster!$C$14- (COUNTIF( INDIRECT(N468),"" )+ COUNT(INDIRECT(N468)) +COUNTIF( INDIRECT(N468),"NA" )),"")</f>
        <v/>
      </c>
      <c r="S468" s="12" t="str">
        <f ca="1">IF(AD468,IF(COUNTA(INDIRECT(N468))=0,0, 1-(ster!$C$14- COUNT(INDIRECT(N468)) -COUNTIF( INDIRECT(N468),"" )) /COUNTA(INDIRECT(N468))),"")</f>
        <v/>
      </c>
      <c r="T468" s="17" t="str">
        <f t="array" aca="1" ref="T468" ca="1">IF(L468&lt;&gt;"",SUM(IF(INDIRECT(L468)&lt;&gt;INT(INDIRECT(L468)),1,0)),"")</f>
        <v/>
      </c>
      <c r="U468" s="17" t="str">
        <f t="array" aca="1" ref="U468" ca="1">IF(S468=1,SUM(IF(ISNUMBER(INDIRECT(N468)),IF(INDIRECT(N468)&lt;&gt;INT(INDIRECT(N468)),1,0),0)),"")</f>
        <v/>
      </c>
      <c r="V468" s="17">
        <f t="shared" ca="1" si="110"/>
        <v>0</v>
      </c>
      <c r="W468" s="17">
        <f t="shared" ca="1" si="111"/>
        <v>0</v>
      </c>
      <c r="X468" s="24" t="str">
        <f t="array" aca="1" ref="X468" ca="1">IF(AD468,IF(AG468&lt;&gt;"",AG468,IF(J468,MIN(INDIRECT( K468)),"")),"")</f>
        <v/>
      </c>
      <c r="Y468" s="17" t="str">
        <f t="array" aca="1" ref="Y468" ca="1">IF(AD468,IF(AH468&lt;&gt;"",AH468,IF(J468,MAX(INDIRECT( K468)),"")),"")</f>
        <v/>
      </c>
      <c r="Z468" s="17" t="b">
        <f t="shared" ca="1" si="112"/>
        <v>0</v>
      </c>
      <c r="AC468" s="17" t="str">
        <f t="shared" ca="1" si="113"/>
        <v/>
      </c>
      <c r="AD468" s="14" t="b">
        <f t="shared" ca="1" si="114"/>
        <v>0</v>
      </c>
      <c r="AE468" s="15" t="b">
        <f t="shared" ca="1" si="115"/>
        <v>0</v>
      </c>
      <c r="AF468" s="16"/>
      <c r="AG468" s="16"/>
      <c r="AH468" s="16"/>
      <c r="AI468" s="16"/>
      <c r="AJ468" s="16"/>
      <c r="AK468" s="16"/>
      <c r="AL468" s="16"/>
      <c r="AM468" s="16"/>
    </row>
    <row r="469" spans="2:39">
      <c r="B469" s="14">
        <f t="shared" si="104"/>
        <v>467</v>
      </c>
      <c r="C469" s="14" t="str">
        <f t="shared" ca="1" si="105"/>
        <v/>
      </c>
      <c r="D469" s="14" t="str">
        <f t="shared" ca="1" si="106"/>
        <v/>
      </c>
      <c r="E469" s="14" t="str">
        <f t="shared" ca="1" si="103"/>
        <v/>
      </c>
      <c r="F469" s="14">
        <f t="shared" ca="1" si="102"/>
        <v>0</v>
      </c>
      <c r="G469" s="14" t="str">
        <f t="shared" ca="1" si="107"/>
        <v/>
      </c>
      <c r="H469" s="14">
        <f ca="1">IF(G469&lt;&gt;"",IFERROR( IsVariableNameLegal(G469),0),0)+IF(COUNTIF(INDIRECT(wew!$C$13),G469)&gt;1,10,0)</f>
        <v>0</v>
      </c>
      <c r="I469" s="14">
        <f ca="1">IF(E469&lt;&gt;"",IF(LEN(E469)&gt;150,1,0)+IF(COUNTIF(INDIRECT(wew!$C$15),E469)&gt;1,10,0),0)</f>
        <v>0</v>
      </c>
      <c r="J469" s="14" t="b">
        <f t="shared" ca="1" si="108"/>
        <v>0</v>
      </c>
      <c r="K469" s="14" t="str">
        <f ca="1">ADDRESS(3,(B469+1)*2-1,4,,"[" &amp; wew!$G$7 &amp; "]" &amp; _sheetname_labels) &amp; ":" &amp; ADDRESS(2+ster!$B$20,(B469+1)*2-1,4)</f>
        <v>'[dane surowe2c.xlsm]labels'!AIY3:AIY36</v>
      </c>
      <c r="L469" s="14" t="str">
        <f ca="1">IF(F469&gt;0,ADDRESS(3,(B469+1)*2-1,4,,"[" &amp; wew!$G$7 &amp; "]" &amp; _sheetname_labels) &amp; ":" &amp; ADDRESS(2+F469,(B469+1)*2-1,4),"")</f>
        <v/>
      </c>
      <c r="M469" s="14" t="str">
        <f ca="1">IF(F469&gt;0,ADDRESS(3,(B469+1)*2,4,,"["&amp;wew!$G$7&amp;"]"&amp;_sheetname_labels)&amp;":"&amp;ADDRESS(2+F469,(B469+1)*2,4),"")</f>
        <v/>
      </c>
      <c r="N469" s="14" t="str">
        <f ca="1">ADDRESS(3,B469+1,4,,"[" &amp; wew!$G$7 &amp; "]" &amp;_sheetname_dataframe) &amp; ":" &amp; ADDRESS(2+ster!$C$14,B469+1,4)</f>
        <v>'[dane surowe2c.xlsm]data_frame'!QZ3:QZ35</v>
      </c>
      <c r="O469" s="14" t="str">
        <f t="shared" ca="1" si="109"/>
        <v/>
      </c>
      <c r="P469" s="14" t="str">
        <f ca="1">IF(AND($AD469,$S469=1),IF(wew!$B$3,MIN(INDIRECT($N469)),"&lt;włącz podświetlanie wartości&gt;"),"—")</f>
        <v>—</v>
      </c>
      <c r="Q469" s="14" t="str">
        <f ca="1">IF(AND($AD469,$S469=1),IF(wew!$B$3,MAX(INDIRECT($N469)),"&lt;włącz podświetlanie wartości&gt;"),"—")</f>
        <v>—</v>
      </c>
      <c r="R469" s="14" t="str">
        <f ca="1">IF(AD469,ster!$C$14- (COUNTIF( INDIRECT(N469),"" )+ COUNT(INDIRECT(N469)) +COUNTIF( INDIRECT(N469),"NA" )),"")</f>
        <v/>
      </c>
      <c r="S469" s="12" t="str">
        <f ca="1">IF(AD469,IF(COUNTA(INDIRECT(N469))=0,0, 1-(ster!$C$14- COUNT(INDIRECT(N469)) -COUNTIF( INDIRECT(N469),"" )) /COUNTA(INDIRECT(N469))),"")</f>
        <v/>
      </c>
      <c r="T469" s="17" t="str">
        <f t="array" aca="1" ref="T469" ca="1">IF(L469&lt;&gt;"",SUM(IF(INDIRECT(L469)&lt;&gt;INT(INDIRECT(L469)),1,0)),"")</f>
        <v/>
      </c>
      <c r="U469" s="17" t="str">
        <f t="array" aca="1" ref="U469" ca="1">IF(S469=1,SUM(IF(ISNUMBER(INDIRECT(N469)),IF(INDIRECT(N469)&lt;&gt;INT(INDIRECT(N469)),1,0),0)),"")</f>
        <v/>
      </c>
      <c r="V469" s="17">
        <f t="shared" ca="1" si="110"/>
        <v>0</v>
      </c>
      <c r="W469" s="17">
        <f t="shared" ca="1" si="111"/>
        <v>0</v>
      </c>
      <c r="X469" s="24" t="str">
        <f t="array" aca="1" ref="X469" ca="1">IF(AD469,IF(AG469&lt;&gt;"",AG469,IF(J469,MIN(INDIRECT( K469)),"")),"")</f>
        <v/>
      </c>
      <c r="Y469" s="17" t="str">
        <f t="array" aca="1" ref="Y469" ca="1">IF(AD469,IF(AH469&lt;&gt;"",AH469,IF(J469,MAX(INDIRECT( K469)),"")),"")</f>
        <v/>
      </c>
      <c r="Z469" s="17" t="b">
        <f t="shared" ca="1" si="112"/>
        <v>0</v>
      </c>
      <c r="AC469" s="17" t="str">
        <f t="shared" ca="1" si="113"/>
        <v/>
      </c>
      <c r="AD469" s="14" t="b">
        <f t="shared" ca="1" si="114"/>
        <v>0</v>
      </c>
      <c r="AE469" s="15" t="b">
        <f t="shared" ca="1" si="115"/>
        <v>0</v>
      </c>
      <c r="AF469" s="16"/>
      <c r="AG469" s="16"/>
      <c r="AH469" s="16"/>
      <c r="AI469" s="16"/>
      <c r="AJ469" s="16"/>
      <c r="AK469" s="16"/>
      <c r="AL469" s="16"/>
      <c r="AM469" s="16"/>
    </row>
    <row r="470" spans="2:39">
      <c r="B470" s="14">
        <f t="shared" si="104"/>
        <v>468</v>
      </c>
      <c r="C470" s="14" t="str">
        <f t="shared" ca="1" si="105"/>
        <v/>
      </c>
      <c r="D470" s="14" t="str">
        <f t="shared" ca="1" si="106"/>
        <v/>
      </c>
      <c r="E470" s="14" t="str">
        <f t="shared" ca="1" si="103"/>
        <v/>
      </c>
      <c r="F470" s="14">
        <f t="shared" ca="1" si="102"/>
        <v>0</v>
      </c>
      <c r="G470" s="14" t="str">
        <f t="shared" ca="1" si="107"/>
        <v/>
      </c>
      <c r="H470" s="14">
        <f ca="1">IF(G470&lt;&gt;"",IFERROR( IsVariableNameLegal(G470),0),0)+IF(COUNTIF(INDIRECT(wew!$C$13),G470)&gt;1,10,0)</f>
        <v>0</v>
      </c>
      <c r="I470" s="14">
        <f ca="1">IF(E470&lt;&gt;"",IF(LEN(E470)&gt;150,1,0)+IF(COUNTIF(INDIRECT(wew!$C$15),E470)&gt;1,10,0),0)</f>
        <v>0</v>
      </c>
      <c r="J470" s="14" t="b">
        <f t="shared" ca="1" si="108"/>
        <v>0</v>
      </c>
      <c r="K470" s="14" t="str">
        <f ca="1">ADDRESS(3,(B470+1)*2-1,4,,"[" &amp; wew!$G$7 &amp; "]" &amp; _sheetname_labels) &amp; ":" &amp; ADDRESS(2+ster!$B$20,(B470+1)*2-1,4)</f>
        <v>'[dane surowe2c.xlsm]labels'!AJA3:AJA36</v>
      </c>
      <c r="L470" s="14" t="str">
        <f ca="1">IF(F470&gt;0,ADDRESS(3,(B470+1)*2-1,4,,"[" &amp; wew!$G$7 &amp; "]" &amp; _sheetname_labels) &amp; ":" &amp; ADDRESS(2+F470,(B470+1)*2-1,4),"")</f>
        <v/>
      </c>
      <c r="M470" s="14" t="str">
        <f ca="1">IF(F470&gt;0,ADDRESS(3,(B470+1)*2,4,,"["&amp;wew!$G$7&amp;"]"&amp;_sheetname_labels)&amp;":"&amp;ADDRESS(2+F470,(B470+1)*2,4),"")</f>
        <v/>
      </c>
      <c r="N470" s="14" t="str">
        <f ca="1">ADDRESS(3,B470+1,4,,"[" &amp; wew!$G$7 &amp; "]" &amp;_sheetname_dataframe) &amp; ":" &amp; ADDRESS(2+ster!$C$14,B470+1,4)</f>
        <v>'[dane surowe2c.xlsm]data_frame'!RA3:RA35</v>
      </c>
      <c r="O470" s="14" t="str">
        <f t="shared" ca="1" si="109"/>
        <v/>
      </c>
      <c r="P470" s="14" t="str">
        <f ca="1">IF(AND($AD470,$S470=1),IF(wew!$B$3,MIN(INDIRECT($N470)),"&lt;włącz podświetlanie wartości&gt;"),"—")</f>
        <v>—</v>
      </c>
      <c r="Q470" s="14" t="str">
        <f ca="1">IF(AND($AD470,$S470=1),IF(wew!$B$3,MAX(INDIRECT($N470)),"&lt;włącz podświetlanie wartości&gt;"),"—")</f>
        <v>—</v>
      </c>
      <c r="R470" s="14" t="str">
        <f ca="1">IF(AD470,ster!$C$14- (COUNTIF( INDIRECT(N470),"" )+ COUNT(INDIRECT(N470)) +COUNTIF( INDIRECT(N470),"NA" )),"")</f>
        <v/>
      </c>
      <c r="S470" s="12" t="str">
        <f ca="1">IF(AD470,IF(COUNTA(INDIRECT(N470))=0,0, 1-(ster!$C$14- COUNT(INDIRECT(N470)) -COUNTIF( INDIRECT(N470),"" )) /COUNTA(INDIRECT(N470))),"")</f>
        <v/>
      </c>
      <c r="T470" s="17" t="str">
        <f t="array" aca="1" ref="T470" ca="1">IF(L470&lt;&gt;"",SUM(IF(INDIRECT(L470)&lt;&gt;INT(INDIRECT(L470)),1,0)),"")</f>
        <v/>
      </c>
      <c r="U470" s="17" t="str">
        <f t="array" aca="1" ref="U470" ca="1">IF(S470=1,SUM(IF(ISNUMBER(INDIRECT(N470)),IF(INDIRECT(N470)&lt;&gt;INT(INDIRECT(N470)),1,0),0)),"")</f>
        <v/>
      </c>
      <c r="V470" s="17">
        <f t="shared" ca="1" si="110"/>
        <v>0</v>
      </c>
      <c r="W470" s="17">
        <f t="shared" ca="1" si="111"/>
        <v>0</v>
      </c>
      <c r="X470" s="24" t="str">
        <f t="array" aca="1" ref="X470" ca="1">IF(AD470,IF(AG470&lt;&gt;"",AG470,IF(J470,MIN(INDIRECT( K470)),"")),"")</f>
        <v/>
      </c>
      <c r="Y470" s="17" t="str">
        <f t="array" aca="1" ref="Y470" ca="1">IF(AD470,IF(AH470&lt;&gt;"",AH470,IF(J470,MAX(INDIRECT( K470)),"")),"")</f>
        <v/>
      </c>
      <c r="Z470" s="17" t="b">
        <f t="shared" ca="1" si="112"/>
        <v>0</v>
      </c>
      <c r="AC470" s="17" t="str">
        <f t="shared" ca="1" si="113"/>
        <v/>
      </c>
      <c r="AD470" s="14" t="b">
        <f t="shared" ca="1" si="114"/>
        <v>0</v>
      </c>
      <c r="AE470" s="15" t="b">
        <f t="shared" ca="1" si="115"/>
        <v>0</v>
      </c>
      <c r="AF470" s="16"/>
      <c r="AG470" s="16"/>
      <c r="AH470" s="16"/>
      <c r="AI470" s="16"/>
      <c r="AJ470" s="16"/>
      <c r="AK470" s="16"/>
      <c r="AL470" s="16"/>
      <c r="AM470" s="16"/>
    </row>
    <row r="471" spans="2:39">
      <c r="B471" s="14">
        <f t="shared" si="104"/>
        <v>469</v>
      </c>
      <c r="C471" s="14" t="str">
        <f t="shared" ca="1" si="105"/>
        <v/>
      </c>
      <c r="D471" s="14" t="str">
        <f t="shared" ca="1" si="106"/>
        <v/>
      </c>
      <c r="E471" s="14" t="str">
        <f t="shared" ca="1" si="103"/>
        <v/>
      </c>
      <c r="F471" s="14">
        <f t="shared" ca="1" si="102"/>
        <v>0</v>
      </c>
      <c r="G471" s="14" t="str">
        <f t="shared" ca="1" si="107"/>
        <v/>
      </c>
      <c r="H471" s="14">
        <f ca="1">IF(G471&lt;&gt;"",IFERROR( IsVariableNameLegal(G471),0),0)+IF(COUNTIF(INDIRECT(wew!$C$13),G471)&gt;1,10,0)</f>
        <v>0</v>
      </c>
      <c r="I471" s="14">
        <f ca="1">IF(E471&lt;&gt;"",IF(LEN(E471)&gt;150,1,0)+IF(COUNTIF(INDIRECT(wew!$C$15),E471)&gt;1,10,0),0)</f>
        <v>0</v>
      </c>
      <c r="J471" s="14" t="b">
        <f t="shared" ca="1" si="108"/>
        <v>0</v>
      </c>
      <c r="K471" s="14" t="str">
        <f ca="1">ADDRESS(3,(B471+1)*2-1,4,,"[" &amp; wew!$G$7 &amp; "]" &amp; _sheetname_labels) &amp; ":" &amp; ADDRESS(2+ster!$B$20,(B471+1)*2-1,4)</f>
        <v>'[dane surowe2c.xlsm]labels'!AJC3:AJC36</v>
      </c>
      <c r="L471" s="14" t="str">
        <f ca="1">IF(F471&gt;0,ADDRESS(3,(B471+1)*2-1,4,,"[" &amp; wew!$G$7 &amp; "]" &amp; _sheetname_labels) &amp; ":" &amp; ADDRESS(2+F471,(B471+1)*2-1,4),"")</f>
        <v/>
      </c>
      <c r="M471" s="14" t="str">
        <f ca="1">IF(F471&gt;0,ADDRESS(3,(B471+1)*2,4,,"["&amp;wew!$G$7&amp;"]"&amp;_sheetname_labels)&amp;":"&amp;ADDRESS(2+F471,(B471+1)*2,4),"")</f>
        <v/>
      </c>
      <c r="N471" s="14" t="str">
        <f ca="1">ADDRESS(3,B471+1,4,,"[" &amp; wew!$G$7 &amp; "]" &amp;_sheetname_dataframe) &amp; ":" &amp; ADDRESS(2+ster!$C$14,B471+1,4)</f>
        <v>'[dane surowe2c.xlsm]data_frame'!RB3:RB35</v>
      </c>
      <c r="O471" s="14" t="str">
        <f t="shared" ca="1" si="109"/>
        <v/>
      </c>
      <c r="P471" s="14" t="str">
        <f ca="1">IF(AND($AD471,$S471=1),IF(wew!$B$3,MIN(INDIRECT($N471)),"&lt;włącz podświetlanie wartości&gt;"),"—")</f>
        <v>—</v>
      </c>
      <c r="Q471" s="14" t="str">
        <f ca="1">IF(AND($AD471,$S471=1),IF(wew!$B$3,MAX(INDIRECT($N471)),"&lt;włącz podświetlanie wartości&gt;"),"—")</f>
        <v>—</v>
      </c>
      <c r="R471" s="14" t="str">
        <f ca="1">IF(AD471,ster!$C$14- (COUNTIF( INDIRECT(N471),"" )+ COUNT(INDIRECT(N471)) +COUNTIF( INDIRECT(N471),"NA" )),"")</f>
        <v/>
      </c>
      <c r="S471" s="12" t="str">
        <f ca="1">IF(AD471,IF(COUNTA(INDIRECT(N471))=0,0, 1-(ster!$C$14- COUNT(INDIRECT(N471)) -COUNTIF( INDIRECT(N471),"" )) /COUNTA(INDIRECT(N471))),"")</f>
        <v/>
      </c>
      <c r="T471" s="17" t="str">
        <f t="array" aca="1" ref="T471" ca="1">IF(L471&lt;&gt;"",SUM(IF(INDIRECT(L471)&lt;&gt;INT(INDIRECT(L471)),1,0)),"")</f>
        <v/>
      </c>
      <c r="U471" s="17" t="str">
        <f t="array" aca="1" ref="U471" ca="1">IF(S471=1,SUM(IF(ISNUMBER(INDIRECT(N471)),IF(INDIRECT(N471)&lt;&gt;INT(INDIRECT(N471)),1,0),0)),"")</f>
        <v/>
      </c>
      <c r="V471" s="17">
        <f t="shared" ca="1" si="110"/>
        <v>0</v>
      </c>
      <c r="W471" s="17">
        <f t="shared" ca="1" si="111"/>
        <v>0</v>
      </c>
      <c r="X471" s="24" t="str">
        <f t="array" aca="1" ref="X471" ca="1">IF(AD471,IF(AG471&lt;&gt;"",AG471,IF(J471,MIN(INDIRECT( K471)),"")),"")</f>
        <v/>
      </c>
      <c r="Y471" s="17" t="str">
        <f t="array" aca="1" ref="Y471" ca="1">IF(AD471,IF(AH471&lt;&gt;"",AH471,IF(J471,MAX(INDIRECT( K471)),"")),"")</f>
        <v/>
      </c>
      <c r="Z471" s="17" t="b">
        <f t="shared" ca="1" si="112"/>
        <v>0</v>
      </c>
      <c r="AC471" s="17" t="str">
        <f t="shared" ca="1" si="113"/>
        <v/>
      </c>
      <c r="AD471" s="14" t="b">
        <f t="shared" ca="1" si="114"/>
        <v>0</v>
      </c>
      <c r="AE471" s="15" t="b">
        <f t="shared" ca="1" si="115"/>
        <v>0</v>
      </c>
      <c r="AF471" s="16"/>
      <c r="AG471" s="16"/>
      <c r="AH471" s="16"/>
      <c r="AI471" s="16"/>
      <c r="AJ471" s="16"/>
      <c r="AK471" s="16"/>
      <c r="AL471" s="16"/>
      <c r="AM471" s="16"/>
    </row>
    <row r="472" spans="2:39">
      <c r="B472" s="14">
        <f t="shared" si="104"/>
        <v>470</v>
      </c>
      <c r="C472" s="14" t="str">
        <f t="shared" ca="1" si="105"/>
        <v/>
      </c>
      <c r="D472" s="14" t="str">
        <f t="shared" ca="1" si="106"/>
        <v/>
      </c>
      <c r="E472" s="14" t="str">
        <f t="shared" ca="1" si="103"/>
        <v/>
      </c>
      <c r="F472" s="14">
        <f t="shared" ca="1" si="102"/>
        <v>0</v>
      </c>
      <c r="G472" s="14" t="str">
        <f t="shared" ca="1" si="107"/>
        <v/>
      </c>
      <c r="H472" s="14">
        <f ca="1">IF(G472&lt;&gt;"",IFERROR( IsVariableNameLegal(G472),0),0)+IF(COUNTIF(INDIRECT(wew!$C$13),G472)&gt;1,10,0)</f>
        <v>0</v>
      </c>
      <c r="I472" s="14">
        <f ca="1">IF(E472&lt;&gt;"",IF(LEN(E472)&gt;150,1,0)+IF(COUNTIF(INDIRECT(wew!$C$15),E472)&gt;1,10,0),0)</f>
        <v>0</v>
      </c>
      <c r="J472" s="14" t="b">
        <f t="shared" ca="1" si="108"/>
        <v>0</v>
      </c>
      <c r="K472" s="14" t="str">
        <f ca="1">ADDRESS(3,(B472+1)*2-1,4,,"[" &amp; wew!$G$7 &amp; "]" &amp; _sheetname_labels) &amp; ":" &amp; ADDRESS(2+ster!$B$20,(B472+1)*2-1,4)</f>
        <v>'[dane surowe2c.xlsm]labels'!AJE3:AJE36</v>
      </c>
      <c r="L472" s="14" t="str">
        <f ca="1">IF(F472&gt;0,ADDRESS(3,(B472+1)*2-1,4,,"[" &amp; wew!$G$7 &amp; "]" &amp; _sheetname_labels) &amp; ":" &amp; ADDRESS(2+F472,(B472+1)*2-1,4),"")</f>
        <v/>
      </c>
      <c r="M472" s="14" t="str">
        <f ca="1">IF(F472&gt;0,ADDRESS(3,(B472+1)*2,4,,"["&amp;wew!$G$7&amp;"]"&amp;_sheetname_labels)&amp;":"&amp;ADDRESS(2+F472,(B472+1)*2,4),"")</f>
        <v/>
      </c>
      <c r="N472" s="14" t="str">
        <f ca="1">ADDRESS(3,B472+1,4,,"[" &amp; wew!$G$7 &amp; "]" &amp;_sheetname_dataframe) &amp; ":" &amp; ADDRESS(2+ster!$C$14,B472+1,4)</f>
        <v>'[dane surowe2c.xlsm]data_frame'!RC3:RC35</v>
      </c>
      <c r="O472" s="14" t="str">
        <f t="shared" ca="1" si="109"/>
        <v/>
      </c>
      <c r="P472" s="14" t="str">
        <f ca="1">IF(AND($AD472,$S472=1),IF(wew!$B$3,MIN(INDIRECT($N472)),"&lt;włącz podświetlanie wartości&gt;"),"—")</f>
        <v>—</v>
      </c>
      <c r="Q472" s="14" t="str">
        <f ca="1">IF(AND($AD472,$S472=1),IF(wew!$B$3,MAX(INDIRECT($N472)),"&lt;włącz podświetlanie wartości&gt;"),"—")</f>
        <v>—</v>
      </c>
      <c r="R472" s="14" t="str">
        <f ca="1">IF(AD472,ster!$C$14- (COUNTIF( INDIRECT(N472),"" )+ COUNT(INDIRECT(N472)) +COUNTIF( INDIRECT(N472),"NA" )),"")</f>
        <v/>
      </c>
      <c r="S472" s="12" t="str">
        <f ca="1">IF(AD472,IF(COUNTA(INDIRECT(N472))=0,0, 1-(ster!$C$14- COUNT(INDIRECT(N472)) -COUNTIF( INDIRECT(N472),"" )) /COUNTA(INDIRECT(N472))),"")</f>
        <v/>
      </c>
      <c r="T472" s="17" t="str">
        <f t="array" aca="1" ref="T472" ca="1">IF(L472&lt;&gt;"",SUM(IF(INDIRECT(L472)&lt;&gt;INT(INDIRECT(L472)),1,0)),"")</f>
        <v/>
      </c>
      <c r="U472" s="17" t="str">
        <f t="array" aca="1" ref="U472" ca="1">IF(S472=1,SUM(IF(ISNUMBER(INDIRECT(N472)),IF(INDIRECT(N472)&lt;&gt;INT(INDIRECT(N472)),1,0),0)),"")</f>
        <v/>
      </c>
      <c r="V472" s="17">
        <f t="shared" ca="1" si="110"/>
        <v>0</v>
      </c>
      <c r="W472" s="17">
        <f t="shared" ca="1" si="111"/>
        <v>0</v>
      </c>
      <c r="X472" s="24" t="str">
        <f t="array" aca="1" ref="X472" ca="1">IF(AD472,IF(AG472&lt;&gt;"",AG472,IF(J472,MIN(INDIRECT( K472)),"")),"")</f>
        <v/>
      </c>
      <c r="Y472" s="17" t="str">
        <f t="array" aca="1" ref="Y472" ca="1">IF(AD472,IF(AH472&lt;&gt;"",AH472,IF(J472,MAX(INDIRECT( K472)),"")),"")</f>
        <v/>
      </c>
      <c r="Z472" s="17" t="b">
        <f t="shared" ca="1" si="112"/>
        <v>0</v>
      </c>
      <c r="AC472" s="17" t="str">
        <f t="shared" ca="1" si="113"/>
        <v/>
      </c>
      <c r="AD472" s="14" t="b">
        <f t="shared" ca="1" si="114"/>
        <v>0</v>
      </c>
      <c r="AE472" s="15" t="b">
        <f t="shared" ca="1" si="115"/>
        <v>0</v>
      </c>
      <c r="AF472" s="16"/>
      <c r="AG472" s="16"/>
      <c r="AH472" s="16"/>
      <c r="AI472" s="16"/>
      <c r="AJ472" s="16"/>
      <c r="AK472" s="16"/>
      <c r="AL472" s="16"/>
      <c r="AM472" s="16"/>
    </row>
    <row r="473" spans="2:39">
      <c r="B473" s="14">
        <f t="shared" si="104"/>
        <v>471</v>
      </c>
      <c r="C473" s="14" t="str">
        <f t="shared" ca="1" si="105"/>
        <v/>
      </c>
      <c r="D473" s="14" t="str">
        <f t="shared" ca="1" si="106"/>
        <v/>
      </c>
      <c r="E473" s="14" t="str">
        <f t="shared" ca="1" si="103"/>
        <v/>
      </c>
      <c r="F473" s="14">
        <f t="shared" ca="1" si="102"/>
        <v>0</v>
      </c>
      <c r="G473" s="14" t="str">
        <f t="shared" ca="1" si="107"/>
        <v/>
      </c>
      <c r="H473" s="14">
        <f ca="1">IF(G473&lt;&gt;"",IFERROR( IsVariableNameLegal(G473),0),0)+IF(COUNTIF(INDIRECT(wew!$C$13),G473)&gt;1,10,0)</f>
        <v>0</v>
      </c>
      <c r="I473" s="14">
        <f ca="1">IF(E473&lt;&gt;"",IF(LEN(E473)&gt;150,1,0)+IF(COUNTIF(INDIRECT(wew!$C$15),E473)&gt;1,10,0),0)</f>
        <v>0</v>
      </c>
      <c r="J473" s="14" t="b">
        <f t="shared" ca="1" si="108"/>
        <v>0</v>
      </c>
      <c r="K473" s="14" t="str">
        <f ca="1">ADDRESS(3,(B473+1)*2-1,4,,"[" &amp; wew!$G$7 &amp; "]" &amp; _sheetname_labels) &amp; ":" &amp; ADDRESS(2+ster!$B$20,(B473+1)*2-1,4)</f>
        <v>'[dane surowe2c.xlsm]labels'!AJG3:AJG36</v>
      </c>
      <c r="L473" s="14" t="str">
        <f ca="1">IF(F473&gt;0,ADDRESS(3,(B473+1)*2-1,4,,"[" &amp; wew!$G$7 &amp; "]" &amp; _sheetname_labels) &amp; ":" &amp; ADDRESS(2+F473,(B473+1)*2-1,4),"")</f>
        <v/>
      </c>
      <c r="M473" s="14" t="str">
        <f ca="1">IF(F473&gt;0,ADDRESS(3,(B473+1)*2,4,,"["&amp;wew!$G$7&amp;"]"&amp;_sheetname_labels)&amp;":"&amp;ADDRESS(2+F473,(B473+1)*2,4),"")</f>
        <v/>
      </c>
      <c r="N473" s="14" t="str">
        <f ca="1">ADDRESS(3,B473+1,4,,"[" &amp; wew!$G$7 &amp; "]" &amp;_sheetname_dataframe) &amp; ":" &amp; ADDRESS(2+ster!$C$14,B473+1,4)</f>
        <v>'[dane surowe2c.xlsm]data_frame'!RD3:RD35</v>
      </c>
      <c r="O473" s="14" t="str">
        <f t="shared" ca="1" si="109"/>
        <v/>
      </c>
      <c r="P473" s="14" t="str">
        <f ca="1">IF(AND($AD473,$S473=1),IF(wew!$B$3,MIN(INDIRECT($N473)),"&lt;włącz podświetlanie wartości&gt;"),"—")</f>
        <v>—</v>
      </c>
      <c r="Q473" s="14" t="str">
        <f ca="1">IF(AND($AD473,$S473=1),IF(wew!$B$3,MAX(INDIRECT($N473)),"&lt;włącz podświetlanie wartości&gt;"),"—")</f>
        <v>—</v>
      </c>
      <c r="R473" s="14" t="str">
        <f ca="1">IF(AD473,ster!$C$14- (COUNTIF( INDIRECT(N473),"" )+ COUNT(INDIRECT(N473)) +COUNTIF( INDIRECT(N473),"NA" )),"")</f>
        <v/>
      </c>
      <c r="S473" s="12" t="str">
        <f ca="1">IF(AD473,IF(COUNTA(INDIRECT(N473))=0,0, 1-(ster!$C$14- COUNT(INDIRECT(N473)) -COUNTIF( INDIRECT(N473),"" )) /COUNTA(INDIRECT(N473))),"")</f>
        <v/>
      </c>
      <c r="T473" s="17" t="str">
        <f t="array" aca="1" ref="T473" ca="1">IF(L473&lt;&gt;"",SUM(IF(INDIRECT(L473)&lt;&gt;INT(INDIRECT(L473)),1,0)),"")</f>
        <v/>
      </c>
      <c r="U473" s="17" t="str">
        <f t="array" aca="1" ref="U473" ca="1">IF(S473=1,SUM(IF(ISNUMBER(INDIRECT(N473)),IF(INDIRECT(N473)&lt;&gt;INT(INDIRECT(N473)),1,0),0)),"")</f>
        <v/>
      </c>
      <c r="V473" s="17">
        <f t="shared" ca="1" si="110"/>
        <v>0</v>
      </c>
      <c r="W473" s="17">
        <f t="shared" ca="1" si="111"/>
        <v>0</v>
      </c>
      <c r="X473" s="24" t="str">
        <f t="array" aca="1" ref="X473" ca="1">IF(AD473,IF(AG473&lt;&gt;"",AG473,IF(J473,MIN(INDIRECT( K473)),"")),"")</f>
        <v/>
      </c>
      <c r="Y473" s="17" t="str">
        <f t="array" aca="1" ref="Y473" ca="1">IF(AD473,IF(AH473&lt;&gt;"",AH473,IF(J473,MAX(INDIRECT( K473)),"")),"")</f>
        <v/>
      </c>
      <c r="Z473" s="17" t="b">
        <f t="shared" ca="1" si="112"/>
        <v>0</v>
      </c>
      <c r="AC473" s="17" t="str">
        <f t="shared" ca="1" si="113"/>
        <v/>
      </c>
      <c r="AD473" s="14" t="b">
        <f t="shared" ca="1" si="114"/>
        <v>0</v>
      </c>
      <c r="AE473" s="15" t="b">
        <f t="shared" ca="1" si="115"/>
        <v>0</v>
      </c>
      <c r="AF473" s="16"/>
      <c r="AG473" s="16"/>
      <c r="AH473" s="16"/>
      <c r="AI473" s="16"/>
      <c r="AJ473" s="16"/>
      <c r="AK473" s="16"/>
      <c r="AL473" s="16"/>
      <c r="AM473" s="16"/>
    </row>
    <row r="474" spans="2:39">
      <c r="B474" s="14">
        <f t="shared" si="104"/>
        <v>472</v>
      </c>
      <c r="C474" s="14" t="str">
        <f t="shared" ca="1" si="105"/>
        <v/>
      </c>
      <c r="D474" s="14" t="str">
        <f t="shared" ca="1" si="106"/>
        <v/>
      </c>
      <c r="E474" s="14" t="str">
        <f t="shared" ca="1" si="103"/>
        <v/>
      </c>
      <c r="F474" s="14">
        <f t="shared" ca="1" si="102"/>
        <v>0</v>
      </c>
      <c r="G474" s="14" t="str">
        <f t="shared" ca="1" si="107"/>
        <v/>
      </c>
      <c r="H474" s="14">
        <f ca="1">IF(G474&lt;&gt;"",IFERROR( IsVariableNameLegal(G474),0),0)+IF(COUNTIF(INDIRECT(wew!$C$13),G474)&gt;1,10,0)</f>
        <v>0</v>
      </c>
      <c r="I474" s="14">
        <f ca="1">IF(E474&lt;&gt;"",IF(LEN(E474)&gt;150,1,0)+IF(COUNTIF(INDIRECT(wew!$C$15),E474)&gt;1,10,0),0)</f>
        <v>0</v>
      </c>
      <c r="J474" s="14" t="b">
        <f t="shared" ca="1" si="108"/>
        <v>0</v>
      </c>
      <c r="K474" s="14" t="str">
        <f ca="1">ADDRESS(3,(B474+1)*2-1,4,,"[" &amp; wew!$G$7 &amp; "]" &amp; _sheetname_labels) &amp; ":" &amp; ADDRESS(2+ster!$B$20,(B474+1)*2-1,4)</f>
        <v>'[dane surowe2c.xlsm]labels'!AJI3:AJI36</v>
      </c>
      <c r="L474" s="14" t="str">
        <f ca="1">IF(F474&gt;0,ADDRESS(3,(B474+1)*2-1,4,,"[" &amp; wew!$G$7 &amp; "]" &amp; _sheetname_labels) &amp; ":" &amp; ADDRESS(2+F474,(B474+1)*2-1,4),"")</f>
        <v/>
      </c>
      <c r="M474" s="14" t="str">
        <f ca="1">IF(F474&gt;0,ADDRESS(3,(B474+1)*2,4,,"["&amp;wew!$G$7&amp;"]"&amp;_sheetname_labels)&amp;":"&amp;ADDRESS(2+F474,(B474+1)*2,4),"")</f>
        <v/>
      </c>
      <c r="N474" s="14" t="str">
        <f ca="1">ADDRESS(3,B474+1,4,,"[" &amp; wew!$G$7 &amp; "]" &amp;_sheetname_dataframe) &amp; ":" &amp; ADDRESS(2+ster!$C$14,B474+1,4)</f>
        <v>'[dane surowe2c.xlsm]data_frame'!RE3:RE35</v>
      </c>
      <c r="O474" s="14" t="str">
        <f t="shared" ca="1" si="109"/>
        <v/>
      </c>
      <c r="P474" s="14" t="str">
        <f ca="1">IF(AND($AD474,$S474=1),IF(wew!$B$3,MIN(INDIRECT($N474)),"&lt;włącz podświetlanie wartości&gt;"),"—")</f>
        <v>—</v>
      </c>
      <c r="Q474" s="14" t="str">
        <f ca="1">IF(AND($AD474,$S474=1),IF(wew!$B$3,MAX(INDIRECT($N474)),"&lt;włącz podświetlanie wartości&gt;"),"—")</f>
        <v>—</v>
      </c>
      <c r="R474" s="14" t="str">
        <f ca="1">IF(AD474,ster!$C$14- (COUNTIF( INDIRECT(N474),"" )+ COUNT(INDIRECT(N474)) +COUNTIF( INDIRECT(N474),"NA" )),"")</f>
        <v/>
      </c>
      <c r="S474" s="12" t="str">
        <f ca="1">IF(AD474,IF(COUNTA(INDIRECT(N474))=0,0, 1-(ster!$C$14- COUNT(INDIRECT(N474)) -COUNTIF( INDIRECT(N474),"" )) /COUNTA(INDIRECT(N474))),"")</f>
        <v/>
      </c>
      <c r="T474" s="17" t="str">
        <f t="array" aca="1" ref="T474" ca="1">IF(L474&lt;&gt;"",SUM(IF(INDIRECT(L474)&lt;&gt;INT(INDIRECT(L474)),1,0)),"")</f>
        <v/>
      </c>
      <c r="U474" s="17" t="str">
        <f t="array" aca="1" ref="U474" ca="1">IF(S474=1,SUM(IF(ISNUMBER(INDIRECT(N474)),IF(INDIRECT(N474)&lt;&gt;INT(INDIRECT(N474)),1,0),0)),"")</f>
        <v/>
      </c>
      <c r="V474" s="17">
        <f t="shared" ca="1" si="110"/>
        <v>0</v>
      </c>
      <c r="W474" s="17">
        <f t="shared" ca="1" si="111"/>
        <v>0</v>
      </c>
      <c r="X474" s="24" t="str">
        <f t="array" aca="1" ref="X474" ca="1">IF(AD474,IF(AG474&lt;&gt;"",AG474,IF(J474,MIN(INDIRECT( K474)),"")),"")</f>
        <v/>
      </c>
      <c r="Y474" s="17" t="str">
        <f t="array" aca="1" ref="Y474" ca="1">IF(AD474,IF(AH474&lt;&gt;"",AH474,IF(J474,MAX(INDIRECT( K474)),"")),"")</f>
        <v/>
      </c>
      <c r="Z474" s="17" t="b">
        <f t="shared" ca="1" si="112"/>
        <v>0</v>
      </c>
      <c r="AC474" s="17" t="str">
        <f t="shared" ca="1" si="113"/>
        <v/>
      </c>
      <c r="AD474" s="14" t="b">
        <f t="shared" ca="1" si="114"/>
        <v>0</v>
      </c>
      <c r="AE474" s="15" t="b">
        <f t="shared" ca="1" si="115"/>
        <v>0</v>
      </c>
      <c r="AF474" s="16"/>
      <c r="AG474" s="16"/>
      <c r="AH474" s="16"/>
      <c r="AI474" s="16"/>
      <c r="AJ474" s="16"/>
      <c r="AK474" s="16"/>
      <c r="AL474" s="16"/>
      <c r="AM474" s="16"/>
    </row>
    <row r="475" spans="2:39">
      <c r="B475" s="14">
        <f t="shared" si="104"/>
        <v>473</v>
      </c>
      <c r="C475" s="14" t="str">
        <f t="shared" ca="1" si="105"/>
        <v/>
      </c>
      <c r="D475" s="14" t="str">
        <f t="shared" ca="1" si="106"/>
        <v/>
      </c>
      <c r="E475" s="14" t="str">
        <f t="shared" ca="1" si="103"/>
        <v/>
      </c>
      <c r="F475" s="14">
        <f t="shared" ca="1" si="102"/>
        <v>0</v>
      </c>
      <c r="G475" s="14" t="str">
        <f t="shared" ca="1" si="107"/>
        <v/>
      </c>
      <c r="H475" s="14">
        <f ca="1">IF(G475&lt;&gt;"",IFERROR( IsVariableNameLegal(G475),0),0)+IF(COUNTIF(INDIRECT(wew!$C$13),G475)&gt;1,10,0)</f>
        <v>0</v>
      </c>
      <c r="I475" s="14">
        <f ca="1">IF(E475&lt;&gt;"",IF(LEN(E475)&gt;150,1,0)+IF(COUNTIF(INDIRECT(wew!$C$15),E475)&gt;1,10,0),0)</f>
        <v>0</v>
      </c>
      <c r="J475" s="14" t="b">
        <f t="shared" ca="1" si="108"/>
        <v>0</v>
      </c>
      <c r="K475" s="14" t="str">
        <f ca="1">ADDRESS(3,(B475+1)*2-1,4,,"[" &amp; wew!$G$7 &amp; "]" &amp; _sheetname_labels) &amp; ":" &amp; ADDRESS(2+ster!$B$20,(B475+1)*2-1,4)</f>
        <v>'[dane surowe2c.xlsm]labels'!AJK3:AJK36</v>
      </c>
      <c r="L475" s="14" t="str">
        <f ca="1">IF(F475&gt;0,ADDRESS(3,(B475+1)*2-1,4,,"[" &amp; wew!$G$7 &amp; "]" &amp; _sheetname_labels) &amp; ":" &amp; ADDRESS(2+F475,(B475+1)*2-1,4),"")</f>
        <v/>
      </c>
      <c r="M475" s="14" t="str">
        <f ca="1">IF(F475&gt;0,ADDRESS(3,(B475+1)*2,4,,"["&amp;wew!$G$7&amp;"]"&amp;_sheetname_labels)&amp;":"&amp;ADDRESS(2+F475,(B475+1)*2,4),"")</f>
        <v/>
      </c>
      <c r="N475" s="14" t="str">
        <f ca="1">ADDRESS(3,B475+1,4,,"[" &amp; wew!$G$7 &amp; "]" &amp;_sheetname_dataframe) &amp; ":" &amp; ADDRESS(2+ster!$C$14,B475+1,4)</f>
        <v>'[dane surowe2c.xlsm]data_frame'!RF3:RF35</v>
      </c>
      <c r="O475" s="14" t="str">
        <f t="shared" ca="1" si="109"/>
        <v/>
      </c>
      <c r="P475" s="14" t="str">
        <f ca="1">IF(AND($AD475,$S475=1),IF(wew!$B$3,MIN(INDIRECT($N475)),"&lt;włącz podświetlanie wartości&gt;"),"—")</f>
        <v>—</v>
      </c>
      <c r="Q475" s="14" t="str">
        <f ca="1">IF(AND($AD475,$S475=1),IF(wew!$B$3,MAX(INDIRECT($N475)),"&lt;włącz podświetlanie wartości&gt;"),"—")</f>
        <v>—</v>
      </c>
      <c r="R475" s="14" t="str">
        <f ca="1">IF(AD475,ster!$C$14- (COUNTIF( INDIRECT(N475),"" )+ COUNT(INDIRECT(N475)) +COUNTIF( INDIRECT(N475),"NA" )),"")</f>
        <v/>
      </c>
      <c r="S475" s="12" t="str">
        <f ca="1">IF(AD475,IF(COUNTA(INDIRECT(N475))=0,0, 1-(ster!$C$14- COUNT(INDIRECT(N475)) -COUNTIF( INDIRECT(N475),"" )) /COUNTA(INDIRECT(N475))),"")</f>
        <v/>
      </c>
      <c r="T475" s="17" t="str">
        <f t="array" aca="1" ref="T475" ca="1">IF(L475&lt;&gt;"",SUM(IF(INDIRECT(L475)&lt;&gt;INT(INDIRECT(L475)),1,0)),"")</f>
        <v/>
      </c>
      <c r="U475" s="17" t="str">
        <f t="array" aca="1" ref="U475" ca="1">IF(S475=1,SUM(IF(ISNUMBER(INDIRECT(N475)),IF(INDIRECT(N475)&lt;&gt;INT(INDIRECT(N475)),1,0),0)),"")</f>
        <v/>
      </c>
      <c r="V475" s="17">
        <f t="shared" ca="1" si="110"/>
        <v>0</v>
      </c>
      <c r="W475" s="17">
        <f t="shared" ca="1" si="111"/>
        <v>0</v>
      </c>
      <c r="X475" s="24" t="str">
        <f t="array" aca="1" ref="X475" ca="1">IF(AD475,IF(AG475&lt;&gt;"",AG475,IF(J475,MIN(INDIRECT( K475)),"")),"")</f>
        <v/>
      </c>
      <c r="Y475" s="17" t="str">
        <f t="array" aca="1" ref="Y475" ca="1">IF(AD475,IF(AH475&lt;&gt;"",AH475,IF(J475,MAX(INDIRECT( K475)),"")),"")</f>
        <v/>
      </c>
      <c r="Z475" s="17" t="b">
        <f t="shared" ca="1" si="112"/>
        <v>0</v>
      </c>
      <c r="AC475" s="17" t="str">
        <f t="shared" ca="1" si="113"/>
        <v/>
      </c>
      <c r="AD475" s="14" t="b">
        <f t="shared" ca="1" si="114"/>
        <v>0</v>
      </c>
      <c r="AE475" s="15" t="b">
        <f t="shared" ca="1" si="115"/>
        <v>0</v>
      </c>
      <c r="AF475" s="16"/>
      <c r="AG475" s="16"/>
      <c r="AH475" s="16"/>
      <c r="AI475" s="16"/>
      <c r="AJ475" s="16"/>
      <c r="AK475" s="16"/>
      <c r="AL475" s="16"/>
      <c r="AM475" s="16"/>
    </row>
    <row r="476" spans="2:39">
      <c r="B476" s="14">
        <f t="shared" si="104"/>
        <v>474</v>
      </c>
      <c r="C476" s="14" t="str">
        <f t="shared" ca="1" si="105"/>
        <v/>
      </c>
      <c r="D476" s="14" t="str">
        <f t="shared" ca="1" si="106"/>
        <v/>
      </c>
      <c r="E476" s="14" t="str">
        <f t="shared" ca="1" si="103"/>
        <v/>
      </c>
      <c r="F476" s="14">
        <f t="shared" ca="1" si="102"/>
        <v>0</v>
      </c>
      <c r="G476" s="14" t="str">
        <f t="shared" ca="1" si="107"/>
        <v/>
      </c>
      <c r="H476" s="14">
        <f ca="1">IF(G476&lt;&gt;"",IFERROR( IsVariableNameLegal(G476),0),0)+IF(COUNTIF(INDIRECT(wew!$C$13),G476)&gt;1,10,0)</f>
        <v>0</v>
      </c>
      <c r="I476" s="14">
        <f ca="1">IF(E476&lt;&gt;"",IF(LEN(E476)&gt;150,1,0)+IF(COUNTIF(INDIRECT(wew!$C$15),E476)&gt;1,10,0),0)</f>
        <v>0</v>
      </c>
      <c r="J476" s="14" t="b">
        <f t="shared" ca="1" si="108"/>
        <v>0</v>
      </c>
      <c r="K476" s="14" t="str">
        <f ca="1">ADDRESS(3,(B476+1)*2-1,4,,"[" &amp; wew!$G$7 &amp; "]" &amp; _sheetname_labels) &amp; ":" &amp; ADDRESS(2+ster!$B$20,(B476+1)*2-1,4)</f>
        <v>'[dane surowe2c.xlsm]labels'!AJM3:AJM36</v>
      </c>
      <c r="L476" s="14" t="str">
        <f ca="1">IF(F476&gt;0,ADDRESS(3,(B476+1)*2-1,4,,"[" &amp; wew!$G$7 &amp; "]" &amp; _sheetname_labels) &amp; ":" &amp; ADDRESS(2+F476,(B476+1)*2-1,4),"")</f>
        <v/>
      </c>
      <c r="M476" s="14" t="str">
        <f ca="1">IF(F476&gt;0,ADDRESS(3,(B476+1)*2,4,,"["&amp;wew!$G$7&amp;"]"&amp;_sheetname_labels)&amp;":"&amp;ADDRESS(2+F476,(B476+1)*2,4),"")</f>
        <v/>
      </c>
      <c r="N476" s="14" t="str">
        <f ca="1">ADDRESS(3,B476+1,4,,"[" &amp; wew!$G$7 &amp; "]" &amp;_sheetname_dataframe) &amp; ":" &amp; ADDRESS(2+ster!$C$14,B476+1,4)</f>
        <v>'[dane surowe2c.xlsm]data_frame'!RG3:RG35</v>
      </c>
      <c r="O476" s="14" t="str">
        <f t="shared" ca="1" si="109"/>
        <v/>
      </c>
      <c r="P476" s="14" t="str">
        <f ca="1">IF(AND($AD476,$S476=1),IF(wew!$B$3,MIN(INDIRECT($N476)),"&lt;włącz podświetlanie wartości&gt;"),"—")</f>
        <v>—</v>
      </c>
      <c r="Q476" s="14" t="str">
        <f ca="1">IF(AND($AD476,$S476=1),IF(wew!$B$3,MAX(INDIRECT($N476)),"&lt;włącz podświetlanie wartości&gt;"),"—")</f>
        <v>—</v>
      </c>
      <c r="R476" s="14" t="str">
        <f ca="1">IF(AD476,ster!$C$14- (COUNTIF( INDIRECT(N476),"" )+ COUNT(INDIRECT(N476)) +COUNTIF( INDIRECT(N476),"NA" )),"")</f>
        <v/>
      </c>
      <c r="S476" s="12" t="str">
        <f ca="1">IF(AD476,IF(COUNTA(INDIRECT(N476))=0,0, 1-(ster!$C$14- COUNT(INDIRECT(N476)) -COUNTIF( INDIRECT(N476),"" )) /COUNTA(INDIRECT(N476))),"")</f>
        <v/>
      </c>
      <c r="T476" s="17" t="str">
        <f t="array" aca="1" ref="T476" ca="1">IF(L476&lt;&gt;"",SUM(IF(INDIRECT(L476)&lt;&gt;INT(INDIRECT(L476)),1,0)),"")</f>
        <v/>
      </c>
      <c r="U476" s="17" t="str">
        <f t="array" aca="1" ref="U476" ca="1">IF(S476=1,SUM(IF(ISNUMBER(INDIRECT(N476)),IF(INDIRECT(N476)&lt;&gt;INT(INDIRECT(N476)),1,0),0)),"")</f>
        <v/>
      </c>
      <c r="V476" s="17">
        <f t="shared" ca="1" si="110"/>
        <v>0</v>
      </c>
      <c r="W476" s="17">
        <f t="shared" ca="1" si="111"/>
        <v>0</v>
      </c>
      <c r="X476" s="24" t="str">
        <f t="array" aca="1" ref="X476" ca="1">IF(AD476,IF(AG476&lt;&gt;"",AG476,IF(J476,MIN(INDIRECT( K476)),"")),"")</f>
        <v/>
      </c>
      <c r="Y476" s="17" t="str">
        <f t="array" aca="1" ref="Y476" ca="1">IF(AD476,IF(AH476&lt;&gt;"",AH476,IF(J476,MAX(INDIRECT( K476)),"")),"")</f>
        <v/>
      </c>
      <c r="Z476" s="17" t="b">
        <f t="shared" ca="1" si="112"/>
        <v>0</v>
      </c>
      <c r="AC476" s="17" t="str">
        <f t="shared" ca="1" si="113"/>
        <v/>
      </c>
      <c r="AD476" s="14" t="b">
        <f t="shared" ca="1" si="114"/>
        <v>0</v>
      </c>
      <c r="AE476" s="15" t="b">
        <f t="shared" ca="1" si="115"/>
        <v>0</v>
      </c>
      <c r="AF476" s="16"/>
      <c r="AG476" s="16"/>
      <c r="AH476" s="16"/>
      <c r="AI476" s="16"/>
      <c r="AJ476" s="16"/>
      <c r="AK476" s="16"/>
      <c r="AL476" s="16"/>
      <c r="AM476" s="16"/>
    </row>
    <row r="477" spans="2:39">
      <c r="B477" s="14">
        <f t="shared" si="104"/>
        <v>475</v>
      </c>
      <c r="C477" s="14" t="str">
        <f t="shared" ca="1" si="105"/>
        <v/>
      </c>
      <c r="D477" s="14" t="str">
        <f t="shared" ca="1" si="106"/>
        <v/>
      </c>
      <c r="E477" s="14" t="str">
        <f t="shared" ca="1" si="103"/>
        <v/>
      </c>
      <c r="F477" s="14">
        <f t="shared" ca="1" si="102"/>
        <v>0</v>
      </c>
      <c r="G477" s="14" t="str">
        <f t="shared" ca="1" si="107"/>
        <v/>
      </c>
      <c r="H477" s="14">
        <f ca="1">IF(G477&lt;&gt;"",IFERROR( IsVariableNameLegal(G477),0),0)+IF(COUNTIF(INDIRECT(wew!$C$13),G477)&gt;1,10,0)</f>
        <v>0</v>
      </c>
      <c r="I477" s="14">
        <f ca="1">IF(E477&lt;&gt;"",IF(LEN(E477)&gt;150,1,0)+IF(COUNTIF(INDIRECT(wew!$C$15),E477)&gt;1,10,0),0)</f>
        <v>0</v>
      </c>
      <c r="J477" s="14" t="b">
        <f t="shared" ca="1" si="108"/>
        <v>0</v>
      </c>
      <c r="K477" s="14" t="str">
        <f ca="1">ADDRESS(3,(B477+1)*2-1,4,,"[" &amp; wew!$G$7 &amp; "]" &amp; _sheetname_labels) &amp; ":" &amp; ADDRESS(2+ster!$B$20,(B477+1)*2-1,4)</f>
        <v>'[dane surowe2c.xlsm]labels'!AJO3:AJO36</v>
      </c>
      <c r="L477" s="14" t="str">
        <f ca="1">IF(F477&gt;0,ADDRESS(3,(B477+1)*2-1,4,,"[" &amp; wew!$G$7 &amp; "]" &amp; _sheetname_labels) &amp; ":" &amp; ADDRESS(2+F477,(B477+1)*2-1,4),"")</f>
        <v/>
      </c>
      <c r="M477" s="14" t="str">
        <f ca="1">IF(F477&gt;0,ADDRESS(3,(B477+1)*2,4,,"["&amp;wew!$G$7&amp;"]"&amp;_sheetname_labels)&amp;":"&amp;ADDRESS(2+F477,(B477+1)*2,4),"")</f>
        <v/>
      </c>
      <c r="N477" s="14" t="str">
        <f ca="1">ADDRESS(3,B477+1,4,,"[" &amp; wew!$G$7 &amp; "]" &amp;_sheetname_dataframe) &amp; ":" &amp; ADDRESS(2+ster!$C$14,B477+1,4)</f>
        <v>'[dane surowe2c.xlsm]data_frame'!RH3:RH35</v>
      </c>
      <c r="O477" s="14" t="str">
        <f t="shared" ca="1" si="109"/>
        <v/>
      </c>
      <c r="P477" s="14" t="str">
        <f ca="1">IF(AND($AD477,$S477=1),IF(wew!$B$3,MIN(INDIRECT($N477)),"&lt;włącz podświetlanie wartości&gt;"),"—")</f>
        <v>—</v>
      </c>
      <c r="Q477" s="14" t="str">
        <f ca="1">IF(AND($AD477,$S477=1),IF(wew!$B$3,MAX(INDIRECT($N477)),"&lt;włącz podświetlanie wartości&gt;"),"—")</f>
        <v>—</v>
      </c>
      <c r="R477" s="14" t="str">
        <f ca="1">IF(AD477,ster!$C$14- (COUNTIF( INDIRECT(N477),"" )+ COUNT(INDIRECT(N477)) +COUNTIF( INDIRECT(N477),"NA" )),"")</f>
        <v/>
      </c>
      <c r="S477" s="12" t="str">
        <f ca="1">IF(AD477,IF(COUNTA(INDIRECT(N477))=0,0, 1-(ster!$C$14- COUNT(INDIRECT(N477)) -COUNTIF( INDIRECT(N477),"" )) /COUNTA(INDIRECT(N477))),"")</f>
        <v/>
      </c>
      <c r="T477" s="17" t="str">
        <f t="array" aca="1" ref="T477" ca="1">IF(L477&lt;&gt;"",SUM(IF(INDIRECT(L477)&lt;&gt;INT(INDIRECT(L477)),1,0)),"")</f>
        <v/>
      </c>
      <c r="U477" s="17" t="str">
        <f t="array" aca="1" ref="U477" ca="1">IF(S477=1,SUM(IF(ISNUMBER(INDIRECT(N477)),IF(INDIRECT(N477)&lt;&gt;INT(INDIRECT(N477)),1,0),0)),"")</f>
        <v/>
      </c>
      <c r="V477" s="17">
        <f t="shared" ca="1" si="110"/>
        <v>0</v>
      </c>
      <c r="W477" s="17">
        <f t="shared" ca="1" si="111"/>
        <v>0</v>
      </c>
      <c r="X477" s="24" t="str">
        <f t="array" aca="1" ref="X477" ca="1">IF(AD477,IF(AG477&lt;&gt;"",AG477,IF(J477,MIN(INDIRECT( K477)),"")),"")</f>
        <v/>
      </c>
      <c r="Y477" s="17" t="str">
        <f t="array" aca="1" ref="Y477" ca="1">IF(AD477,IF(AH477&lt;&gt;"",AH477,IF(J477,MAX(INDIRECT( K477)),"")),"")</f>
        <v/>
      </c>
      <c r="Z477" s="17" t="b">
        <f t="shared" ca="1" si="112"/>
        <v>0</v>
      </c>
      <c r="AC477" s="17" t="str">
        <f t="shared" ca="1" si="113"/>
        <v/>
      </c>
      <c r="AD477" s="14" t="b">
        <f t="shared" ca="1" si="114"/>
        <v>0</v>
      </c>
      <c r="AE477" s="15" t="b">
        <f t="shared" ca="1" si="115"/>
        <v>0</v>
      </c>
      <c r="AF477" s="16"/>
      <c r="AG477" s="16"/>
      <c r="AH477" s="16"/>
      <c r="AI477" s="16"/>
      <c r="AJ477" s="16"/>
      <c r="AK477" s="16"/>
      <c r="AL477" s="16"/>
      <c r="AM477" s="16"/>
    </row>
    <row r="478" spans="2:39">
      <c r="B478" s="14">
        <f t="shared" si="104"/>
        <v>476</v>
      </c>
      <c r="C478" s="14" t="str">
        <f t="shared" ca="1" si="105"/>
        <v/>
      </c>
      <c r="D478" s="14" t="str">
        <f t="shared" ca="1" si="106"/>
        <v/>
      </c>
      <c r="E478" s="14" t="str">
        <f t="shared" ca="1" si="103"/>
        <v/>
      </c>
      <c r="F478" s="14">
        <f t="shared" ca="1" si="102"/>
        <v>0</v>
      </c>
      <c r="G478" s="14" t="str">
        <f t="shared" ca="1" si="107"/>
        <v/>
      </c>
      <c r="H478" s="14">
        <f ca="1">IF(G478&lt;&gt;"",IFERROR( IsVariableNameLegal(G478),0),0)+IF(COUNTIF(INDIRECT(wew!$C$13),G478)&gt;1,10,0)</f>
        <v>0</v>
      </c>
      <c r="I478" s="14">
        <f ca="1">IF(E478&lt;&gt;"",IF(LEN(E478)&gt;150,1,0)+IF(COUNTIF(INDIRECT(wew!$C$15),E478)&gt;1,10,0),0)</f>
        <v>0</v>
      </c>
      <c r="J478" s="14" t="b">
        <f t="shared" ca="1" si="108"/>
        <v>0</v>
      </c>
      <c r="K478" s="14" t="str">
        <f ca="1">ADDRESS(3,(B478+1)*2-1,4,,"[" &amp; wew!$G$7 &amp; "]" &amp; _sheetname_labels) &amp; ":" &amp; ADDRESS(2+ster!$B$20,(B478+1)*2-1,4)</f>
        <v>'[dane surowe2c.xlsm]labels'!AJQ3:AJQ36</v>
      </c>
      <c r="L478" s="14" t="str">
        <f ca="1">IF(F478&gt;0,ADDRESS(3,(B478+1)*2-1,4,,"[" &amp; wew!$G$7 &amp; "]" &amp; _sheetname_labels) &amp; ":" &amp; ADDRESS(2+F478,(B478+1)*2-1,4),"")</f>
        <v/>
      </c>
      <c r="M478" s="14" t="str">
        <f ca="1">IF(F478&gt;0,ADDRESS(3,(B478+1)*2,4,,"["&amp;wew!$G$7&amp;"]"&amp;_sheetname_labels)&amp;":"&amp;ADDRESS(2+F478,(B478+1)*2,4),"")</f>
        <v/>
      </c>
      <c r="N478" s="14" t="str">
        <f ca="1">ADDRESS(3,B478+1,4,,"[" &amp; wew!$G$7 &amp; "]" &amp;_sheetname_dataframe) &amp; ":" &amp; ADDRESS(2+ster!$C$14,B478+1,4)</f>
        <v>'[dane surowe2c.xlsm]data_frame'!RI3:RI35</v>
      </c>
      <c r="O478" s="14" t="str">
        <f t="shared" ca="1" si="109"/>
        <v/>
      </c>
      <c r="P478" s="14" t="str">
        <f ca="1">IF(AND($AD478,$S478=1),IF(wew!$B$3,MIN(INDIRECT($N478)),"&lt;włącz podświetlanie wartości&gt;"),"—")</f>
        <v>—</v>
      </c>
      <c r="Q478" s="14" t="str">
        <f ca="1">IF(AND($AD478,$S478=1),IF(wew!$B$3,MAX(INDIRECT($N478)),"&lt;włącz podświetlanie wartości&gt;"),"—")</f>
        <v>—</v>
      </c>
      <c r="R478" s="14" t="str">
        <f ca="1">IF(AD478,ster!$C$14- (COUNTIF( INDIRECT(N478),"" )+ COUNT(INDIRECT(N478)) +COUNTIF( INDIRECT(N478),"NA" )),"")</f>
        <v/>
      </c>
      <c r="S478" s="12" t="str">
        <f ca="1">IF(AD478,IF(COUNTA(INDIRECT(N478))=0,0, 1-(ster!$C$14- COUNT(INDIRECT(N478)) -COUNTIF( INDIRECT(N478),"" )) /COUNTA(INDIRECT(N478))),"")</f>
        <v/>
      </c>
      <c r="T478" s="17" t="str">
        <f t="array" aca="1" ref="T478" ca="1">IF(L478&lt;&gt;"",SUM(IF(INDIRECT(L478)&lt;&gt;INT(INDIRECT(L478)),1,0)),"")</f>
        <v/>
      </c>
      <c r="U478" s="17" t="str">
        <f t="array" aca="1" ref="U478" ca="1">IF(S478=1,SUM(IF(ISNUMBER(INDIRECT(N478)),IF(INDIRECT(N478)&lt;&gt;INT(INDIRECT(N478)),1,0),0)),"")</f>
        <v/>
      </c>
      <c r="V478" s="17">
        <f t="shared" ca="1" si="110"/>
        <v>0</v>
      </c>
      <c r="W478" s="17">
        <f t="shared" ca="1" si="111"/>
        <v>0</v>
      </c>
      <c r="X478" s="24" t="str">
        <f t="array" aca="1" ref="X478" ca="1">IF(AD478,IF(AG478&lt;&gt;"",AG478,IF(J478,MIN(INDIRECT( K478)),"")),"")</f>
        <v/>
      </c>
      <c r="Y478" s="17" t="str">
        <f t="array" aca="1" ref="Y478" ca="1">IF(AD478,IF(AH478&lt;&gt;"",AH478,IF(J478,MAX(INDIRECT( K478)),"")),"")</f>
        <v/>
      </c>
      <c r="Z478" s="17" t="b">
        <f t="shared" ca="1" si="112"/>
        <v>0</v>
      </c>
      <c r="AC478" s="17" t="str">
        <f t="shared" ca="1" si="113"/>
        <v/>
      </c>
      <c r="AD478" s="14" t="b">
        <f t="shared" ca="1" si="114"/>
        <v>0</v>
      </c>
      <c r="AE478" s="15" t="b">
        <f t="shared" ca="1" si="115"/>
        <v>0</v>
      </c>
      <c r="AF478" s="16"/>
      <c r="AG478" s="16"/>
      <c r="AH478" s="16"/>
      <c r="AI478" s="16"/>
      <c r="AJ478" s="16"/>
      <c r="AK478" s="16"/>
      <c r="AL478" s="16"/>
      <c r="AM478" s="16"/>
    </row>
    <row r="479" spans="2:39">
      <c r="B479" s="14">
        <f t="shared" si="104"/>
        <v>477</v>
      </c>
      <c r="C479" s="14" t="str">
        <f t="shared" ca="1" si="105"/>
        <v/>
      </c>
      <c r="D479" s="14" t="str">
        <f t="shared" ca="1" si="106"/>
        <v/>
      </c>
      <c r="E479" s="14" t="str">
        <f t="shared" ca="1" si="103"/>
        <v/>
      </c>
      <c r="F479" s="14">
        <f t="shared" ca="1" si="102"/>
        <v>0</v>
      </c>
      <c r="G479" s="14" t="str">
        <f t="shared" ca="1" si="107"/>
        <v/>
      </c>
      <c r="H479" s="14">
        <f ca="1">IF(G479&lt;&gt;"",IFERROR( IsVariableNameLegal(G479),0),0)+IF(COUNTIF(INDIRECT(wew!$C$13),G479)&gt;1,10,0)</f>
        <v>0</v>
      </c>
      <c r="I479" s="14">
        <f ca="1">IF(E479&lt;&gt;"",IF(LEN(E479)&gt;150,1,0)+IF(COUNTIF(INDIRECT(wew!$C$15),E479)&gt;1,10,0),0)</f>
        <v>0</v>
      </c>
      <c r="J479" s="14" t="b">
        <f t="shared" ca="1" si="108"/>
        <v>0</v>
      </c>
      <c r="K479" s="14" t="str">
        <f ca="1">ADDRESS(3,(B479+1)*2-1,4,,"[" &amp; wew!$G$7 &amp; "]" &amp; _sheetname_labels) &amp; ":" &amp; ADDRESS(2+ster!$B$20,(B479+1)*2-1,4)</f>
        <v>'[dane surowe2c.xlsm]labels'!AJS3:AJS36</v>
      </c>
      <c r="L479" s="14" t="str">
        <f ca="1">IF(F479&gt;0,ADDRESS(3,(B479+1)*2-1,4,,"[" &amp; wew!$G$7 &amp; "]" &amp; _sheetname_labels) &amp; ":" &amp; ADDRESS(2+F479,(B479+1)*2-1,4),"")</f>
        <v/>
      </c>
      <c r="M479" s="14" t="str">
        <f ca="1">IF(F479&gt;0,ADDRESS(3,(B479+1)*2,4,,"["&amp;wew!$G$7&amp;"]"&amp;_sheetname_labels)&amp;":"&amp;ADDRESS(2+F479,(B479+1)*2,4),"")</f>
        <v/>
      </c>
      <c r="N479" s="14" t="str">
        <f ca="1">ADDRESS(3,B479+1,4,,"[" &amp; wew!$G$7 &amp; "]" &amp;_sheetname_dataframe) &amp; ":" &amp; ADDRESS(2+ster!$C$14,B479+1,4)</f>
        <v>'[dane surowe2c.xlsm]data_frame'!RJ3:RJ35</v>
      </c>
      <c r="O479" s="14" t="str">
        <f t="shared" ca="1" si="109"/>
        <v/>
      </c>
      <c r="P479" s="14" t="str">
        <f ca="1">IF(AND($AD479,$S479=1),IF(wew!$B$3,MIN(INDIRECT($N479)),"&lt;włącz podświetlanie wartości&gt;"),"—")</f>
        <v>—</v>
      </c>
      <c r="Q479" s="14" t="str">
        <f ca="1">IF(AND($AD479,$S479=1),IF(wew!$B$3,MAX(INDIRECT($N479)),"&lt;włącz podświetlanie wartości&gt;"),"—")</f>
        <v>—</v>
      </c>
      <c r="R479" s="14" t="str">
        <f ca="1">IF(AD479,ster!$C$14- (COUNTIF( INDIRECT(N479),"" )+ COUNT(INDIRECT(N479)) +COUNTIF( INDIRECT(N479),"NA" )),"")</f>
        <v/>
      </c>
      <c r="S479" s="12" t="str">
        <f ca="1">IF(AD479,IF(COUNTA(INDIRECT(N479))=0,0, 1-(ster!$C$14- COUNT(INDIRECT(N479)) -COUNTIF( INDIRECT(N479),"" )) /COUNTA(INDIRECT(N479))),"")</f>
        <v/>
      </c>
      <c r="T479" s="17" t="str">
        <f t="array" aca="1" ref="T479" ca="1">IF(L479&lt;&gt;"",SUM(IF(INDIRECT(L479)&lt;&gt;INT(INDIRECT(L479)),1,0)),"")</f>
        <v/>
      </c>
      <c r="U479" s="17" t="str">
        <f t="array" aca="1" ref="U479" ca="1">IF(S479=1,SUM(IF(ISNUMBER(INDIRECT(N479)),IF(INDIRECT(N479)&lt;&gt;INT(INDIRECT(N479)),1,0),0)),"")</f>
        <v/>
      </c>
      <c r="V479" s="17">
        <f t="shared" ca="1" si="110"/>
        <v>0</v>
      </c>
      <c r="W479" s="17">
        <f t="shared" ca="1" si="111"/>
        <v>0</v>
      </c>
      <c r="X479" s="24" t="str">
        <f t="array" aca="1" ref="X479" ca="1">IF(AD479,IF(AG479&lt;&gt;"",AG479,IF(J479,MIN(INDIRECT( K479)),"")),"")</f>
        <v/>
      </c>
      <c r="Y479" s="17" t="str">
        <f t="array" aca="1" ref="Y479" ca="1">IF(AD479,IF(AH479&lt;&gt;"",AH479,IF(J479,MAX(INDIRECT( K479)),"")),"")</f>
        <v/>
      </c>
      <c r="Z479" s="17" t="b">
        <f t="shared" ca="1" si="112"/>
        <v>0</v>
      </c>
      <c r="AC479" s="17" t="str">
        <f t="shared" ca="1" si="113"/>
        <v/>
      </c>
      <c r="AD479" s="14" t="b">
        <f t="shared" ca="1" si="114"/>
        <v>0</v>
      </c>
      <c r="AE479" s="15" t="b">
        <f t="shared" ca="1" si="115"/>
        <v>0</v>
      </c>
      <c r="AF479" s="16"/>
      <c r="AG479" s="16"/>
      <c r="AH479" s="16"/>
      <c r="AI479" s="16"/>
      <c r="AJ479" s="16"/>
      <c r="AK479" s="16"/>
      <c r="AL479" s="16"/>
      <c r="AM479" s="16"/>
    </row>
    <row r="480" spans="2:39">
      <c r="B480" s="14">
        <f t="shared" si="104"/>
        <v>478</v>
      </c>
      <c r="C480" s="14" t="str">
        <f t="shared" ca="1" si="105"/>
        <v/>
      </c>
      <c r="D480" s="14" t="str">
        <f t="shared" ca="1" si="106"/>
        <v/>
      </c>
      <c r="E480" s="14" t="str">
        <f t="shared" ca="1" si="103"/>
        <v/>
      </c>
      <c r="F480" s="14">
        <f t="shared" ca="1" si="102"/>
        <v>0</v>
      </c>
      <c r="G480" s="14" t="str">
        <f t="shared" ca="1" si="107"/>
        <v/>
      </c>
      <c r="H480" s="14">
        <f ca="1">IF(G480&lt;&gt;"",IFERROR( IsVariableNameLegal(G480),0),0)+IF(COUNTIF(INDIRECT(wew!$C$13),G480)&gt;1,10,0)</f>
        <v>0</v>
      </c>
      <c r="I480" s="14">
        <f ca="1">IF(E480&lt;&gt;"",IF(LEN(E480)&gt;150,1,0)+IF(COUNTIF(INDIRECT(wew!$C$15),E480)&gt;1,10,0),0)</f>
        <v>0</v>
      </c>
      <c r="J480" s="14" t="b">
        <f t="shared" ca="1" si="108"/>
        <v>0</v>
      </c>
      <c r="K480" s="14" t="str">
        <f ca="1">ADDRESS(3,(B480+1)*2-1,4,,"[" &amp; wew!$G$7 &amp; "]" &amp; _sheetname_labels) &amp; ":" &amp; ADDRESS(2+ster!$B$20,(B480+1)*2-1,4)</f>
        <v>'[dane surowe2c.xlsm]labels'!AJU3:AJU36</v>
      </c>
      <c r="L480" s="14" t="str">
        <f ca="1">IF(F480&gt;0,ADDRESS(3,(B480+1)*2-1,4,,"[" &amp; wew!$G$7 &amp; "]" &amp; _sheetname_labels) &amp; ":" &amp; ADDRESS(2+F480,(B480+1)*2-1,4),"")</f>
        <v/>
      </c>
      <c r="M480" s="14" t="str">
        <f ca="1">IF(F480&gt;0,ADDRESS(3,(B480+1)*2,4,,"["&amp;wew!$G$7&amp;"]"&amp;_sheetname_labels)&amp;":"&amp;ADDRESS(2+F480,(B480+1)*2,4),"")</f>
        <v/>
      </c>
      <c r="N480" s="14" t="str">
        <f ca="1">ADDRESS(3,B480+1,4,,"[" &amp; wew!$G$7 &amp; "]" &amp;_sheetname_dataframe) &amp; ":" &amp; ADDRESS(2+ster!$C$14,B480+1,4)</f>
        <v>'[dane surowe2c.xlsm]data_frame'!RK3:RK35</v>
      </c>
      <c r="O480" s="14" t="str">
        <f t="shared" ca="1" si="109"/>
        <v/>
      </c>
      <c r="P480" s="14" t="str">
        <f ca="1">IF(AND($AD480,$S480=1),IF(wew!$B$3,MIN(INDIRECT($N480)),"&lt;włącz podświetlanie wartości&gt;"),"—")</f>
        <v>—</v>
      </c>
      <c r="Q480" s="14" t="str">
        <f ca="1">IF(AND($AD480,$S480=1),IF(wew!$B$3,MAX(INDIRECT($N480)),"&lt;włącz podświetlanie wartości&gt;"),"—")</f>
        <v>—</v>
      </c>
      <c r="R480" s="14" t="str">
        <f ca="1">IF(AD480,ster!$C$14- (COUNTIF( INDIRECT(N480),"" )+ COUNT(INDIRECT(N480)) +COUNTIF( INDIRECT(N480),"NA" )),"")</f>
        <v/>
      </c>
      <c r="S480" s="12" t="str">
        <f ca="1">IF(AD480,IF(COUNTA(INDIRECT(N480))=0,0, 1-(ster!$C$14- COUNT(INDIRECT(N480)) -COUNTIF( INDIRECT(N480),"" )) /COUNTA(INDIRECT(N480))),"")</f>
        <v/>
      </c>
      <c r="T480" s="17" t="str">
        <f t="array" aca="1" ref="T480" ca="1">IF(L480&lt;&gt;"",SUM(IF(INDIRECT(L480)&lt;&gt;INT(INDIRECT(L480)),1,0)),"")</f>
        <v/>
      </c>
      <c r="U480" s="17" t="str">
        <f t="array" aca="1" ref="U480" ca="1">IF(S480=1,SUM(IF(ISNUMBER(INDIRECT(N480)),IF(INDIRECT(N480)&lt;&gt;INT(INDIRECT(N480)),1,0),0)),"")</f>
        <v/>
      </c>
      <c r="V480" s="17">
        <f t="shared" ca="1" si="110"/>
        <v>0</v>
      </c>
      <c r="W480" s="17">
        <f t="shared" ca="1" si="111"/>
        <v>0</v>
      </c>
      <c r="X480" s="24" t="str">
        <f t="array" aca="1" ref="X480" ca="1">IF(AD480,IF(AG480&lt;&gt;"",AG480,IF(J480,MIN(INDIRECT( K480)),"")),"")</f>
        <v/>
      </c>
      <c r="Y480" s="17" t="str">
        <f t="array" aca="1" ref="Y480" ca="1">IF(AD480,IF(AH480&lt;&gt;"",AH480,IF(J480,MAX(INDIRECT( K480)),"")),"")</f>
        <v/>
      </c>
      <c r="Z480" s="17" t="b">
        <f t="shared" ca="1" si="112"/>
        <v>0</v>
      </c>
      <c r="AC480" s="17" t="str">
        <f t="shared" ca="1" si="113"/>
        <v/>
      </c>
      <c r="AD480" s="14" t="b">
        <f t="shared" ca="1" si="114"/>
        <v>0</v>
      </c>
      <c r="AE480" s="15" t="b">
        <f t="shared" ca="1" si="115"/>
        <v>0</v>
      </c>
      <c r="AF480" s="16"/>
      <c r="AG480" s="16"/>
      <c r="AH480" s="16"/>
      <c r="AI480" s="16"/>
      <c r="AJ480" s="16"/>
      <c r="AK480" s="16"/>
      <c r="AL480" s="16"/>
      <c r="AM480" s="16"/>
    </row>
    <row r="481" spans="2:39">
      <c r="B481" s="14">
        <f t="shared" si="104"/>
        <v>479</v>
      </c>
      <c r="C481" s="14" t="str">
        <f t="shared" ca="1" si="105"/>
        <v/>
      </c>
      <c r="D481" s="14" t="str">
        <f t="shared" ca="1" si="106"/>
        <v/>
      </c>
      <c r="E481" s="14" t="str">
        <f t="shared" ca="1" si="103"/>
        <v/>
      </c>
      <c r="F481" s="14">
        <f t="shared" ca="1" si="102"/>
        <v>0</v>
      </c>
      <c r="G481" s="14" t="str">
        <f t="shared" ca="1" si="107"/>
        <v/>
      </c>
      <c r="H481" s="14">
        <f ca="1">IF(G481&lt;&gt;"",IFERROR( IsVariableNameLegal(G481),0),0)+IF(COUNTIF(INDIRECT(wew!$C$13),G481)&gt;1,10,0)</f>
        <v>0</v>
      </c>
      <c r="I481" s="14">
        <f ca="1">IF(E481&lt;&gt;"",IF(LEN(E481)&gt;150,1,0)+IF(COUNTIF(INDIRECT(wew!$C$15),E481)&gt;1,10,0),0)</f>
        <v>0</v>
      </c>
      <c r="J481" s="14" t="b">
        <f t="shared" ca="1" si="108"/>
        <v>0</v>
      </c>
      <c r="K481" s="14" t="str">
        <f ca="1">ADDRESS(3,(B481+1)*2-1,4,,"[" &amp; wew!$G$7 &amp; "]" &amp; _sheetname_labels) &amp; ":" &amp; ADDRESS(2+ster!$B$20,(B481+1)*2-1,4)</f>
        <v>'[dane surowe2c.xlsm]labels'!AJW3:AJW36</v>
      </c>
      <c r="L481" s="14" t="str">
        <f ca="1">IF(F481&gt;0,ADDRESS(3,(B481+1)*2-1,4,,"[" &amp; wew!$G$7 &amp; "]" &amp; _sheetname_labels) &amp; ":" &amp; ADDRESS(2+F481,(B481+1)*2-1,4),"")</f>
        <v/>
      </c>
      <c r="M481" s="14" t="str">
        <f ca="1">IF(F481&gt;0,ADDRESS(3,(B481+1)*2,4,,"["&amp;wew!$G$7&amp;"]"&amp;_sheetname_labels)&amp;":"&amp;ADDRESS(2+F481,(B481+1)*2,4),"")</f>
        <v/>
      </c>
      <c r="N481" s="14" t="str">
        <f ca="1">ADDRESS(3,B481+1,4,,"[" &amp; wew!$G$7 &amp; "]" &amp;_sheetname_dataframe) &amp; ":" &amp; ADDRESS(2+ster!$C$14,B481+1,4)</f>
        <v>'[dane surowe2c.xlsm]data_frame'!RL3:RL35</v>
      </c>
      <c r="O481" s="14" t="str">
        <f t="shared" ca="1" si="109"/>
        <v/>
      </c>
      <c r="P481" s="14" t="str">
        <f ca="1">IF(AND($AD481,$S481=1),IF(wew!$B$3,MIN(INDIRECT($N481)),"&lt;włącz podświetlanie wartości&gt;"),"—")</f>
        <v>—</v>
      </c>
      <c r="Q481" s="14" t="str">
        <f ca="1">IF(AND($AD481,$S481=1),IF(wew!$B$3,MAX(INDIRECT($N481)),"&lt;włącz podświetlanie wartości&gt;"),"—")</f>
        <v>—</v>
      </c>
      <c r="R481" s="14" t="str">
        <f ca="1">IF(AD481,ster!$C$14- (COUNTIF( INDIRECT(N481),"" )+ COUNT(INDIRECT(N481)) +COUNTIF( INDIRECT(N481),"NA" )),"")</f>
        <v/>
      </c>
      <c r="S481" s="12" t="str">
        <f ca="1">IF(AD481,IF(COUNTA(INDIRECT(N481))=0,0, 1-(ster!$C$14- COUNT(INDIRECT(N481)) -COUNTIF( INDIRECT(N481),"" )) /COUNTA(INDIRECT(N481))),"")</f>
        <v/>
      </c>
      <c r="T481" s="17" t="str">
        <f t="array" aca="1" ref="T481" ca="1">IF(L481&lt;&gt;"",SUM(IF(INDIRECT(L481)&lt;&gt;INT(INDIRECT(L481)),1,0)),"")</f>
        <v/>
      </c>
      <c r="U481" s="17" t="str">
        <f t="array" aca="1" ref="U481" ca="1">IF(S481=1,SUM(IF(ISNUMBER(INDIRECT(N481)),IF(INDIRECT(N481)&lt;&gt;INT(INDIRECT(N481)),1,0),0)),"")</f>
        <v/>
      </c>
      <c r="V481" s="17">
        <f t="shared" ca="1" si="110"/>
        <v>0</v>
      </c>
      <c r="W481" s="17">
        <f t="shared" ca="1" si="111"/>
        <v>0</v>
      </c>
      <c r="X481" s="24" t="str">
        <f t="array" aca="1" ref="X481" ca="1">IF(AD481,IF(AG481&lt;&gt;"",AG481,IF(J481,MIN(INDIRECT( K481)),"")),"")</f>
        <v/>
      </c>
      <c r="Y481" s="17" t="str">
        <f t="array" aca="1" ref="Y481" ca="1">IF(AD481,IF(AH481&lt;&gt;"",AH481,IF(J481,MAX(INDIRECT( K481)),"")),"")</f>
        <v/>
      </c>
      <c r="Z481" s="17" t="b">
        <f t="shared" ca="1" si="112"/>
        <v>0</v>
      </c>
      <c r="AC481" s="17" t="str">
        <f t="shared" ca="1" si="113"/>
        <v/>
      </c>
      <c r="AD481" s="14" t="b">
        <f t="shared" ca="1" si="114"/>
        <v>0</v>
      </c>
      <c r="AE481" s="15" t="b">
        <f t="shared" ca="1" si="115"/>
        <v>0</v>
      </c>
      <c r="AF481" s="16"/>
      <c r="AG481" s="16"/>
      <c r="AH481" s="16"/>
      <c r="AI481" s="16"/>
      <c r="AJ481" s="16"/>
      <c r="AK481" s="16"/>
      <c r="AL481" s="16"/>
      <c r="AM481" s="16"/>
    </row>
    <row r="482" spans="2:39">
      <c r="B482" s="14">
        <f t="shared" si="104"/>
        <v>480</v>
      </c>
      <c r="C482" s="14" t="str">
        <f t="shared" ca="1" si="105"/>
        <v/>
      </c>
      <c r="D482" s="14" t="str">
        <f t="shared" ca="1" si="106"/>
        <v/>
      </c>
      <c r="E482" s="14" t="str">
        <f t="shared" ca="1" si="103"/>
        <v/>
      </c>
      <c r="F482" s="14">
        <f t="shared" ca="1" si="102"/>
        <v>0</v>
      </c>
      <c r="G482" s="14" t="str">
        <f t="shared" ca="1" si="107"/>
        <v/>
      </c>
      <c r="H482" s="14">
        <f ca="1">IF(G482&lt;&gt;"",IFERROR( IsVariableNameLegal(G482),0),0)+IF(COUNTIF(INDIRECT(wew!$C$13),G482)&gt;1,10,0)</f>
        <v>0</v>
      </c>
      <c r="I482" s="14">
        <f ca="1">IF(E482&lt;&gt;"",IF(LEN(E482)&gt;150,1,0)+IF(COUNTIF(INDIRECT(wew!$C$15),E482)&gt;1,10,0),0)</f>
        <v>0</v>
      </c>
      <c r="J482" s="14" t="b">
        <f t="shared" ca="1" si="108"/>
        <v>0</v>
      </c>
      <c r="K482" s="14" t="str">
        <f ca="1">ADDRESS(3,(B482+1)*2-1,4,,"[" &amp; wew!$G$7 &amp; "]" &amp; _sheetname_labels) &amp; ":" &amp; ADDRESS(2+ster!$B$20,(B482+1)*2-1,4)</f>
        <v>'[dane surowe2c.xlsm]labels'!AJY3:AJY36</v>
      </c>
      <c r="L482" s="14" t="str">
        <f ca="1">IF(F482&gt;0,ADDRESS(3,(B482+1)*2-1,4,,"[" &amp; wew!$G$7 &amp; "]" &amp; _sheetname_labels) &amp; ":" &amp; ADDRESS(2+F482,(B482+1)*2-1,4),"")</f>
        <v/>
      </c>
      <c r="M482" s="14" t="str">
        <f ca="1">IF(F482&gt;0,ADDRESS(3,(B482+1)*2,4,,"["&amp;wew!$G$7&amp;"]"&amp;_sheetname_labels)&amp;":"&amp;ADDRESS(2+F482,(B482+1)*2,4),"")</f>
        <v/>
      </c>
      <c r="N482" s="14" t="str">
        <f ca="1">ADDRESS(3,B482+1,4,,"[" &amp; wew!$G$7 &amp; "]" &amp;_sheetname_dataframe) &amp; ":" &amp; ADDRESS(2+ster!$C$14,B482+1,4)</f>
        <v>'[dane surowe2c.xlsm]data_frame'!RM3:RM35</v>
      </c>
      <c r="O482" s="14" t="str">
        <f t="shared" ca="1" si="109"/>
        <v/>
      </c>
      <c r="P482" s="14" t="str">
        <f ca="1">IF(AND($AD482,$S482=1),IF(wew!$B$3,MIN(INDIRECT($N482)),"&lt;włącz podświetlanie wartości&gt;"),"—")</f>
        <v>—</v>
      </c>
      <c r="Q482" s="14" t="str">
        <f ca="1">IF(AND($AD482,$S482=1),IF(wew!$B$3,MAX(INDIRECT($N482)),"&lt;włącz podświetlanie wartości&gt;"),"—")</f>
        <v>—</v>
      </c>
      <c r="R482" s="14" t="str">
        <f ca="1">IF(AD482,ster!$C$14- (COUNTIF( INDIRECT(N482),"" )+ COUNT(INDIRECT(N482)) +COUNTIF( INDIRECT(N482),"NA" )),"")</f>
        <v/>
      </c>
      <c r="S482" s="12" t="str">
        <f ca="1">IF(AD482,IF(COUNTA(INDIRECT(N482))=0,0, 1-(ster!$C$14- COUNT(INDIRECT(N482)) -COUNTIF( INDIRECT(N482),"" )) /COUNTA(INDIRECT(N482))),"")</f>
        <v/>
      </c>
      <c r="T482" s="17" t="str">
        <f t="array" aca="1" ref="T482" ca="1">IF(L482&lt;&gt;"",SUM(IF(INDIRECT(L482)&lt;&gt;INT(INDIRECT(L482)),1,0)),"")</f>
        <v/>
      </c>
      <c r="U482" s="17" t="str">
        <f t="array" aca="1" ref="U482" ca="1">IF(S482=1,SUM(IF(ISNUMBER(INDIRECT(N482)),IF(INDIRECT(N482)&lt;&gt;INT(INDIRECT(N482)),1,0),0)),"")</f>
        <v/>
      </c>
      <c r="V482" s="17">
        <f t="shared" ca="1" si="110"/>
        <v>0</v>
      </c>
      <c r="W482" s="17">
        <f t="shared" ca="1" si="111"/>
        <v>0</v>
      </c>
      <c r="X482" s="24" t="str">
        <f t="array" aca="1" ref="X482" ca="1">IF(AD482,IF(AG482&lt;&gt;"",AG482,IF(J482,MIN(INDIRECT( K482)),"")),"")</f>
        <v/>
      </c>
      <c r="Y482" s="17" t="str">
        <f t="array" aca="1" ref="Y482" ca="1">IF(AD482,IF(AH482&lt;&gt;"",AH482,IF(J482,MAX(INDIRECT( K482)),"")),"")</f>
        <v/>
      </c>
      <c r="Z482" s="17" t="b">
        <f t="shared" ca="1" si="112"/>
        <v>0</v>
      </c>
      <c r="AC482" s="17" t="str">
        <f t="shared" ca="1" si="113"/>
        <v/>
      </c>
      <c r="AD482" s="14" t="b">
        <f t="shared" ca="1" si="114"/>
        <v>0</v>
      </c>
      <c r="AE482" s="15" t="b">
        <f t="shared" ca="1" si="115"/>
        <v>0</v>
      </c>
      <c r="AF482" s="16"/>
      <c r="AG482" s="16"/>
      <c r="AH482" s="16"/>
      <c r="AI482" s="16"/>
      <c r="AJ482" s="16"/>
      <c r="AK482" s="16"/>
      <c r="AL482" s="16"/>
      <c r="AM482" s="16"/>
    </row>
    <row r="483" spans="2:39">
      <c r="B483" s="14">
        <f t="shared" si="104"/>
        <v>481</v>
      </c>
      <c r="C483" s="14" t="str">
        <f t="shared" ca="1" si="105"/>
        <v/>
      </c>
      <c r="D483" s="14" t="str">
        <f t="shared" ca="1" si="106"/>
        <v/>
      </c>
      <c r="E483" s="14" t="str">
        <f t="shared" ca="1" si="103"/>
        <v/>
      </c>
      <c r="F483" s="14">
        <f t="shared" ref="F483:F546" ca="1" si="116">IF(AD483,COUNT(INDIRECT(K483)),0)</f>
        <v>0</v>
      </c>
      <c r="G483" s="14" t="str">
        <f t="shared" ca="1" si="107"/>
        <v/>
      </c>
      <c r="H483" s="14">
        <f ca="1">IF(G483&lt;&gt;"",IFERROR( IsVariableNameLegal(G483),0),0)+IF(COUNTIF(INDIRECT(wew!$C$13),G483)&gt;1,10,0)</f>
        <v>0</v>
      </c>
      <c r="I483" s="14">
        <f ca="1">IF(E483&lt;&gt;"",IF(LEN(E483)&gt;150,1,0)+IF(COUNTIF(INDIRECT(wew!$C$15),E483)&gt;1,10,0),0)</f>
        <v>0</v>
      </c>
      <c r="J483" s="14" t="b">
        <f t="shared" ca="1" si="108"/>
        <v>0</v>
      </c>
      <c r="K483" s="14" t="str">
        <f ca="1">ADDRESS(3,(B483+1)*2-1,4,,"[" &amp; wew!$G$7 &amp; "]" &amp; _sheetname_labels) &amp; ":" &amp; ADDRESS(2+ster!$B$20,(B483+1)*2-1,4)</f>
        <v>'[dane surowe2c.xlsm]labels'!AKA3:AKA36</v>
      </c>
      <c r="L483" s="14" t="str">
        <f ca="1">IF(F483&gt;0,ADDRESS(3,(B483+1)*2-1,4,,"[" &amp; wew!$G$7 &amp; "]" &amp; _sheetname_labels) &amp; ":" &amp; ADDRESS(2+F483,(B483+1)*2-1,4),"")</f>
        <v/>
      </c>
      <c r="M483" s="14" t="str">
        <f ca="1">IF(F483&gt;0,ADDRESS(3,(B483+1)*2,4,,"["&amp;wew!$G$7&amp;"]"&amp;_sheetname_labels)&amp;":"&amp;ADDRESS(2+F483,(B483+1)*2,4),"")</f>
        <v/>
      </c>
      <c r="N483" s="14" t="str">
        <f ca="1">ADDRESS(3,B483+1,4,,"[" &amp; wew!$G$7 &amp; "]" &amp;_sheetname_dataframe) &amp; ":" &amp; ADDRESS(2+ster!$C$14,B483+1,4)</f>
        <v>'[dane surowe2c.xlsm]data_frame'!RN3:RN35</v>
      </c>
      <c r="O483" s="14" t="str">
        <f t="shared" ca="1" si="109"/>
        <v/>
      </c>
      <c r="P483" s="14" t="str">
        <f ca="1">IF(AND($AD483,$S483=1),IF(wew!$B$3,MIN(INDIRECT($N483)),"&lt;włącz podświetlanie wartości&gt;"),"—")</f>
        <v>—</v>
      </c>
      <c r="Q483" s="14" t="str">
        <f ca="1">IF(AND($AD483,$S483=1),IF(wew!$B$3,MAX(INDIRECT($N483)),"&lt;włącz podświetlanie wartości&gt;"),"—")</f>
        <v>—</v>
      </c>
      <c r="R483" s="14" t="str">
        <f ca="1">IF(AD483,ster!$C$14- (COUNTIF( INDIRECT(N483),"" )+ COUNT(INDIRECT(N483)) +COUNTIF( INDIRECT(N483),"NA" )),"")</f>
        <v/>
      </c>
      <c r="S483" s="12" t="str">
        <f ca="1">IF(AD483,IF(COUNTA(INDIRECT(N483))=0,0, 1-(ster!$C$14- COUNT(INDIRECT(N483)) -COUNTIF( INDIRECT(N483),"" )) /COUNTA(INDIRECT(N483))),"")</f>
        <v/>
      </c>
      <c r="T483" s="17" t="str">
        <f t="array" aca="1" ref="T483" ca="1">IF(L483&lt;&gt;"",SUM(IF(INDIRECT(L483)&lt;&gt;INT(INDIRECT(L483)),1,0)),"")</f>
        <v/>
      </c>
      <c r="U483" s="17" t="str">
        <f t="array" aca="1" ref="U483" ca="1">IF(S483=1,SUM(IF(ISNUMBER(INDIRECT(N483)),IF(INDIRECT(N483)&lt;&gt;INT(INDIRECT(N483)),1,0),0)),"")</f>
        <v/>
      </c>
      <c r="V483" s="17">
        <f t="shared" ca="1" si="110"/>
        <v>0</v>
      </c>
      <c r="W483" s="17">
        <f t="shared" ca="1" si="111"/>
        <v>0</v>
      </c>
      <c r="X483" s="24" t="str">
        <f t="array" aca="1" ref="X483" ca="1">IF(AD483,IF(AG483&lt;&gt;"",AG483,IF(J483,MIN(INDIRECT( K483)),"")),"")</f>
        <v/>
      </c>
      <c r="Y483" s="17" t="str">
        <f t="array" aca="1" ref="Y483" ca="1">IF(AD483,IF(AH483&lt;&gt;"",AH483,IF(J483,MAX(INDIRECT( K483)),"")),"")</f>
        <v/>
      </c>
      <c r="Z483" s="17" t="b">
        <f t="shared" ca="1" si="112"/>
        <v>0</v>
      </c>
      <c r="AC483" s="17" t="str">
        <f t="shared" ca="1" si="113"/>
        <v/>
      </c>
      <c r="AD483" s="14" t="b">
        <f t="shared" ca="1" si="114"/>
        <v>0</v>
      </c>
      <c r="AE483" s="15" t="b">
        <f t="shared" ca="1" si="115"/>
        <v>0</v>
      </c>
      <c r="AF483" s="16"/>
      <c r="AG483" s="16"/>
      <c r="AH483" s="16"/>
      <c r="AI483" s="16"/>
      <c r="AJ483" s="16"/>
      <c r="AK483" s="16"/>
      <c r="AL483" s="16"/>
      <c r="AM483" s="16"/>
    </row>
    <row r="484" spans="2:39">
      <c r="B484" s="14">
        <f t="shared" si="104"/>
        <v>482</v>
      </c>
      <c r="C484" s="14" t="str">
        <f t="shared" ca="1" si="105"/>
        <v/>
      </c>
      <c r="D484" s="14" t="str">
        <f t="shared" ca="1" si="106"/>
        <v/>
      </c>
      <c r="E484" s="14" t="str">
        <f t="shared" ca="1" si="103"/>
        <v/>
      </c>
      <c r="F484" s="14">
        <f t="shared" ca="1" si="116"/>
        <v>0</v>
      </c>
      <c r="G484" s="14" t="str">
        <f t="shared" ca="1" si="107"/>
        <v/>
      </c>
      <c r="H484" s="14">
        <f ca="1">IF(G484&lt;&gt;"",IFERROR( IsVariableNameLegal(G484),0),0)+IF(COUNTIF(INDIRECT(wew!$C$13),G484)&gt;1,10,0)</f>
        <v>0</v>
      </c>
      <c r="I484" s="14">
        <f ca="1">IF(E484&lt;&gt;"",IF(LEN(E484)&gt;150,1,0)+IF(COUNTIF(INDIRECT(wew!$C$15),E484)&gt;1,10,0),0)</f>
        <v>0</v>
      </c>
      <c r="J484" s="14" t="b">
        <f t="shared" ca="1" si="108"/>
        <v>0</v>
      </c>
      <c r="K484" s="14" t="str">
        <f ca="1">ADDRESS(3,(B484+1)*2-1,4,,"[" &amp; wew!$G$7 &amp; "]" &amp; _sheetname_labels) &amp; ":" &amp; ADDRESS(2+ster!$B$20,(B484+1)*2-1,4)</f>
        <v>'[dane surowe2c.xlsm]labels'!AKC3:AKC36</v>
      </c>
      <c r="L484" s="14" t="str">
        <f ca="1">IF(F484&gt;0,ADDRESS(3,(B484+1)*2-1,4,,"[" &amp; wew!$G$7 &amp; "]" &amp; _sheetname_labels) &amp; ":" &amp; ADDRESS(2+F484,(B484+1)*2-1,4),"")</f>
        <v/>
      </c>
      <c r="M484" s="14" t="str">
        <f ca="1">IF(F484&gt;0,ADDRESS(3,(B484+1)*2,4,,"["&amp;wew!$G$7&amp;"]"&amp;_sheetname_labels)&amp;":"&amp;ADDRESS(2+F484,(B484+1)*2,4),"")</f>
        <v/>
      </c>
      <c r="N484" s="14" t="str">
        <f ca="1">ADDRESS(3,B484+1,4,,"[" &amp; wew!$G$7 &amp; "]" &amp;_sheetname_dataframe) &amp; ":" &amp; ADDRESS(2+ster!$C$14,B484+1,4)</f>
        <v>'[dane surowe2c.xlsm]data_frame'!RO3:RO35</v>
      </c>
      <c r="O484" s="14" t="str">
        <f t="shared" ca="1" si="109"/>
        <v/>
      </c>
      <c r="P484" s="14" t="str">
        <f ca="1">IF(AND($AD484,$S484=1),IF(wew!$B$3,MIN(INDIRECT($N484)),"&lt;włącz podświetlanie wartości&gt;"),"—")</f>
        <v>—</v>
      </c>
      <c r="Q484" s="14" t="str">
        <f ca="1">IF(AND($AD484,$S484=1),IF(wew!$B$3,MAX(INDIRECT($N484)),"&lt;włącz podświetlanie wartości&gt;"),"—")</f>
        <v>—</v>
      </c>
      <c r="R484" s="14" t="str">
        <f ca="1">IF(AD484,ster!$C$14- (COUNTIF( INDIRECT(N484),"" )+ COUNT(INDIRECT(N484)) +COUNTIF( INDIRECT(N484),"NA" )),"")</f>
        <v/>
      </c>
      <c r="S484" s="12" t="str">
        <f ca="1">IF(AD484,IF(COUNTA(INDIRECT(N484))=0,0, 1-(ster!$C$14- COUNT(INDIRECT(N484)) -COUNTIF( INDIRECT(N484),"" )) /COUNTA(INDIRECT(N484))),"")</f>
        <v/>
      </c>
      <c r="T484" s="17" t="str">
        <f t="array" aca="1" ref="T484" ca="1">IF(L484&lt;&gt;"",SUM(IF(INDIRECT(L484)&lt;&gt;INT(INDIRECT(L484)),1,0)),"")</f>
        <v/>
      </c>
      <c r="U484" s="17" t="str">
        <f t="array" aca="1" ref="U484" ca="1">IF(S484=1,SUM(IF(ISNUMBER(INDIRECT(N484)),IF(INDIRECT(N484)&lt;&gt;INT(INDIRECT(N484)),1,0),0)),"")</f>
        <v/>
      </c>
      <c r="V484" s="17">
        <f t="shared" ca="1" si="110"/>
        <v>0</v>
      </c>
      <c r="W484" s="17">
        <f t="shared" ca="1" si="111"/>
        <v>0</v>
      </c>
      <c r="X484" s="24" t="str">
        <f t="array" aca="1" ref="X484" ca="1">IF(AD484,IF(AG484&lt;&gt;"",AG484,IF(J484,MIN(INDIRECT( K484)),"")),"")</f>
        <v/>
      </c>
      <c r="Y484" s="17" t="str">
        <f t="array" aca="1" ref="Y484" ca="1">IF(AD484,IF(AH484&lt;&gt;"",AH484,IF(J484,MAX(INDIRECT( K484)),"")),"")</f>
        <v/>
      </c>
      <c r="Z484" s="17" t="b">
        <f t="shared" ca="1" si="112"/>
        <v>0</v>
      </c>
      <c r="AC484" s="17" t="str">
        <f t="shared" ca="1" si="113"/>
        <v/>
      </c>
      <c r="AD484" s="14" t="b">
        <f t="shared" ca="1" si="114"/>
        <v>0</v>
      </c>
      <c r="AE484" s="15" t="b">
        <f t="shared" ca="1" si="115"/>
        <v>0</v>
      </c>
      <c r="AF484" s="16"/>
      <c r="AG484" s="16"/>
      <c r="AH484" s="16"/>
      <c r="AI484" s="16"/>
      <c r="AJ484" s="16"/>
      <c r="AK484" s="16"/>
      <c r="AL484" s="16"/>
      <c r="AM484" s="16"/>
    </row>
    <row r="485" spans="2:39">
      <c r="B485" s="14">
        <f t="shared" si="104"/>
        <v>483</v>
      </c>
      <c r="C485" s="14" t="str">
        <f t="shared" ca="1" si="105"/>
        <v/>
      </c>
      <c r="D485" s="14" t="str">
        <f t="shared" ca="1" si="106"/>
        <v/>
      </c>
      <c r="E485" s="14" t="str">
        <f t="shared" ca="1" si="103"/>
        <v/>
      </c>
      <c r="F485" s="14">
        <f t="shared" ca="1" si="116"/>
        <v>0</v>
      </c>
      <c r="G485" s="14" t="str">
        <f t="shared" ca="1" si="107"/>
        <v/>
      </c>
      <c r="H485" s="14">
        <f ca="1">IF(G485&lt;&gt;"",IFERROR( IsVariableNameLegal(G485),0),0)+IF(COUNTIF(INDIRECT(wew!$C$13),G485)&gt;1,10,0)</f>
        <v>0</v>
      </c>
      <c r="I485" s="14">
        <f ca="1">IF(E485&lt;&gt;"",IF(LEN(E485)&gt;150,1,0)+IF(COUNTIF(INDIRECT(wew!$C$15),E485)&gt;1,10,0),0)</f>
        <v>0</v>
      </c>
      <c r="J485" s="14" t="b">
        <f t="shared" ca="1" si="108"/>
        <v>0</v>
      </c>
      <c r="K485" s="14" t="str">
        <f ca="1">ADDRESS(3,(B485+1)*2-1,4,,"[" &amp; wew!$G$7 &amp; "]" &amp; _sheetname_labels) &amp; ":" &amp; ADDRESS(2+ster!$B$20,(B485+1)*2-1,4)</f>
        <v>'[dane surowe2c.xlsm]labels'!AKE3:AKE36</v>
      </c>
      <c r="L485" s="14" t="str">
        <f ca="1">IF(F485&gt;0,ADDRESS(3,(B485+1)*2-1,4,,"[" &amp; wew!$G$7 &amp; "]" &amp; _sheetname_labels) &amp; ":" &amp; ADDRESS(2+F485,(B485+1)*2-1,4),"")</f>
        <v/>
      </c>
      <c r="M485" s="14" t="str">
        <f ca="1">IF(F485&gt;0,ADDRESS(3,(B485+1)*2,4,,"["&amp;wew!$G$7&amp;"]"&amp;_sheetname_labels)&amp;":"&amp;ADDRESS(2+F485,(B485+1)*2,4),"")</f>
        <v/>
      </c>
      <c r="N485" s="14" t="str">
        <f ca="1">ADDRESS(3,B485+1,4,,"[" &amp; wew!$G$7 &amp; "]" &amp;_sheetname_dataframe) &amp; ":" &amp; ADDRESS(2+ster!$C$14,B485+1,4)</f>
        <v>'[dane surowe2c.xlsm]data_frame'!RP3:RP35</v>
      </c>
      <c r="O485" s="14" t="str">
        <f t="shared" ca="1" si="109"/>
        <v/>
      </c>
      <c r="P485" s="14" t="str">
        <f ca="1">IF(AND($AD485,$S485=1),IF(wew!$B$3,MIN(INDIRECT($N485)),"&lt;włącz podświetlanie wartości&gt;"),"—")</f>
        <v>—</v>
      </c>
      <c r="Q485" s="14" t="str">
        <f ca="1">IF(AND($AD485,$S485=1),IF(wew!$B$3,MAX(INDIRECT($N485)),"&lt;włącz podświetlanie wartości&gt;"),"—")</f>
        <v>—</v>
      </c>
      <c r="R485" s="14" t="str">
        <f ca="1">IF(AD485,ster!$C$14- (COUNTIF( INDIRECT(N485),"" )+ COUNT(INDIRECT(N485)) +COUNTIF( INDIRECT(N485),"NA" )),"")</f>
        <v/>
      </c>
      <c r="S485" s="12" t="str">
        <f ca="1">IF(AD485,IF(COUNTA(INDIRECT(N485))=0,0, 1-(ster!$C$14- COUNT(INDIRECT(N485)) -COUNTIF( INDIRECT(N485),"" )) /COUNTA(INDIRECT(N485))),"")</f>
        <v/>
      </c>
      <c r="T485" s="17" t="str">
        <f t="array" aca="1" ref="T485" ca="1">IF(L485&lt;&gt;"",SUM(IF(INDIRECT(L485)&lt;&gt;INT(INDIRECT(L485)),1,0)),"")</f>
        <v/>
      </c>
      <c r="U485" s="17" t="str">
        <f t="array" aca="1" ref="U485" ca="1">IF(S485=1,SUM(IF(ISNUMBER(INDIRECT(N485)),IF(INDIRECT(N485)&lt;&gt;INT(INDIRECT(N485)),1,0),0)),"")</f>
        <v/>
      </c>
      <c r="V485" s="17">
        <f t="shared" ca="1" si="110"/>
        <v>0</v>
      </c>
      <c r="W485" s="17">
        <f t="shared" ca="1" si="111"/>
        <v>0</v>
      </c>
      <c r="X485" s="24" t="str">
        <f t="array" aca="1" ref="X485" ca="1">IF(AD485,IF(AG485&lt;&gt;"",AG485,IF(J485,MIN(INDIRECT( K485)),"")),"")</f>
        <v/>
      </c>
      <c r="Y485" s="17" t="str">
        <f t="array" aca="1" ref="Y485" ca="1">IF(AD485,IF(AH485&lt;&gt;"",AH485,IF(J485,MAX(INDIRECT( K485)),"")),"")</f>
        <v/>
      </c>
      <c r="Z485" s="17" t="b">
        <f t="shared" ca="1" si="112"/>
        <v>0</v>
      </c>
      <c r="AC485" s="17" t="str">
        <f t="shared" ca="1" si="113"/>
        <v/>
      </c>
      <c r="AD485" s="14" t="b">
        <f t="shared" ca="1" si="114"/>
        <v>0</v>
      </c>
      <c r="AE485" s="15" t="b">
        <f t="shared" ca="1" si="115"/>
        <v>0</v>
      </c>
      <c r="AF485" s="16"/>
      <c r="AG485" s="16"/>
      <c r="AH485" s="16"/>
      <c r="AI485" s="16"/>
      <c r="AJ485" s="16"/>
      <c r="AK485" s="16"/>
      <c r="AL485" s="16"/>
      <c r="AM485" s="16"/>
    </row>
    <row r="486" spans="2:39">
      <c r="B486" s="14">
        <f t="shared" si="104"/>
        <v>484</v>
      </c>
      <c r="C486" s="14" t="str">
        <f t="shared" ca="1" si="105"/>
        <v/>
      </c>
      <c r="D486" s="14" t="str">
        <f t="shared" ca="1" si="106"/>
        <v/>
      </c>
      <c r="E486" s="14" t="str">
        <f t="shared" ca="1" si="103"/>
        <v/>
      </c>
      <c r="F486" s="14">
        <f t="shared" ca="1" si="116"/>
        <v>0</v>
      </c>
      <c r="G486" s="14" t="str">
        <f t="shared" ca="1" si="107"/>
        <v/>
      </c>
      <c r="H486" s="14">
        <f ca="1">IF(G486&lt;&gt;"",IFERROR( IsVariableNameLegal(G486),0),0)+IF(COUNTIF(INDIRECT(wew!$C$13),G486)&gt;1,10,0)</f>
        <v>0</v>
      </c>
      <c r="I486" s="14">
        <f ca="1">IF(E486&lt;&gt;"",IF(LEN(E486)&gt;150,1,0)+IF(COUNTIF(INDIRECT(wew!$C$15),E486)&gt;1,10,0),0)</f>
        <v>0</v>
      </c>
      <c r="J486" s="14" t="b">
        <f t="shared" ca="1" si="108"/>
        <v>0</v>
      </c>
      <c r="K486" s="14" t="str">
        <f ca="1">ADDRESS(3,(B486+1)*2-1,4,,"[" &amp; wew!$G$7 &amp; "]" &amp; _sheetname_labels) &amp; ":" &amp; ADDRESS(2+ster!$B$20,(B486+1)*2-1,4)</f>
        <v>'[dane surowe2c.xlsm]labels'!AKG3:AKG36</v>
      </c>
      <c r="L486" s="14" t="str">
        <f ca="1">IF(F486&gt;0,ADDRESS(3,(B486+1)*2-1,4,,"[" &amp; wew!$G$7 &amp; "]" &amp; _sheetname_labels) &amp; ":" &amp; ADDRESS(2+F486,(B486+1)*2-1,4),"")</f>
        <v/>
      </c>
      <c r="M486" s="14" t="str">
        <f ca="1">IF(F486&gt;0,ADDRESS(3,(B486+1)*2,4,,"["&amp;wew!$G$7&amp;"]"&amp;_sheetname_labels)&amp;":"&amp;ADDRESS(2+F486,(B486+1)*2,4),"")</f>
        <v/>
      </c>
      <c r="N486" s="14" t="str">
        <f ca="1">ADDRESS(3,B486+1,4,,"[" &amp; wew!$G$7 &amp; "]" &amp;_sheetname_dataframe) &amp; ":" &amp; ADDRESS(2+ster!$C$14,B486+1,4)</f>
        <v>'[dane surowe2c.xlsm]data_frame'!RQ3:RQ35</v>
      </c>
      <c r="O486" s="14" t="str">
        <f t="shared" ca="1" si="109"/>
        <v/>
      </c>
      <c r="P486" s="14" t="str">
        <f ca="1">IF(AND($AD486,$S486=1),IF(wew!$B$3,MIN(INDIRECT($N486)),"&lt;włącz podświetlanie wartości&gt;"),"—")</f>
        <v>—</v>
      </c>
      <c r="Q486" s="14" t="str">
        <f ca="1">IF(AND($AD486,$S486=1),IF(wew!$B$3,MAX(INDIRECT($N486)),"&lt;włącz podświetlanie wartości&gt;"),"—")</f>
        <v>—</v>
      </c>
      <c r="R486" s="14" t="str">
        <f ca="1">IF(AD486,ster!$C$14- (COUNTIF( INDIRECT(N486),"" )+ COUNT(INDIRECT(N486)) +COUNTIF( INDIRECT(N486),"NA" )),"")</f>
        <v/>
      </c>
      <c r="S486" s="12" t="str">
        <f ca="1">IF(AD486,IF(COUNTA(INDIRECT(N486))=0,0, 1-(ster!$C$14- COUNT(INDIRECT(N486)) -COUNTIF( INDIRECT(N486),"" )) /COUNTA(INDIRECT(N486))),"")</f>
        <v/>
      </c>
      <c r="T486" s="17" t="str">
        <f t="array" aca="1" ref="T486" ca="1">IF(L486&lt;&gt;"",SUM(IF(INDIRECT(L486)&lt;&gt;INT(INDIRECT(L486)),1,0)),"")</f>
        <v/>
      </c>
      <c r="U486" s="17" t="str">
        <f t="array" aca="1" ref="U486" ca="1">IF(S486=1,SUM(IF(ISNUMBER(INDIRECT(N486)),IF(INDIRECT(N486)&lt;&gt;INT(INDIRECT(N486)),1,0),0)),"")</f>
        <v/>
      </c>
      <c r="V486" s="17">
        <f t="shared" ca="1" si="110"/>
        <v>0</v>
      </c>
      <c r="W486" s="17">
        <f t="shared" ca="1" si="111"/>
        <v>0</v>
      </c>
      <c r="X486" s="24" t="str">
        <f t="array" aca="1" ref="X486" ca="1">IF(AD486,IF(AG486&lt;&gt;"",AG486,IF(J486,MIN(INDIRECT( K486)),"")),"")</f>
        <v/>
      </c>
      <c r="Y486" s="17" t="str">
        <f t="array" aca="1" ref="Y486" ca="1">IF(AD486,IF(AH486&lt;&gt;"",AH486,IF(J486,MAX(INDIRECT( K486)),"")),"")</f>
        <v/>
      </c>
      <c r="Z486" s="17" t="b">
        <f t="shared" ca="1" si="112"/>
        <v>0</v>
      </c>
      <c r="AC486" s="17" t="str">
        <f t="shared" ca="1" si="113"/>
        <v/>
      </c>
      <c r="AD486" s="14" t="b">
        <f t="shared" ca="1" si="114"/>
        <v>0</v>
      </c>
      <c r="AE486" s="15" t="b">
        <f t="shared" ca="1" si="115"/>
        <v>0</v>
      </c>
      <c r="AF486" s="16"/>
      <c r="AG486" s="16"/>
      <c r="AH486" s="16"/>
      <c r="AI486" s="16"/>
      <c r="AJ486" s="16"/>
      <c r="AK486" s="16"/>
      <c r="AL486" s="16"/>
      <c r="AM486" s="16"/>
    </row>
    <row r="487" spans="2:39">
      <c r="B487" s="14">
        <f t="shared" si="104"/>
        <v>485</v>
      </c>
      <c r="C487" s="14" t="str">
        <f t="shared" ca="1" si="105"/>
        <v/>
      </c>
      <c r="D487" s="14" t="str">
        <f t="shared" ca="1" si="106"/>
        <v/>
      </c>
      <c r="E487" s="14" t="str">
        <f t="shared" ca="1" si="103"/>
        <v/>
      </c>
      <c r="F487" s="14">
        <f t="shared" ca="1" si="116"/>
        <v>0</v>
      </c>
      <c r="G487" s="14" t="str">
        <f t="shared" ca="1" si="107"/>
        <v/>
      </c>
      <c r="H487" s="14">
        <f ca="1">IF(G487&lt;&gt;"",IFERROR( IsVariableNameLegal(G487),0),0)+IF(COUNTIF(INDIRECT(wew!$C$13),G487)&gt;1,10,0)</f>
        <v>0</v>
      </c>
      <c r="I487" s="14">
        <f ca="1">IF(E487&lt;&gt;"",IF(LEN(E487)&gt;150,1,0)+IF(COUNTIF(INDIRECT(wew!$C$15),E487)&gt;1,10,0),0)</f>
        <v>0</v>
      </c>
      <c r="J487" s="14" t="b">
        <f t="shared" ca="1" si="108"/>
        <v>0</v>
      </c>
      <c r="K487" s="14" t="str">
        <f ca="1">ADDRESS(3,(B487+1)*2-1,4,,"[" &amp; wew!$G$7 &amp; "]" &amp; _sheetname_labels) &amp; ":" &amp; ADDRESS(2+ster!$B$20,(B487+1)*2-1,4)</f>
        <v>'[dane surowe2c.xlsm]labels'!AKI3:AKI36</v>
      </c>
      <c r="L487" s="14" t="str">
        <f ca="1">IF(F487&gt;0,ADDRESS(3,(B487+1)*2-1,4,,"[" &amp; wew!$G$7 &amp; "]" &amp; _sheetname_labels) &amp; ":" &amp; ADDRESS(2+F487,(B487+1)*2-1,4),"")</f>
        <v/>
      </c>
      <c r="M487" s="14" t="str">
        <f ca="1">IF(F487&gt;0,ADDRESS(3,(B487+1)*2,4,,"["&amp;wew!$G$7&amp;"]"&amp;_sheetname_labels)&amp;":"&amp;ADDRESS(2+F487,(B487+1)*2,4),"")</f>
        <v/>
      </c>
      <c r="N487" s="14" t="str">
        <f ca="1">ADDRESS(3,B487+1,4,,"[" &amp; wew!$G$7 &amp; "]" &amp;_sheetname_dataframe) &amp; ":" &amp; ADDRESS(2+ster!$C$14,B487+1,4)</f>
        <v>'[dane surowe2c.xlsm]data_frame'!RR3:RR35</v>
      </c>
      <c r="O487" s="14" t="str">
        <f t="shared" ca="1" si="109"/>
        <v/>
      </c>
      <c r="P487" s="14" t="str">
        <f ca="1">IF(AND($AD487,$S487=1),IF(wew!$B$3,MIN(INDIRECT($N487)),"&lt;włącz podświetlanie wartości&gt;"),"—")</f>
        <v>—</v>
      </c>
      <c r="Q487" s="14" t="str">
        <f ca="1">IF(AND($AD487,$S487=1),IF(wew!$B$3,MAX(INDIRECT($N487)),"&lt;włącz podświetlanie wartości&gt;"),"—")</f>
        <v>—</v>
      </c>
      <c r="R487" s="14" t="str">
        <f ca="1">IF(AD487,ster!$C$14- (COUNTIF( INDIRECT(N487),"" )+ COUNT(INDIRECT(N487)) +COUNTIF( INDIRECT(N487),"NA" )),"")</f>
        <v/>
      </c>
      <c r="S487" s="12" t="str">
        <f ca="1">IF(AD487,IF(COUNTA(INDIRECT(N487))=0,0, 1-(ster!$C$14- COUNT(INDIRECT(N487)) -COUNTIF( INDIRECT(N487),"" )) /COUNTA(INDIRECT(N487))),"")</f>
        <v/>
      </c>
      <c r="T487" s="17" t="str">
        <f t="array" aca="1" ref="T487" ca="1">IF(L487&lt;&gt;"",SUM(IF(INDIRECT(L487)&lt;&gt;INT(INDIRECT(L487)),1,0)),"")</f>
        <v/>
      </c>
      <c r="U487" s="17" t="str">
        <f t="array" aca="1" ref="U487" ca="1">IF(S487=1,SUM(IF(ISNUMBER(INDIRECT(N487)),IF(INDIRECT(N487)&lt;&gt;INT(INDIRECT(N487)),1,0),0)),"")</f>
        <v/>
      </c>
      <c r="V487" s="17">
        <f t="shared" ca="1" si="110"/>
        <v>0</v>
      </c>
      <c r="W487" s="17">
        <f t="shared" ca="1" si="111"/>
        <v>0</v>
      </c>
      <c r="X487" s="24" t="str">
        <f t="array" aca="1" ref="X487" ca="1">IF(AD487,IF(AG487&lt;&gt;"",AG487,IF(J487,MIN(INDIRECT( K487)),"")),"")</f>
        <v/>
      </c>
      <c r="Y487" s="17" t="str">
        <f t="array" aca="1" ref="Y487" ca="1">IF(AD487,IF(AH487&lt;&gt;"",AH487,IF(J487,MAX(INDIRECT( K487)),"")),"")</f>
        <v/>
      </c>
      <c r="Z487" s="17" t="b">
        <f t="shared" ca="1" si="112"/>
        <v>0</v>
      </c>
      <c r="AC487" s="17" t="str">
        <f t="shared" ca="1" si="113"/>
        <v/>
      </c>
      <c r="AD487" s="14" t="b">
        <f t="shared" ca="1" si="114"/>
        <v>0</v>
      </c>
      <c r="AE487" s="15" t="b">
        <f t="shared" ca="1" si="115"/>
        <v>0</v>
      </c>
      <c r="AF487" s="16"/>
      <c r="AG487" s="16"/>
      <c r="AH487" s="16"/>
      <c r="AI487" s="16"/>
      <c r="AJ487" s="16"/>
      <c r="AK487" s="16"/>
      <c r="AL487" s="16"/>
      <c r="AM487" s="16"/>
    </row>
    <row r="488" spans="2:39">
      <c r="B488" s="14">
        <f t="shared" si="104"/>
        <v>486</v>
      </c>
      <c r="C488" s="14" t="str">
        <f t="shared" ca="1" si="105"/>
        <v/>
      </c>
      <c r="D488" s="14" t="str">
        <f t="shared" ca="1" si="106"/>
        <v/>
      </c>
      <c r="E488" s="14" t="str">
        <f t="shared" ca="1" si="103"/>
        <v/>
      </c>
      <c r="F488" s="14">
        <f t="shared" ca="1" si="116"/>
        <v>0</v>
      </c>
      <c r="G488" s="14" t="str">
        <f t="shared" ca="1" si="107"/>
        <v/>
      </c>
      <c r="H488" s="14">
        <f ca="1">IF(G488&lt;&gt;"",IFERROR( IsVariableNameLegal(G488),0),0)+IF(COUNTIF(INDIRECT(wew!$C$13),G488)&gt;1,10,0)</f>
        <v>0</v>
      </c>
      <c r="I488" s="14">
        <f ca="1">IF(E488&lt;&gt;"",IF(LEN(E488)&gt;150,1,0)+IF(COUNTIF(INDIRECT(wew!$C$15),E488)&gt;1,10,0),0)</f>
        <v>0</v>
      </c>
      <c r="J488" s="14" t="b">
        <f t="shared" ca="1" si="108"/>
        <v>0</v>
      </c>
      <c r="K488" s="14" t="str">
        <f ca="1">ADDRESS(3,(B488+1)*2-1,4,,"[" &amp; wew!$G$7 &amp; "]" &amp; _sheetname_labels) &amp; ":" &amp; ADDRESS(2+ster!$B$20,(B488+1)*2-1,4)</f>
        <v>'[dane surowe2c.xlsm]labels'!AKK3:AKK36</v>
      </c>
      <c r="L488" s="14" t="str">
        <f ca="1">IF(F488&gt;0,ADDRESS(3,(B488+1)*2-1,4,,"[" &amp; wew!$G$7 &amp; "]" &amp; _sheetname_labels) &amp; ":" &amp; ADDRESS(2+F488,(B488+1)*2-1,4),"")</f>
        <v/>
      </c>
      <c r="M488" s="14" t="str">
        <f ca="1">IF(F488&gt;0,ADDRESS(3,(B488+1)*2,4,,"["&amp;wew!$G$7&amp;"]"&amp;_sheetname_labels)&amp;":"&amp;ADDRESS(2+F488,(B488+1)*2,4),"")</f>
        <v/>
      </c>
      <c r="N488" s="14" t="str">
        <f ca="1">ADDRESS(3,B488+1,4,,"[" &amp; wew!$G$7 &amp; "]" &amp;_sheetname_dataframe) &amp; ":" &amp; ADDRESS(2+ster!$C$14,B488+1,4)</f>
        <v>'[dane surowe2c.xlsm]data_frame'!RS3:RS35</v>
      </c>
      <c r="O488" s="14" t="str">
        <f t="shared" ca="1" si="109"/>
        <v/>
      </c>
      <c r="P488" s="14" t="str">
        <f ca="1">IF(AND($AD488,$S488=1),IF(wew!$B$3,MIN(INDIRECT($N488)),"&lt;włącz podświetlanie wartości&gt;"),"—")</f>
        <v>—</v>
      </c>
      <c r="Q488" s="14" t="str">
        <f ca="1">IF(AND($AD488,$S488=1),IF(wew!$B$3,MAX(INDIRECT($N488)),"&lt;włącz podświetlanie wartości&gt;"),"—")</f>
        <v>—</v>
      </c>
      <c r="R488" s="14" t="str">
        <f ca="1">IF(AD488,ster!$C$14- (COUNTIF( INDIRECT(N488),"" )+ COUNT(INDIRECT(N488)) +COUNTIF( INDIRECT(N488),"NA" )),"")</f>
        <v/>
      </c>
      <c r="S488" s="12" t="str">
        <f ca="1">IF(AD488,IF(COUNTA(INDIRECT(N488))=0,0, 1-(ster!$C$14- COUNT(INDIRECT(N488)) -COUNTIF( INDIRECT(N488),"" )) /COUNTA(INDIRECT(N488))),"")</f>
        <v/>
      </c>
      <c r="T488" s="17" t="str">
        <f t="array" aca="1" ref="T488" ca="1">IF(L488&lt;&gt;"",SUM(IF(INDIRECT(L488)&lt;&gt;INT(INDIRECT(L488)),1,0)),"")</f>
        <v/>
      </c>
      <c r="U488" s="17" t="str">
        <f t="array" aca="1" ref="U488" ca="1">IF(S488=1,SUM(IF(ISNUMBER(INDIRECT(N488)),IF(INDIRECT(N488)&lt;&gt;INT(INDIRECT(N488)),1,0),0)),"")</f>
        <v/>
      </c>
      <c r="V488" s="17">
        <f t="shared" ca="1" si="110"/>
        <v>0</v>
      </c>
      <c r="W488" s="17">
        <f t="shared" ca="1" si="111"/>
        <v>0</v>
      </c>
      <c r="X488" s="24" t="str">
        <f t="array" aca="1" ref="X488" ca="1">IF(AD488,IF(AG488&lt;&gt;"",AG488,IF(J488,MIN(INDIRECT( K488)),"")),"")</f>
        <v/>
      </c>
      <c r="Y488" s="17" t="str">
        <f t="array" aca="1" ref="Y488" ca="1">IF(AD488,IF(AH488&lt;&gt;"",AH488,IF(J488,MAX(INDIRECT( K488)),"")),"")</f>
        <v/>
      </c>
      <c r="Z488" s="17" t="b">
        <f t="shared" ca="1" si="112"/>
        <v>0</v>
      </c>
      <c r="AC488" s="17" t="str">
        <f t="shared" ca="1" si="113"/>
        <v/>
      </c>
      <c r="AD488" s="14" t="b">
        <f t="shared" ca="1" si="114"/>
        <v>0</v>
      </c>
      <c r="AE488" s="15" t="b">
        <f t="shared" ca="1" si="115"/>
        <v>0</v>
      </c>
      <c r="AF488" s="16"/>
      <c r="AG488" s="16"/>
      <c r="AH488" s="16"/>
      <c r="AI488" s="16"/>
      <c r="AJ488" s="16"/>
      <c r="AK488" s="16"/>
      <c r="AL488" s="16"/>
      <c r="AM488" s="16"/>
    </row>
    <row r="489" spans="2:39">
      <c r="B489" s="14">
        <f t="shared" si="104"/>
        <v>487</v>
      </c>
      <c r="C489" s="14" t="str">
        <f t="shared" ca="1" si="105"/>
        <v/>
      </c>
      <c r="D489" s="14" t="str">
        <f t="shared" ca="1" si="106"/>
        <v/>
      </c>
      <c r="E489" s="14" t="str">
        <f t="shared" ca="1" si="103"/>
        <v/>
      </c>
      <c r="F489" s="14">
        <f t="shared" ca="1" si="116"/>
        <v>0</v>
      </c>
      <c r="G489" s="14" t="str">
        <f t="shared" ca="1" si="107"/>
        <v/>
      </c>
      <c r="H489" s="14">
        <f ca="1">IF(G489&lt;&gt;"",IFERROR( IsVariableNameLegal(G489),0),0)+IF(COUNTIF(INDIRECT(wew!$C$13),G489)&gt;1,10,0)</f>
        <v>0</v>
      </c>
      <c r="I489" s="14">
        <f ca="1">IF(E489&lt;&gt;"",IF(LEN(E489)&gt;150,1,0)+IF(COUNTIF(INDIRECT(wew!$C$15),E489)&gt;1,10,0),0)</f>
        <v>0</v>
      </c>
      <c r="J489" s="14" t="b">
        <f t="shared" ca="1" si="108"/>
        <v>0</v>
      </c>
      <c r="K489" s="14" t="str">
        <f ca="1">ADDRESS(3,(B489+1)*2-1,4,,"[" &amp; wew!$G$7 &amp; "]" &amp; _sheetname_labels) &amp; ":" &amp; ADDRESS(2+ster!$B$20,(B489+1)*2-1,4)</f>
        <v>'[dane surowe2c.xlsm]labels'!AKM3:AKM36</v>
      </c>
      <c r="L489" s="14" t="str">
        <f ca="1">IF(F489&gt;0,ADDRESS(3,(B489+1)*2-1,4,,"[" &amp; wew!$G$7 &amp; "]" &amp; _sheetname_labels) &amp; ":" &amp; ADDRESS(2+F489,(B489+1)*2-1,4),"")</f>
        <v/>
      </c>
      <c r="M489" s="14" t="str">
        <f ca="1">IF(F489&gt;0,ADDRESS(3,(B489+1)*2,4,,"["&amp;wew!$G$7&amp;"]"&amp;_sheetname_labels)&amp;":"&amp;ADDRESS(2+F489,(B489+1)*2,4),"")</f>
        <v/>
      </c>
      <c r="N489" s="14" t="str">
        <f ca="1">ADDRESS(3,B489+1,4,,"[" &amp; wew!$G$7 &amp; "]" &amp;_sheetname_dataframe) &amp; ":" &amp; ADDRESS(2+ster!$C$14,B489+1,4)</f>
        <v>'[dane surowe2c.xlsm]data_frame'!RT3:RT35</v>
      </c>
      <c r="O489" s="14" t="str">
        <f t="shared" ca="1" si="109"/>
        <v/>
      </c>
      <c r="P489" s="14" t="str">
        <f ca="1">IF(AND($AD489,$S489=1),IF(wew!$B$3,MIN(INDIRECT($N489)),"&lt;włącz podświetlanie wartości&gt;"),"—")</f>
        <v>—</v>
      </c>
      <c r="Q489" s="14" t="str">
        <f ca="1">IF(AND($AD489,$S489=1),IF(wew!$B$3,MAX(INDIRECT($N489)),"&lt;włącz podświetlanie wartości&gt;"),"—")</f>
        <v>—</v>
      </c>
      <c r="R489" s="14" t="str">
        <f ca="1">IF(AD489,ster!$C$14- (COUNTIF( INDIRECT(N489),"" )+ COUNT(INDIRECT(N489)) +COUNTIF( INDIRECT(N489),"NA" )),"")</f>
        <v/>
      </c>
      <c r="S489" s="12" t="str">
        <f ca="1">IF(AD489,IF(COUNTA(INDIRECT(N489))=0,0, 1-(ster!$C$14- COUNT(INDIRECT(N489)) -COUNTIF( INDIRECT(N489),"" )) /COUNTA(INDIRECT(N489))),"")</f>
        <v/>
      </c>
      <c r="T489" s="17" t="str">
        <f t="array" aca="1" ref="T489" ca="1">IF(L489&lt;&gt;"",SUM(IF(INDIRECT(L489)&lt;&gt;INT(INDIRECT(L489)),1,0)),"")</f>
        <v/>
      </c>
      <c r="U489" s="17" t="str">
        <f t="array" aca="1" ref="U489" ca="1">IF(S489=1,SUM(IF(ISNUMBER(INDIRECT(N489)),IF(INDIRECT(N489)&lt;&gt;INT(INDIRECT(N489)),1,0),0)),"")</f>
        <v/>
      </c>
      <c r="V489" s="17">
        <f t="shared" ca="1" si="110"/>
        <v>0</v>
      </c>
      <c r="W489" s="17">
        <f t="shared" ca="1" si="111"/>
        <v>0</v>
      </c>
      <c r="X489" s="24" t="str">
        <f t="array" aca="1" ref="X489" ca="1">IF(AD489,IF(AG489&lt;&gt;"",AG489,IF(J489,MIN(INDIRECT( K489)),"")),"")</f>
        <v/>
      </c>
      <c r="Y489" s="17" t="str">
        <f t="array" aca="1" ref="Y489" ca="1">IF(AD489,IF(AH489&lt;&gt;"",AH489,IF(J489,MAX(INDIRECT( K489)),"")),"")</f>
        <v/>
      </c>
      <c r="Z489" s="17" t="b">
        <f t="shared" ca="1" si="112"/>
        <v>0</v>
      </c>
      <c r="AC489" s="17" t="str">
        <f t="shared" ca="1" si="113"/>
        <v/>
      </c>
      <c r="AD489" s="14" t="b">
        <f t="shared" ca="1" si="114"/>
        <v>0</v>
      </c>
      <c r="AE489" s="15" t="b">
        <f t="shared" ca="1" si="115"/>
        <v>0</v>
      </c>
      <c r="AF489" s="16"/>
      <c r="AG489" s="16"/>
      <c r="AH489" s="16"/>
      <c r="AI489" s="16"/>
      <c r="AJ489" s="16"/>
      <c r="AK489" s="16"/>
      <c r="AL489" s="16"/>
      <c r="AM489" s="16"/>
    </row>
    <row r="490" spans="2:39">
      <c r="B490" s="14">
        <f t="shared" si="104"/>
        <v>488</v>
      </c>
      <c r="C490" s="14" t="str">
        <f t="shared" ca="1" si="105"/>
        <v/>
      </c>
      <c r="D490" s="14" t="str">
        <f t="shared" ca="1" si="106"/>
        <v/>
      </c>
      <c r="E490" s="14" t="str">
        <f t="shared" ca="1" si="103"/>
        <v/>
      </c>
      <c r="F490" s="14">
        <f t="shared" ca="1" si="116"/>
        <v>0</v>
      </c>
      <c r="G490" s="14" t="str">
        <f t="shared" ca="1" si="107"/>
        <v/>
      </c>
      <c r="H490" s="14">
        <f ca="1">IF(G490&lt;&gt;"",IFERROR( IsVariableNameLegal(G490),0),0)+IF(COUNTIF(INDIRECT(wew!$C$13),G490)&gt;1,10,0)</f>
        <v>0</v>
      </c>
      <c r="I490" s="14">
        <f ca="1">IF(E490&lt;&gt;"",IF(LEN(E490)&gt;150,1,0)+IF(COUNTIF(INDIRECT(wew!$C$15),E490)&gt;1,10,0),0)</f>
        <v>0</v>
      </c>
      <c r="J490" s="14" t="b">
        <f t="shared" ca="1" si="108"/>
        <v>0</v>
      </c>
      <c r="K490" s="14" t="str">
        <f ca="1">ADDRESS(3,(B490+1)*2-1,4,,"[" &amp; wew!$G$7 &amp; "]" &amp; _sheetname_labels) &amp; ":" &amp; ADDRESS(2+ster!$B$20,(B490+1)*2-1,4)</f>
        <v>'[dane surowe2c.xlsm]labels'!AKO3:AKO36</v>
      </c>
      <c r="L490" s="14" t="str">
        <f ca="1">IF(F490&gt;0,ADDRESS(3,(B490+1)*2-1,4,,"[" &amp; wew!$G$7 &amp; "]" &amp; _sheetname_labels) &amp; ":" &amp; ADDRESS(2+F490,(B490+1)*2-1,4),"")</f>
        <v/>
      </c>
      <c r="M490" s="14" t="str">
        <f ca="1">IF(F490&gt;0,ADDRESS(3,(B490+1)*2,4,,"["&amp;wew!$G$7&amp;"]"&amp;_sheetname_labels)&amp;":"&amp;ADDRESS(2+F490,(B490+1)*2,4),"")</f>
        <v/>
      </c>
      <c r="N490" s="14" t="str">
        <f ca="1">ADDRESS(3,B490+1,4,,"[" &amp; wew!$G$7 &amp; "]" &amp;_sheetname_dataframe) &amp; ":" &amp; ADDRESS(2+ster!$C$14,B490+1,4)</f>
        <v>'[dane surowe2c.xlsm]data_frame'!RU3:RU35</v>
      </c>
      <c r="O490" s="14" t="str">
        <f t="shared" ca="1" si="109"/>
        <v/>
      </c>
      <c r="P490" s="14" t="str">
        <f ca="1">IF(AND($AD490,$S490=1),IF(wew!$B$3,MIN(INDIRECT($N490)),"&lt;włącz podświetlanie wartości&gt;"),"—")</f>
        <v>—</v>
      </c>
      <c r="Q490" s="14" t="str">
        <f ca="1">IF(AND($AD490,$S490=1),IF(wew!$B$3,MAX(INDIRECT($N490)),"&lt;włącz podświetlanie wartości&gt;"),"—")</f>
        <v>—</v>
      </c>
      <c r="R490" s="14" t="str">
        <f ca="1">IF(AD490,ster!$C$14- (COUNTIF( INDIRECT(N490),"" )+ COUNT(INDIRECT(N490)) +COUNTIF( INDIRECT(N490),"NA" )),"")</f>
        <v/>
      </c>
      <c r="S490" s="12" t="str">
        <f ca="1">IF(AD490,IF(COUNTA(INDIRECT(N490))=0,0, 1-(ster!$C$14- COUNT(INDIRECT(N490)) -COUNTIF( INDIRECT(N490),"" )) /COUNTA(INDIRECT(N490))),"")</f>
        <v/>
      </c>
      <c r="T490" s="17" t="str">
        <f t="array" aca="1" ref="T490" ca="1">IF(L490&lt;&gt;"",SUM(IF(INDIRECT(L490)&lt;&gt;INT(INDIRECT(L490)),1,0)),"")</f>
        <v/>
      </c>
      <c r="U490" s="17" t="str">
        <f t="array" aca="1" ref="U490" ca="1">IF(S490=1,SUM(IF(ISNUMBER(INDIRECT(N490)),IF(INDIRECT(N490)&lt;&gt;INT(INDIRECT(N490)),1,0),0)),"")</f>
        <v/>
      </c>
      <c r="V490" s="17">
        <f t="shared" ca="1" si="110"/>
        <v>0</v>
      </c>
      <c r="W490" s="17">
        <f t="shared" ca="1" si="111"/>
        <v>0</v>
      </c>
      <c r="X490" s="24" t="str">
        <f t="array" aca="1" ref="X490" ca="1">IF(AD490,IF(AG490&lt;&gt;"",AG490,IF(J490,MIN(INDIRECT( K490)),"")),"")</f>
        <v/>
      </c>
      <c r="Y490" s="17" t="str">
        <f t="array" aca="1" ref="Y490" ca="1">IF(AD490,IF(AH490&lt;&gt;"",AH490,IF(J490,MAX(INDIRECT( K490)),"")),"")</f>
        <v/>
      </c>
      <c r="Z490" s="17" t="b">
        <f t="shared" ca="1" si="112"/>
        <v>0</v>
      </c>
      <c r="AC490" s="17" t="str">
        <f t="shared" ca="1" si="113"/>
        <v/>
      </c>
      <c r="AD490" s="14" t="b">
        <f t="shared" ca="1" si="114"/>
        <v>0</v>
      </c>
      <c r="AE490" s="15" t="b">
        <f t="shared" ca="1" si="115"/>
        <v>0</v>
      </c>
      <c r="AF490" s="16"/>
      <c r="AG490" s="16"/>
      <c r="AH490" s="16"/>
      <c r="AI490" s="16"/>
      <c r="AJ490" s="16"/>
      <c r="AK490" s="16"/>
      <c r="AL490" s="16"/>
      <c r="AM490" s="16"/>
    </row>
    <row r="491" spans="2:39">
      <c r="B491" s="14">
        <f t="shared" si="104"/>
        <v>489</v>
      </c>
      <c r="C491" s="14" t="str">
        <f t="shared" ca="1" si="105"/>
        <v/>
      </c>
      <c r="D491" s="14" t="str">
        <f t="shared" ca="1" si="106"/>
        <v/>
      </c>
      <c r="E491" s="14" t="str">
        <f t="shared" ca="1" si="103"/>
        <v/>
      </c>
      <c r="F491" s="14">
        <f t="shared" ca="1" si="116"/>
        <v>0</v>
      </c>
      <c r="G491" s="14" t="str">
        <f t="shared" ca="1" si="107"/>
        <v/>
      </c>
      <c r="H491" s="14">
        <f ca="1">IF(G491&lt;&gt;"",IFERROR( IsVariableNameLegal(G491),0),0)+IF(COUNTIF(INDIRECT(wew!$C$13),G491)&gt;1,10,0)</f>
        <v>0</v>
      </c>
      <c r="I491" s="14">
        <f ca="1">IF(E491&lt;&gt;"",IF(LEN(E491)&gt;150,1,0)+IF(COUNTIF(INDIRECT(wew!$C$15),E491)&gt;1,10,0),0)</f>
        <v>0</v>
      </c>
      <c r="J491" s="14" t="b">
        <f t="shared" ca="1" si="108"/>
        <v>0</v>
      </c>
      <c r="K491" s="14" t="str">
        <f ca="1">ADDRESS(3,(B491+1)*2-1,4,,"[" &amp; wew!$G$7 &amp; "]" &amp; _sheetname_labels) &amp; ":" &amp; ADDRESS(2+ster!$B$20,(B491+1)*2-1,4)</f>
        <v>'[dane surowe2c.xlsm]labels'!AKQ3:AKQ36</v>
      </c>
      <c r="L491" s="14" t="str">
        <f ca="1">IF(F491&gt;0,ADDRESS(3,(B491+1)*2-1,4,,"[" &amp; wew!$G$7 &amp; "]" &amp; _sheetname_labels) &amp; ":" &amp; ADDRESS(2+F491,(B491+1)*2-1,4),"")</f>
        <v/>
      </c>
      <c r="M491" s="14" t="str">
        <f ca="1">IF(F491&gt;0,ADDRESS(3,(B491+1)*2,4,,"["&amp;wew!$G$7&amp;"]"&amp;_sheetname_labels)&amp;":"&amp;ADDRESS(2+F491,(B491+1)*2,4),"")</f>
        <v/>
      </c>
      <c r="N491" s="14" t="str">
        <f ca="1">ADDRESS(3,B491+1,4,,"[" &amp; wew!$G$7 &amp; "]" &amp;_sheetname_dataframe) &amp; ":" &amp; ADDRESS(2+ster!$C$14,B491+1,4)</f>
        <v>'[dane surowe2c.xlsm]data_frame'!RV3:RV35</v>
      </c>
      <c r="O491" s="14" t="str">
        <f t="shared" ca="1" si="109"/>
        <v/>
      </c>
      <c r="P491" s="14" t="str">
        <f ca="1">IF(AND($AD491,$S491=1),IF(wew!$B$3,MIN(INDIRECT($N491)),"&lt;włącz podświetlanie wartości&gt;"),"—")</f>
        <v>—</v>
      </c>
      <c r="Q491" s="14" t="str">
        <f ca="1">IF(AND($AD491,$S491=1),IF(wew!$B$3,MAX(INDIRECT($N491)),"&lt;włącz podświetlanie wartości&gt;"),"—")</f>
        <v>—</v>
      </c>
      <c r="R491" s="14" t="str">
        <f ca="1">IF(AD491,ster!$C$14- (COUNTIF( INDIRECT(N491),"" )+ COUNT(INDIRECT(N491)) +COUNTIF( INDIRECT(N491),"NA" )),"")</f>
        <v/>
      </c>
      <c r="S491" s="12" t="str">
        <f ca="1">IF(AD491,IF(COUNTA(INDIRECT(N491))=0,0, 1-(ster!$C$14- COUNT(INDIRECT(N491)) -COUNTIF( INDIRECT(N491),"" )) /COUNTA(INDIRECT(N491))),"")</f>
        <v/>
      </c>
      <c r="T491" s="17" t="str">
        <f t="array" aca="1" ref="T491" ca="1">IF(L491&lt;&gt;"",SUM(IF(INDIRECT(L491)&lt;&gt;INT(INDIRECT(L491)),1,0)),"")</f>
        <v/>
      </c>
      <c r="U491" s="17" t="str">
        <f t="array" aca="1" ref="U491" ca="1">IF(S491=1,SUM(IF(ISNUMBER(INDIRECT(N491)),IF(INDIRECT(N491)&lt;&gt;INT(INDIRECT(N491)),1,0),0)),"")</f>
        <v/>
      </c>
      <c r="V491" s="17">
        <f t="shared" ca="1" si="110"/>
        <v>0</v>
      </c>
      <c r="W491" s="17">
        <f t="shared" ca="1" si="111"/>
        <v>0</v>
      </c>
      <c r="X491" s="24" t="str">
        <f t="array" aca="1" ref="X491" ca="1">IF(AD491,IF(AG491&lt;&gt;"",AG491,IF(J491,MIN(INDIRECT( K491)),"")),"")</f>
        <v/>
      </c>
      <c r="Y491" s="17" t="str">
        <f t="array" aca="1" ref="Y491" ca="1">IF(AD491,IF(AH491&lt;&gt;"",AH491,IF(J491,MAX(INDIRECT( K491)),"")),"")</f>
        <v/>
      </c>
      <c r="Z491" s="17" t="b">
        <f t="shared" ca="1" si="112"/>
        <v>0</v>
      </c>
      <c r="AC491" s="17" t="str">
        <f t="shared" ca="1" si="113"/>
        <v/>
      </c>
      <c r="AD491" s="14" t="b">
        <f t="shared" ca="1" si="114"/>
        <v>0</v>
      </c>
      <c r="AE491" s="15" t="b">
        <f t="shared" ca="1" si="115"/>
        <v>0</v>
      </c>
      <c r="AF491" s="16"/>
      <c r="AG491" s="16"/>
      <c r="AH491" s="16"/>
      <c r="AI491" s="16"/>
      <c r="AJ491" s="16"/>
      <c r="AK491" s="16"/>
      <c r="AL491" s="16"/>
      <c r="AM491" s="16"/>
    </row>
    <row r="492" spans="2:39">
      <c r="B492" s="14">
        <f t="shared" si="104"/>
        <v>490</v>
      </c>
      <c r="C492" s="14" t="str">
        <f t="shared" ca="1" si="105"/>
        <v/>
      </c>
      <c r="D492" s="14" t="str">
        <f t="shared" ca="1" si="106"/>
        <v/>
      </c>
      <c r="E492" s="14" t="str">
        <f t="shared" ca="1" si="103"/>
        <v/>
      </c>
      <c r="F492" s="14">
        <f t="shared" ca="1" si="116"/>
        <v>0</v>
      </c>
      <c r="G492" s="14" t="str">
        <f t="shared" ca="1" si="107"/>
        <v/>
      </c>
      <c r="H492" s="14">
        <f ca="1">IF(G492&lt;&gt;"",IFERROR( IsVariableNameLegal(G492),0),0)+IF(COUNTIF(INDIRECT(wew!$C$13),G492)&gt;1,10,0)</f>
        <v>0</v>
      </c>
      <c r="I492" s="14">
        <f ca="1">IF(E492&lt;&gt;"",IF(LEN(E492)&gt;150,1,0)+IF(COUNTIF(INDIRECT(wew!$C$15),E492)&gt;1,10,0),0)</f>
        <v>0</v>
      </c>
      <c r="J492" s="14" t="b">
        <f t="shared" ca="1" si="108"/>
        <v>0</v>
      </c>
      <c r="K492" s="14" t="str">
        <f ca="1">ADDRESS(3,(B492+1)*2-1,4,,"[" &amp; wew!$G$7 &amp; "]" &amp; _sheetname_labels) &amp; ":" &amp; ADDRESS(2+ster!$B$20,(B492+1)*2-1,4)</f>
        <v>'[dane surowe2c.xlsm]labels'!AKS3:AKS36</v>
      </c>
      <c r="L492" s="14" t="str">
        <f ca="1">IF(F492&gt;0,ADDRESS(3,(B492+1)*2-1,4,,"[" &amp; wew!$G$7 &amp; "]" &amp; _sheetname_labels) &amp; ":" &amp; ADDRESS(2+F492,(B492+1)*2-1,4),"")</f>
        <v/>
      </c>
      <c r="M492" s="14" t="str">
        <f ca="1">IF(F492&gt;0,ADDRESS(3,(B492+1)*2,4,,"["&amp;wew!$G$7&amp;"]"&amp;_sheetname_labels)&amp;":"&amp;ADDRESS(2+F492,(B492+1)*2,4),"")</f>
        <v/>
      </c>
      <c r="N492" s="14" t="str">
        <f ca="1">ADDRESS(3,B492+1,4,,"[" &amp; wew!$G$7 &amp; "]" &amp;_sheetname_dataframe) &amp; ":" &amp; ADDRESS(2+ster!$C$14,B492+1,4)</f>
        <v>'[dane surowe2c.xlsm]data_frame'!RW3:RW35</v>
      </c>
      <c r="O492" s="14" t="str">
        <f t="shared" ca="1" si="109"/>
        <v/>
      </c>
      <c r="P492" s="14" t="str">
        <f ca="1">IF(AND($AD492,$S492=1),IF(wew!$B$3,MIN(INDIRECT($N492)),"&lt;włącz podświetlanie wartości&gt;"),"—")</f>
        <v>—</v>
      </c>
      <c r="Q492" s="14" t="str">
        <f ca="1">IF(AND($AD492,$S492=1),IF(wew!$B$3,MAX(INDIRECT($N492)),"&lt;włącz podświetlanie wartości&gt;"),"—")</f>
        <v>—</v>
      </c>
      <c r="R492" s="14" t="str">
        <f ca="1">IF(AD492,ster!$C$14- (COUNTIF( INDIRECT(N492),"" )+ COUNT(INDIRECT(N492)) +COUNTIF( INDIRECT(N492),"NA" )),"")</f>
        <v/>
      </c>
      <c r="S492" s="12" t="str">
        <f ca="1">IF(AD492,IF(COUNTA(INDIRECT(N492))=0,0, 1-(ster!$C$14- COUNT(INDIRECT(N492)) -COUNTIF( INDIRECT(N492),"" )) /COUNTA(INDIRECT(N492))),"")</f>
        <v/>
      </c>
      <c r="T492" s="17" t="str">
        <f t="array" aca="1" ref="T492" ca="1">IF(L492&lt;&gt;"",SUM(IF(INDIRECT(L492)&lt;&gt;INT(INDIRECT(L492)),1,0)),"")</f>
        <v/>
      </c>
      <c r="U492" s="17" t="str">
        <f t="array" aca="1" ref="U492" ca="1">IF(S492=1,SUM(IF(ISNUMBER(INDIRECT(N492)),IF(INDIRECT(N492)&lt;&gt;INT(INDIRECT(N492)),1,0),0)),"")</f>
        <v/>
      </c>
      <c r="V492" s="17">
        <f t="shared" ca="1" si="110"/>
        <v>0</v>
      </c>
      <c r="W492" s="17">
        <f t="shared" ca="1" si="111"/>
        <v>0</v>
      </c>
      <c r="X492" s="24" t="str">
        <f t="array" aca="1" ref="X492" ca="1">IF(AD492,IF(AG492&lt;&gt;"",AG492,IF(J492,MIN(INDIRECT( K492)),"")),"")</f>
        <v/>
      </c>
      <c r="Y492" s="17" t="str">
        <f t="array" aca="1" ref="Y492" ca="1">IF(AD492,IF(AH492&lt;&gt;"",AH492,IF(J492,MAX(INDIRECT( K492)),"")),"")</f>
        <v/>
      </c>
      <c r="Z492" s="17" t="b">
        <f t="shared" ca="1" si="112"/>
        <v>0</v>
      </c>
      <c r="AC492" s="17" t="str">
        <f t="shared" ca="1" si="113"/>
        <v/>
      </c>
      <c r="AD492" s="14" t="b">
        <f t="shared" ca="1" si="114"/>
        <v>0</v>
      </c>
      <c r="AE492" s="15" t="b">
        <f t="shared" ca="1" si="115"/>
        <v>0</v>
      </c>
      <c r="AF492" s="16"/>
      <c r="AG492" s="16"/>
      <c r="AH492" s="16"/>
      <c r="AI492" s="16"/>
      <c r="AJ492" s="16"/>
      <c r="AK492" s="16"/>
      <c r="AL492" s="16"/>
      <c r="AM492" s="16"/>
    </row>
    <row r="493" spans="2:39">
      <c r="B493" s="14">
        <f t="shared" si="104"/>
        <v>491</v>
      </c>
      <c r="C493" s="14" t="str">
        <f t="shared" ca="1" si="105"/>
        <v/>
      </c>
      <c r="D493" s="14" t="str">
        <f t="shared" ca="1" si="106"/>
        <v/>
      </c>
      <c r="E493" s="14" t="str">
        <f t="shared" ca="1" si="103"/>
        <v/>
      </c>
      <c r="F493" s="14">
        <f t="shared" ca="1" si="116"/>
        <v>0</v>
      </c>
      <c r="G493" s="14" t="str">
        <f t="shared" ca="1" si="107"/>
        <v/>
      </c>
      <c r="H493" s="14">
        <f ca="1">IF(G493&lt;&gt;"",IFERROR( IsVariableNameLegal(G493),0),0)+IF(COUNTIF(INDIRECT(wew!$C$13),G493)&gt;1,10,0)</f>
        <v>0</v>
      </c>
      <c r="I493" s="14">
        <f ca="1">IF(E493&lt;&gt;"",IF(LEN(E493)&gt;150,1,0)+IF(COUNTIF(INDIRECT(wew!$C$15),E493)&gt;1,10,0),0)</f>
        <v>0</v>
      </c>
      <c r="J493" s="14" t="b">
        <f t="shared" ca="1" si="108"/>
        <v>0</v>
      </c>
      <c r="K493" s="14" t="str">
        <f ca="1">ADDRESS(3,(B493+1)*2-1,4,,"[" &amp; wew!$G$7 &amp; "]" &amp; _sheetname_labels) &amp; ":" &amp; ADDRESS(2+ster!$B$20,(B493+1)*2-1,4)</f>
        <v>'[dane surowe2c.xlsm]labels'!AKU3:AKU36</v>
      </c>
      <c r="L493" s="14" t="str">
        <f ca="1">IF(F493&gt;0,ADDRESS(3,(B493+1)*2-1,4,,"[" &amp; wew!$G$7 &amp; "]" &amp; _sheetname_labels) &amp; ":" &amp; ADDRESS(2+F493,(B493+1)*2-1,4),"")</f>
        <v/>
      </c>
      <c r="M493" s="14" t="str">
        <f ca="1">IF(F493&gt;0,ADDRESS(3,(B493+1)*2,4,,"["&amp;wew!$G$7&amp;"]"&amp;_sheetname_labels)&amp;":"&amp;ADDRESS(2+F493,(B493+1)*2,4),"")</f>
        <v/>
      </c>
      <c r="N493" s="14" t="str">
        <f ca="1">ADDRESS(3,B493+1,4,,"[" &amp; wew!$G$7 &amp; "]" &amp;_sheetname_dataframe) &amp; ":" &amp; ADDRESS(2+ster!$C$14,B493+1,4)</f>
        <v>'[dane surowe2c.xlsm]data_frame'!RX3:RX35</v>
      </c>
      <c r="O493" s="14" t="str">
        <f t="shared" ca="1" si="109"/>
        <v/>
      </c>
      <c r="P493" s="14" t="str">
        <f ca="1">IF(AND($AD493,$S493=1),IF(wew!$B$3,MIN(INDIRECT($N493)),"&lt;włącz podświetlanie wartości&gt;"),"—")</f>
        <v>—</v>
      </c>
      <c r="Q493" s="14" t="str">
        <f ca="1">IF(AND($AD493,$S493=1),IF(wew!$B$3,MAX(INDIRECT($N493)),"&lt;włącz podświetlanie wartości&gt;"),"—")</f>
        <v>—</v>
      </c>
      <c r="R493" s="14" t="str">
        <f ca="1">IF(AD493,ster!$C$14- (COUNTIF( INDIRECT(N493),"" )+ COUNT(INDIRECT(N493)) +COUNTIF( INDIRECT(N493),"NA" )),"")</f>
        <v/>
      </c>
      <c r="S493" s="12" t="str">
        <f ca="1">IF(AD493,IF(COUNTA(INDIRECT(N493))=0,0, 1-(ster!$C$14- COUNT(INDIRECT(N493)) -COUNTIF( INDIRECT(N493),"" )) /COUNTA(INDIRECT(N493))),"")</f>
        <v/>
      </c>
      <c r="T493" s="17" t="str">
        <f t="array" aca="1" ref="T493" ca="1">IF(L493&lt;&gt;"",SUM(IF(INDIRECT(L493)&lt;&gt;INT(INDIRECT(L493)),1,0)),"")</f>
        <v/>
      </c>
      <c r="U493" s="17" t="str">
        <f t="array" aca="1" ref="U493" ca="1">IF(S493=1,SUM(IF(ISNUMBER(INDIRECT(N493)),IF(INDIRECT(N493)&lt;&gt;INT(INDIRECT(N493)),1,0),0)),"")</f>
        <v/>
      </c>
      <c r="V493" s="17">
        <f t="shared" ca="1" si="110"/>
        <v>0</v>
      </c>
      <c r="W493" s="17">
        <f t="shared" ca="1" si="111"/>
        <v>0</v>
      </c>
      <c r="X493" s="24" t="str">
        <f t="array" aca="1" ref="X493" ca="1">IF(AD493,IF(AG493&lt;&gt;"",AG493,IF(J493,MIN(INDIRECT( K493)),"")),"")</f>
        <v/>
      </c>
      <c r="Y493" s="17" t="str">
        <f t="array" aca="1" ref="Y493" ca="1">IF(AD493,IF(AH493&lt;&gt;"",AH493,IF(J493,MAX(INDIRECT( K493)),"")),"")</f>
        <v/>
      </c>
      <c r="Z493" s="17" t="b">
        <f t="shared" ca="1" si="112"/>
        <v>0</v>
      </c>
      <c r="AC493" s="17" t="str">
        <f t="shared" ca="1" si="113"/>
        <v/>
      </c>
      <c r="AD493" s="14" t="b">
        <f t="shared" ca="1" si="114"/>
        <v>0</v>
      </c>
      <c r="AE493" s="15" t="b">
        <f t="shared" ca="1" si="115"/>
        <v>0</v>
      </c>
      <c r="AF493" s="16"/>
      <c r="AG493" s="16"/>
      <c r="AH493" s="16"/>
      <c r="AI493" s="16"/>
      <c r="AJ493" s="16"/>
      <c r="AK493" s="16"/>
      <c r="AL493" s="16"/>
      <c r="AM493" s="16"/>
    </row>
    <row r="494" spans="2:39">
      <c r="B494" s="14">
        <f t="shared" si="104"/>
        <v>492</v>
      </c>
      <c r="C494" s="14" t="str">
        <f t="shared" ca="1" si="105"/>
        <v/>
      </c>
      <c r="D494" s="14" t="str">
        <f t="shared" ca="1" si="106"/>
        <v/>
      </c>
      <c r="E494" s="14" t="str">
        <f t="shared" ca="1" si="103"/>
        <v/>
      </c>
      <c r="F494" s="14">
        <f t="shared" ca="1" si="116"/>
        <v>0</v>
      </c>
      <c r="G494" s="14" t="str">
        <f t="shared" ca="1" si="107"/>
        <v/>
      </c>
      <c r="H494" s="14">
        <f ca="1">IF(G494&lt;&gt;"",IFERROR( IsVariableNameLegal(G494),0),0)+IF(COUNTIF(INDIRECT(wew!$C$13),G494)&gt;1,10,0)</f>
        <v>0</v>
      </c>
      <c r="I494" s="14">
        <f ca="1">IF(E494&lt;&gt;"",IF(LEN(E494)&gt;150,1,0)+IF(COUNTIF(INDIRECT(wew!$C$15),E494)&gt;1,10,0),0)</f>
        <v>0</v>
      </c>
      <c r="J494" s="14" t="b">
        <f t="shared" ca="1" si="108"/>
        <v>0</v>
      </c>
      <c r="K494" s="14" t="str">
        <f ca="1">ADDRESS(3,(B494+1)*2-1,4,,"[" &amp; wew!$G$7 &amp; "]" &amp; _sheetname_labels) &amp; ":" &amp; ADDRESS(2+ster!$B$20,(B494+1)*2-1,4)</f>
        <v>'[dane surowe2c.xlsm]labels'!AKW3:AKW36</v>
      </c>
      <c r="L494" s="14" t="str">
        <f ca="1">IF(F494&gt;0,ADDRESS(3,(B494+1)*2-1,4,,"[" &amp; wew!$G$7 &amp; "]" &amp; _sheetname_labels) &amp; ":" &amp; ADDRESS(2+F494,(B494+1)*2-1,4),"")</f>
        <v/>
      </c>
      <c r="M494" s="14" t="str">
        <f ca="1">IF(F494&gt;0,ADDRESS(3,(B494+1)*2,4,,"["&amp;wew!$G$7&amp;"]"&amp;_sheetname_labels)&amp;":"&amp;ADDRESS(2+F494,(B494+1)*2,4),"")</f>
        <v/>
      </c>
      <c r="N494" s="14" t="str">
        <f ca="1">ADDRESS(3,B494+1,4,,"[" &amp; wew!$G$7 &amp; "]" &amp;_sheetname_dataframe) &amp; ":" &amp; ADDRESS(2+ster!$C$14,B494+1,4)</f>
        <v>'[dane surowe2c.xlsm]data_frame'!RY3:RY35</v>
      </c>
      <c r="O494" s="14" t="str">
        <f t="shared" ca="1" si="109"/>
        <v/>
      </c>
      <c r="P494" s="14" t="str">
        <f ca="1">IF(AND($AD494,$S494=1),IF(wew!$B$3,MIN(INDIRECT($N494)),"&lt;włącz podświetlanie wartości&gt;"),"—")</f>
        <v>—</v>
      </c>
      <c r="Q494" s="14" t="str">
        <f ca="1">IF(AND($AD494,$S494=1),IF(wew!$B$3,MAX(INDIRECT($N494)),"&lt;włącz podświetlanie wartości&gt;"),"—")</f>
        <v>—</v>
      </c>
      <c r="R494" s="14" t="str">
        <f ca="1">IF(AD494,ster!$C$14- (COUNTIF( INDIRECT(N494),"" )+ COUNT(INDIRECT(N494)) +COUNTIF( INDIRECT(N494),"NA" )),"")</f>
        <v/>
      </c>
      <c r="S494" s="12" t="str">
        <f ca="1">IF(AD494,IF(COUNTA(INDIRECT(N494))=0,0, 1-(ster!$C$14- COUNT(INDIRECT(N494)) -COUNTIF( INDIRECT(N494),"" )) /COUNTA(INDIRECT(N494))),"")</f>
        <v/>
      </c>
      <c r="T494" s="17" t="str">
        <f t="array" aca="1" ref="T494" ca="1">IF(L494&lt;&gt;"",SUM(IF(INDIRECT(L494)&lt;&gt;INT(INDIRECT(L494)),1,0)),"")</f>
        <v/>
      </c>
      <c r="U494" s="17" t="str">
        <f t="array" aca="1" ref="U494" ca="1">IF(S494=1,SUM(IF(ISNUMBER(INDIRECT(N494)),IF(INDIRECT(N494)&lt;&gt;INT(INDIRECT(N494)),1,0),0)),"")</f>
        <v/>
      </c>
      <c r="V494" s="17">
        <f t="shared" ca="1" si="110"/>
        <v>0</v>
      </c>
      <c r="W494" s="17">
        <f t="shared" ca="1" si="111"/>
        <v>0</v>
      </c>
      <c r="X494" s="24" t="str">
        <f t="array" aca="1" ref="X494" ca="1">IF(AD494,IF(AG494&lt;&gt;"",AG494,IF(J494,MIN(INDIRECT( K494)),"")),"")</f>
        <v/>
      </c>
      <c r="Y494" s="17" t="str">
        <f t="array" aca="1" ref="Y494" ca="1">IF(AD494,IF(AH494&lt;&gt;"",AH494,IF(J494,MAX(INDIRECT( K494)),"")),"")</f>
        <v/>
      </c>
      <c r="Z494" s="17" t="b">
        <f t="shared" ca="1" si="112"/>
        <v>0</v>
      </c>
      <c r="AC494" s="17" t="str">
        <f t="shared" ca="1" si="113"/>
        <v/>
      </c>
      <c r="AD494" s="14" t="b">
        <f t="shared" ca="1" si="114"/>
        <v>0</v>
      </c>
      <c r="AE494" s="15" t="b">
        <f t="shared" ca="1" si="115"/>
        <v>0</v>
      </c>
      <c r="AF494" s="16"/>
      <c r="AG494" s="16"/>
      <c r="AH494" s="16"/>
      <c r="AI494" s="16"/>
      <c r="AJ494" s="16"/>
      <c r="AK494" s="16"/>
      <c r="AL494" s="16"/>
      <c r="AM494" s="16"/>
    </row>
    <row r="495" spans="2:39">
      <c r="B495" s="14">
        <f t="shared" si="104"/>
        <v>493</v>
      </c>
      <c r="C495" s="14" t="str">
        <f t="shared" ca="1" si="105"/>
        <v/>
      </c>
      <c r="D495" s="14" t="str">
        <f t="shared" ca="1" si="106"/>
        <v/>
      </c>
      <c r="E495" s="14" t="str">
        <f t="shared" ca="1" si="103"/>
        <v/>
      </c>
      <c r="F495" s="14">
        <f t="shared" ca="1" si="116"/>
        <v>0</v>
      </c>
      <c r="G495" s="14" t="str">
        <f t="shared" ca="1" si="107"/>
        <v/>
      </c>
      <c r="H495" s="14">
        <f ca="1">IF(G495&lt;&gt;"",IFERROR( IsVariableNameLegal(G495),0),0)+IF(COUNTIF(INDIRECT(wew!$C$13),G495)&gt;1,10,0)</f>
        <v>0</v>
      </c>
      <c r="I495" s="14">
        <f ca="1">IF(E495&lt;&gt;"",IF(LEN(E495)&gt;150,1,0)+IF(COUNTIF(INDIRECT(wew!$C$15),E495)&gt;1,10,0),0)</f>
        <v>0</v>
      </c>
      <c r="J495" s="14" t="b">
        <f t="shared" ca="1" si="108"/>
        <v>0</v>
      </c>
      <c r="K495" s="14" t="str">
        <f ca="1">ADDRESS(3,(B495+1)*2-1,4,,"[" &amp; wew!$G$7 &amp; "]" &amp; _sheetname_labels) &amp; ":" &amp; ADDRESS(2+ster!$B$20,(B495+1)*2-1,4)</f>
        <v>'[dane surowe2c.xlsm]labels'!AKY3:AKY36</v>
      </c>
      <c r="L495" s="14" t="str">
        <f ca="1">IF(F495&gt;0,ADDRESS(3,(B495+1)*2-1,4,,"[" &amp; wew!$G$7 &amp; "]" &amp; _sheetname_labels) &amp; ":" &amp; ADDRESS(2+F495,(B495+1)*2-1,4),"")</f>
        <v/>
      </c>
      <c r="M495" s="14" t="str">
        <f ca="1">IF(F495&gt;0,ADDRESS(3,(B495+1)*2,4,,"["&amp;wew!$G$7&amp;"]"&amp;_sheetname_labels)&amp;":"&amp;ADDRESS(2+F495,(B495+1)*2,4),"")</f>
        <v/>
      </c>
      <c r="N495" s="14" t="str">
        <f ca="1">ADDRESS(3,B495+1,4,,"[" &amp; wew!$G$7 &amp; "]" &amp;_sheetname_dataframe) &amp; ":" &amp; ADDRESS(2+ster!$C$14,B495+1,4)</f>
        <v>'[dane surowe2c.xlsm]data_frame'!RZ3:RZ35</v>
      </c>
      <c r="O495" s="14" t="str">
        <f t="shared" ca="1" si="109"/>
        <v/>
      </c>
      <c r="P495" s="14" t="str">
        <f ca="1">IF(AND($AD495,$S495=1),IF(wew!$B$3,MIN(INDIRECT($N495)),"&lt;włącz podświetlanie wartości&gt;"),"—")</f>
        <v>—</v>
      </c>
      <c r="Q495" s="14" t="str">
        <f ca="1">IF(AND($AD495,$S495=1),IF(wew!$B$3,MAX(INDIRECT($N495)),"&lt;włącz podświetlanie wartości&gt;"),"—")</f>
        <v>—</v>
      </c>
      <c r="R495" s="14" t="str">
        <f ca="1">IF(AD495,ster!$C$14- (COUNTIF( INDIRECT(N495),"" )+ COUNT(INDIRECT(N495)) +COUNTIF( INDIRECT(N495),"NA" )),"")</f>
        <v/>
      </c>
      <c r="S495" s="12" t="str">
        <f ca="1">IF(AD495,IF(COUNTA(INDIRECT(N495))=0,0, 1-(ster!$C$14- COUNT(INDIRECT(N495)) -COUNTIF( INDIRECT(N495),"" )) /COUNTA(INDIRECT(N495))),"")</f>
        <v/>
      </c>
      <c r="T495" s="17" t="str">
        <f t="array" aca="1" ref="T495" ca="1">IF(L495&lt;&gt;"",SUM(IF(INDIRECT(L495)&lt;&gt;INT(INDIRECT(L495)),1,0)),"")</f>
        <v/>
      </c>
      <c r="U495" s="17" t="str">
        <f t="array" aca="1" ref="U495" ca="1">IF(S495=1,SUM(IF(ISNUMBER(INDIRECT(N495)),IF(INDIRECT(N495)&lt;&gt;INT(INDIRECT(N495)),1,0),0)),"")</f>
        <v/>
      </c>
      <c r="V495" s="17">
        <f t="shared" ca="1" si="110"/>
        <v>0</v>
      </c>
      <c r="W495" s="17">
        <f t="shared" ca="1" si="111"/>
        <v>0</v>
      </c>
      <c r="X495" s="24" t="str">
        <f t="array" aca="1" ref="X495" ca="1">IF(AD495,IF(AG495&lt;&gt;"",AG495,IF(J495,MIN(INDIRECT( K495)),"")),"")</f>
        <v/>
      </c>
      <c r="Y495" s="17" t="str">
        <f t="array" aca="1" ref="Y495" ca="1">IF(AD495,IF(AH495&lt;&gt;"",AH495,IF(J495,MAX(INDIRECT( K495)),"")),"")</f>
        <v/>
      </c>
      <c r="Z495" s="17" t="b">
        <f t="shared" ca="1" si="112"/>
        <v>0</v>
      </c>
      <c r="AC495" s="17" t="str">
        <f t="shared" ca="1" si="113"/>
        <v/>
      </c>
      <c r="AD495" s="14" t="b">
        <f t="shared" ca="1" si="114"/>
        <v>0</v>
      </c>
      <c r="AE495" s="15" t="b">
        <f t="shared" ca="1" si="115"/>
        <v>0</v>
      </c>
      <c r="AF495" s="16"/>
      <c r="AG495" s="16"/>
      <c r="AH495" s="16"/>
      <c r="AI495" s="16"/>
      <c r="AJ495" s="16"/>
      <c r="AK495" s="16"/>
      <c r="AL495" s="16"/>
      <c r="AM495" s="16"/>
    </row>
    <row r="496" spans="2:39">
      <c r="B496" s="14">
        <f t="shared" si="104"/>
        <v>494</v>
      </c>
      <c r="C496" s="14" t="str">
        <f t="shared" ca="1" si="105"/>
        <v/>
      </c>
      <c r="D496" s="14" t="str">
        <f t="shared" ca="1" si="106"/>
        <v/>
      </c>
      <c r="E496" s="14" t="str">
        <f t="shared" ca="1" si="103"/>
        <v/>
      </c>
      <c r="F496" s="14">
        <f t="shared" ca="1" si="116"/>
        <v>0</v>
      </c>
      <c r="G496" s="14" t="str">
        <f t="shared" ca="1" si="107"/>
        <v/>
      </c>
      <c r="H496" s="14">
        <f ca="1">IF(G496&lt;&gt;"",IFERROR( IsVariableNameLegal(G496),0),0)+IF(COUNTIF(INDIRECT(wew!$C$13),G496)&gt;1,10,0)</f>
        <v>0</v>
      </c>
      <c r="I496" s="14">
        <f ca="1">IF(E496&lt;&gt;"",IF(LEN(E496)&gt;150,1,0)+IF(COUNTIF(INDIRECT(wew!$C$15),E496)&gt;1,10,0),0)</f>
        <v>0</v>
      </c>
      <c r="J496" s="14" t="b">
        <f t="shared" ca="1" si="108"/>
        <v>0</v>
      </c>
      <c r="K496" s="14" t="str">
        <f ca="1">ADDRESS(3,(B496+1)*2-1,4,,"[" &amp; wew!$G$7 &amp; "]" &amp; _sheetname_labels) &amp; ":" &amp; ADDRESS(2+ster!$B$20,(B496+1)*2-1,4)</f>
        <v>'[dane surowe2c.xlsm]labels'!ALA3:ALA36</v>
      </c>
      <c r="L496" s="14" t="str">
        <f ca="1">IF(F496&gt;0,ADDRESS(3,(B496+1)*2-1,4,,"[" &amp; wew!$G$7 &amp; "]" &amp; _sheetname_labels) &amp; ":" &amp; ADDRESS(2+F496,(B496+1)*2-1,4),"")</f>
        <v/>
      </c>
      <c r="M496" s="14" t="str">
        <f ca="1">IF(F496&gt;0,ADDRESS(3,(B496+1)*2,4,,"["&amp;wew!$G$7&amp;"]"&amp;_sheetname_labels)&amp;":"&amp;ADDRESS(2+F496,(B496+1)*2,4),"")</f>
        <v/>
      </c>
      <c r="N496" s="14" t="str">
        <f ca="1">ADDRESS(3,B496+1,4,,"[" &amp; wew!$G$7 &amp; "]" &amp;_sheetname_dataframe) &amp; ":" &amp; ADDRESS(2+ster!$C$14,B496+1,4)</f>
        <v>'[dane surowe2c.xlsm]data_frame'!SA3:SA35</v>
      </c>
      <c r="O496" s="14" t="str">
        <f t="shared" ca="1" si="109"/>
        <v/>
      </c>
      <c r="P496" s="14" t="str">
        <f ca="1">IF(AND($AD496,$S496=1),IF(wew!$B$3,MIN(INDIRECT($N496)),"&lt;włącz podświetlanie wartości&gt;"),"—")</f>
        <v>—</v>
      </c>
      <c r="Q496" s="14" t="str">
        <f ca="1">IF(AND($AD496,$S496=1),IF(wew!$B$3,MAX(INDIRECT($N496)),"&lt;włącz podświetlanie wartości&gt;"),"—")</f>
        <v>—</v>
      </c>
      <c r="R496" s="14" t="str">
        <f ca="1">IF(AD496,ster!$C$14- (COUNTIF( INDIRECT(N496),"" )+ COUNT(INDIRECT(N496)) +COUNTIF( INDIRECT(N496),"NA" )),"")</f>
        <v/>
      </c>
      <c r="S496" s="12" t="str">
        <f ca="1">IF(AD496,IF(COUNTA(INDIRECT(N496))=0,0, 1-(ster!$C$14- COUNT(INDIRECT(N496)) -COUNTIF( INDIRECT(N496),"" )) /COUNTA(INDIRECT(N496))),"")</f>
        <v/>
      </c>
      <c r="T496" s="17" t="str">
        <f t="array" aca="1" ref="T496" ca="1">IF(L496&lt;&gt;"",SUM(IF(INDIRECT(L496)&lt;&gt;INT(INDIRECT(L496)),1,0)),"")</f>
        <v/>
      </c>
      <c r="U496" s="17" t="str">
        <f t="array" aca="1" ref="U496" ca="1">IF(S496=1,SUM(IF(ISNUMBER(INDIRECT(N496)),IF(INDIRECT(N496)&lt;&gt;INT(INDIRECT(N496)),1,0),0)),"")</f>
        <v/>
      </c>
      <c r="V496" s="17">
        <f t="shared" ca="1" si="110"/>
        <v>0</v>
      </c>
      <c r="W496" s="17">
        <f t="shared" ca="1" si="111"/>
        <v>0</v>
      </c>
      <c r="X496" s="24" t="str">
        <f t="array" aca="1" ref="X496" ca="1">IF(AD496,IF(AG496&lt;&gt;"",AG496,IF(J496,MIN(INDIRECT( K496)),"")),"")</f>
        <v/>
      </c>
      <c r="Y496" s="17" t="str">
        <f t="array" aca="1" ref="Y496" ca="1">IF(AD496,IF(AH496&lt;&gt;"",AH496,IF(J496,MAX(INDIRECT( K496)),"")),"")</f>
        <v/>
      </c>
      <c r="Z496" s="17" t="b">
        <f t="shared" ca="1" si="112"/>
        <v>0</v>
      </c>
      <c r="AC496" s="17" t="str">
        <f t="shared" ca="1" si="113"/>
        <v/>
      </c>
      <c r="AD496" s="14" t="b">
        <f t="shared" ca="1" si="114"/>
        <v>0</v>
      </c>
      <c r="AE496" s="15" t="b">
        <f t="shared" ca="1" si="115"/>
        <v>0</v>
      </c>
      <c r="AF496" s="16"/>
      <c r="AG496" s="16"/>
      <c r="AH496" s="16"/>
      <c r="AI496" s="16"/>
      <c r="AJ496" s="16"/>
      <c r="AK496" s="16"/>
      <c r="AL496" s="16"/>
      <c r="AM496" s="16"/>
    </row>
    <row r="497" spans="2:39">
      <c r="B497" s="14">
        <f t="shared" si="104"/>
        <v>495</v>
      </c>
      <c r="C497" s="14" t="str">
        <f t="shared" ca="1" si="105"/>
        <v/>
      </c>
      <c r="D497" s="14" t="str">
        <f t="shared" ca="1" si="106"/>
        <v/>
      </c>
      <c r="E497" s="14" t="str">
        <f t="shared" ca="1" si="103"/>
        <v/>
      </c>
      <c r="F497" s="14">
        <f t="shared" ca="1" si="116"/>
        <v>0</v>
      </c>
      <c r="G497" s="14" t="str">
        <f t="shared" ca="1" si="107"/>
        <v/>
      </c>
      <c r="H497" s="14">
        <f ca="1">IF(G497&lt;&gt;"",IFERROR( IsVariableNameLegal(G497),0),0)+IF(COUNTIF(INDIRECT(wew!$C$13),G497)&gt;1,10,0)</f>
        <v>0</v>
      </c>
      <c r="I497" s="14">
        <f ca="1">IF(E497&lt;&gt;"",IF(LEN(E497)&gt;150,1,0)+IF(COUNTIF(INDIRECT(wew!$C$15),E497)&gt;1,10,0),0)</f>
        <v>0</v>
      </c>
      <c r="J497" s="14" t="b">
        <f t="shared" ca="1" si="108"/>
        <v>0</v>
      </c>
      <c r="K497" s="14" t="str">
        <f ca="1">ADDRESS(3,(B497+1)*2-1,4,,"[" &amp; wew!$G$7 &amp; "]" &amp; _sheetname_labels) &amp; ":" &amp; ADDRESS(2+ster!$B$20,(B497+1)*2-1,4)</f>
        <v>'[dane surowe2c.xlsm]labels'!ALC3:ALC36</v>
      </c>
      <c r="L497" s="14" t="str">
        <f ca="1">IF(F497&gt;0,ADDRESS(3,(B497+1)*2-1,4,,"[" &amp; wew!$G$7 &amp; "]" &amp; _sheetname_labels) &amp; ":" &amp; ADDRESS(2+F497,(B497+1)*2-1,4),"")</f>
        <v/>
      </c>
      <c r="M497" s="14" t="str">
        <f ca="1">IF(F497&gt;0,ADDRESS(3,(B497+1)*2,4,,"["&amp;wew!$G$7&amp;"]"&amp;_sheetname_labels)&amp;":"&amp;ADDRESS(2+F497,(B497+1)*2,4),"")</f>
        <v/>
      </c>
      <c r="N497" s="14" t="str">
        <f ca="1">ADDRESS(3,B497+1,4,,"[" &amp; wew!$G$7 &amp; "]" &amp;_sheetname_dataframe) &amp; ":" &amp; ADDRESS(2+ster!$C$14,B497+1,4)</f>
        <v>'[dane surowe2c.xlsm]data_frame'!SB3:SB35</v>
      </c>
      <c r="O497" s="14" t="str">
        <f t="shared" ca="1" si="109"/>
        <v/>
      </c>
      <c r="P497" s="14" t="str">
        <f ca="1">IF(AND($AD497,$S497=1),IF(wew!$B$3,MIN(INDIRECT($N497)),"&lt;włącz podświetlanie wartości&gt;"),"—")</f>
        <v>—</v>
      </c>
      <c r="Q497" s="14" t="str">
        <f ca="1">IF(AND($AD497,$S497=1),IF(wew!$B$3,MAX(INDIRECT($N497)),"&lt;włącz podświetlanie wartości&gt;"),"—")</f>
        <v>—</v>
      </c>
      <c r="R497" s="14" t="str">
        <f ca="1">IF(AD497,ster!$C$14- (COUNTIF( INDIRECT(N497),"" )+ COUNT(INDIRECT(N497)) +COUNTIF( INDIRECT(N497),"NA" )),"")</f>
        <v/>
      </c>
      <c r="S497" s="12" t="str">
        <f ca="1">IF(AD497,IF(COUNTA(INDIRECT(N497))=0,0, 1-(ster!$C$14- COUNT(INDIRECT(N497)) -COUNTIF( INDIRECT(N497),"" )) /COUNTA(INDIRECT(N497))),"")</f>
        <v/>
      </c>
      <c r="T497" s="17" t="str">
        <f t="array" aca="1" ref="T497" ca="1">IF(L497&lt;&gt;"",SUM(IF(INDIRECT(L497)&lt;&gt;INT(INDIRECT(L497)),1,0)),"")</f>
        <v/>
      </c>
      <c r="U497" s="17" t="str">
        <f t="array" aca="1" ref="U497" ca="1">IF(S497=1,SUM(IF(ISNUMBER(INDIRECT(N497)),IF(INDIRECT(N497)&lt;&gt;INT(INDIRECT(N497)),1,0),0)),"")</f>
        <v/>
      </c>
      <c r="V497" s="17">
        <f t="shared" ca="1" si="110"/>
        <v>0</v>
      </c>
      <c r="W497" s="17">
        <f t="shared" ca="1" si="111"/>
        <v>0</v>
      </c>
      <c r="X497" s="24" t="str">
        <f t="array" aca="1" ref="X497" ca="1">IF(AD497,IF(AG497&lt;&gt;"",AG497,IF(J497,MIN(INDIRECT( K497)),"")),"")</f>
        <v/>
      </c>
      <c r="Y497" s="17" t="str">
        <f t="array" aca="1" ref="Y497" ca="1">IF(AD497,IF(AH497&lt;&gt;"",AH497,IF(J497,MAX(INDIRECT( K497)),"")),"")</f>
        <v/>
      </c>
      <c r="Z497" s="17" t="b">
        <f t="shared" ca="1" si="112"/>
        <v>0</v>
      </c>
      <c r="AC497" s="17" t="str">
        <f t="shared" ca="1" si="113"/>
        <v/>
      </c>
      <c r="AD497" s="14" t="b">
        <f t="shared" ca="1" si="114"/>
        <v>0</v>
      </c>
      <c r="AE497" s="15" t="b">
        <f t="shared" ca="1" si="115"/>
        <v>0</v>
      </c>
      <c r="AF497" s="16"/>
      <c r="AG497" s="16"/>
      <c r="AH497" s="16"/>
      <c r="AI497" s="16"/>
      <c r="AJ497" s="16"/>
      <c r="AK497" s="16"/>
      <c r="AL497" s="16"/>
      <c r="AM497" s="16"/>
    </row>
    <row r="498" spans="2:39">
      <c r="B498" s="14">
        <f t="shared" si="104"/>
        <v>496</v>
      </c>
      <c r="C498" s="14" t="str">
        <f t="shared" ca="1" si="105"/>
        <v/>
      </c>
      <c r="D498" s="14" t="str">
        <f t="shared" ca="1" si="106"/>
        <v/>
      </c>
      <c r="E498" s="14" t="str">
        <f t="shared" ca="1" si="103"/>
        <v/>
      </c>
      <c r="F498" s="14">
        <f t="shared" ca="1" si="116"/>
        <v>0</v>
      </c>
      <c r="G498" s="14" t="str">
        <f t="shared" ca="1" si="107"/>
        <v/>
      </c>
      <c r="H498" s="14">
        <f ca="1">IF(G498&lt;&gt;"",IFERROR( IsVariableNameLegal(G498),0),0)+IF(COUNTIF(INDIRECT(wew!$C$13),G498)&gt;1,10,0)</f>
        <v>0</v>
      </c>
      <c r="I498" s="14">
        <f ca="1">IF(E498&lt;&gt;"",IF(LEN(E498)&gt;150,1,0)+IF(COUNTIF(INDIRECT(wew!$C$15),E498)&gt;1,10,0),0)</f>
        <v>0</v>
      </c>
      <c r="J498" s="14" t="b">
        <f t="shared" ca="1" si="108"/>
        <v>0</v>
      </c>
      <c r="K498" s="14" t="str">
        <f ca="1">ADDRESS(3,(B498+1)*2-1,4,,"[" &amp; wew!$G$7 &amp; "]" &amp; _sheetname_labels) &amp; ":" &amp; ADDRESS(2+ster!$B$20,(B498+1)*2-1,4)</f>
        <v>'[dane surowe2c.xlsm]labels'!ALE3:ALE36</v>
      </c>
      <c r="L498" s="14" t="str">
        <f ca="1">IF(F498&gt;0,ADDRESS(3,(B498+1)*2-1,4,,"[" &amp; wew!$G$7 &amp; "]" &amp; _sheetname_labels) &amp; ":" &amp; ADDRESS(2+F498,(B498+1)*2-1,4),"")</f>
        <v/>
      </c>
      <c r="M498" s="14" t="str">
        <f ca="1">IF(F498&gt;0,ADDRESS(3,(B498+1)*2,4,,"["&amp;wew!$G$7&amp;"]"&amp;_sheetname_labels)&amp;":"&amp;ADDRESS(2+F498,(B498+1)*2,4),"")</f>
        <v/>
      </c>
      <c r="N498" s="14" t="str">
        <f ca="1">ADDRESS(3,B498+1,4,,"[" &amp; wew!$G$7 &amp; "]" &amp;_sheetname_dataframe) &amp; ":" &amp; ADDRESS(2+ster!$C$14,B498+1,4)</f>
        <v>'[dane surowe2c.xlsm]data_frame'!SC3:SC35</v>
      </c>
      <c r="O498" s="14" t="str">
        <f t="shared" ca="1" si="109"/>
        <v/>
      </c>
      <c r="P498" s="14" t="str">
        <f ca="1">IF(AND($AD498,$S498=1),IF(wew!$B$3,MIN(INDIRECT($N498)),"&lt;włącz podświetlanie wartości&gt;"),"—")</f>
        <v>—</v>
      </c>
      <c r="Q498" s="14" t="str">
        <f ca="1">IF(AND($AD498,$S498=1),IF(wew!$B$3,MAX(INDIRECT($N498)),"&lt;włącz podświetlanie wartości&gt;"),"—")</f>
        <v>—</v>
      </c>
      <c r="R498" s="14" t="str">
        <f ca="1">IF(AD498,ster!$C$14- (COUNTIF( INDIRECT(N498),"" )+ COUNT(INDIRECT(N498)) +COUNTIF( INDIRECT(N498),"NA" )),"")</f>
        <v/>
      </c>
      <c r="S498" s="12" t="str">
        <f ca="1">IF(AD498,IF(COUNTA(INDIRECT(N498))=0,0, 1-(ster!$C$14- COUNT(INDIRECT(N498)) -COUNTIF( INDIRECT(N498),"" )) /COUNTA(INDIRECT(N498))),"")</f>
        <v/>
      </c>
      <c r="T498" s="17" t="str">
        <f t="array" aca="1" ref="T498" ca="1">IF(L498&lt;&gt;"",SUM(IF(INDIRECT(L498)&lt;&gt;INT(INDIRECT(L498)),1,0)),"")</f>
        <v/>
      </c>
      <c r="U498" s="17" t="str">
        <f t="array" aca="1" ref="U498" ca="1">IF(S498=1,SUM(IF(ISNUMBER(INDIRECT(N498)),IF(INDIRECT(N498)&lt;&gt;INT(INDIRECT(N498)),1,0),0)),"")</f>
        <v/>
      </c>
      <c r="V498" s="17">
        <f t="shared" ca="1" si="110"/>
        <v>0</v>
      </c>
      <c r="W498" s="17">
        <f t="shared" ca="1" si="111"/>
        <v>0</v>
      </c>
      <c r="X498" s="24" t="str">
        <f t="array" aca="1" ref="X498" ca="1">IF(AD498,IF(AG498&lt;&gt;"",AG498,IF(J498,MIN(INDIRECT( K498)),"")),"")</f>
        <v/>
      </c>
      <c r="Y498" s="17" t="str">
        <f t="array" aca="1" ref="Y498" ca="1">IF(AD498,IF(AH498&lt;&gt;"",AH498,IF(J498,MAX(INDIRECT( K498)),"")),"")</f>
        <v/>
      </c>
      <c r="Z498" s="17" t="b">
        <f t="shared" ca="1" si="112"/>
        <v>0</v>
      </c>
      <c r="AC498" s="17" t="str">
        <f t="shared" ca="1" si="113"/>
        <v/>
      </c>
      <c r="AD498" s="14" t="b">
        <f t="shared" ca="1" si="114"/>
        <v>0</v>
      </c>
      <c r="AE498" s="15" t="b">
        <f t="shared" ca="1" si="115"/>
        <v>0</v>
      </c>
      <c r="AF498" s="16"/>
      <c r="AG498" s="16"/>
      <c r="AH498" s="16"/>
      <c r="AI498" s="16"/>
      <c r="AJ498" s="16"/>
      <c r="AK498" s="16"/>
      <c r="AL498" s="16"/>
      <c r="AM498" s="16"/>
    </row>
    <row r="499" spans="2:39">
      <c r="B499" s="14">
        <f t="shared" si="104"/>
        <v>497</v>
      </c>
      <c r="C499" s="14" t="str">
        <f t="shared" ca="1" si="105"/>
        <v/>
      </c>
      <c r="D499" s="14" t="str">
        <f t="shared" ca="1" si="106"/>
        <v/>
      </c>
      <c r="E499" s="14" t="str">
        <f t="shared" ca="1" si="103"/>
        <v/>
      </c>
      <c r="F499" s="14">
        <f t="shared" ca="1" si="116"/>
        <v>0</v>
      </c>
      <c r="G499" s="14" t="str">
        <f t="shared" ca="1" si="107"/>
        <v/>
      </c>
      <c r="H499" s="14">
        <f ca="1">IF(G499&lt;&gt;"",IFERROR( IsVariableNameLegal(G499),0),0)+IF(COUNTIF(INDIRECT(wew!$C$13),G499)&gt;1,10,0)</f>
        <v>0</v>
      </c>
      <c r="I499" s="14">
        <f ca="1">IF(E499&lt;&gt;"",IF(LEN(E499)&gt;150,1,0)+IF(COUNTIF(INDIRECT(wew!$C$15),E499)&gt;1,10,0),0)</f>
        <v>0</v>
      </c>
      <c r="J499" s="14" t="b">
        <f t="shared" ca="1" si="108"/>
        <v>0</v>
      </c>
      <c r="K499" s="14" t="str">
        <f ca="1">ADDRESS(3,(B499+1)*2-1,4,,"[" &amp; wew!$G$7 &amp; "]" &amp; _sheetname_labels) &amp; ":" &amp; ADDRESS(2+ster!$B$20,(B499+1)*2-1,4)</f>
        <v>'[dane surowe2c.xlsm]labels'!ALG3:ALG36</v>
      </c>
      <c r="L499" s="14" t="str">
        <f ca="1">IF(F499&gt;0,ADDRESS(3,(B499+1)*2-1,4,,"[" &amp; wew!$G$7 &amp; "]" &amp; _sheetname_labels) &amp; ":" &amp; ADDRESS(2+F499,(B499+1)*2-1,4),"")</f>
        <v/>
      </c>
      <c r="M499" s="14" t="str">
        <f ca="1">IF(F499&gt;0,ADDRESS(3,(B499+1)*2,4,,"["&amp;wew!$G$7&amp;"]"&amp;_sheetname_labels)&amp;":"&amp;ADDRESS(2+F499,(B499+1)*2,4),"")</f>
        <v/>
      </c>
      <c r="N499" s="14" t="str">
        <f ca="1">ADDRESS(3,B499+1,4,,"[" &amp; wew!$G$7 &amp; "]" &amp;_sheetname_dataframe) &amp; ":" &amp; ADDRESS(2+ster!$C$14,B499+1,4)</f>
        <v>'[dane surowe2c.xlsm]data_frame'!SD3:SD35</v>
      </c>
      <c r="O499" s="14" t="str">
        <f t="shared" ca="1" si="109"/>
        <v/>
      </c>
      <c r="P499" s="14" t="str">
        <f ca="1">IF(AND($AD499,$S499=1),IF(wew!$B$3,MIN(INDIRECT($N499)),"&lt;włącz podświetlanie wartości&gt;"),"—")</f>
        <v>—</v>
      </c>
      <c r="Q499" s="14" t="str">
        <f ca="1">IF(AND($AD499,$S499=1),IF(wew!$B$3,MAX(INDIRECT($N499)),"&lt;włącz podświetlanie wartości&gt;"),"—")</f>
        <v>—</v>
      </c>
      <c r="R499" s="14" t="str">
        <f ca="1">IF(AD499,ster!$C$14- (COUNTIF( INDIRECT(N499),"" )+ COUNT(INDIRECT(N499)) +COUNTIF( INDIRECT(N499),"NA" )),"")</f>
        <v/>
      </c>
      <c r="S499" s="12" t="str">
        <f ca="1">IF(AD499,IF(COUNTA(INDIRECT(N499))=0,0, 1-(ster!$C$14- COUNT(INDIRECT(N499)) -COUNTIF( INDIRECT(N499),"" )) /COUNTA(INDIRECT(N499))),"")</f>
        <v/>
      </c>
      <c r="T499" s="17" t="str">
        <f t="array" aca="1" ref="T499" ca="1">IF(L499&lt;&gt;"",SUM(IF(INDIRECT(L499)&lt;&gt;INT(INDIRECT(L499)),1,0)),"")</f>
        <v/>
      </c>
      <c r="U499" s="17" t="str">
        <f t="array" aca="1" ref="U499" ca="1">IF(S499=1,SUM(IF(ISNUMBER(INDIRECT(N499)),IF(INDIRECT(N499)&lt;&gt;INT(INDIRECT(N499)),1,0),0)),"")</f>
        <v/>
      </c>
      <c r="V499" s="17">
        <f t="shared" ca="1" si="110"/>
        <v>0</v>
      </c>
      <c r="W499" s="17">
        <f t="shared" ca="1" si="111"/>
        <v>0</v>
      </c>
      <c r="X499" s="24" t="str">
        <f t="array" aca="1" ref="X499" ca="1">IF(AD499,IF(AG499&lt;&gt;"",AG499,IF(J499,MIN(INDIRECT( K499)),"")),"")</f>
        <v/>
      </c>
      <c r="Y499" s="17" t="str">
        <f t="array" aca="1" ref="Y499" ca="1">IF(AD499,IF(AH499&lt;&gt;"",AH499,IF(J499,MAX(INDIRECT( K499)),"")),"")</f>
        <v/>
      </c>
      <c r="Z499" s="17" t="b">
        <f t="shared" ca="1" si="112"/>
        <v>0</v>
      </c>
      <c r="AC499" s="17" t="str">
        <f t="shared" ca="1" si="113"/>
        <v/>
      </c>
      <c r="AD499" s="14" t="b">
        <f t="shared" ca="1" si="114"/>
        <v>0</v>
      </c>
      <c r="AE499" s="15" t="b">
        <f t="shared" ca="1" si="115"/>
        <v>0</v>
      </c>
      <c r="AF499" s="16"/>
      <c r="AG499" s="16"/>
      <c r="AH499" s="16"/>
      <c r="AI499" s="16"/>
      <c r="AJ499" s="16"/>
      <c r="AK499" s="16"/>
      <c r="AL499" s="16"/>
      <c r="AM499" s="16"/>
    </row>
    <row r="500" spans="2:39">
      <c r="B500" s="14">
        <f t="shared" si="104"/>
        <v>498</v>
      </c>
      <c r="C500" s="14" t="str">
        <f t="shared" ca="1" si="105"/>
        <v/>
      </c>
      <c r="D500" s="14" t="str">
        <f t="shared" ca="1" si="106"/>
        <v/>
      </c>
      <c r="E500" s="14" t="str">
        <f t="shared" ca="1" si="103"/>
        <v/>
      </c>
      <c r="F500" s="14">
        <f t="shared" ca="1" si="116"/>
        <v>0</v>
      </c>
      <c r="G500" s="14" t="str">
        <f t="shared" ca="1" si="107"/>
        <v/>
      </c>
      <c r="H500" s="14">
        <f ca="1">IF(G500&lt;&gt;"",IFERROR( IsVariableNameLegal(G500),0),0)+IF(COUNTIF(INDIRECT(wew!$C$13),G500)&gt;1,10,0)</f>
        <v>0</v>
      </c>
      <c r="I500" s="14">
        <f ca="1">IF(E500&lt;&gt;"",IF(LEN(E500)&gt;150,1,0)+IF(COUNTIF(INDIRECT(wew!$C$15),E500)&gt;1,10,0),0)</f>
        <v>0</v>
      </c>
      <c r="J500" s="14" t="b">
        <f t="shared" ca="1" si="108"/>
        <v>0</v>
      </c>
      <c r="K500" s="14" t="str">
        <f ca="1">ADDRESS(3,(B500+1)*2-1,4,,"[" &amp; wew!$G$7 &amp; "]" &amp; _sheetname_labels) &amp; ":" &amp; ADDRESS(2+ster!$B$20,(B500+1)*2-1,4)</f>
        <v>'[dane surowe2c.xlsm]labels'!ALI3:ALI36</v>
      </c>
      <c r="L500" s="14" t="str">
        <f ca="1">IF(F500&gt;0,ADDRESS(3,(B500+1)*2-1,4,,"[" &amp; wew!$G$7 &amp; "]" &amp; _sheetname_labels) &amp; ":" &amp; ADDRESS(2+F500,(B500+1)*2-1,4),"")</f>
        <v/>
      </c>
      <c r="M500" s="14" t="str">
        <f ca="1">IF(F500&gt;0,ADDRESS(3,(B500+1)*2,4,,"["&amp;wew!$G$7&amp;"]"&amp;_sheetname_labels)&amp;":"&amp;ADDRESS(2+F500,(B500+1)*2,4),"")</f>
        <v/>
      </c>
      <c r="N500" s="14" t="str">
        <f ca="1">ADDRESS(3,B500+1,4,,"[" &amp; wew!$G$7 &amp; "]" &amp;_sheetname_dataframe) &amp; ":" &amp; ADDRESS(2+ster!$C$14,B500+1,4)</f>
        <v>'[dane surowe2c.xlsm]data_frame'!SE3:SE35</v>
      </c>
      <c r="O500" s="14" t="str">
        <f t="shared" ca="1" si="109"/>
        <v/>
      </c>
      <c r="P500" s="14" t="str">
        <f ca="1">IF(AND($AD500,$S500=1),IF(wew!$B$3,MIN(INDIRECT($N500)),"&lt;włącz podświetlanie wartości&gt;"),"—")</f>
        <v>—</v>
      </c>
      <c r="Q500" s="14" t="str">
        <f ca="1">IF(AND($AD500,$S500=1),IF(wew!$B$3,MAX(INDIRECT($N500)),"&lt;włącz podświetlanie wartości&gt;"),"—")</f>
        <v>—</v>
      </c>
      <c r="R500" s="14" t="str">
        <f ca="1">IF(AD500,ster!$C$14- (COUNTIF( INDIRECT(N500),"" )+ COUNT(INDIRECT(N500)) +COUNTIF( INDIRECT(N500),"NA" )),"")</f>
        <v/>
      </c>
      <c r="S500" s="12" t="str">
        <f ca="1">IF(AD500,IF(COUNTA(INDIRECT(N500))=0,0, 1-(ster!$C$14- COUNT(INDIRECT(N500)) -COUNTIF( INDIRECT(N500),"" )) /COUNTA(INDIRECT(N500))),"")</f>
        <v/>
      </c>
      <c r="T500" s="17" t="str">
        <f t="array" aca="1" ref="T500" ca="1">IF(L500&lt;&gt;"",SUM(IF(INDIRECT(L500)&lt;&gt;INT(INDIRECT(L500)),1,0)),"")</f>
        <v/>
      </c>
      <c r="U500" s="17" t="str">
        <f t="array" aca="1" ref="U500" ca="1">IF(S500=1,SUM(IF(ISNUMBER(INDIRECT(N500)),IF(INDIRECT(N500)&lt;&gt;INT(INDIRECT(N500)),1,0),0)),"")</f>
        <v/>
      </c>
      <c r="V500" s="17">
        <f t="shared" ca="1" si="110"/>
        <v>0</v>
      </c>
      <c r="W500" s="17">
        <f t="shared" ca="1" si="111"/>
        <v>0</v>
      </c>
      <c r="X500" s="24" t="str">
        <f t="array" aca="1" ref="X500" ca="1">IF(AD500,IF(AG500&lt;&gt;"",AG500,IF(J500,MIN(INDIRECT( K500)),"")),"")</f>
        <v/>
      </c>
      <c r="Y500" s="17" t="str">
        <f t="array" aca="1" ref="Y500" ca="1">IF(AD500,IF(AH500&lt;&gt;"",AH500,IF(J500,MAX(INDIRECT( K500)),"")),"")</f>
        <v/>
      </c>
      <c r="Z500" s="17" t="b">
        <f t="shared" ca="1" si="112"/>
        <v>0</v>
      </c>
      <c r="AC500" s="17" t="str">
        <f t="shared" ca="1" si="113"/>
        <v/>
      </c>
      <c r="AD500" s="14" t="b">
        <f t="shared" ca="1" si="114"/>
        <v>0</v>
      </c>
      <c r="AE500" s="15" t="b">
        <f t="shared" ca="1" si="115"/>
        <v>0</v>
      </c>
      <c r="AF500" s="16"/>
      <c r="AG500" s="16"/>
      <c r="AH500" s="16"/>
      <c r="AI500" s="16"/>
      <c r="AJ500" s="16"/>
      <c r="AK500" s="16"/>
      <c r="AL500" s="16"/>
      <c r="AM500" s="16"/>
    </row>
    <row r="501" spans="2:39">
      <c r="B501" s="14">
        <f t="shared" si="104"/>
        <v>499</v>
      </c>
      <c r="C501" s="14" t="str">
        <f t="shared" ca="1" si="105"/>
        <v/>
      </c>
      <c r="D501" s="14" t="str">
        <f t="shared" ca="1" si="106"/>
        <v/>
      </c>
      <c r="E501" s="14" t="str">
        <f t="shared" ca="1" si="103"/>
        <v/>
      </c>
      <c r="F501" s="14">
        <f t="shared" ca="1" si="116"/>
        <v>0</v>
      </c>
      <c r="G501" s="14" t="str">
        <f t="shared" ca="1" si="107"/>
        <v/>
      </c>
      <c r="H501" s="14">
        <f ca="1">IF(G501&lt;&gt;"",IFERROR( IsVariableNameLegal(G501),0),0)+IF(COUNTIF(INDIRECT(wew!$C$13),G501)&gt;1,10,0)</f>
        <v>0</v>
      </c>
      <c r="I501" s="14">
        <f ca="1">IF(E501&lt;&gt;"",IF(LEN(E501)&gt;150,1,0)+IF(COUNTIF(INDIRECT(wew!$C$15),E501)&gt;1,10,0),0)</f>
        <v>0</v>
      </c>
      <c r="J501" s="14" t="b">
        <f t="shared" ca="1" si="108"/>
        <v>0</v>
      </c>
      <c r="K501" s="14" t="str">
        <f ca="1">ADDRESS(3,(B501+1)*2-1,4,,"[" &amp; wew!$G$7 &amp; "]" &amp; _sheetname_labels) &amp; ":" &amp; ADDRESS(2+ster!$B$20,(B501+1)*2-1,4)</f>
        <v>'[dane surowe2c.xlsm]labels'!ALK3:ALK36</v>
      </c>
      <c r="L501" s="14" t="str">
        <f ca="1">IF(F501&gt;0,ADDRESS(3,(B501+1)*2-1,4,,"[" &amp; wew!$G$7 &amp; "]" &amp; _sheetname_labels) &amp; ":" &amp; ADDRESS(2+F501,(B501+1)*2-1,4),"")</f>
        <v/>
      </c>
      <c r="M501" s="14" t="str">
        <f ca="1">IF(F501&gt;0,ADDRESS(3,(B501+1)*2,4,,"["&amp;wew!$G$7&amp;"]"&amp;_sheetname_labels)&amp;":"&amp;ADDRESS(2+F501,(B501+1)*2,4),"")</f>
        <v/>
      </c>
      <c r="N501" s="14" t="str">
        <f ca="1">ADDRESS(3,B501+1,4,,"[" &amp; wew!$G$7 &amp; "]" &amp;_sheetname_dataframe) &amp; ":" &amp; ADDRESS(2+ster!$C$14,B501+1,4)</f>
        <v>'[dane surowe2c.xlsm]data_frame'!SF3:SF35</v>
      </c>
      <c r="O501" s="14" t="str">
        <f t="shared" ca="1" si="109"/>
        <v/>
      </c>
      <c r="P501" s="14" t="str">
        <f ca="1">IF(AND($AD501,$S501=1),IF(wew!$B$3,MIN(INDIRECT($N501)),"&lt;włącz podświetlanie wartości&gt;"),"—")</f>
        <v>—</v>
      </c>
      <c r="Q501" s="14" t="str">
        <f ca="1">IF(AND($AD501,$S501=1),IF(wew!$B$3,MAX(INDIRECT($N501)),"&lt;włącz podświetlanie wartości&gt;"),"—")</f>
        <v>—</v>
      </c>
      <c r="R501" s="14" t="str">
        <f ca="1">IF(AD501,ster!$C$14- (COUNTIF( INDIRECT(N501),"" )+ COUNT(INDIRECT(N501)) +COUNTIF( INDIRECT(N501),"NA" )),"")</f>
        <v/>
      </c>
      <c r="S501" s="12" t="str">
        <f ca="1">IF(AD501,IF(COUNTA(INDIRECT(N501))=0,0, 1-(ster!$C$14- COUNT(INDIRECT(N501)) -COUNTIF( INDIRECT(N501),"" )) /COUNTA(INDIRECT(N501))),"")</f>
        <v/>
      </c>
      <c r="T501" s="17" t="str">
        <f t="array" aca="1" ref="T501" ca="1">IF(L501&lt;&gt;"",SUM(IF(INDIRECT(L501)&lt;&gt;INT(INDIRECT(L501)),1,0)),"")</f>
        <v/>
      </c>
      <c r="U501" s="17" t="str">
        <f t="array" aca="1" ref="U501" ca="1">IF(S501=1,SUM(IF(ISNUMBER(INDIRECT(N501)),IF(INDIRECT(N501)&lt;&gt;INT(INDIRECT(N501)),1,0),0)),"")</f>
        <v/>
      </c>
      <c r="V501" s="17">
        <f t="shared" ca="1" si="110"/>
        <v>0</v>
      </c>
      <c r="W501" s="17">
        <f t="shared" ca="1" si="111"/>
        <v>0</v>
      </c>
      <c r="X501" s="24" t="str">
        <f t="array" aca="1" ref="X501" ca="1">IF(AD501,IF(AG501&lt;&gt;"",AG501,IF(J501,MIN(INDIRECT( K501)),"")),"")</f>
        <v/>
      </c>
      <c r="Y501" s="17" t="str">
        <f t="array" aca="1" ref="Y501" ca="1">IF(AD501,IF(AH501&lt;&gt;"",AH501,IF(J501,MAX(INDIRECT( K501)),"")),"")</f>
        <v/>
      </c>
      <c r="Z501" s="17" t="b">
        <f t="shared" ca="1" si="112"/>
        <v>0</v>
      </c>
      <c r="AC501" s="17" t="str">
        <f t="shared" ca="1" si="113"/>
        <v/>
      </c>
      <c r="AD501" s="14" t="b">
        <f t="shared" ca="1" si="114"/>
        <v>0</v>
      </c>
      <c r="AE501" s="15" t="b">
        <f t="shared" ca="1" si="115"/>
        <v>0</v>
      </c>
      <c r="AF501" s="16"/>
      <c r="AG501" s="16"/>
      <c r="AH501" s="16"/>
      <c r="AI501" s="16"/>
      <c r="AJ501" s="16"/>
      <c r="AK501" s="16"/>
      <c r="AL501" s="16"/>
      <c r="AM501" s="16"/>
    </row>
    <row r="502" spans="2:39">
      <c r="B502" s="14">
        <f t="shared" si="104"/>
        <v>500</v>
      </c>
      <c r="C502" s="14" t="str">
        <f t="shared" ca="1" si="105"/>
        <v/>
      </c>
      <c r="D502" s="14" t="str">
        <f t="shared" ca="1" si="106"/>
        <v/>
      </c>
      <c r="E502" s="14" t="str">
        <f t="shared" ca="1" si="103"/>
        <v/>
      </c>
      <c r="F502" s="14">
        <f t="shared" ca="1" si="116"/>
        <v>0</v>
      </c>
      <c r="G502" s="14" t="str">
        <f t="shared" ca="1" si="107"/>
        <v/>
      </c>
      <c r="H502" s="14">
        <f ca="1">IF(G502&lt;&gt;"",IFERROR( IsVariableNameLegal(G502),0),0)+IF(COUNTIF(INDIRECT(wew!$C$13),G502)&gt;1,10,0)</f>
        <v>0</v>
      </c>
      <c r="I502" s="14">
        <f ca="1">IF(E502&lt;&gt;"",IF(LEN(E502)&gt;150,1,0)+IF(COUNTIF(INDIRECT(wew!$C$15),E502)&gt;1,10,0),0)</f>
        <v>0</v>
      </c>
      <c r="J502" s="14" t="b">
        <f t="shared" ca="1" si="108"/>
        <v>0</v>
      </c>
      <c r="K502" s="14" t="str">
        <f ca="1">ADDRESS(3,(B502+1)*2-1,4,,"[" &amp; wew!$G$7 &amp; "]" &amp; _sheetname_labels) &amp; ":" &amp; ADDRESS(2+ster!$B$20,(B502+1)*2-1,4)</f>
        <v>'[dane surowe2c.xlsm]labels'!ALM3:ALM36</v>
      </c>
      <c r="L502" s="14" t="str">
        <f ca="1">IF(F502&gt;0,ADDRESS(3,(B502+1)*2-1,4,,"[" &amp; wew!$G$7 &amp; "]" &amp; _sheetname_labels) &amp; ":" &amp; ADDRESS(2+F502,(B502+1)*2-1,4),"")</f>
        <v/>
      </c>
      <c r="M502" s="14" t="str">
        <f ca="1">IF(F502&gt;0,ADDRESS(3,(B502+1)*2,4,,"["&amp;wew!$G$7&amp;"]"&amp;_sheetname_labels)&amp;":"&amp;ADDRESS(2+F502,(B502+1)*2,4),"")</f>
        <v/>
      </c>
      <c r="N502" s="14" t="str">
        <f ca="1">ADDRESS(3,B502+1,4,,"[" &amp; wew!$G$7 &amp; "]" &amp;_sheetname_dataframe) &amp; ":" &amp; ADDRESS(2+ster!$C$14,B502+1,4)</f>
        <v>'[dane surowe2c.xlsm]data_frame'!SG3:SG35</v>
      </c>
      <c r="O502" s="14" t="str">
        <f t="shared" ca="1" si="109"/>
        <v/>
      </c>
      <c r="P502" s="14" t="str">
        <f ca="1">IF(AND($AD502,$S502=1),IF(wew!$B$3,MIN(INDIRECT($N502)),"&lt;włącz podświetlanie wartości&gt;"),"—")</f>
        <v>—</v>
      </c>
      <c r="Q502" s="14" t="str">
        <f ca="1">IF(AND($AD502,$S502=1),IF(wew!$B$3,MAX(INDIRECT($N502)),"&lt;włącz podświetlanie wartości&gt;"),"—")</f>
        <v>—</v>
      </c>
      <c r="R502" s="14" t="str">
        <f ca="1">IF(AD502,ster!$C$14- (COUNTIF( INDIRECT(N502),"" )+ COUNT(INDIRECT(N502)) +COUNTIF( INDIRECT(N502),"NA" )),"")</f>
        <v/>
      </c>
      <c r="S502" s="12" t="str">
        <f ca="1">IF(AD502,IF(COUNTA(INDIRECT(N502))=0,0, 1-(ster!$C$14- COUNT(INDIRECT(N502)) -COUNTIF( INDIRECT(N502),"" )) /COUNTA(INDIRECT(N502))),"")</f>
        <v/>
      </c>
      <c r="T502" s="17" t="str">
        <f t="array" aca="1" ref="T502" ca="1">IF(L502&lt;&gt;"",SUM(IF(INDIRECT(L502)&lt;&gt;INT(INDIRECT(L502)),1,0)),"")</f>
        <v/>
      </c>
      <c r="U502" s="17" t="str">
        <f t="array" aca="1" ref="U502" ca="1">IF(S502=1,SUM(IF(ISNUMBER(INDIRECT(N502)),IF(INDIRECT(N502)&lt;&gt;INT(INDIRECT(N502)),1,0),0)),"")</f>
        <v/>
      </c>
      <c r="V502" s="17">
        <f t="shared" ca="1" si="110"/>
        <v>0</v>
      </c>
      <c r="W502" s="17">
        <f t="shared" ca="1" si="111"/>
        <v>0</v>
      </c>
      <c r="X502" s="24" t="str">
        <f t="array" aca="1" ref="X502" ca="1">IF(AD502,IF(AG502&lt;&gt;"",AG502,IF(J502,MIN(INDIRECT( K502)),"")),"")</f>
        <v/>
      </c>
      <c r="Y502" s="17" t="str">
        <f t="array" aca="1" ref="Y502" ca="1">IF(AD502,IF(AH502&lt;&gt;"",AH502,IF(J502,MAX(INDIRECT( K502)),"")),"")</f>
        <v/>
      </c>
      <c r="Z502" s="17" t="b">
        <f t="shared" ca="1" si="112"/>
        <v>0</v>
      </c>
      <c r="AC502" s="17" t="str">
        <f t="shared" ca="1" si="113"/>
        <v/>
      </c>
      <c r="AD502" s="14" t="b">
        <f t="shared" ca="1" si="114"/>
        <v>0</v>
      </c>
      <c r="AE502" s="15" t="b">
        <f t="shared" ca="1" si="115"/>
        <v>0</v>
      </c>
      <c r="AF502" s="16"/>
      <c r="AG502" s="16"/>
      <c r="AH502" s="16"/>
      <c r="AI502" s="16"/>
      <c r="AJ502" s="16"/>
      <c r="AK502" s="16"/>
      <c r="AL502" s="16"/>
      <c r="AM502" s="16"/>
    </row>
    <row r="503" spans="2:39">
      <c r="B503" s="14">
        <f t="shared" si="104"/>
        <v>501</v>
      </c>
      <c r="C503" s="14" t="str">
        <f t="shared" ca="1" si="105"/>
        <v/>
      </c>
      <c r="D503" s="14" t="str">
        <f t="shared" ca="1" si="106"/>
        <v/>
      </c>
      <c r="E503" s="14" t="str">
        <f t="shared" ca="1" si="103"/>
        <v/>
      </c>
      <c r="F503" s="14">
        <f t="shared" ca="1" si="116"/>
        <v>0</v>
      </c>
      <c r="G503" s="14" t="str">
        <f t="shared" ca="1" si="107"/>
        <v/>
      </c>
      <c r="H503" s="14">
        <f ca="1">IF(G503&lt;&gt;"",IFERROR( IsVariableNameLegal(G503),0),0)+IF(COUNTIF(INDIRECT(wew!$C$13),G503)&gt;1,10,0)</f>
        <v>0</v>
      </c>
      <c r="I503" s="14">
        <f ca="1">IF(E503&lt;&gt;"",IF(LEN(E503)&gt;150,1,0)+IF(COUNTIF(INDIRECT(wew!$C$15),E503)&gt;1,10,0),0)</f>
        <v>0</v>
      </c>
      <c r="J503" s="14" t="b">
        <f t="shared" ca="1" si="108"/>
        <v>0</v>
      </c>
      <c r="K503" s="14" t="str">
        <f ca="1">ADDRESS(3,(B503+1)*2-1,4,,"[" &amp; wew!$G$7 &amp; "]" &amp; _sheetname_labels) &amp; ":" &amp; ADDRESS(2+ster!$B$20,(B503+1)*2-1,4)</f>
        <v>'[dane surowe2c.xlsm]labels'!ALO3:ALO36</v>
      </c>
      <c r="L503" s="14" t="str">
        <f ca="1">IF(F503&gt;0,ADDRESS(3,(B503+1)*2-1,4,,"[" &amp; wew!$G$7 &amp; "]" &amp; _sheetname_labels) &amp; ":" &amp; ADDRESS(2+F503,(B503+1)*2-1,4),"")</f>
        <v/>
      </c>
      <c r="M503" s="14" t="str">
        <f ca="1">IF(F503&gt;0,ADDRESS(3,(B503+1)*2,4,,"["&amp;wew!$G$7&amp;"]"&amp;_sheetname_labels)&amp;":"&amp;ADDRESS(2+F503,(B503+1)*2,4),"")</f>
        <v/>
      </c>
      <c r="N503" s="14" t="str">
        <f ca="1">ADDRESS(3,B503+1,4,,"[" &amp; wew!$G$7 &amp; "]" &amp;_sheetname_dataframe) &amp; ":" &amp; ADDRESS(2+ster!$C$14,B503+1,4)</f>
        <v>'[dane surowe2c.xlsm]data_frame'!SH3:SH35</v>
      </c>
      <c r="O503" s="14" t="str">
        <f t="shared" ca="1" si="109"/>
        <v/>
      </c>
      <c r="P503" s="14" t="str">
        <f ca="1">IF(AND($AD503,$S503=1),IF(wew!$B$3,MIN(INDIRECT($N503)),"&lt;włącz podświetlanie wartości&gt;"),"—")</f>
        <v>—</v>
      </c>
      <c r="Q503" s="14" t="str">
        <f ca="1">IF(AND($AD503,$S503=1),IF(wew!$B$3,MAX(INDIRECT($N503)),"&lt;włącz podświetlanie wartości&gt;"),"—")</f>
        <v>—</v>
      </c>
      <c r="R503" s="14" t="str">
        <f ca="1">IF(AD503,ster!$C$14- (COUNTIF( INDIRECT(N503),"" )+ COUNT(INDIRECT(N503)) +COUNTIF( INDIRECT(N503),"NA" )),"")</f>
        <v/>
      </c>
      <c r="S503" s="12" t="str">
        <f ca="1">IF(AD503,IF(COUNTA(INDIRECT(N503))=0,0, 1-(ster!$C$14- COUNT(INDIRECT(N503)) -COUNTIF( INDIRECT(N503),"" )) /COUNTA(INDIRECT(N503))),"")</f>
        <v/>
      </c>
      <c r="T503" s="17" t="str">
        <f t="array" aca="1" ref="T503" ca="1">IF(L503&lt;&gt;"",SUM(IF(INDIRECT(L503)&lt;&gt;INT(INDIRECT(L503)),1,0)),"")</f>
        <v/>
      </c>
      <c r="U503" s="17" t="str">
        <f t="array" aca="1" ref="U503" ca="1">IF(S503=1,SUM(IF(ISNUMBER(INDIRECT(N503)),IF(INDIRECT(N503)&lt;&gt;INT(INDIRECT(N503)),1,0),0)),"")</f>
        <v/>
      </c>
      <c r="V503" s="17">
        <f t="shared" ca="1" si="110"/>
        <v>0</v>
      </c>
      <c r="W503" s="17">
        <f t="shared" ca="1" si="111"/>
        <v>0</v>
      </c>
      <c r="X503" s="24" t="str">
        <f t="array" aca="1" ref="X503" ca="1">IF(AD503,IF(AG503&lt;&gt;"",AG503,IF(J503,MIN(INDIRECT( K503)),"")),"")</f>
        <v/>
      </c>
      <c r="Y503" s="17" t="str">
        <f t="array" aca="1" ref="Y503" ca="1">IF(AD503,IF(AH503&lt;&gt;"",AH503,IF(J503,MAX(INDIRECT( K503)),"")),"")</f>
        <v/>
      </c>
      <c r="Z503" s="17" t="b">
        <f t="shared" ca="1" si="112"/>
        <v>0</v>
      </c>
      <c r="AC503" s="17" t="str">
        <f t="shared" ca="1" si="113"/>
        <v/>
      </c>
      <c r="AD503" s="14" t="b">
        <f t="shared" ca="1" si="114"/>
        <v>0</v>
      </c>
      <c r="AE503" s="15" t="b">
        <f t="shared" ca="1" si="115"/>
        <v>0</v>
      </c>
      <c r="AF503" s="16"/>
      <c r="AG503" s="16"/>
      <c r="AH503" s="16"/>
      <c r="AI503" s="16"/>
      <c r="AJ503" s="16"/>
      <c r="AK503" s="16"/>
      <c r="AL503" s="16"/>
      <c r="AM503" s="16"/>
    </row>
    <row r="504" spans="2:39">
      <c r="B504" s="14">
        <f t="shared" si="104"/>
        <v>502</v>
      </c>
      <c r="C504" s="14" t="str">
        <f t="shared" ca="1" si="105"/>
        <v/>
      </c>
      <c r="D504" s="14" t="str">
        <f t="shared" ca="1" si="106"/>
        <v/>
      </c>
      <c r="E504" s="14" t="str">
        <f t="shared" ca="1" si="103"/>
        <v/>
      </c>
      <c r="F504" s="14">
        <f t="shared" ca="1" si="116"/>
        <v>0</v>
      </c>
      <c r="G504" s="14" t="str">
        <f t="shared" ca="1" si="107"/>
        <v/>
      </c>
      <c r="H504" s="14">
        <f ca="1">IF(G504&lt;&gt;"",IFERROR( IsVariableNameLegal(G504),0),0)+IF(COUNTIF(INDIRECT(wew!$C$13),G504)&gt;1,10,0)</f>
        <v>0</v>
      </c>
      <c r="I504" s="14">
        <f ca="1">IF(E504&lt;&gt;"",IF(LEN(E504)&gt;150,1,0)+IF(COUNTIF(INDIRECT(wew!$C$15),E504)&gt;1,10,0),0)</f>
        <v>0</v>
      </c>
      <c r="J504" s="14" t="b">
        <f t="shared" ca="1" si="108"/>
        <v>0</v>
      </c>
      <c r="K504" s="14" t="str">
        <f ca="1">ADDRESS(3,(B504+1)*2-1,4,,"[" &amp; wew!$G$7 &amp; "]" &amp; _sheetname_labels) &amp; ":" &amp; ADDRESS(2+ster!$B$20,(B504+1)*2-1,4)</f>
        <v>'[dane surowe2c.xlsm]labels'!ALQ3:ALQ36</v>
      </c>
      <c r="L504" s="14" t="str">
        <f ca="1">IF(F504&gt;0,ADDRESS(3,(B504+1)*2-1,4,,"[" &amp; wew!$G$7 &amp; "]" &amp; _sheetname_labels) &amp; ":" &amp; ADDRESS(2+F504,(B504+1)*2-1,4),"")</f>
        <v/>
      </c>
      <c r="M504" s="14" t="str">
        <f ca="1">IF(F504&gt;0,ADDRESS(3,(B504+1)*2,4,,"["&amp;wew!$G$7&amp;"]"&amp;_sheetname_labels)&amp;":"&amp;ADDRESS(2+F504,(B504+1)*2,4),"")</f>
        <v/>
      </c>
      <c r="N504" s="14" t="str">
        <f ca="1">ADDRESS(3,B504+1,4,,"[" &amp; wew!$G$7 &amp; "]" &amp;_sheetname_dataframe) &amp; ":" &amp; ADDRESS(2+ster!$C$14,B504+1,4)</f>
        <v>'[dane surowe2c.xlsm]data_frame'!SI3:SI35</v>
      </c>
      <c r="O504" s="14" t="str">
        <f t="shared" ca="1" si="109"/>
        <v/>
      </c>
      <c r="P504" s="14" t="str">
        <f ca="1">IF(AND($AD504,$S504=1),IF(wew!$B$3,MIN(INDIRECT($N504)),"&lt;włącz podświetlanie wartości&gt;"),"—")</f>
        <v>—</v>
      </c>
      <c r="Q504" s="14" t="str">
        <f ca="1">IF(AND($AD504,$S504=1),IF(wew!$B$3,MAX(INDIRECT($N504)),"&lt;włącz podświetlanie wartości&gt;"),"—")</f>
        <v>—</v>
      </c>
      <c r="R504" s="14" t="str">
        <f ca="1">IF(AD504,ster!$C$14- (COUNTIF( INDIRECT(N504),"" )+ COUNT(INDIRECT(N504)) +COUNTIF( INDIRECT(N504),"NA" )),"")</f>
        <v/>
      </c>
      <c r="S504" s="12" t="str">
        <f ca="1">IF(AD504,IF(COUNTA(INDIRECT(N504))=0,0, 1-(ster!$C$14- COUNT(INDIRECT(N504)) -COUNTIF( INDIRECT(N504),"" )) /COUNTA(INDIRECT(N504))),"")</f>
        <v/>
      </c>
      <c r="T504" s="17" t="str">
        <f t="array" aca="1" ref="T504" ca="1">IF(L504&lt;&gt;"",SUM(IF(INDIRECT(L504)&lt;&gt;INT(INDIRECT(L504)),1,0)),"")</f>
        <v/>
      </c>
      <c r="U504" s="17" t="str">
        <f t="array" aca="1" ref="U504" ca="1">IF(S504=1,SUM(IF(ISNUMBER(INDIRECT(N504)),IF(INDIRECT(N504)&lt;&gt;INT(INDIRECT(N504)),1,0),0)),"")</f>
        <v/>
      </c>
      <c r="V504" s="17">
        <f t="shared" ca="1" si="110"/>
        <v>0</v>
      </c>
      <c r="W504" s="17">
        <f t="shared" ca="1" si="111"/>
        <v>0</v>
      </c>
      <c r="X504" s="24" t="str">
        <f t="array" aca="1" ref="X504" ca="1">IF(AD504,IF(AG504&lt;&gt;"",AG504,IF(J504,MIN(INDIRECT( K504)),"")),"")</f>
        <v/>
      </c>
      <c r="Y504" s="17" t="str">
        <f t="array" aca="1" ref="Y504" ca="1">IF(AD504,IF(AH504&lt;&gt;"",AH504,IF(J504,MAX(INDIRECT( K504)),"")),"")</f>
        <v/>
      </c>
      <c r="Z504" s="17" t="b">
        <f t="shared" ca="1" si="112"/>
        <v>0</v>
      </c>
      <c r="AC504" s="17" t="str">
        <f t="shared" ca="1" si="113"/>
        <v/>
      </c>
      <c r="AD504" s="14" t="b">
        <f t="shared" ca="1" si="114"/>
        <v>0</v>
      </c>
      <c r="AE504" s="15" t="b">
        <f t="shared" ca="1" si="115"/>
        <v>0</v>
      </c>
      <c r="AF504" s="16"/>
      <c r="AG504" s="16"/>
      <c r="AH504" s="16"/>
      <c r="AI504" s="16"/>
      <c r="AJ504" s="16"/>
      <c r="AK504" s="16"/>
      <c r="AL504" s="16"/>
      <c r="AM504" s="16"/>
    </row>
    <row r="505" spans="2:39">
      <c r="B505" s="14">
        <f t="shared" si="104"/>
        <v>503</v>
      </c>
      <c r="C505" s="14" t="str">
        <f t="shared" ca="1" si="105"/>
        <v/>
      </c>
      <c r="D505" s="14" t="str">
        <f t="shared" ca="1" si="106"/>
        <v/>
      </c>
      <c r="E505" s="14" t="str">
        <f t="shared" ca="1" si="103"/>
        <v/>
      </c>
      <c r="F505" s="14">
        <f t="shared" ca="1" si="116"/>
        <v>0</v>
      </c>
      <c r="G505" s="14" t="str">
        <f t="shared" ca="1" si="107"/>
        <v/>
      </c>
      <c r="H505" s="14">
        <f ca="1">IF(G505&lt;&gt;"",IFERROR( IsVariableNameLegal(G505),0),0)+IF(COUNTIF(INDIRECT(wew!$C$13),G505)&gt;1,10,0)</f>
        <v>0</v>
      </c>
      <c r="I505" s="14">
        <f ca="1">IF(E505&lt;&gt;"",IF(LEN(E505)&gt;150,1,0)+IF(COUNTIF(INDIRECT(wew!$C$15),E505)&gt;1,10,0),0)</f>
        <v>0</v>
      </c>
      <c r="J505" s="14" t="b">
        <f t="shared" ca="1" si="108"/>
        <v>0</v>
      </c>
      <c r="K505" s="14" t="str">
        <f ca="1">ADDRESS(3,(B505+1)*2-1,4,,"[" &amp; wew!$G$7 &amp; "]" &amp; _sheetname_labels) &amp; ":" &amp; ADDRESS(2+ster!$B$20,(B505+1)*2-1,4)</f>
        <v>'[dane surowe2c.xlsm]labels'!ALS3:ALS36</v>
      </c>
      <c r="L505" s="14" t="str">
        <f ca="1">IF(F505&gt;0,ADDRESS(3,(B505+1)*2-1,4,,"[" &amp; wew!$G$7 &amp; "]" &amp; _sheetname_labels) &amp; ":" &amp; ADDRESS(2+F505,(B505+1)*2-1,4),"")</f>
        <v/>
      </c>
      <c r="M505" s="14" t="str">
        <f ca="1">IF(F505&gt;0,ADDRESS(3,(B505+1)*2,4,,"["&amp;wew!$G$7&amp;"]"&amp;_sheetname_labels)&amp;":"&amp;ADDRESS(2+F505,(B505+1)*2,4),"")</f>
        <v/>
      </c>
      <c r="N505" s="14" t="str">
        <f ca="1">ADDRESS(3,B505+1,4,,"[" &amp; wew!$G$7 &amp; "]" &amp;_sheetname_dataframe) &amp; ":" &amp; ADDRESS(2+ster!$C$14,B505+1,4)</f>
        <v>'[dane surowe2c.xlsm]data_frame'!SJ3:SJ35</v>
      </c>
      <c r="O505" s="14" t="str">
        <f t="shared" ca="1" si="109"/>
        <v/>
      </c>
      <c r="P505" s="14" t="str">
        <f ca="1">IF(AND($AD505,$S505=1),IF(wew!$B$3,MIN(INDIRECT($N505)),"&lt;włącz podświetlanie wartości&gt;"),"—")</f>
        <v>—</v>
      </c>
      <c r="Q505" s="14" t="str">
        <f ca="1">IF(AND($AD505,$S505=1),IF(wew!$B$3,MAX(INDIRECT($N505)),"&lt;włącz podświetlanie wartości&gt;"),"—")</f>
        <v>—</v>
      </c>
      <c r="R505" s="14" t="str">
        <f ca="1">IF(AD505,ster!$C$14- (COUNTIF( INDIRECT(N505),"" )+ COUNT(INDIRECT(N505)) +COUNTIF( INDIRECT(N505),"NA" )),"")</f>
        <v/>
      </c>
      <c r="S505" s="12" t="str">
        <f ca="1">IF(AD505,IF(COUNTA(INDIRECT(N505))=0,0, 1-(ster!$C$14- COUNT(INDIRECT(N505)) -COUNTIF( INDIRECT(N505),"" )) /COUNTA(INDIRECT(N505))),"")</f>
        <v/>
      </c>
      <c r="T505" s="17" t="str">
        <f t="array" aca="1" ref="T505" ca="1">IF(L505&lt;&gt;"",SUM(IF(INDIRECT(L505)&lt;&gt;INT(INDIRECT(L505)),1,0)),"")</f>
        <v/>
      </c>
      <c r="U505" s="17" t="str">
        <f t="array" aca="1" ref="U505" ca="1">IF(S505=1,SUM(IF(ISNUMBER(INDIRECT(N505)),IF(INDIRECT(N505)&lt;&gt;INT(INDIRECT(N505)),1,0),0)),"")</f>
        <v/>
      </c>
      <c r="V505" s="17">
        <f t="shared" ca="1" si="110"/>
        <v>0</v>
      </c>
      <c r="W505" s="17">
        <f t="shared" ca="1" si="111"/>
        <v>0</v>
      </c>
      <c r="X505" s="24" t="str">
        <f t="array" aca="1" ref="X505" ca="1">IF(AD505,IF(AG505&lt;&gt;"",AG505,IF(J505,MIN(INDIRECT( K505)),"")),"")</f>
        <v/>
      </c>
      <c r="Y505" s="17" t="str">
        <f t="array" aca="1" ref="Y505" ca="1">IF(AD505,IF(AH505&lt;&gt;"",AH505,IF(J505,MAX(INDIRECT( K505)),"")),"")</f>
        <v/>
      </c>
      <c r="Z505" s="17" t="b">
        <f t="shared" ca="1" si="112"/>
        <v>0</v>
      </c>
      <c r="AC505" s="17" t="str">
        <f t="shared" ca="1" si="113"/>
        <v/>
      </c>
      <c r="AD505" s="14" t="b">
        <f t="shared" ca="1" si="114"/>
        <v>0</v>
      </c>
      <c r="AE505" s="15" t="b">
        <f t="shared" ca="1" si="115"/>
        <v>0</v>
      </c>
      <c r="AF505" s="16"/>
      <c r="AG505" s="16"/>
      <c r="AH505" s="16"/>
      <c r="AI505" s="16"/>
      <c r="AJ505" s="16"/>
      <c r="AK505" s="16"/>
      <c r="AL505" s="16"/>
      <c r="AM505" s="16"/>
    </row>
    <row r="506" spans="2:39">
      <c r="B506" s="14">
        <f t="shared" si="104"/>
        <v>504</v>
      </c>
      <c r="C506" s="14" t="str">
        <f t="shared" ca="1" si="105"/>
        <v/>
      </c>
      <c r="D506" s="14" t="str">
        <f t="shared" ca="1" si="106"/>
        <v/>
      </c>
      <c r="E506" s="14" t="str">
        <f t="shared" ca="1" si="103"/>
        <v/>
      </c>
      <c r="F506" s="14">
        <f t="shared" ca="1" si="116"/>
        <v>0</v>
      </c>
      <c r="G506" s="14" t="str">
        <f t="shared" ca="1" si="107"/>
        <v/>
      </c>
      <c r="H506" s="14">
        <f ca="1">IF(G506&lt;&gt;"",IFERROR( IsVariableNameLegal(G506),0),0)+IF(COUNTIF(INDIRECT(wew!$C$13),G506)&gt;1,10,0)</f>
        <v>0</v>
      </c>
      <c r="I506" s="14">
        <f ca="1">IF(E506&lt;&gt;"",IF(LEN(E506)&gt;150,1,0)+IF(COUNTIF(INDIRECT(wew!$C$15),E506)&gt;1,10,0),0)</f>
        <v>0</v>
      </c>
      <c r="J506" s="14" t="b">
        <f t="shared" ca="1" si="108"/>
        <v>0</v>
      </c>
      <c r="K506" s="14" t="str">
        <f ca="1">ADDRESS(3,(B506+1)*2-1,4,,"[" &amp; wew!$G$7 &amp; "]" &amp; _sheetname_labels) &amp; ":" &amp; ADDRESS(2+ster!$B$20,(B506+1)*2-1,4)</f>
        <v>'[dane surowe2c.xlsm]labels'!ALU3:ALU36</v>
      </c>
      <c r="L506" s="14" t="str">
        <f ca="1">IF(F506&gt;0,ADDRESS(3,(B506+1)*2-1,4,,"[" &amp; wew!$G$7 &amp; "]" &amp; _sheetname_labels) &amp; ":" &amp; ADDRESS(2+F506,(B506+1)*2-1,4),"")</f>
        <v/>
      </c>
      <c r="M506" s="14" t="str">
        <f ca="1">IF(F506&gt;0,ADDRESS(3,(B506+1)*2,4,,"["&amp;wew!$G$7&amp;"]"&amp;_sheetname_labels)&amp;":"&amp;ADDRESS(2+F506,(B506+1)*2,4),"")</f>
        <v/>
      </c>
      <c r="N506" s="14" t="str">
        <f ca="1">ADDRESS(3,B506+1,4,,"[" &amp; wew!$G$7 &amp; "]" &amp;_sheetname_dataframe) &amp; ":" &amp; ADDRESS(2+ster!$C$14,B506+1,4)</f>
        <v>'[dane surowe2c.xlsm]data_frame'!SK3:SK35</v>
      </c>
      <c r="O506" s="14" t="str">
        <f t="shared" ca="1" si="109"/>
        <v/>
      </c>
      <c r="P506" s="14" t="str">
        <f ca="1">IF(AND($AD506,$S506=1),IF(wew!$B$3,MIN(INDIRECT($N506)),"&lt;włącz podświetlanie wartości&gt;"),"—")</f>
        <v>—</v>
      </c>
      <c r="Q506" s="14" t="str">
        <f ca="1">IF(AND($AD506,$S506=1),IF(wew!$B$3,MAX(INDIRECT($N506)),"&lt;włącz podświetlanie wartości&gt;"),"—")</f>
        <v>—</v>
      </c>
      <c r="R506" s="14" t="str">
        <f ca="1">IF(AD506,ster!$C$14- (COUNTIF( INDIRECT(N506),"" )+ COUNT(INDIRECT(N506)) +COUNTIF( INDIRECT(N506),"NA" )),"")</f>
        <v/>
      </c>
      <c r="S506" s="12" t="str">
        <f ca="1">IF(AD506,IF(COUNTA(INDIRECT(N506))=0,0, 1-(ster!$C$14- COUNT(INDIRECT(N506)) -COUNTIF( INDIRECT(N506),"" )) /COUNTA(INDIRECT(N506))),"")</f>
        <v/>
      </c>
      <c r="T506" s="17" t="str">
        <f t="array" aca="1" ref="T506" ca="1">IF(L506&lt;&gt;"",SUM(IF(INDIRECT(L506)&lt;&gt;INT(INDIRECT(L506)),1,0)),"")</f>
        <v/>
      </c>
      <c r="U506" s="17" t="str">
        <f t="array" aca="1" ref="U506" ca="1">IF(S506=1,SUM(IF(ISNUMBER(INDIRECT(N506)),IF(INDIRECT(N506)&lt;&gt;INT(INDIRECT(N506)),1,0),0)),"")</f>
        <v/>
      </c>
      <c r="V506" s="17">
        <f t="shared" ca="1" si="110"/>
        <v>0</v>
      </c>
      <c r="W506" s="17">
        <f t="shared" ca="1" si="111"/>
        <v>0</v>
      </c>
      <c r="X506" s="24" t="str">
        <f t="array" aca="1" ref="X506" ca="1">IF(AD506,IF(AG506&lt;&gt;"",AG506,IF(J506,MIN(INDIRECT( K506)),"")),"")</f>
        <v/>
      </c>
      <c r="Y506" s="17" t="str">
        <f t="array" aca="1" ref="Y506" ca="1">IF(AD506,IF(AH506&lt;&gt;"",AH506,IF(J506,MAX(INDIRECT( K506)),"")),"")</f>
        <v/>
      </c>
      <c r="Z506" s="17" t="b">
        <f t="shared" ca="1" si="112"/>
        <v>0</v>
      </c>
      <c r="AC506" s="17" t="str">
        <f t="shared" ca="1" si="113"/>
        <v/>
      </c>
      <c r="AD506" s="14" t="b">
        <f t="shared" ca="1" si="114"/>
        <v>0</v>
      </c>
      <c r="AE506" s="15" t="b">
        <f t="shared" ca="1" si="115"/>
        <v>0</v>
      </c>
      <c r="AF506" s="16"/>
      <c r="AG506" s="16"/>
      <c r="AH506" s="16"/>
      <c r="AI506" s="16"/>
      <c r="AJ506" s="16"/>
      <c r="AK506" s="16"/>
      <c r="AL506" s="16"/>
      <c r="AM506" s="16"/>
    </row>
    <row r="507" spans="2:39">
      <c r="B507" s="14">
        <f t="shared" si="104"/>
        <v>505</v>
      </c>
      <c r="C507" s="14" t="str">
        <f t="shared" ca="1" si="105"/>
        <v/>
      </c>
      <c r="D507" s="14" t="str">
        <f t="shared" ca="1" si="106"/>
        <v/>
      </c>
      <c r="E507" s="14" t="str">
        <f t="shared" ca="1" si="103"/>
        <v/>
      </c>
      <c r="F507" s="14">
        <f t="shared" ca="1" si="116"/>
        <v>0</v>
      </c>
      <c r="G507" s="14" t="str">
        <f t="shared" ca="1" si="107"/>
        <v/>
      </c>
      <c r="H507" s="14">
        <f ca="1">IF(G507&lt;&gt;"",IFERROR( IsVariableNameLegal(G507),0),0)+IF(COUNTIF(INDIRECT(wew!$C$13),G507)&gt;1,10,0)</f>
        <v>0</v>
      </c>
      <c r="I507" s="14">
        <f ca="1">IF(E507&lt;&gt;"",IF(LEN(E507)&gt;150,1,0)+IF(COUNTIF(INDIRECT(wew!$C$15),E507)&gt;1,10,0),0)</f>
        <v>0</v>
      </c>
      <c r="J507" s="14" t="b">
        <f t="shared" ca="1" si="108"/>
        <v>0</v>
      </c>
      <c r="K507" s="14" t="str">
        <f ca="1">ADDRESS(3,(B507+1)*2-1,4,,"[" &amp; wew!$G$7 &amp; "]" &amp; _sheetname_labels) &amp; ":" &amp; ADDRESS(2+ster!$B$20,(B507+1)*2-1,4)</f>
        <v>'[dane surowe2c.xlsm]labels'!ALW3:ALW36</v>
      </c>
      <c r="L507" s="14" t="str">
        <f ca="1">IF(F507&gt;0,ADDRESS(3,(B507+1)*2-1,4,,"[" &amp; wew!$G$7 &amp; "]" &amp; _sheetname_labels) &amp; ":" &amp; ADDRESS(2+F507,(B507+1)*2-1,4),"")</f>
        <v/>
      </c>
      <c r="M507" s="14" t="str">
        <f ca="1">IF(F507&gt;0,ADDRESS(3,(B507+1)*2,4,,"["&amp;wew!$G$7&amp;"]"&amp;_sheetname_labels)&amp;":"&amp;ADDRESS(2+F507,(B507+1)*2,4),"")</f>
        <v/>
      </c>
      <c r="N507" s="14" t="str">
        <f ca="1">ADDRESS(3,B507+1,4,,"[" &amp; wew!$G$7 &amp; "]" &amp;_sheetname_dataframe) &amp; ":" &amp; ADDRESS(2+ster!$C$14,B507+1,4)</f>
        <v>'[dane surowe2c.xlsm]data_frame'!SL3:SL35</v>
      </c>
      <c r="O507" s="14" t="str">
        <f t="shared" ca="1" si="109"/>
        <v/>
      </c>
      <c r="P507" s="14" t="str">
        <f ca="1">IF(AND($AD507,$S507=1),IF(wew!$B$3,MIN(INDIRECT($N507)),"&lt;włącz podświetlanie wartości&gt;"),"—")</f>
        <v>—</v>
      </c>
      <c r="Q507" s="14" t="str">
        <f ca="1">IF(AND($AD507,$S507=1),IF(wew!$B$3,MAX(INDIRECT($N507)),"&lt;włącz podświetlanie wartości&gt;"),"—")</f>
        <v>—</v>
      </c>
      <c r="R507" s="14" t="str">
        <f ca="1">IF(AD507,ster!$C$14- (COUNTIF( INDIRECT(N507),"" )+ COUNT(INDIRECT(N507)) +COUNTIF( INDIRECT(N507),"NA" )),"")</f>
        <v/>
      </c>
      <c r="S507" s="12" t="str">
        <f ca="1">IF(AD507,IF(COUNTA(INDIRECT(N507))=0,0, 1-(ster!$C$14- COUNT(INDIRECT(N507)) -COUNTIF( INDIRECT(N507),"" )) /COUNTA(INDIRECT(N507))),"")</f>
        <v/>
      </c>
      <c r="T507" s="17" t="str">
        <f t="array" aca="1" ref="T507" ca="1">IF(L507&lt;&gt;"",SUM(IF(INDIRECT(L507)&lt;&gt;INT(INDIRECT(L507)),1,0)),"")</f>
        <v/>
      </c>
      <c r="U507" s="17" t="str">
        <f t="array" aca="1" ref="U507" ca="1">IF(S507=1,SUM(IF(ISNUMBER(INDIRECT(N507)),IF(INDIRECT(N507)&lt;&gt;INT(INDIRECT(N507)),1,0),0)),"")</f>
        <v/>
      </c>
      <c r="V507" s="17">
        <f t="shared" ca="1" si="110"/>
        <v>0</v>
      </c>
      <c r="W507" s="17">
        <f t="shared" ca="1" si="111"/>
        <v>0</v>
      </c>
      <c r="X507" s="24" t="str">
        <f t="array" aca="1" ref="X507" ca="1">IF(AD507,IF(AG507&lt;&gt;"",AG507,IF(J507,MIN(INDIRECT( K507)),"")),"")</f>
        <v/>
      </c>
      <c r="Y507" s="17" t="str">
        <f t="array" aca="1" ref="Y507" ca="1">IF(AD507,IF(AH507&lt;&gt;"",AH507,IF(J507,MAX(INDIRECT( K507)),"")),"")</f>
        <v/>
      </c>
      <c r="Z507" s="17" t="b">
        <f t="shared" ca="1" si="112"/>
        <v>0</v>
      </c>
      <c r="AC507" s="17" t="str">
        <f t="shared" ca="1" si="113"/>
        <v/>
      </c>
      <c r="AD507" s="14" t="b">
        <f t="shared" ca="1" si="114"/>
        <v>0</v>
      </c>
      <c r="AE507" s="15" t="b">
        <f t="shared" ca="1" si="115"/>
        <v>0</v>
      </c>
      <c r="AF507" s="16"/>
      <c r="AG507" s="16"/>
      <c r="AH507" s="16"/>
      <c r="AI507" s="16"/>
      <c r="AJ507" s="16"/>
      <c r="AK507" s="16"/>
      <c r="AL507" s="16"/>
      <c r="AM507" s="16"/>
    </row>
    <row r="508" spans="2:39">
      <c r="B508" s="14">
        <f t="shared" si="104"/>
        <v>506</v>
      </c>
      <c r="C508" s="14" t="str">
        <f t="shared" ca="1" si="105"/>
        <v/>
      </c>
      <c r="D508" s="14" t="str">
        <f t="shared" ca="1" si="106"/>
        <v/>
      </c>
      <c r="E508" s="14" t="str">
        <f t="shared" ca="1" si="103"/>
        <v/>
      </c>
      <c r="F508" s="14">
        <f t="shared" ca="1" si="116"/>
        <v>0</v>
      </c>
      <c r="G508" s="14" t="str">
        <f t="shared" ca="1" si="107"/>
        <v/>
      </c>
      <c r="H508" s="14">
        <f ca="1">IF(G508&lt;&gt;"",IFERROR( IsVariableNameLegal(G508),0),0)+IF(COUNTIF(INDIRECT(wew!$C$13),G508)&gt;1,10,0)</f>
        <v>0</v>
      </c>
      <c r="I508" s="14">
        <f ca="1">IF(E508&lt;&gt;"",IF(LEN(E508)&gt;150,1,0)+IF(COUNTIF(INDIRECT(wew!$C$15),E508)&gt;1,10,0),0)</f>
        <v>0</v>
      </c>
      <c r="J508" s="14" t="b">
        <f t="shared" ca="1" si="108"/>
        <v>0</v>
      </c>
      <c r="K508" s="14" t="str">
        <f ca="1">ADDRESS(3,(B508+1)*2-1,4,,"[" &amp; wew!$G$7 &amp; "]" &amp; _sheetname_labels) &amp; ":" &amp; ADDRESS(2+ster!$B$20,(B508+1)*2-1,4)</f>
        <v>'[dane surowe2c.xlsm]labels'!ALY3:ALY36</v>
      </c>
      <c r="L508" s="14" t="str">
        <f ca="1">IF(F508&gt;0,ADDRESS(3,(B508+1)*2-1,4,,"[" &amp; wew!$G$7 &amp; "]" &amp; _sheetname_labels) &amp; ":" &amp; ADDRESS(2+F508,(B508+1)*2-1,4),"")</f>
        <v/>
      </c>
      <c r="M508" s="14" t="str">
        <f ca="1">IF(F508&gt;0,ADDRESS(3,(B508+1)*2,4,,"["&amp;wew!$G$7&amp;"]"&amp;_sheetname_labels)&amp;":"&amp;ADDRESS(2+F508,(B508+1)*2,4),"")</f>
        <v/>
      </c>
      <c r="N508" s="14" t="str">
        <f ca="1">ADDRESS(3,B508+1,4,,"[" &amp; wew!$G$7 &amp; "]" &amp;_sheetname_dataframe) &amp; ":" &amp; ADDRESS(2+ster!$C$14,B508+1,4)</f>
        <v>'[dane surowe2c.xlsm]data_frame'!SM3:SM35</v>
      </c>
      <c r="O508" s="14" t="str">
        <f t="shared" ca="1" si="109"/>
        <v/>
      </c>
      <c r="P508" s="14" t="str">
        <f ca="1">IF(AND($AD508,$S508=1),IF(wew!$B$3,MIN(INDIRECT($N508)),"&lt;włącz podświetlanie wartości&gt;"),"—")</f>
        <v>—</v>
      </c>
      <c r="Q508" s="14" t="str">
        <f ca="1">IF(AND($AD508,$S508=1),IF(wew!$B$3,MAX(INDIRECT($N508)),"&lt;włącz podświetlanie wartości&gt;"),"—")</f>
        <v>—</v>
      </c>
      <c r="R508" s="14" t="str">
        <f ca="1">IF(AD508,ster!$C$14- (COUNTIF( INDIRECT(N508),"" )+ COUNT(INDIRECT(N508)) +COUNTIF( INDIRECT(N508),"NA" )),"")</f>
        <v/>
      </c>
      <c r="S508" s="12" t="str">
        <f ca="1">IF(AD508,IF(COUNTA(INDIRECT(N508))=0,0, 1-(ster!$C$14- COUNT(INDIRECT(N508)) -COUNTIF( INDIRECT(N508),"" )) /COUNTA(INDIRECT(N508))),"")</f>
        <v/>
      </c>
      <c r="T508" s="17" t="str">
        <f t="array" aca="1" ref="T508" ca="1">IF(L508&lt;&gt;"",SUM(IF(INDIRECT(L508)&lt;&gt;INT(INDIRECT(L508)),1,0)),"")</f>
        <v/>
      </c>
      <c r="U508" s="17" t="str">
        <f t="array" aca="1" ref="U508" ca="1">IF(S508=1,SUM(IF(ISNUMBER(INDIRECT(N508)),IF(INDIRECT(N508)&lt;&gt;INT(INDIRECT(N508)),1,0),0)),"")</f>
        <v/>
      </c>
      <c r="V508" s="17">
        <f t="shared" ca="1" si="110"/>
        <v>0</v>
      </c>
      <c r="W508" s="17">
        <f t="shared" ca="1" si="111"/>
        <v>0</v>
      </c>
      <c r="X508" s="24" t="str">
        <f t="array" aca="1" ref="X508" ca="1">IF(AD508,IF(AG508&lt;&gt;"",AG508,IF(J508,MIN(INDIRECT( K508)),"")),"")</f>
        <v/>
      </c>
      <c r="Y508" s="17" t="str">
        <f t="array" aca="1" ref="Y508" ca="1">IF(AD508,IF(AH508&lt;&gt;"",AH508,IF(J508,MAX(INDIRECT( K508)),"")),"")</f>
        <v/>
      </c>
      <c r="Z508" s="17" t="b">
        <f t="shared" ca="1" si="112"/>
        <v>0</v>
      </c>
      <c r="AC508" s="17" t="str">
        <f t="shared" ca="1" si="113"/>
        <v/>
      </c>
      <c r="AD508" s="14" t="b">
        <f t="shared" ca="1" si="114"/>
        <v>0</v>
      </c>
      <c r="AE508" s="15" t="b">
        <f t="shared" ca="1" si="115"/>
        <v>0</v>
      </c>
      <c r="AF508" s="16"/>
      <c r="AG508" s="16"/>
      <c r="AH508" s="16"/>
      <c r="AI508" s="16"/>
      <c r="AJ508" s="16"/>
      <c r="AK508" s="16"/>
      <c r="AL508" s="16"/>
      <c r="AM508" s="16"/>
    </row>
    <row r="509" spans="2:39">
      <c r="B509" s="14">
        <f t="shared" si="104"/>
        <v>507</v>
      </c>
      <c r="C509" s="14" t="str">
        <f t="shared" ca="1" si="105"/>
        <v/>
      </c>
      <c r="D509" s="14" t="str">
        <f t="shared" ca="1" si="106"/>
        <v/>
      </c>
      <c r="E509" s="14" t="str">
        <f t="shared" ca="1" si="103"/>
        <v/>
      </c>
      <c r="F509" s="14">
        <f t="shared" ca="1" si="116"/>
        <v>0</v>
      </c>
      <c r="G509" s="14" t="str">
        <f t="shared" ca="1" si="107"/>
        <v/>
      </c>
      <c r="H509" s="14">
        <f ca="1">IF(G509&lt;&gt;"",IFERROR( IsVariableNameLegal(G509),0),0)+IF(COUNTIF(INDIRECT(wew!$C$13),G509)&gt;1,10,0)</f>
        <v>0</v>
      </c>
      <c r="I509" s="14">
        <f ca="1">IF(E509&lt;&gt;"",IF(LEN(E509)&gt;150,1,0)+IF(COUNTIF(INDIRECT(wew!$C$15),E509)&gt;1,10,0),0)</f>
        <v>0</v>
      </c>
      <c r="J509" s="14" t="b">
        <f t="shared" ca="1" si="108"/>
        <v>0</v>
      </c>
      <c r="K509" s="14" t="str">
        <f ca="1">ADDRESS(3,(B509+1)*2-1,4,,"[" &amp; wew!$G$7 &amp; "]" &amp; _sheetname_labels) &amp; ":" &amp; ADDRESS(2+ster!$B$20,(B509+1)*2-1,4)</f>
        <v>'[dane surowe2c.xlsm]labels'!AMA3:AMA36</v>
      </c>
      <c r="L509" s="14" t="str">
        <f ca="1">IF(F509&gt;0,ADDRESS(3,(B509+1)*2-1,4,,"[" &amp; wew!$G$7 &amp; "]" &amp; _sheetname_labels) &amp; ":" &amp; ADDRESS(2+F509,(B509+1)*2-1,4),"")</f>
        <v/>
      </c>
      <c r="M509" s="14" t="str">
        <f ca="1">IF(F509&gt;0,ADDRESS(3,(B509+1)*2,4,,"["&amp;wew!$G$7&amp;"]"&amp;_sheetname_labels)&amp;":"&amp;ADDRESS(2+F509,(B509+1)*2,4),"")</f>
        <v/>
      </c>
      <c r="N509" s="14" t="str">
        <f ca="1">ADDRESS(3,B509+1,4,,"[" &amp; wew!$G$7 &amp; "]" &amp;_sheetname_dataframe) &amp; ":" &amp; ADDRESS(2+ster!$C$14,B509+1,4)</f>
        <v>'[dane surowe2c.xlsm]data_frame'!SN3:SN35</v>
      </c>
      <c r="O509" s="14" t="str">
        <f t="shared" ca="1" si="109"/>
        <v/>
      </c>
      <c r="P509" s="14" t="str">
        <f ca="1">IF(AND($AD509,$S509=1),IF(wew!$B$3,MIN(INDIRECT($N509)),"&lt;włącz podświetlanie wartości&gt;"),"—")</f>
        <v>—</v>
      </c>
      <c r="Q509" s="14" t="str">
        <f ca="1">IF(AND($AD509,$S509=1),IF(wew!$B$3,MAX(INDIRECT($N509)),"&lt;włącz podświetlanie wartości&gt;"),"—")</f>
        <v>—</v>
      </c>
      <c r="R509" s="14" t="str">
        <f ca="1">IF(AD509,ster!$C$14- (COUNTIF( INDIRECT(N509),"" )+ COUNT(INDIRECT(N509)) +COUNTIF( INDIRECT(N509),"NA" )),"")</f>
        <v/>
      </c>
      <c r="S509" s="12" t="str">
        <f ca="1">IF(AD509,IF(COUNTA(INDIRECT(N509))=0,0, 1-(ster!$C$14- COUNT(INDIRECT(N509)) -COUNTIF( INDIRECT(N509),"" )) /COUNTA(INDIRECT(N509))),"")</f>
        <v/>
      </c>
      <c r="T509" s="17" t="str">
        <f t="array" aca="1" ref="T509" ca="1">IF(L509&lt;&gt;"",SUM(IF(INDIRECT(L509)&lt;&gt;INT(INDIRECT(L509)),1,0)),"")</f>
        <v/>
      </c>
      <c r="U509" s="17" t="str">
        <f t="array" aca="1" ref="U509" ca="1">IF(S509=1,SUM(IF(ISNUMBER(INDIRECT(N509)),IF(INDIRECT(N509)&lt;&gt;INT(INDIRECT(N509)),1,0),0)),"")</f>
        <v/>
      </c>
      <c r="V509" s="17">
        <f t="shared" ca="1" si="110"/>
        <v>0</v>
      </c>
      <c r="W509" s="17">
        <f t="shared" ca="1" si="111"/>
        <v>0</v>
      </c>
      <c r="X509" s="24" t="str">
        <f t="array" aca="1" ref="X509" ca="1">IF(AD509,IF(AG509&lt;&gt;"",AG509,IF(J509,MIN(INDIRECT( K509)),"")),"")</f>
        <v/>
      </c>
      <c r="Y509" s="17" t="str">
        <f t="array" aca="1" ref="Y509" ca="1">IF(AD509,IF(AH509&lt;&gt;"",AH509,IF(J509,MAX(INDIRECT( K509)),"")),"")</f>
        <v/>
      </c>
      <c r="Z509" s="17" t="b">
        <f t="shared" ca="1" si="112"/>
        <v>0</v>
      </c>
      <c r="AC509" s="17" t="str">
        <f t="shared" ca="1" si="113"/>
        <v/>
      </c>
      <c r="AD509" s="14" t="b">
        <f t="shared" ca="1" si="114"/>
        <v>0</v>
      </c>
      <c r="AE509" s="15" t="b">
        <f t="shared" ca="1" si="115"/>
        <v>0</v>
      </c>
      <c r="AF509" s="16"/>
      <c r="AG509" s="16"/>
      <c r="AH509" s="16"/>
      <c r="AI509" s="16"/>
      <c r="AJ509" s="16"/>
      <c r="AK509" s="16"/>
      <c r="AL509" s="16"/>
      <c r="AM509" s="16"/>
    </row>
    <row r="510" spans="2:39">
      <c r="B510" s="14">
        <f t="shared" si="104"/>
        <v>508</v>
      </c>
      <c r="C510" s="14" t="str">
        <f t="shared" ca="1" si="105"/>
        <v/>
      </c>
      <c r="D510" s="14" t="str">
        <f t="shared" ca="1" si="106"/>
        <v/>
      </c>
      <c r="E510" s="14" t="str">
        <f t="shared" ca="1" si="103"/>
        <v/>
      </c>
      <c r="F510" s="14">
        <f t="shared" ca="1" si="116"/>
        <v>0</v>
      </c>
      <c r="G510" s="14" t="str">
        <f t="shared" ca="1" si="107"/>
        <v/>
      </c>
      <c r="H510" s="14">
        <f ca="1">IF(G510&lt;&gt;"",IFERROR( IsVariableNameLegal(G510),0),0)+IF(COUNTIF(INDIRECT(wew!$C$13),G510)&gt;1,10,0)</f>
        <v>0</v>
      </c>
      <c r="I510" s="14">
        <f ca="1">IF(E510&lt;&gt;"",IF(LEN(E510)&gt;150,1,0)+IF(COUNTIF(INDIRECT(wew!$C$15),E510)&gt;1,10,0),0)</f>
        <v>0</v>
      </c>
      <c r="J510" s="14" t="b">
        <f t="shared" ca="1" si="108"/>
        <v>0</v>
      </c>
      <c r="K510" s="14" t="str">
        <f ca="1">ADDRESS(3,(B510+1)*2-1,4,,"[" &amp; wew!$G$7 &amp; "]" &amp; _sheetname_labels) &amp; ":" &amp; ADDRESS(2+ster!$B$20,(B510+1)*2-1,4)</f>
        <v>'[dane surowe2c.xlsm]labels'!AMC3:AMC36</v>
      </c>
      <c r="L510" s="14" t="str">
        <f ca="1">IF(F510&gt;0,ADDRESS(3,(B510+1)*2-1,4,,"[" &amp; wew!$G$7 &amp; "]" &amp; _sheetname_labels) &amp; ":" &amp; ADDRESS(2+F510,(B510+1)*2-1,4),"")</f>
        <v/>
      </c>
      <c r="M510" s="14" t="str">
        <f ca="1">IF(F510&gt;0,ADDRESS(3,(B510+1)*2,4,,"["&amp;wew!$G$7&amp;"]"&amp;_sheetname_labels)&amp;":"&amp;ADDRESS(2+F510,(B510+1)*2,4),"")</f>
        <v/>
      </c>
      <c r="N510" s="14" t="str">
        <f ca="1">ADDRESS(3,B510+1,4,,"[" &amp; wew!$G$7 &amp; "]" &amp;_sheetname_dataframe) &amp; ":" &amp; ADDRESS(2+ster!$C$14,B510+1,4)</f>
        <v>'[dane surowe2c.xlsm]data_frame'!SO3:SO35</v>
      </c>
      <c r="O510" s="14" t="str">
        <f t="shared" ca="1" si="109"/>
        <v/>
      </c>
      <c r="P510" s="14" t="str">
        <f ca="1">IF(AND($AD510,$S510=1),IF(wew!$B$3,MIN(INDIRECT($N510)),"&lt;włącz podświetlanie wartości&gt;"),"—")</f>
        <v>—</v>
      </c>
      <c r="Q510" s="14" t="str">
        <f ca="1">IF(AND($AD510,$S510=1),IF(wew!$B$3,MAX(INDIRECT($N510)),"&lt;włącz podświetlanie wartości&gt;"),"—")</f>
        <v>—</v>
      </c>
      <c r="R510" s="14" t="str">
        <f ca="1">IF(AD510,ster!$C$14- (COUNTIF( INDIRECT(N510),"" )+ COUNT(INDIRECT(N510)) +COUNTIF( INDIRECT(N510),"NA" )),"")</f>
        <v/>
      </c>
      <c r="S510" s="12" t="str">
        <f ca="1">IF(AD510,IF(COUNTA(INDIRECT(N510))=0,0, 1-(ster!$C$14- COUNT(INDIRECT(N510)) -COUNTIF( INDIRECT(N510),"" )) /COUNTA(INDIRECT(N510))),"")</f>
        <v/>
      </c>
      <c r="T510" s="17" t="str">
        <f t="array" aca="1" ref="T510" ca="1">IF(L510&lt;&gt;"",SUM(IF(INDIRECT(L510)&lt;&gt;INT(INDIRECT(L510)),1,0)),"")</f>
        <v/>
      </c>
      <c r="U510" s="17" t="str">
        <f t="array" aca="1" ref="U510" ca="1">IF(S510=1,SUM(IF(ISNUMBER(INDIRECT(N510)),IF(INDIRECT(N510)&lt;&gt;INT(INDIRECT(N510)),1,0),0)),"")</f>
        <v/>
      </c>
      <c r="V510" s="17">
        <f t="shared" ca="1" si="110"/>
        <v>0</v>
      </c>
      <c r="W510" s="17">
        <f t="shared" ca="1" si="111"/>
        <v>0</v>
      </c>
      <c r="X510" s="24" t="str">
        <f t="array" aca="1" ref="X510" ca="1">IF(AD510,IF(AG510&lt;&gt;"",AG510,IF(J510,MIN(INDIRECT( K510)),"")),"")</f>
        <v/>
      </c>
      <c r="Y510" s="17" t="str">
        <f t="array" aca="1" ref="Y510" ca="1">IF(AD510,IF(AH510&lt;&gt;"",AH510,IF(J510,MAX(INDIRECT( K510)),"")),"")</f>
        <v/>
      </c>
      <c r="Z510" s="17" t="b">
        <f t="shared" ca="1" si="112"/>
        <v>0</v>
      </c>
      <c r="AC510" s="17" t="str">
        <f t="shared" ca="1" si="113"/>
        <v/>
      </c>
      <c r="AD510" s="14" t="b">
        <f t="shared" ca="1" si="114"/>
        <v>0</v>
      </c>
      <c r="AE510" s="15" t="b">
        <f t="shared" ca="1" si="115"/>
        <v>0</v>
      </c>
      <c r="AF510" s="16"/>
      <c r="AG510" s="16"/>
      <c r="AH510" s="16"/>
      <c r="AI510" s="16"/>
      <c r="AJ510" s="16"/>
      <c r="AK510" s="16"/>
      <c r="AL510" s="16"/>
      <c r="AM510" s="16"/>
    </row>
    <row r="511" spans="2:39">
      <c r="B511" s="14">
        <f t="shared" si="104"/>
        <v>509</v>
      </c>
      <c r="C511" s="14" t="str">
        <f t="shared" ca="1" si="105"/>
        <v/>
      </c>
      <c r="D511" s="14" t="str">
        <f t="shared" ca="1" si="106"/>
        <v/>
      </c>
      <c r="E511" s="14" t="str">
        <f t="shared" ca="1" si="103"/>
        <v/>
      </c>
      <c r="F511" s="14">
        <f t="shared" ca="1" si="116"/>
        <v>0</v>
      </c>
      <c r="G511" s="14" t="str">
        <f t="shared" ca="1" si="107"/>
        <v/>
      </c>
      <c r="H511" s="14">
        <f ca="1">IF(G511&lt;&gt;"",IFERROR( IsVariableNameLegal(G511),0),0)+IF(COUNTIF(INDIRECT(wew!$C$13),G511)&gt;1,10,0)</f>
        <v>0</v>
      </c>
      <c r="I511" s="14">
        <f ca="1">IF(E511&lt;&gt;"",IF(LEN(E511)&gt;150,1,0)+IF(COUNTIF(INDIRECT(wew!$C$15),E511)&gt;1,10,0),0)</f>
        <v>0</v>
      </c>
      <c r="J511" s="14" t="b">
        <f t="shared" ca="1" si="108"/>
        <v>0</v>
      </c>
      <c r="K511" s="14" t="str">
        <f ca="1">ADDRESS(3,(B511+1)*2-1,4,,"[" &amp; wew!$G$7 &amp; "]" &amp; _sheetname_labels) &amp; ":" &amp; ADDRESS(2+ster!$B$20,(B511+1)*2-1,4)</f>
        <v>'[dane surowe2c.xlsm]labels'!AME3:AME36</v>
      </c>
      <c r="L511" s="14" t="str">
        <f ca="1">IF(F511&gt;0,ADDRESS(3,(B511+1)*2-1,4,,"[" &amp; wew!$G$7 &amp; "]" &amp; _sheetname_labels) &amp; ":" &amp; ADDRESS(2+F511,(B511+1)*2-1,4),"")</f>
        <v/>
      </c>
      <c r="M511" s="14" t="str">
        <f ca="1">IF(F511&gt;0,ADDRESS(3,(B511+1)*2,4,,"["&amp;wew!$G$7&amp;"]"&amp;_sheetname_labels)&amp;":"&amp;ADDRESS(2+F511,(B511+1)*2,4),"")</f>
        <v/>
      </c>
      <c r="N511" s="14" t="str">
        <f ca="1">ADDRESS(3,B511+1,4,,"[" &amp; wew!$G$7 &amp; "]" &amp;_sheetname_dataframe) &amp; ":" &amp; ADDRESS(2+ster!$C$14,B511+1,4)</f>
        <v>'[dane surowe2c.xlsm]data_frame'!SP3:SP35</v>
      </c>
      <c r="O511" s="14" t="str">
        <f t="shared" ca="1" si="109"/>
        <v/>
      </c>
      <c r="P511" s="14" t="str">
        <f ca="1">IF(AND($AD511,$S511=1),IF(wew!$B$3,MIN(INDIRECT($N511)),"&lt;włącz podświetlanie wartości&gt;"),"—")</f>
        <v>—</v>
      </c>
      <c r="Q511" s="14" t="str">
        <f ca="1">IF(AND($AD511,$S511=1),IF(wew!$B$3,MAX(INDIRECT($N511)),"&lt;włącz podświetlanie wartości&gt;"),"—")</f>
        <v>—</v>
      </c>
      <c r="R511" s="14" t="str">
        <f ca="1">IF(AD511,ster!$C$14- (COUNTIF( INDIRECT(N511),"" )+ COUNT(INDIRECT(N511)) +COUNTIF( INDIRECT(N511),"NA" )),"")</f>
        <v/>
      </c>
      <c r="S511" s="12" t="str">
        <f ca="1">IF(AD511,IF(COUNTA(INDIRECT(N511))=0,0, 1-(ster!$C$14- COUNT(INDIRECT(N511)) -COUNTIF( INDIRECT(N511),"" )) /COUNTA(INDIRECT(N511))),"")</f>
        <v/>
      </c>
      <c r="T511" s="17" t="str">
        <f t="array" aca="1" ref="T511" ca="1">IF(L511&lt;&gt;"",SUM(IF(INDIRECT(L511)&lt;&gt;INT(INDIRECT(L511)),1,0)),"")</f>
        <v/>
      </c>
      <c r="U511" s="17" t="str">
        <f t="array" aca="1" ref="U511" ca="1">IF(S511=1,SUM(IF(ISNUMBER(INDIRECT(N511)),IF(INDIRECT(N511)&lt;&gt;INT(INDIRECT(N511)),1,0),0)),"")</f>
        <v/>
      </c>
      <c r="V511" s="17">
        <f t="shared" ca="1" si="110"/>
        <v>0</v>
      </c>
      <c r="W511" s="17">
        <f t="shared" ca="1" si="111"/>
        <v>0</v>
      </c>
      <c r="X511" s="24" t="str">
        <f t="array" aca="1" ref="X511" ca="1">IF(AD511,IF(AG511&lt;&gt;"",AG511,IF(J511,MIN(INDIRECT( K511)),"")),"")</f>
        <v/>
      </c>
      <c r="Y511" s="17" t="str">
        <f t="array" aca="1" ref="Y511" ca="1">IF(AD511,IF(AH511&lt;&gt;"",AH511,IF(J511,MAX(INDIRECT( K511)),"")),"")</f>
        <v/>
      </c>
      <c r="Z511" s="17" t="b">
        <f t="shared" ca="1" si="112"/>
        <v>0</v>
      </c>
      <c r="AC511" s="17" t="str">
        <f t="shared" ca="1" si="113"/>
        <v/>
      </c>
      <c r="AD511" s="14" t="b">
        <f t="shared" ca="1" si="114"/>
        <v>0</v>
      </c>
      <c r="AE511" s="15" t="b">
        <f t="shared" ca="1" si="115"/>
        <v>0</v>
      </c>
      <c r="AF511" s="16"/>
      <c r="AG511" s="16"/>
      <c r="AH511" s="16"/>
      <c r="AI511" s="16"/>
      <c r="AJ511" s="16"/>
      <c r="AK511" s="16"/>
      <c r="AL511" s="16"/>
      <c r="AM511" s="16"/>
    </row>
    <row r="512" spans="2:39">
      <c r="B512" s="14">
        <f t="shared" si="104"/>
        <v>510</v>
      </c>
      <c r="C512" s="14" t="str">
        <f t="shared" ca="1" si="105"/>
        <v/>
      </c>
      <c r="D512" s="14" t="str">
        <f t="shared" ca="1" si="106"/>
        <v/>
      </c>
      <c r="E512" s="14" t="str">
        <f t="shared" ca="1" si="103"/>
        <v/>
      </c>
      <c r="F512" s="14">
        <f t="shared" ca="1" si="116"/>
        <v>0</v>
      </c>
      <c r="G512" s="14" t="str">
        <f t="shared" ca="1" si="107"/>
        <v/>
      </c>
      <c r="H512" s="14">
        <f ca="1">IF(G512&lt;&gt;"",IFERROR( IsVariableNameLegal(G512),0),0)+IF(COUNTIF(INDIRECT(wew!$C$13),G512)&gt;1,10,0)</f>
        <v>0</v>
      </c>
      <c r="I512" s="14">
        <f ca="1">IF(E512&lt;&gt;"",IF(LEN(E512)&gt;150,1,0)+IF(COUNTIF(INDIRECT(wew!$C$15),E512)&gt;1,10,0),0)</f>
        <v>0</v>
      </c>
      <c r="J512" s="14" t="b">
        <f t="shared" ca="1" si="108"/>
        <v>0</v>
      </c>
      <c r="K512" s="14" t="str">
        <f ca="1">ADDRESS(3,(B512+1)*2-1,4,,"[" &amp; wew!$G$7 &amp; "]" &amp; _sheetname_labels) &amp; ":" &amp; ADDRESS(2+ster!$B$20,(B512+1)*2-1,4)</f>
        <v>'[dane surowe2c.xlsm]labels'!AMG3:AMG36</v>
      </c>
      <c r="L512" s="14" t="str">
        <f ca="1">IF(F512&gt;0,ADDRESS(3,(B512+1)*2-1,4,,"[" &amp; wew!$G$7 &amp; "]" &amp; _sheetname_labels) &amp; ":" &amp; ADDRESS(2+F512,(B512+1)*2-1,4),"")</f>
        <v/>
      </c>
      <c r="M512" s="14" t="str">
        <f ca="1">IF(F512&gt;0,ADDRESS(3,(B512+1)*2,4,,"["&amp;wew!$G$7&amp;"]"&amp;_sheetname_labels)&amp;":"&amp;ADDRESS(2+F512,(B512+1)*2,4),"")</f>
        <v/>
      </c>
      <c r="N512" s="14" t="str">
        <f ca="1">ADDRESS(3,B512+1,4,,"[" &amp; wew!$G$7 &amp; "]" &amp;_sheetname_dataframe) &amp; ":" &amp; ADDRESS(2+ster!$C$14,B512+1,4)</f>
        <v>'[dane surowe2c.xlsm]data_frame'!SQ3:SQ35</v>
      </c>
      <c r="O512" s="14" t="str">
        <f t="shared" ca="1" si="109"/>
        <v/>
      </c>
      <c r="P512" s="14" t="str">
        <f ca="1">IF(AND($AD512,$S512=1),IF(wew!$B$3,MIN(INDIRECT($N512)),"&lt;włącz podświetlanie wartości&gt;"),"—")</f>
        <v>—</v>
      </c>
      <c r="Q512" s="14" t="str">
        <f ca="1">IF(AND($AD512,$S512=1),IF(wew!$B$3,MAX(INDIRECT($N512)),"&lt;włącz podświetlanie wartości&gt;"),"—")</f>
        <v>—</v>
      </c>
      <c r="R512" s="14" t="str">
        <f ca="1">IF(AD512,ster!$C$14- (COUNTIF( INDIRECT(N512),"" )+ COUNT(INDIRECT(N512)) +COUNTIF( INDIRECT(N512),"NA" )),"")</f>
        <v/>
      </c>
      <c r="S512" s="12" t="str">
        <f ca="1">IF(AD512,IF(COUNTA(INDIRECT(N512))=0,0, 1-(ster!$C$14- COUNT(INDIRECT(N512)) -COUNTIF( INDIRECT(N512),"" )) /COUNTA(INDIRECT(N512))),"")</f>
        <v/>
      </c>
      <c r="T512" s="17" t="str">
        <f t="array" aca="1" ref="T512" ca="1">IF(L512&lt;&gt;"",SUM(IF(INDIRECT(L512)&lt;&gt;INT(INDIRECT(L512)),1,0)),"")</f>
        <v/>
      </c>
      <c r="U512" s="17" t="str">
        <f t="array" aca="1" ref="U512" ca="1">IF(S512=1,SUM(IF(ISNUMBER(INDIRECT(N512)),IF(INDIRECT(N512)&lt;&gt;INT(INDIRECT(N512)),1,0),0)),"")</f>
        <v/>
      </c>
      <c r="V512" s="17">
        <f t="shared" ca="1" si="110"/>
        <v>0</v>
      </c>
      <c r="W512" s="17">
        <f t="shared" ca="1" si="111"/>
        <v>0</v>
      </c>
      <c r="X512" s="24" t="str">
        <f t="array" aca="1" ref="X512" ca="1">IF(AD512,IF(AG512&lt;&gt;"",AG512,IF(J512,MIN(INDIRECT( K512)),"")),"")</f>
        <v/>
      </c>
      <c r="Y512" s="17" t="str">
        <f t="array" aca="1" ref="Y512" ca="1">IF(AD512,IF(AH512&lt;&gt;"",AH512,IF(J512,MAX(INDIRECT( K512)),"")),"")</f>
        <v/>
      </c>
      <c r="Z512" s="17" t="b">
        <f t="shared" ca="1" si="112"/>
        <v>0</v>
      </c>
      <c r="AC512" s="17" t="str">
        <f t="shared" ca="1" si="113"/>
        <v/>
      </c>
      <c r="AD512" s="14" t="b">
        <f t="shared" ca="1" si="114"/>
        <v>0</v>
      </c>
      <c r="AE512" s="15" t="b">
        <f t="shared" ca="1" si="115"/>
        <v>0</v>
      </c>
      <c r="AF512" s="16"/>
      <c r="AG512" s="16"/>
      <c r="AH512" s="16"/>
      <c r="AI512" s="16"/>
      <c r="AJ512" s="16"/>
      <c r="AK512" s="16"/>
      <c r="AL512" s="16"/>
      <c r="AM512" s="16"/>
    </row>
    <row r="513" spans="2:39">
      <c r="B513" s="14">
        <f t="shared" si="104"/>
        <v>511</v>
      </c>
      <c r="C513" s="14" t="str">
        <f t="shared" ca="1" si="105"/>
        <v/>
      </c>
      <c r="D513" s="14" t="str">
        <f t="shared" ca="1" si="106"/>
        <v/>
      </c>
      <c r="E513" s="14" t="str">
        <f t="shared" ca="1" si="103"/>
        <v/>
      </c>
      <c r="F513" s="14">
        <f t="shared" ca="1" si="116"/>
        <v>0</v>
      </c>
      <c r="G513" s="14" t="str">
        <f t="shared" ca="1" si="107"/>
        <v/>
      </c>
      <c r="H513" s="14">
        <f ca="1">IF(G513&lt;&gt;"",IFERROR( IsVariableNameLegal(G513),0),0)+IF(COUNTIF(INDIRECT(wew!$C$13),G513)&gt;1,10,0)</f>
        <v>0</v>
      </c>
      <c r="I513" s="14">
        <f ca="1">IF(E513&lt;&gt;"",IF(LEN(E513)&gt;150,1,0)+IF(COUNTIF(INDIRECT(wew!$C$15),E513)&gt;1,10,0),0)</f>
        <v>0</v>
      </c>
      <c r="J513" s="14" t="b">
        <f t="shared" ca="1" si="108"/>
        <v>0</v>
      </c>
      <c r="K513" s="14" t="str">
        <f ca="1">ADDRESS(3,(B513+1)*2-1,4,,"[" &amp; wew!$G$7 &amp; "]" &amp; _sheetname_labels) &amp; ":" &amp; ADDRESS(2+ster!$B$20,(B513+1)*2-1,4)</f>
        <v>'[dane surowe2c.xlsm]labels'!AMI3:AMI36</v>
      </c>
      <c r="L513" s="14" t="str">
        <f ca="1">IF(F513&gt;0,ADDRESS(3,(B513+1)*2-1,4,,"[" &amp; wew!$G$7 &amp; "]" &amp; _sheetname_labels) &amp; ":" &amp; ADDRESS(2+F513,(B513+1)*2-1,4),"")</f>
        <v/>
      </c>
      <c r="M513" s="14" t="str">
        <f ca="1">IF(F513&gt;0,ADDRESS(3,(B513+1)*2,4,,"["&amp;wew!$G$7&amp;"]"&amp;_sheetname_labels)&amp;":"&amp;ADDRESS(2+F513,(B513+1)*2,4),"")</f>
        <v/>
      </c>
      <c r="N513" s="14" t="str">
        <f ca="1">ADDRESS(3,B513+1,4,,"[" &amp; wew!$G$7 &amp; "]" &amp;_sheetname_dataframe) &amp; ":" &amp; ADDRESS(2+ster!$C$14,B513+1,4)</f>
        <v>'[dane surowe2c.xlsm]data_frame'!SR3:SR35</v>
      </c>
      <c r="O513" s="14" t="str">
        <f t="shared" ca="1" si="109"/>
        <v/>
      </c>
      <c r="P513" s="14" t="str">
        <f ca="1">IF(AND($AD513,$S513=1),IF(wew!$B$3,MIN(INDIRECT($N513)),"&lt;włącz podświetlanie wartości&gt;"),"—")</f>
        <v>—</v>
      </c>
      <c r="Q513" s="14" t="str">
        <f ca="1">IF(AND($AD513,$S513=1),IF(wew!$B$3,MAX(INDIRECT($N513)),"&lt;włącz podświetlanie wartości&gt;"),"—")</f>
        <v>—</v>
      </c>
      <c r="R513" s="14" t="str">
        <f ca="1">IF(AD513,ster!$C$14- (COUNTIF( INDIRECT(N513),"" )+ COUNT(INDIRECT(N513)) +COUNTIF( INDIRECT(N513),"NA" )),"")</f>
        <v/>
      </c>
      <c r="S513" s="12" t="str">
        <f ca="1">IF(AD513,IF(COUNTA(INDIRECT(N513))=0,0, 1-(ster!$C$14- COUNT(INDIRECT(N513)) -COUNTIF( INDIRECT(N513),"" )) /COUNTA(INDIRECT(N513))),"")</f>
        <v/>
      </c>
      <c r="T513" s="17" t="str">
        <f t="array" aca="1" ref="T513" ca="1">IF(L513&lt;&gt;"",SUM(IF(INDIRECT(L513)&lt;&gt;INT(INDIRECT(L513)),1,0)),"")</f>
        <v/>
      </c>
      <c r="U513" s="17" t="str">
        <f t="array" aca="1" ref="U513" ca="1">IF(S513=1,SUM(IF(ISNUMBER(INDIRECT(N513)),IF(INDIRECT(N513)&lt;&gt;INT(INDIRECT(N513)),1,0),0)),"")</f>
        <v/>
      </c>
      <c r="V513" s="17">
        <f t="shared" ca="1" si="110"/>
        <v>0</v>
      </c>
      <c r="W513" s="17">
        <f t="shared" ca="1" si="111"/>
        <v>0</v>
      </c>
      <c r="X513" s="24" t="str">
        <f t="array" aca="1" ref="X513" ca="1">IF(AD513,IF(AG513&lt;&gt;"",AG513,IF(J513,MIN(INDIRECT( K513)),"")),"")</f>
        <v/>
      </c>
      <c r="Y513" s="17" t="str">
        <f t="array" aca="1" ref="Y513" ca="1">IF(AD513,IF(AH513&lt;&gt;"",AH513,IF(J513,MAX(INDIRECT( K513)),"")),"")</f>
        <v/>
      </c>
      <c r="Z513" s="17" t="b">
        <f t="shared" ca="1" si="112"/>
        <v>0</v>
      </c>
      <c r="AC513" s="17" t="str">
        <f t="shared" ca="1" si="113"/>
        <v/>
      </c>
      <c r="AD513" s="14" t="b">
        <f t="shared" ca="1" si="114"/>
        <v>0</v>
      </c>
      <c r="AE513" s="15" t="b">
        <f t="shared" ca="1" si="115"/>
        <v>0</v>
      </c>
      <c r="AF513" s="16"/>
      <c r="AG513" s="16"/>
      <c r="AH513" s="16"/>
      <c r="AI513" s="16"/>
      <c r="AJ513" s="16"/>
      <c r="AK513" s="16"/>
      <c r="AL513" s="16"/>
      <c r="AM513" s="16"/>
    </row>
    <row r="514" spans="2:39">
      <c r="B514" s="14">
        <f t="shared" si="104"/>
        <v>512</v>
      </c>
      <c r="C514" s="14" t="str">
        <f t="shared" ca="1" si="105"/>
        <v/>
      </c>
      <c r="D514" s="14" t="str">
        <f t="shared" ca="1" si="106"/>
        <v/>
      </c>
      <c r="E514" s="14" t="str">
        <f t="shared" ref="E514:E547" ca="1" si="117">IF(AD514,IF(INDIRECT(ADDRESS(1,ROW(A513),,,_sheetname_dataframe))="","",INDIRECT(ADDRESS(1,ROW(A513),,,_sheetname_dataframe))),"")</f>
        <v/>
      </c>
      <c r="F514" s="14">
        <f t="shared" ca="1" si="116"/>
        <v>0</v>
      </c>
      <c r="G514" s="14" t="str">
        <f t="shared" ca="1" si="107"/>
        <v/>
      </c>
      <c r="H514" s="14">
        <f ca="1">IF(G514&lt;&gt;"",IFERROR( IsVariableNameLegal(G514),0),0)+IF(COUNTIF(INDIRECT(wew!$C$13),G514)&gt;1,10,0)</f>
        <v>0</v>
      </c>
      <c r="I514" s="14">
        <f ca="1">IF(E514&lt;&gt;"",IF(LEN(E514)&gt;150,1,0)+IF(COUNTIF(INDIRECT(wew!$C$15),E514)&gt;1,10,0),0)</f>
        <v>0</v>
      </c>
      <c r="J514" s="14" t="b">
        <f t="shared" ca="1" si="108"/>
        <v>0</v>
      </c>
      <c r="K514" s="14" t="str">
        <f ca="1">ADDRESS(3,(B514+1)*2-1,4,,"[" &amp; wew!$G$7 &amp; "]" &amp; _sheetname_labels) &amp; ":" &amp; ADDRESS(2+ster!$B$20,(B514+1)*2-1,4)</f>
        <v>'[dane surowe2c.xlsm]labels'!AMK3:AMK36</v>
      </c>
      <c r="L514" s="14" t="str">
        <f ca="1">IF(F514&gt;0,ADDRESS(3,(B514+1)*2-1,4,,"[" &amp; wew!$G$7 &amp; "]" &amp; _sheetname_labels) &amp; ":" &amp; ADDRESS(2+F514,(B514+1)*2-1,4),"")</f>
        <v/>
      </c>
      <c r="M514" s="14" t="str">
        <f ca="1">IF(F514&gt;0,ADDRESS(3,(B514+1)*2,4,,"["&amp;wew!$G$7&amp;"]"&amp;_sheetname_labels)&amp;":"&amp;ADDRESS(2+F514,(B514+1)*2,4),"")</f>
        <v/>
      </c>
      <c r="N514" s="14" t="str">
        <f ca="1">ADDRESS(3,B514+1,4,,"[" &amp; wew!$G$7 &amp; "]" &amp;_sheetname_dataframe) &amp; ":" &amp; ADDRESS(2+ster!$C$14,B514+1,4)</f>
        <v>'[dane surowe2c.xlsm]data_frame'!SS3:SS35</v>
      </c>
      <c r="O514" s="14" t="str">
        <f t="shared" ca="1" si="109"/>
        <v/>
      </c>
      <c r="P514" s="14" t="str">
        <f ca="1">IF(AND($AD514,$S514=1),IF(wew!$B$3,MIN(INDIRECT($N514)),"&lt;włącz podświetlanie wartości&gt;"),"—")</f>
        <v>—</v>
      </c>
      <c r="Q514" s="14" t="str">
        <f ca="1">IF(AND($AD514,$S514=1),IF(wew!$B$3,MAX(INDIRECT($N514)),"&lt;włącz podświetlanie wartości&gt;"),"—")</f>
        <v>—</v>
      </c>
      <c r="R514" s="14" t="str">
        <f ca="1">IF(AD514,ster!$C$14- (COUNTIF( INDIRECT(N514),"" )+ COUNT(INDIRECT(N514)) +COUNTIF( INDIRECT(N514),"NA" )),"")</f>
        <v/>
      </c>
      <c r="S514" s="12" t="str">
        <f ca="1">IF(AD514,IF(COUNTA(INDIRECT(N514))=0,0, 1-(ster!$C$14- COUNT(INDIRECT(N514)) -COUNTIF( INDIRECT(N514),"" )) /COUNTA(INDIRECT(N514))),"")</f>
        <v/>
      </c>
      <c r="T514" s="17" t="str">
        <f t="array" aca="1" ref="T514" ca="1">IF(L514&lt;&gt;"",SUM(IF(INDIRECT(L514)&lt;&gt;INT(INDIRECT(L514)),1,0)),"")</f>
        <v/>
      </c>
      <c r="U514" s="17" t="str">
        <f t="array" aca="1" ref="U514" ca="1">IF(S514=1,SUM(IF(ISNUMBER(INDIRECT(N514)),IF(INDIRECT(N514)&lt;&gt;INT(INDIRECT(N514)),1,0),0)),"")</f>
        <v/>
      </c>
      <c r="V514" s="17">
        <f t="shared" ca="1" si="110"/>
        <v>0</v>
      </c>
      <c r="W514" s="17">
        <f t="shared" ca="1" si="111"/>
        <v>0</v>
      </c>
      <c r="X514" s="24" t="str">
        <f t="array" aca="1" ref="X514" ca="1">IF(AD514,IF(AG514&lt;&gt;"",AG514,IF(J514,MIN(INDIRECT( K514)),"")),"")</f>
        <v/>
      </c>
      <c r="Y514" s="17" t="str">
        <f t="array" aca="1" ref="Y514" ca="1">IF(AD514,IF(AH514&lt;&gt;"",AH514,IF(J514,MAX(INDIRECT( K514)),"")),"")</f>
        <v/>
      </c>
      <c r="Z514" s="17" t="b">
        <f t="shared" ca="1" si="112"/>
        <v>0</v>
      </c>
      <c r="AC514" s="17" t="str">
        <f t="shared" ca="1" si="113"/>
        <v/>
      </c>
      <c r="AD514" s="14" t="b">
        <f t="shared" ca="1" si="114"/>
        <v>0</v>
      </c>
      <c r="AE514" s="15" t="b">
        <f t="shared" ca="1" si="115"/>
        <v>0</v>
      </c>
      <c r="AF514" s="16"/>
      <c r="AG514" s="16"/>
      <c r="AH514" s="16"/>
      <c r="AI514" s="16"/>
      <c r="AJ514" s="16"/>
      <c r="AK514" s="16"/>
      <c r="AL514" s="16"/>
      <c r="AM514" s="16"/>
    </row>
    <row r="515" spans="2:39">
      <c r="B515" s="14">
        <f t="shared" ref="B515:B547" si="118">ROW(A515)-2</f>
        <v>513</v>
      </c>
      <c r="C515" s="14" t="str">
        <f t="shared" ref="C515:C547" ca="1" si="119">IF(OR(E515="",ROW(E515)=2),"",IF(R515&gt;0,"S",IF(J515,IF(F515=2,"D","N"),"I")))</f>
        <v/>
      </c>
      <c r="D515" s="14" t="str">
        <f t="shared" ref="D515:D547" ca="1" si="120">IFERROR(CHOOSE(H515+1,G515,"Nazwa musi zaczynać się od litery:" &amp; G515, "Nazwa nie może kończyć się kropką","Nazwa nie może kończyć się podkreśleniem","Nazwa nie może być dłuższa od 64 znaków","?","Ta nazwa jest zarezerwowana i nie może być użyta"),G515)</f>
        <v/>
      </c>
      <c r="E515" s="14" t="str">
        <f t="shared" ca="1" si="117"/>
        <v/>
      </c>
      <c r="F515" s="14">
        <f t="shared" ca="1" si="116"/>
        <v>0</v>
      </c>
      <c r="G515" s="14" t="str">
        <f t="shared" ref="G515:G547" ca="1" si="121">IF(AD515,INDIRECT(ADDRESS(2,ROW(A514),,,_sheetname_dataframe)),"")</f>
        <v/>
      </c>
      <c r="H515" s="14">
        <f ca="1">IF(G515&lt;&gt;"",IFERROR( IsVariableNameLegal(G515),0),0)+IF(COUNTIF(INDIRECT(wew!$C$13),G515)&gt;1,10,0)</f>
        <v>0</v>
      </c>
      <c r="I515" s="14">
        <f ca="1">IF(E515&lt;&gt;"",IF(LEN(E515)&gt;150,1,0)+IF(COUNTIF(INDIRECT(wew!$C$15),E515)&gt;1,10,0),0)</f>
        <v>0</v>
      </c>
      <c r="J515" s="14" t="b">
        <f t="shared" ref="J515:J547" ca="1" si="122">F515&gt;0</f>
        <v>0</v>
      </c>
      <c r="K515" s="14" t="str">
        <f ca="1">ADDRESS(3,(B515+1)*2-1,4,,"[" &amp; wew!$G$7 &amp; "]" &amp; _sheetname_labels) &amp; ":" &amp; ADDRESS(2+ster!$B$20,(B515+1)*2-1,4)</f>
        <v>'[dane surowe2c.xlsm]labels'!AMM3:AMM36</v>
      </c>
      <c r="L515" s="14" t="str">
        <f ca="1">IF(F515&gt;0,ADDRESS(3,(B515+1)*2-1,4,,"[" &amp; wew!$G$7 &amp; "]" &amp; _sheetname_labels) &amp; ":" &amp; ADDRESS(2+F515,(B515+1)*2-1,4),"")</f>
        <v/>
      </c>
      <c r="M515" s="14" t="str">
        <f ca="1">IF(F515&gt;0,ADDRESS(3,(B515+1)*2,4,,"["&amp;wew!$G$7&amp;"]"&amp;_sheetname_labels)&amp;":"&amp;ADDRESS(2+F515,(B515+1)*2,4),"")</f>
        <v/>
      </c>
      <c r="N515" s="14" t="str">
        <f ca="1">ADDRESS(3,B515+1,4,,"[" &amp; wew!$G$7 &amp; "]" &amp;_sheetname_dataframe) &amp; ":" &amp; ADDRESS(2+ster!$C$14,B515+1,4)</f>
        <v>'[dane surowe2c.xlsm]data_frame'!ST3:ST35</v>
      </c>
      <c r="O515" s="14" t="str">
        <f t="shared" ref="O515:O547" ca="1" si="123">IF(AD515,COUNT(INDIRECT(N515)),"")</f>
        <v/>
      </c>
      <c r="P515" s="14" t="str">
        <f ca="1">IF(AND($AD515,$S515=1),IF(wew!$B$3,MIN(INDIRECT($N515)),"&lt;włącz podświetlanie wartości&gt;"),"—")</f>
        <v>—</v>
      </c>
      <c r="Q515" s="14" t="str">
        <f ca="1">IF(AND($AD515,$S515=1),IF(wew!$B$3,MAX(INDIRECT($N515)),"&lt;włącz podświetlanie wartości&gt;"),"—")</f>
        <v>—</v>
      </c>
      <c r="R515" s="14" t="str">
        <f ca="1">IF(AD515,ster!$C$14- (COUNTIF( INDIRECT(N515),"" )+ COUNT(INDIRECT(N515)) +COUNTIF( INDIRECT(N515),"NA" )),"")</f>
        <v/>
      </c>
      <c r="S515" s="12" t="str">
        <f ca="1">IF(AD515,IF(COUNTA(INDIRECT(N515))=0,0, 1-(ster!$C$14- COUNT(INDIRECT(N515)) -COUNTIF( INDIRECT(N515),"" )) /COUNTA(INDIRECT(N515))),"")</f>
        <v/>
      </c>
      <c r="T515" s="17" t="str">
        <f t="array" aca="1" ref="T515" ca="1">IF(L515&lt;&gt;"",SUM(IF(INDIRECT(L515)&lt;&gt;INT(INDIRECT(L515)),1,0)),"")</f>
        <v/>
      </c>
      <c r="U515" s="17" t="str">
        <f t="array" aca="1" ref="U515" ca="1">IF(S515=1,SUM(IF(ISNUMBER(INDIRECT(N515)),IF(INDIRECT(N515)&lt;&gt;INT(INDIRECT(N515)),1,0),0)),"")</f>
        <v/>
      </c>
      <c r="V515" s="17">
        <f t="shared" ref="V515:V547" ca="1" si="124">IF(U515&lt;&gt;"",IF(U515=0,1,IF(U515/O515&lt;0.05,2,3)),0)</f>
        <v>0</v>
      </c>
      <c r="W515" s="17">
        <f t="shared" ref="W515:W547" ca="1" si="125">IF(COUNTA(INDIRECT(N515))=0,0, IF(AND(X515&lt;&gt;"",P515&lt;X515),1,IF(AND(Y515&lt;&gt;"",Q515&gt;Y515),1,IF(AND(Z515,U515&gt;0),2,0))))</f>
        <v>0</v>
      </c>
      <c r="X515" s="24" t="str">
        <f t="array" aca="1" ref="X515" ca="1">IF(AD515,IF(AG515&lt;&gt;"",AG515,IF(J515,MIN(INDIRECT( K515)),"")),"")</f>
        <v/>
      </c>
      <c r="Y515" s="17" t="str">
        <f t="array" aca="1" ref="Y515" ca="1">IF(AD515,IF(AH515&lt;&gt;"",AH515,IF(J515,MAX(INDIRECT( K515)),"")),"")</f>
        <v/>
      </c>
      <c r="Z515" s="17" t="b">
        <f t="shared" ref="Z515:Z547" ca="1" si="126">IF(AD515,IF(AI515&lt;&gt;"",AI515,T515=0),FALSE)</f>
        <v>0</v>
      </c>
      <c r="AC515" s="17" t="str">
        <f t="shared" ref="AC515:AC547" ca="1" si="127">IF(AD515,C515="S","")</f>
        <v/>
      </c>
      <c r="AD515" s="14" t="b">
        <f t="shared" ref="AD515:AD547" ca="1" si="128">INDIRECT(ADDRESS(2,ROW(A514),,,_sheetname_dataframe))&lt;&gt;""</f>
        <v>0</v>
      </c>
      <c r="AE515" s="15" t="b">
        <f t="shared" ref="AE515:AE547" ca="1" si="129">J515</f>
        <v>0</v>
      </c>
      <c r="AF515" s="16"/>
      <c r="AG515" s="16"/>
      <c r="AH515" s="16"/>
      <c r="AI515" s="16"/>
      <c r="AJ515" s="16"/>
      <c r="AK515" s="16"/>
      <c r="AL515" s="16"/>
      <c r="AM515" s="16"/>
    </row>
    <row r="516" spans="2:39">
      <c r="B516" s="14">
        <f t="shared" si="118"/>
        <v>514</v>
      </c>
      <c r="C516" s="14" t="str">
        <f t="shared" ca="1" si="119"/>
        <v/>
      </c>
      <c r="D516" s="14" t="str">
        <f t="shared" ca="1" si="120"/>
        <v/>
      </c>
      <c r="E516" s="14" t="str">
        <f t="shared" ca="1" si="117"/>
        <v/>
      </c>
      <c r="F516" s="14">
        <f t="shared" ca="1" si="116"/>
        <v>0</v>
      </c>
      <c r="G516" s="14" t="str">
        <f t="shared" ca="1" si="121"/>
        <v/>
      </c>
      <c r="H516" s="14">
        <f ca="1">IF(G516&lt;&gt;"",IFERROR( IsVariableNameLegal(G516),0),0)+IF(COUNTIF(INDIRECT(wew!$C$13),G516)&gt;1,10,0)</f>
        <v>0</v>
      </c>
      <c r="I516" s="14">
        <f ca="1">IF(E516&lt;&gt;"",IF(LEN(E516)&gt;150,1,0)+IF(COUNTIF(INDIRECT(wew!$C$15),E516)&gt;1,10,0),0)</f>
        <v>0</v>
      </c>
      <c r="J516" s="14" t="b">
        <f t="shared" ca="1" si="122"/>
        <v>0</v>
      </c>
      <c r="K516" s="14" t="str">
        <f ca="1">ADDRESS(3,(B516+1)*2-1,4,,"[" &amp; wew!$G$7 &amp; "]" &amp; _sheetname_labels) &amp; ":" &amp; ADDRESS(2+ster!$B$20,(B516+1)*2-1,4)</f>
        <v>'[dane surowe2c.xlsm]labels'!AMO3:AMO36</v>
      </c>
      <c r="L516" s="14" t="str">
        <f ca="1">IF(F516&gt;0,ADDRESS(3,(B516+1)*2-1,4,,"[" &amp; wew!$G$7 &amp; "]" &amp; _sheetname_labels) &amp; ":" &amp; ADDRESS(2+F516,(B516+1)*2-1,4),"")</f>
        <v/>
      </c>
      <c r="M516" s="14" t="str">
        <f ca="1">IF(F516&gt;0,ADDRESS(3,(B516+1)*2,4,,"["&amp;wew!$G$7&amp;"]"&amp;_sheetname_labels)&amp;":"&amp;ADDRESS(2+F516,(B516+1)*2,4),"")</f>
        <v/>
      </c>
      <c r="N516" s="14" t="str">
        <f ca="1">ADDRESS(3,B516+1,4,,"[" &amp; wew!$G$7 &amp; "]" &amp;_sheetname_dataframe) &amp; ":" &amp; ADDRESS(2+ster!$C$14,B516+1,4)</f>
        <v>'[dane surowe2c.xlsm]data_frame'!SU3:SU35</v>
      </c>
      <c r="O516" s="14" t="str">
        <f t="shared" ca="1" si="123"/>
        <v/>
      </c>
      <c r="P516" s="14" t="str">
        <f ca="1">IF(AND($AD516,$S516=1),IF(wew!$B$3,MIN(INDIRECT($N516)),"&lt;włącz podświetlanie wartości&gt;"),"—")</f>
        <v>—</v>
      </c>
      <c r="Q516" s="14" t="str">
        <f ca="1">IF(AND($AD516,$S516=1),IF(wew!$B$3,MAX(INDIRECT($N516)),"&lt;włącz podświetlanie wartości&gt;"),"—")</f>
        <v>—</v>
      </c>
      <c r="R516" s="14" t="str">
        <f ca="1">IF(AD516,ster!$C$14- (COUNTIF( INDIRECT(N516),"" )+ COUNT(INDIRECT(N516)) +COUNTIF( INDIRECT(N516),"NA" )),"")</f>
        <v/>
      </c>
      <c r="S516" s="12" t="str">
        <f ca="1">IF(AD516,IF(COUNTA(INDIRECT(N516))=0,0, 1-(ster!$C$14- COUNT(INDIRECT(N516)) -COUNTIF( INDIRECT(N516),"" )) /COUNTA(INDIRECT(N516))),"")</f>
        <v/>
      </c>
      <c r="T516" s="17" t="str">
        <f t="array" aca="1" ref="T516" ca="1">IF(L516&lt;&gt;"",SUM(IF(INDIRECT(L516)&lt;&gt;INT(INDIRECT(L516)),1,0)),"")</f>
        <v/>
      </c>
      <c r="U516" s="17" t="str">
        <f t="array" aca="1" ref="U516" ca="1">IF(S516=1,SUM(IF(ISNUMBER(INDIRECT(N516)),IF(INDIRECT(N516)&lt;&gt;INT(INDIRECT(N516)),1,0),0)),"")</f>
        <v/>
      </c>
      <c r="V516" s="17">
        <f t="shared" ca="1" si="124"/>
        <v>0</v>
      </c>
      <c r="W516" s="17">
        <f t="shared" ca="1" si="125"/>
        <v>0</v>
      </c>
      <c r="X516" s="24" t="str">
        <f t="array" aca="1" ref="X516" ca="1">IF(AD516,IF(AG516&lt;&gt;"",AG516,IF(J516,MIN(INDIRECT( K516)),"")),"")</f>
        <v/>
      </c>
      <c r="Y516" s="17" t="str">
        <f t="array" aca="1" ref="Y516" ca="1">IF(AD516,IF(AH516&lt;&gt;"",AH516,IF(J516,MAX(INDIRECT( K516)),"")),"")</f>
        <v/>
      </c>
      <c r="Z516" s="17" t="b">
        <f t="shared" ca="1" si="126"/>
        <v>0</v>
      </c>
      <c r="AC516" s="17" t="str">
        <f t="shared" ca="1" si="127"/>
        <v/>
      </c>
      <c r="AD516" s="14" t="b">
        <f t="shared" ca="1" si="128"/>
        <v>0</v>
      </c>
      <c r="AE516" s="15" t="b">
        <f t="shared" ca="1" si="129"/>
        <v>0</v>
      </c>
      <c r="AF516" s="16"/>
      <c r="AG516" s="16"/>
      <c r="AH516" s="16"/>
      <c r="AI516" s="16"/>
      <c r="AJ516" s="16"/>
      <c r="AK516" s="16"/>
      <c r="AL516" s="16"/>
      <c r="AM516" s="16"/>
    </row>
    <row r="517" spans="2:39">
      <c r="B517" s="14">
        <f t="shared" si="118"/>
        <v>515</v>
      </c>
      <c r="C517" s="14" t="str">
        <f t="shared" ca="1" si="119"/>
        <v/>
      </c>
      <c r="D517" s="14" t="str">
        <f t="shared" ca="1" si="120"/>
        <v/>
      </c>
      <c r="E517" s="14" t="str">
        <f t="shared" ca="1" si="117"/>
        <v/>
      </c>
      <c r="F517" s="14">
        <f t="shared" ca="1" si="116"/>
        <v>0</v>
      </c>
      <c r="G517" s="14" t="str">
        <f t="shared" ca="1" si="121"/>
        <v/>
      </c>
      <c r="H517" s="14">
        <f ca="1">IF(G517&lt;&gt;"",IFERROR( IsVariableNameLegal(G517),0),0)+IF(COUNTIF(INDIRECT(wew!$C$13),G517)&gt;1,10,0)</f>
        <v>0</v>
      </c>
      <c r="I517" s="14">
        <f ca="1">IF(E517&lt;&gt;"",IF(LEN(E517)&gt;150,1,0)+IF(COUNTIF(INDIRECT(wew!$C$15),E517)&gt;1,10,0),0)</f>
        <v>0</v>
      </c>
      <c r="J517" s="14" t="b">
        <f t="shared" ca="1" si="122"/>
        <v>0</v>
      </c>
      <c r="K517" s="14" t="str">
        <f ca="1">ADDRESS(3,(B517+1)*2-1,4,,"[" &amp; wew!$G$7 &amp; "]" &amp; _sheetname_labels) &amp; ":" &amp; ADDRESS(2+ster!$B$20,(B517+1)*2-1,4)</f>
        <v>'[dane surowe2c.xlsm]labels'!AMQ3:AMQ36</v>
      </c>
      <c r="L517" s="14" t="str">
        <f ca="1">IF(F517&gt;0,ADDRESS(3,(B517+1)*2-1,4,,"[" &amp; wew!$G$7 &amp; "]" &amp; _sheetname_labels) &amp; ":" &amp; ADDRESS(2+F517,(B517+1)*2-1,4),"")</f>
        <v/>
      </c>
      <c r="M517" s="14" t="str">
        <f ca="1">IF(F517&gt;0,ADDRESS(3,(B517+1)*2,4,,"["&amp;wew!$G$7&amp;"]"&amp;_sheetname_labels)&amp;":"&amp;ADDRESS(2+F517,(B517+1)*2,4),"")</f>
        <v/>
      </c>
      <c r="N517" s="14" t="str">
        <f ca="1">ADDRESS(3,B517+1,4,,"[" &amp; wew!$G$7 &amp; "]" &amp;_sheetname_dataframe) &amp; ":" &amp; ADDRESS(2+ster!$C$14,B517+1,4)</f>
        <v>'[dane surowe2c.xlsm]data_frame'!SV3:SV35</v>
      </c>
      <c r="O517" s="14" t="str">
        <f t="shared" ca="1" si="123"/>
        <v/>
      </c>
      <c r="P517" s="14" t="str">
        <f ca="1">IF(AND($AD517,$S517=1),IF(wew!$B$3,MIN(INDIRECT($N517)),"&lt;włącz podświetlanie wartości&gt;"),"—")</f>
        <v>—</v>
      </c>
      <c r="Q517" s="14" t="str">
        <f ca="1">IF(AND($AD517,$S517=1),IF(wew!$B$3,MAX(INDIRECT($N517)),"&lt;włącz podświetlanie wartości&gt;"),"—")</f>
        <v>—</v>
      </c>
      <c r="R517" s="14" t="str">
        <f ca="1">IF(AD517,ster!$C$14- (COUNTIF( INDIRECT(N517),"" )+ COUNT(INDIRECT(N517)) +COUNTIF( INDIRECT(N517),"NA" )),"")</f>
        <v/>
      </c>
      <c r="S517" s="12" t="str">
        <f ca="1">IF(AD517,IF(COUNTA(INDIRECT(N517))=0,0, 1-(ster!$C$14- COUNT(INDIRECT(N517)) -COUNTIF( INDIRECT(N517),"" )) /COUNTA(INDIRECT(N517))),"")</f>
        <v/>
      </c>
      <c r="T517" s="17" t="str">
        <f t="array" aca="1" ref="T517" ca="1">IF(L517&lt;&gt;"",SUM(IF(INDIRECT(L517)&lt;&gt;INT(INDIRECT(L517)),1,0)),"")</f>
        <v/>
      </c>
      <c r="U517" s="17" t="str">
        <f t="array" aca="1" ref="U517" ca="1">IF(S517=1,SUM(IF(ISNUMBER(INDIRECT(N517)),IF(INDIRECT(N517)&lt;&gt;INT(INDIRECT(N517)),1,0),0)),"")</f>
        <v/>
      </c>
      <c r="V517" s="17">
        <f t="shared" ca="1" si="124"/>
        <v>0</v>
      </c>
      <c r="W517" s="17">
        <f t="shared" ca="1" si="125"/>
        <v>0</v>
      </c>
      <c r="X517" s="24" t="str">
        <f t="array" aca="1" ref="X517" ca="1">IF(AD517,IF(AG517&lt;&gt;"",AG517,IF(J517,MIN(INDIRECT( K517)),"")),"")</f>
        <v/>
      </c>
      <c r="Y517" s="17" t="str">
        <f t="array" aca="1" ref="Y517" ca="1">IF(AD517,IF(AH517&lt;&gt;"",AH517,IF(J517,MAX(INDIRECT( K517)),"")),"")</f>
        <v/>
      </c>
      <c r="Z517" s="17" t="b">
        <f t="shared" ca="1" si="126"/>
        <v>0</v>
      </c>
      <c r="AC517" s="17" t="str">
        <f t="shared" ca="1" si="127"/>
        <v/>
      </c>
      <c r="AD517" s="14" t="b">
        <f t="shared" ca="1" si="128"/>
        <v>0</v>
      </c>
      <c r="AE517" s="15" t="b">
        <f t="shared" ca="1" si="129"/>
        <v>0</v>
      </c>
      <c r="AF517" s="16"/>
      <c r="AG517" s="16"/>
      <c r="AH517" s="16"/>
      <c r="AI517" s="16"/>
      <c r="AJ517" s="16"/>
      <c r="AK517" s="16"/>
      <c r="AL517" s="16"/>
      <c r="AM517" s="16"/>
    </row>
    <row r="518" spans="2:39">
      <c r="B518" s="14">
        <f t="shared" si="118"/>
        <v>516</v>
      </c>
      <c r="C518" s="14" t="str">
        <f t="shared" ca="1" si="119"/>
        <v/>
      </c>
      <c r="D518" s="14" t="str">
        <f t="shared" ca="1" si="120"/>
        <v/>
      </c>
      <c r="E518" s="14" t="str">
        <f t="shared" ca="1" si="117"/>
        <v/>
      </c>
      <c r="F518" s="14">
        <f t="shared" ca="1" si="116"/>
        <v>0</v>
      </c>
      <c r="G518" s="14" t="str">
        <f t="shared" ca="1" si="121"/>
        <v/>
      </c>
      <c r="H518" s="14">
        <f ca="1">IF(G518&lt;&gt;"",IFERROR( IsVariableNameLegal(G518),0),0)+IF(COUNTIF(INDIRECT(wew!$C$13),G518)&gt;1,10,0)</f>
        <v>0</v>
      </c>
      <c r="I518" s="14">
        <f ca="1">IF(E518&lt;&gt;"",IF(LEN(E518)&gt;150,1,0)+IF(COUNTIF(INDIRECT(wew!$C$15),E518)&gt;1,10,0),0)</f>
        <v>0</v>
      </c>
      <c r="J518" s="14" t="b">
        <f t="shared" ca="1" si="122"/>
        <v>0</v>
      </c>
      <c r="K518" s="14" t="str">
        <f ca="1">ADDRESS(3,(B518+1)*2-1,4,,"[" &amp; wew!$G$7 &amp; "]" &amp; _sheetname_labels) &amp; ":" &amp; ADDRESS(2+ster!$B$20,(B518+1)*2-1,4)</f>
        <v>'[dane surowe2c.xlsm]labels'!AMS3:AMS36</v>
      </c>
      <c r="L518" s="14" t="str">
        <f ca="1">IF(F518&gt;0,ADDRESS(3,(B518+1)*2-1,4,,"[" &amp; wew!$G$7 &amp; "]" &amp; _sheetname_labels) &amp; ":" &amp; ADDRESS(2+F518,(B518+1)*2-1,4),"")</f>
        <v/>
      </c>
      <c r="M518" s="14" t="str">
        <f ca="1">IF(F518&gt;0,ADDRESS(3,(B518+1)*2,4,,"["&amp;wew!$G$7&amp;"]"&amp;_sheetname_labels)&amp;":"&amp;ADDRESS(2+F518,(B518+1)*2,4),"")</f>
        <v/>
      </c>
      <c r="N518" s="14" t="str">
        <f ca="1">ADDRESS(3,B518+1,4,,"[" &amp; wew!$G$7 &amp; "]" &amp;_sheetname_dataframe) &amp; ":" &amp; ADDRESS(2+ster!$C$14,B518+1,4)</f>
        <v>'[dane surowe2c.xlsm]data_frame'!SW3:SW35</v>
      </c>
      <c r="O518" s="14" t="str">
        <f t="shared" ca="1" si="123"/>
        <v/>
      </c>
      <c r="P518" s="14" t="str">
        <f ca="1">IF(AND($AD518,$S518=1),IF(wew!$B$3,MIN(INDIRECT($N518)),"&lt;włącz podświetlanie wartości&gt;"),"—")</f>
        <v>—</v>
      </c>
      <c r="Q518" s="14" t="str">
        <f ca="1">IF(AND($AD518,$S518=1),IF(wew!$B$3,MAX(INDIRECT($N518)),"&lt;włącz podświetlanie wartości&gt;"),"—")</f>
        <v>—</v>
      </c>
      <c r="R518" s="14" t="str">
        <f ca="1">IF(AD518,ster!$C$14- (COUNTIF( INDIRECT(N518),"" )+ COUNT(INDIRECT(N518)) +COUNTIF( INDIRECT(N518),"NA" )),"")</f>
        <v/>
      </c>
      <c r="S518" s="12" t="str">
        <f ca="1">IF(AD518,IF(COUNTA(INDIRECT(N518))=0,0, 1-(ster!$C$14- COUNT(INDIRECT(N518)) -COUNTIF( INDIRECT(N518),"" )) /COUNTA(INDIRECT(N518))),"")</f>
        <v/>
      </c>
      <c r="T518" s="17" t="str">
        <f t="array" aca="1" ref="T518" ca="1">IF(L518&lt;&gt;"",SUM(IF(INDIRECT(L518)&lt;&gt;INT(INDIRECT(L518)),1,0)),"")</f>
        <v/>
      </c>
      <c r="U518" s="17" t="str">
        <f t="array" aca="1" ref="U518" ca="1">IF(S518=1,SUM(IF(ISNUMBER(INDIRECT(N518)),IF(INDIRECT(N518)&lt;&gt;INT(INDIRECT(N518)),1,0),0)),"")</f>
        <v/>
      </c>
      <c r="V518" s="17">
        <f t="shared" ca="1" si="124"/>
        <v>0</v>
      </c>
      <c r="W518" s="17">
        <f t="shared" ca="1" si="125"/>
        <v>0</v>
      </c>
      <c r="X518" s="24" t="str">
        <f t="array" aca="1" ref="X518" ca="1">IF(AD518,IF(AG518&lt;&gt;"",AG518,IF(J518,MIN(INDIRECT( K518)),"")),"")</f>
        <v/>
      </c>
      <c r="Y518" s="17" t="str">
        <f t="array" aca="1" ref="Y518" ca="1">IF(AD518,IF(AH518&lt;&gt;"",AH518,IF(J518,MAX(INDIRECT( K518)),"")),"")</f>
        <v/>
      </c>
      <c r="Z518" s="17" t="b">
        <f t="shared" ca="1" si="126"/>
        <v>0</v>
      </c>
      <c r="AC518" s="17" t="str">
        <f t="shared" ca="1" si="127"/>
        <v/>
      </c>
      <c r="AD518" s="14" t="b">
        <f t="shared" ca="1" si="128"/>
        <v>0</v>
      </c>
      <c r="AE518" s="15" t="b">
        <f t="shared" ca="1" si="129"/>
        <v>0</v>
      </c>
      <c r="AF518" s="16"/>
      <c r="AG518" s="16"/>
      <c r="AH518" s="16"/>
      <c r="AI518" s="16"/>
      <c r="AJ518" s="16"/>
      <c r="AK518" s="16"/>
      <c r="AL518" s="16"/>
      <c r="AM518" s="16"/>
    </row>
    <row r="519" spans="2:39">
      <c r="B519" s="14">
        <f t="shared" si="118"/>
        <v>517</v>
      </c>
      <c r="C519" s="14" t="str">
        <f t="shared" ca="1" si="119"/>
        <v/>
      </c>
      <c r="D519" s="14" t="str">
        <f t="shared" ca="1" si="120"/>
        <v/>
      </c>
      <c r="E519" s="14" t="str">
        <f t="shared" ca="1" si="117"/>
        <v/>
      </c>
      <c r="F519" s="14">
        <f t="shared" ca="1" si="116"/>
        <v>0</v>
      </c>
      <c r="G519" s="14" t="str">
        <f t="shared" ca="1" si="121"/>
        <v/>
      </c>
      <c r="H519" s="14">
        <f ca="1">IF(G519&lt;&gt;"",IFERROR( IsVariableNameLegal(G519),0),0)+IF(COUNTIF(INDIRECT(wew!$C$13),G519)&gt;1,10,0)</f>
        <v>0</v>
      </c>
      <c r="I519" s="14">
        <f ca="1">IF(E519&lt;&gt;"",IF(LEN(E519)&gt;150,1,0)+IF(COUNTIF(INDIRECT(wew!$C$15),E519)&gt;1,10,0),0)</f>
        <v>0</v>
      </c>
      <c r="J519" s="14" t="b">
        <f t="shared" ca="1" si="122"/>
        <v>0</v>
      </c>
      <c r="K519" s="14" t="str">
        <f ca="1">ADDRESS(3,(B519+1)*2-1,4,,"[" &amp; wew!$G$7 &amp; "]" &amp; _sheetname_labels) &amp; ":" &amp; ADDRESS(2+ster!$B$20,(B519+1)*2-1,4)</f>
        <v>'[dane surowe2c.xlsm]labels'!AMU3:AMU36</v>
      </c>
      <c r="L519" s="14" t="str">
        <f ca="1">IF(F519&gt;0,ADDRESS(3,(B519+1)*2-1,4,,"[" &amp; wew!$G$7 &amp; "]" &amp; _sheetname_labels) &amp; ":" &amp; ADDRESS(2+F519,(B519+1)*2-1,4),"")</f>
        <v/>
      </c>
      <c r="M519" s="14" t="str">
        <f ca="1">IF(F519&gt;0,ADDRESS(3,(B519+1)*2,4,,"["&amp;wew!$G$7&amp;"]"&amp;_sheetname_labels)&amp;":"&amp;ADDRESS(2+F519,(B519+1)*2,4),"")</f>
        <v/>
      </c>
      <c r="N519" s="14" t="str">
        <f ca="1">ADDRESS(3,B519+1,4,,"[" &amp; wew!$G$7 &amp; "]" &amp;_sheetname_dataframe) &amp; ":" &amp; ADDRESS(2+ster!$C$14,B519+1,4)</f>
        <v>'[dane surowe2c.xlsm]data_frame'!SX3:SX35</v>
      </c>
      <c r="O519" s="14" t="str">
        <f t="shared" ca="1" si="123"/>
        <v/>
      </c>
      <c r="P519" s="14" t="str">
        <f ca="1">IF(AND($AD519,$S519=1),IF(wew!$B$3,MIN(INDIRECT($N519)),"&lt;włącz podświetlanie wartości&gt;"),"—")</f>
        <v>—</v>
      </c>
      <c r="Q519" s="14" t="str">
        <f ca="1">IF(AND($AD519,$S519=1),IF(wew!$B$3,MAX(INDIRECT($N519)),"&lt;włącz podświetlanie wartości&gt;"),"—")</f>
        <v>—</v>
      </c>
      <c r="R519" s="14" t="str">
        <f ca="1">IF(AD519,ster!$C$14- (COUNTIF( INDIRECT(N519),"" )+ COUNT(INDIRECT(N519)) +COUNTIF( INDIRECT(N519),"NA" )),"")</f>
        <v/>
      </c>
      <c r="S519" s="12" t="str">
        <f ca="1">IF(AD519,IF(COUNTA(INDIRECT(N519))=0,0, 1-(ster!$C$14- COUNT(INDIRECT(N519)) -COUNTIF( INDIRECT(N519),"" )) /COUNTA(INDIRECT(N519))),"")</f>
        <v/>
      </c>
      <c r="T519" s="17" t="str">
        <f t="array" aca="1" ref="T519" ca="1">IF(L519&lt;&gt;"",SUM(IF(INDIRECT(L519)&lt;&gt;INT(INDIRECT(L519)),1,0)),"")</f>
        <v/>
      </c>
      <c r="U519" s="17" t="str">
        <f t="array" aca="1" ref="U519" ca="1">IF(S519=1,SUM(IF(ISNUMBER(INDIRECT(N519)),IF(INDIRECT(N519)&lt;&gt;INT(INDIRECT(N519)),1,0),0)),"")</f>
        <v/>
      </c>
      <c r="V519" s="17">
        <f t="shared" ca="1" si="124"/>
        <v>0</v>
      </c>
      <c r="W519" s="17">
        <f t="shared" ca="1" si="125"/>
        <v>0</v>
      </c>
      <c r="X519" s="24" t="str">
        <f t="array" aca="1" ref="X519" ca="1">IF(AD519,IF(AG519&lt;&gt;"",AG519,IF(J519,MIN(INDIRECT( K519)),"")),"")</f>
        <v/>
      </c>
      <c r="Y519" s="17" t="str">
        <f t="array" aca="1" ref="Y519" ca="1">IF(AD519,IF(AH519&lt;&gt;"",AH519,IF(J519,MAX(INDIRECT( K519)),"")),"")</f>
        <v/>
      </c>
      <c r="Z519" s="17" t="b">
        <f t="shared" ca="1" si="126"/>
        <v>0</v>
      </c>
      <c r="AC519" s="17" t="str">
        <f t="shared" ca="1" si="127"/>
        <v/>
      </c>
      <c r="AD519" s="14" t="b">
        <f t="shared" ca="1" si="128"/>
        <v>0</v>
      </c>
      <c r="AE519" s="15" t="b">
        <f t="shared" ca="1" si="129"/>
        <v>0</v>
      </c>
      <c r="AF519" s="16"/>
      <c r="AG519" s="16"/>
      <c r="AH519" s="16"/>
      <c r="AI519" s="16"/>
      <c r="AJ519" s="16"/>
      <c r="AK519" s="16"/>
      <c r="AL519" s="16"/>
      <c r="AM519" s="16"/>
    </row>
    <row r="520" spans="2:39">
      <c r="B520" s="14">
        <f t="shared" si="118"/>
        <v>518</v>
      </c>
      <c r="C520" s="14" t="str">
        <f t="shared" ca="1" si="119"/>
        <v/>
      </c>
      <c r="D520" s="14" t="str">
        <f t="shared" ca="1" si="120"/>
        <v/>
      </c>
      <c r="E520" s="14" t="str">
        <f t="shared" ca="1" si="117"/>
        <v/>
      </c>
      <c r="F520" s="14">
        <f t="shared" ca="1" si="116"/>
        <v>0</v>
      </c>
      <c r="G520" s="14" t="str">
        <f t="shared" ca="1" si="121"/>
        <v/>
      </c>
      <c r="H520" s="14">
        <f ca="1">IF(G520&lt;&gt;"",IFERROR( IsVariableNameLegal(G520),0),0)+IF(COUNTIF(INDIRECT(wew!$C$13),G520)&gt;1,10,0)</f>
        <v>0</v>
      </c>
      <c r="I520" s="14">
        <f ca="1">IF(E520&lt;&gt;"",IF(LEN(E520)&gt;150,1,0)+IF(COUNTIF(INDIRECT(wew!$C$15),E520)&gt;1,10,0),0)</f>
        <v>0</v>
      </c>
      <c r="J520" s="14" t="b">
        <f t="shared" ca="1" si="122"/>
        <v>0</v>
      </c>
      <c r="K520" s="14" t="str">
        <f ca="1">ADDRESS(3,(B520+1)*2-1,4,,"[" &amp; wew!$G$7 &amp; "]" &amp; _sheetname_labels) &amp; ":" &amp; ADDRESS(2+ster!$B$20,(B520+1)*2-1,4)</f>
        <v>'[dane surowe2c.xlsm]labels'!AMW3:AMW36</v>
      </c>
      <c r="L520" s="14" t="str">
        <f ca="1">IF(F520&gt;0,ADDRESS(3,(B520+1)*2-1,4,,"[" &amp; wew!$G$7 &amp; "]" &amp; _sheetname_labels) &amp; ":" &amp; ADDRESS(2+F520,(B520+1)*2-1,4),"")</f>
        <v/>
      </c>
      <c r="M520" s="14" t="str">
        <f ca="1">IF(F520&gt;0,ADDRESS(3,(B520+1)*2,4,,"["&amp;wew!$G$7&amp;"]"&amp;_sheetname_labels)&amp;":"&amp;ADDRESS(2+F520,(B520+1)*2,4),"")</f>
        <v/>
      </c>
      <c r="N520" s="14" t="str">
        <f ca="1">ADDRESS(3,B520+1,4,,"[" &amp; wew!$G$7 &amp; "]" &amp;_sheetname_dataframe) &amp; ":" &amp; ADDRESS(2+ster!$C$14,B520+1,4)</f>
        <v>'[dane surowe2c.xlsm]data_frame'!SY3:SY35</v>
      </c>
      <c r="O520" s="14" t="str">
        <f t="shared" ca="1" si="123"/>
        <v/>
      </c>
      <c r="P520" s="14" t="str">
        <f ca="1">IF(AND($AD520,$S520=1),IF(wew!$B$3,MIN(INDIRECT($N520)),"&lt;włącz podświetlanie wartości&gt;"),"—")</f>
        <v>—</v>
      </c>
      <c r="Q520" s="14" t="str">
        <f ca="1">IF(AND($AD520,$S520=1),IF(wew!$B$3,MAX(INDIRECT($N520)),"&lt;włącz podświetlanie wartości&gt;"),"—")</f>
        <v>—</v>
      </c>
      <c r="R520" s="14" t="str">
        <f ca="1">IF(AD520,ster!$C$14- (COUNTIF( INDIRECT(N520),"" )+ COUNT(INDIRECT(N520)) +COUNTIF( INDIRECT(N520),"NA" )),"")</f>
        <v/>
      </c>
      <c r="S520" s="12" t="str">
        <f ca="1">IF(AD520,IF(COUNTA(INDIRECT(N520))=0,0, 1-(ster!$C$14- COUNT(INDIRECT(N520)) -COUNTIF( INDIRECT(N520),"" )) /COUNTA(INDIRECT(N520))),"")</f>
        <v/>
      </c>
      <c r="T520" s="17" t="str">
        <f t="array" aca="1" ref="T520" ca="1">IF(L520&lt;&gt;"",SUM(IF(INDIRECT(L520)&lt;&gt;INT(INDIRECT(L520)),1,0)),"")</f>
        <v/>
      </c>
      <c r="U520" s="17" t="str">
        <f t="array" aca="1" ref="U520" ca="1">IF(S520=1,SUM(IF(ISNUMBER(INDIRECT(N520)),IF(INDIRECT(N520)&lt;&gt;INT(INDIRECT(N520)),1,0),0)),"")</f>
        <v/>
      </c>
      <c r="V520" s="17">
        <f t="shared" ca="1" si="124"/>
        <v>0</v>
      </c>
      <c r="W520" s="17">
        <f t="shared" ca="1" si="125"/>
        <v>0</v>
      </c>
      <c r="X520" s="24" t="str">
        <f t="array" aca="1" ref="X520" ca="1">IF(AD520,IF(AG520&lt;&gt;"",AG520,IF(J520,MIN(INDIRECT( K520)),"")),"")</f>
        <v/>
      </c>
      <c r="Y520" s="17" t="str">
        <f t="array" aca="1" ref="Y520" ca="1">IF(AD520,IF(AH520&lt;&gt;"",AH520,IF(J520,MAX(INDIRECT( K520)),"")),"")</f>
        <v/>
      </c>
      <c r="Z520" s="17" t="b">
        <f t="shared" ca="1" si="126"/>
        <v>0</v>
      </c>
      <c r="AC520" s="17" t="str">
        <f t="shared" ca="1" si="127"/>
        <v/>
      </c>
      <c r="AD520" s="14" t="b">
        <f t="shared" ca="1" si="128"/>
        <v>0</v>
      </c>
      <c r="AE520" s="15" t="b">
        <f t="shared" ca="1" si="129"/>
        <v>0</v>
      </c>
      <c r="AF520" s="16"/>
      <c r="AG520" s="16"/>
      <c r="AH520" s="16"/>
      <c r="AI520" s="16"/>
      <c r="AJ520" s="16"/>
      <c r="AK520" s="16"/>
      <c r="AL520" s="16"/>
      <c r="AM520" s="16"/>
    </row>
    <row r="521" spans="2:39">
      <c r="B521" s="14">
        <f t="shared" si="118"/>
        <v>519</v>
      </c>
      <c r="C521" s="14" t="str">
        <f t="shared" ca="1" si="119"/>
        <v/>
      </c>
      <c r="D521" s="14" t="str">
        <f t="shared" ca="1" si="120"/>
        <v/>
      </c>
      <c r="E521" s="14" t="str">
        <f t="shared" ca="1" si="117"/>
        <v/>
      </c>
      <c r="F521" s="14">
        <f t="shared" ca="1" si="116"/>
        <v>0</v>
      </c>
      <c r="G521" s="14" t="str">
        <f t="shared" ca="1" si="121"/>
        <v/>
      </c>
      <c r="H521" s="14">
        <f ca="1">IF(G521&lt;&gt;"",IFERROR( IsVariableNameLegal(G521),0),0)+IF(COUNTIF(INDIRECT(wew!$C$13),G521)&gt;1,10,0)</f>
        <v>0</v>
      </c>
      <c r="I521" s="14">
        <f ca="1">IF(E521&lt;&gt;"",IF(LEN(E521)&gt;150,1,0)+IF(COUNTIF(INDIRECT(wew!$C$15),E521)&gt;1,10,0),0)</f>
        <v>0</v>
      </c>
      <c r="J521" s="14" t="b">
        <f t="shared" ca="1" si="122"/>
        <v>0</v>
      </c>
      <c r="K521" s="14" t="str">
        <f ca="1">ADDRESS(3,(B521+1)*2-1,4,,"[" &amp; wew!$G$7 &amp; "]" &amp; _sheetname_labels) &amp; ":" &amp; ADDRESS(2+ster!$B$20,(B521+1)*2-1,4)</f>
        <v>'[dane surowe2c.xlsm]labels'!AMY3:AMY36</v>
      </c>
      <c r="L521" s="14" t="str">
        <f ca="1">IF(F521&gt;0,ADDRESS(3,(B521+1)*2-1,4,,"[" &amp; wew!$G$7 &amp; "]" &amp; _sheetname_labels) &amp; ":" &amp; ADDRESS(2+F521,(B521+1)*2-1,4),"")</f>
        <v/>
      </c>
      <c r="M521" s="14" t="str">
        <f ca="1">IF(F521&gt;0,ADDRESS(3,(B521+1)*2,4,,"["&amp;wew!$G$7&amp;"]"&amp;_sheetname_labels)&amp;":"&amp;ADDRESS(2+F521,(B521+1)*2,4),"")</f>
        <v/>
      </c>
      <c r="N521" s="14" t="str">
        <f ca="1">ADDRESS(3,B521+1,4,,"[" &amp; wew!$G$7 &amp; "]" &amp;_sheetname_dataframe) &amp; ":" &amp; ADDRESS(2+ster!$C$14,B521+1,4)</f>
        <v>'[dane surowe2c.xlsm]data_frame'!SZ3:SZ35</v>
      </c>
      <c r="O521" s="14" t="str">
        <f t="shared" ca="1" si="123"/>
        <v/>
      </c>
      <c r="P521" s="14" t="str">
        <f ca="1">IF(AND($AD521,$S521=1),IF(wew!$B$3,MIN(INDIRECT($N521)),"&lt;włącz podświetlanie wartości&gt;"),"—")</f>
        <v>—</v>
      </c>
      <c r="Q521" s="14" t="str">
        <f ca="1">IF(AND($AD521,$S521=1),IF(wew!$B$3,MAX(INDIRECT($N521)),"&lt;włącz podświetlanie wartości&gt;"),"—")</f>
        <v>—</v>
      </c>
      <c r="R521" s="14" t="str">
        <f ca="1">IF(AD521,ster!$C$14- (COUNTIF( INDIRECT(N521),"" )+ COUNT(INDIRECT(N521)) +COUNTIF( INDIRECT(N521),"NA" )),"")</f>
        <v/>
      </c>
      <c r="S521" s="12" t="str">
        <f ca="1">IF(AD521,IF(COUNTA(INDIRECT(N521))=0,0, 1-(ster!$C$14- COUNT(INDIRECT(N521)) -COUNTIF( INDIRECT(N521),"" )) /COUNTA(INDIRECT(N521))),"")</f>
        <v/>
      </c>
      <c r="T521" s="17" t="str">
        <f t="array" aca="1" ref="T521" ca="1">IF(L521&lt;&gt;"",SUM(IF(INDIRECT(L521)&lt;&gt;INT(INDIRECT(L521)),1,0)),"")</f>
        <v/>
      </c>
      <c r="U521" s="17" t="str">
        <f t="array" aca="1" ref="U521" ca="1">IF(S521=1,SUM(IF(ISNUMBER(INDIRECT(N521)),IF(INDIRECT(N521)&lt;&gt;INT(INDIRECT(N521)),1,0),0)),"")</f>
        <v/>
      </c>
      <c r="V521" s="17">
        <f t="shared" ca="1" si="124"/>
        <v>0</v>
      </c>
      <c r="W521" s="17">
        <f t="shared" ca="1" si="125"/>
        <v>0</v>
      </c>
      <c r="X521" s="24" t="str">
        <f t="array" aca="1" ref="X521" ca="1">IF(AD521,IF(AG521&lt;&gt;"",AG521,IF(J521,MIN(INDIRECT( K521)),"")),"")</f>
        <v/>
      </c>
      <c r="Y521" s="17" t="str">
        <f t="array" aca="1" ref="Y521" ca="1">IF(AD521,IF(AH521&lt;&gt;"",AH521,IF(J521,MAX(INDIRECT( K521)),"")),"")</f>
        <v/>
      </c>
      <c r="Z521" s="17" t="b">
        <f t="shared" ca="1" si="126"/>
        <v>0</v>
      </c>
      <c r="AC521" s="17" t="str">
        <f t="shared" ca="1" si="127"/>
        <v/>
      </c>
      <c r="AD521" s="14" t="b">
        <f t="shared" ca="1" si="128"/>
        <v>0</v>
      </c>
      <c r="AE521" s="15" t="b">
        <f t="shared" ca="1" si="129"/>
        <v>0</v>
      </c>
      <c r="AF521" s="16"/>
      <c r="AG521" s="16"/>
      <c r="AH521" s="16"/>
      <c r="AI521" s="16"/>
      <c r="AJ521" s="16"/>
      <c r="AK521" s="16"/>
      <c r="AL521" s="16"/>
      <c r="AM521" s="16"/>
    </row>
    <row r="522" spans="2:39">
      <c r="B522" s="14">
        <f t="shared" si="118"/>
        <v>520</v>
      </c>
      <c r="C522" s="14" t="str">
        <f t="shared" ca="1" si="119"/>
        <v/>
      </c>
      <c r="D522" s="14" t="str">
        <f t="shared" ca="1" si="120"/>
        <v/>
      </c>
      <c r="E522" s="14" t="str">
        <f t="shared" ca="1" si="117"/>
        <v/>
      </c>
      <c r="F522" s="14">
        <f t="shared" ca="1" si="116"/>
        <v>0</v>
      </c>
      <c r="G522" s="14" t="str">
        <f t="shared" ca="1" si="121"/>
        <v/>
      </c>
      <c r="H522" s="14">
        <f ca="1">IF(G522&lt;&gt;"",IFERROR( IsVariableNameLegal(G522),0),0)+IF(COUNTIF(INDIRECT(wew!$C$13),G522)&gt;1,10,0)</f>
        <v>0</v>
      </c>
      <c r="I522" s="14">
        <f ca="1">IF(E522&lt;&gt;"",IF(LEN(E522)&gt;150,1,0)+IF(COUNTIF(INDIRECT(wew!$C$15),E522)&gt;1,10,0),0)</f>
        <v>0</v>
      </c>
      <c r="J522" s="14" t="b">
        <f t="shared" ca="1" si="122"/>
        <v>0</v>
      </c>
      <c r="K522" s="14" t="str">
        <f ca="1">ADDRESS(3,(B522+1)*2-1,4,,"[" &amp; wew!$G$7 &amp; "]" &amp; _sheetname_labels) &amp; ":" &amp; ADDRESS(2+ster!$B$20,(B522+1)*2-1,4)</f>
        <v>'[dane surowe2c.xlsm]labels'!ANA3:ANA36</v>
      </c>
      <c r="L522" s="14" t="str">
        <f ca="1">IF(F522&gt;0,ADDRESS(3,(B522+1)*2-1,4,,"[" &amp; wew!$G$7 &amp; "]" &amp; _sheetname_labels) &amp; ":" &amp; ADDRESS(2+F522,(B522+1)*2-1,4),"")</f>
        <v/>
      </c>
      <c r="M522" s="14" t="str">
        <f ca="1">IF(F522&gt;0,ADDRESS(3,(B522+1)*2,4,,"["&amp;wew!$G$7&amp;"]"&amp;_sheetname_labels)&amp;":"&amp;ADDRESS(2+F522,(B522+1)*2,4),"")</f>
        <v/>
      </c>
      <c r="N522" s="14" t="str">
        <f ca="1">ADDRESS(3,B522+1,4,,"[" &amp; wew!$G$7 &amp; "]" &amp;_sheetname_dataframe) &amp; ":" &amp; ADDRESS(2+ster!$C$14,B522+1,4)</f>
        <v>'[dane surowe2c.xlsm]data_frame'!TA3:TA35</v>
      </c>
      <c r="O522" s="14" t="str">
        <f t="shared" ca="1" si="123"/>
        <v/>
      </c>
      <c r="P522" s="14" t="str">
        <f ca="1">IF(AND($AD522,$S522=1),IF(wew!$B$3,MIN(INDIRECT($N522)),"&lt;włącz podświetlanie wartości&gt;"),"—")</f>
        <v>—</v>
      </c>
      <c r="Q522" s="14" t="str">
        <f ca="1">IF(AND($AD522,$S522=1),IF(wew!$B$3,MAX(INDIRECT($N522)),"&lt;włącz podświetlanie wartości&gt;"),"—")</f>
        <v>—</v>
      </c>
      <c r="R522" s="14" t="str">
        <f ca="1">IF(AD522,ster!$C$14- (COUNTIF( INDIRECT(N522),"" )+ COUNT(INDIRECT(N522)) +COUNTIF( INDIRECT(N522),"NA" )),"")</f>
        <v/>
      </c>
      <c r="S522" s="12" t="str">
        <f ca="1">IF(AD522,IF(COUNTA(INDIRECT(N522))=0,0, 1-(ster!$C$14- COUNT(INDIRECT(N522)) -COUNTIF( INDIRECT(N522),"" )) /COUNTA(INDIRECT(N522))),"")</f>
        <v/>
      </c>
      <c r="T522" s="17" t="str">
        <f t="array" aca="1" ref="T522" ca="1">IF(L522&lt;&gt;"",SUM(IF(INDIRECT(L522)&lt;&gt;INT(INDIRECT(L522)),1,0)),"")</f>
        <v/>
      </c>
      <c r="U522" s="17" t="str">
        <f t="array" aca="1" ref="U522" ca="1">IF(S522=1,SUM(IF(ISNUMBER(INDIRECT(N522)),IF(INDIRECT(N522)&lt;&gt;INT(INDIRECT(N522)),1,0),0)),"")</f>
        <v/>
      </c>
      <c r="V522" s="17">
        <f t="shared" ca="1" si="124"/>
        <v>0</v>
      </c>
      <c r="W522" s="17">
        <f t="shared" ca="1" si="125"/>
        <v>0</v>
      </c>
      <c r="X522" s="24" t="str">
        <f t="array" aca="1" ref="X522" ca="1">IF(AD522,IF(AG522&lt;&gt;"",AG522,IF(J522,MIN(INDIRECT( K522)),"")),"")</f>
        <v/>
      </c>
      <c r="Y522" s="17" t="str">
        <f t="array" aca="1" ref="Y522" ca="1">IF(AD522,IF(AH522&lt;&gt;"",AH522,IF(J522,MAX(INDIRECT( K522)),"")),"")</f>
        <v/>
      </c>
      <c r="Z522" s="17" t="b">
        <f t="shared" ca="1" si="126"/>
        <v>0</v>
      </c>
      <c r="AC522" s="17" t="str">
        <f t="shared" ca="1" si="127"/>
        <v/>
      </c>
      <c r="AD522" s="14" t="b">
        <f t="shared" ca="1" si="128"/>
        <v>0</v>
      </c>
      <c r="AE522" s="15" t="b">
        <f t="shared" ca="1" si="129"/>
        <v>0</v>
      </c>
      <c r="AF522" s="16"/>
      <c r="AG522" s="16"/>
      <c r="AH522" s="16"/>
      <c r="AI522" s="16"/>
      <c r="AJ522" s="16"/>
      <c r="AK522" s="16"/>
      <c r="AL522" s="16"/>
      <c r="AM522" s="16"/>
    </row>
    <row r="523" spans="2:39">
      <c r="B523" s="14">
        <f t="shared" si="118"/>
        <v>521</v>
      </c>
      <c r="C523" s="14" t="str">
        <f t="shared" ca="1" si="119"/>
        <v/>
      </c>
      <c r="D523" s="14" t="str">
        <f t="shared" ca="1" si="120"/>
        <v/>
      </c>
      <c r="E523" s="14" t="str">
        <f t="shared" ca="1" si="117"/>
        <v/>
      </c>
      <c r="F523" s="14">
        <f t="shared" ca="1" si="116"/>
        <v>0</v>
      </c>
      <c r="G523" s="14" t="str">
        <f t="shared" ca="1" si="121"/>
        <v/>
      </c>
      <c r="H523" s="14">
        <f ca="1">IF(G523&lt;&gt;"",IFERROR( IsVariableNameLegal(G523),0),0)+IF(COUNTIF(INDIRECT(wew!$C$13),G523)&gt;1,10,0)</f>
        <v>0</v>
      </c>
      <c r="I523" s="14">
        <f ca="1">IF(E523&lt;&gt;"",IF(LEN(E523)&gt;150,1,0)+IF(COUNTIF(INDIRECT(wew!$C$15),E523)&gt;1,10,0),0)</f>
        <v>0</v>
      </c>
      <c r="J523" s="14" t="b">
        <f t="shared" ca="1" si="122"/>
        <v>0</v>
      </c>
      <c r="K523" s="14" t="str">
        <f ca="1">ADDRESS(3,(B523+1)*2-1,4,,"[" &amp; wew!$G$7 &amp; "]" &amp; _sheetname_labels) &amp; ":" &amp; ADDRESS(2+ster!$B$20,(B523+1)*2-1,4)</f>
        <v>'[dane surowe2c.xlsm]labels'!ANC3:ANC36</v>
      </c>
      <c r="L523" s="14" t="str">
        <f ca="1">IF(F523&gt;0,ADDRESS(3,(B523+1)*2-1,4,,"[" &amp; wew!$G$7 &amp; "]" &amp; _sheetname_labels) &amp; ":" &amp; ADDRESS(2+F523,(B523+1)*2-1,4),"")</f>
        <v/>
      </c>
      <c r="M523" s="14" t="str">
        <f ca="1">IF(F523&gt;0,ADDRESS(3,(B523+1)*2,4,,"["&amp;wew!$G$7&amp;"]"&amp;_sheetname_labels)&amp;":"&amp;ADDRESS(2+F523,(B523+1)*2,4),"")</f>
        <v/>
      </c>
      <c r="N523" s="14" t="str">
        <f ca="1">ADDRESS(3,B523+1,4,,"[" &amp; wew!$G$7 &amp; "]" &amp;_sheetname_dataframe) &amp; ":" &amp; ADDRESS(2+ster!$C$14,B523+1,4)</f>
        <v>'[dane surowe2c.xlsm]data_frame'!TB3:TB35</v>
      </c>
      <c r="O523" s="14" t="str">
        <f t="shared" ca="1" si="123"/>
        <v/>
      </c>
      <c r="P523" s="14" t="str">
        <f ca="1">IF(AND($AD523,$S523=1),IF(wew!$B$3,MIN(INDIRECT($N523)),"&lt;włącz podświetlanie wartości&gt;"),"—")</f>
        <v>—</v>
      </c>
      <c r="Q523" s="14" t="str">
        <f ca="1">IF(AND($AD523,$S523=1),IF(wew!$B$3,MAX(INDIRECT($N523)),"&lt;włącz podświetlanie wartości&gt;"),"—")</f>
        <v>—</v>
      </c>
      <c r="R523" s="14" t="str">
        <f ca="1">IF(AD523,ster!$C$14- (COUNTIF( INDIRECT(N523),"" )+ COUNT(INDIRECT(N523)) +COUNTIF( INDIRECT(N523),"NA" )),"")</f>
        <v/>
      </c>
      <c r="S523" s="12" t="str">
        <f ca="1">IF(AD523,IF(COUNTA(INDIRECT(N523))=0,0, 1-(ster!$C$14- COUNT(INDIRECT(N523)) -COUNTIF( INDIRECT(N523),"" )) /COUNTA(INDIRECT(N523))),"")</f>
        <v/>
      </c>
      <c r="T523" s="17" t="str">
        <f t="array" aca="1" ref="T523" ca="1">IF(L523&lt;&gt;"",SUM(IF(INDIRECT(L523)&lt;&gt;INT(INDIRECT(L523)),1,0)),"")</f>
        <v/>
      </c>
      <c r="U523" s="17" t="str">
        <f t="array" aca="1" ref="U523" ca="1">IF(S523=1,SUM(IF(ISNUMBER(INDIRECT(N523)),IF(INDIRECT(N523)&lt;&gt;INT(INDIRECT(N523)),1,0),0)),"")</f>
        <v/>
      </c>
      <c r="V523" s="17">
        <f t="shared" ca="1" si="124"/>
        <v>0</v>
      </c>
      <c r="W523" s="17">
        <f t="shared" ca="1" si="125"/>
        <v>0</v>
      </c>
      <c r="X523" s="24" t="str">
        <f t="array" aca="1" ref="X523" ca="1">IF(AD523,IF(AG523&lt;&gt;"",AG523,IF(J523,MIN(INDIRECT( K523)),"")),"")</f>
        <v/>
      </c>
      <c r="Y523" s="17" t="str">
        <f t="array" aca="1" ref="Y523" ca="1">IF(AD523,IF(AH523&lt;&gt;"",AH523,IF(J523,MAX(INDIRECT( K523)),"")),"")</f>
        <v/>
      </c>
      <c r="Z523" s="17" t="b">
        <f t="shared" ca="1" si="126"/>
        <v>0</v>
      </c>
      <c r="AC523" s="17" t="str">
        <f t="shared" ca="1" si="127"/>
        <v/>
      </c>
      <c r="AD523" s="14" t="b">
        <f t="shared" ca="1" si="128"/>
        <v>0</v>
      </c>
      <c r="AE523" s="15" t="b">
        <f t="shared" ca="1" si="129"/>
        <v>0</v>
      </c>
      <c r="AF523" s="16"/>
      <c r="AG523" s="16"/>
      <c r="AH523" s="16"/>
      <c r="AI523" s="16"/>
      <c r="AJ523" s="16"/>
      <c r="AK523" s="16"/>
      <c r="AL523" s="16"/>
      <c r="AM523" s="16"/>
    </row>
    <row r="524" spans="2:39">
      <c r="B524" s="14">
        <f t="shared" si="118"/>
        <v>522</v>
      </c>
      <c r="C524" s="14" t="str">
        <f t="shared" ca="1" si="119"/>
        <v/>
      </c>
      <c r="D524" s="14" t="str">
        <f t="shared" ca="1" si="120"/>
        <v/>
      </c>
      <c r="E524" s="14" t="str">
        <f t="shared" ca="1" si="117"/>
        <v/>
      </c>
      <c r="F524" s="14">
        <f t="shared" ca="1" si="116"/>
        <v>0</v>
      </c>
      <c r="G524" s="14" t="str">
        <f t="shared" ca="1" si="121"/>
        <v/>
      </c>
      <c r="H524" s="14">
        <f ca="1">IF(G524&lt;&gt;"",IFERROR( IsVariableNameLegal(G524),0),0)+IF(COUNTIF(INDIRECT(wew!$C$13),G524)&gt;1,10,0)</f>
        <v>0</v>
      </c>
      <c r="I524" s="14">
        <f ca="1">IF(E524&lt;&gt;"",IF(LEN(E524)&gt;150,1,0)+IF(COUNTIF(INDIRECT(wew!$C$15),E524)&gt;1,10,0),0)</f>
        <v>0</v>
      </c>
      <c r="J524" s="14" t="b">
        <f t="shared" ca="1" si="122"/>
        <v>0</v>
      </c>
      <c r="K524" s="14" t="str">
        <f ca="1">ADDRESS(3,(B524+1)*2-1,4,,"[" &amp; wew!$G$7 &amp; "]" &amp; _sheetname_labels) &amp; ":" &amp; ADDRESS(2+ster!$B$20,(B524+1)*2-1,4)</f>
        <v>'[dane surowe2c.xlsm]labels'!ANE3:ANE36</v>
      </c>
      <c r="L524" s="14" t="str">
        <f ca="1">IF(F524&gt;0,ADDRESS(3,(B524+1)*2-1,4,,"[" &amp; wew!$G$7 &amp; "]" &amp; _sheetname_labels) &amp; ":" &amp; ADDRESS(2+F524,(B524+1)*2-1,4),"")</f>
        <v/>
      </c>
      <c r="M524" s="14" t="str">
        <f ca="1">IF(F524&gt;0,ADDRESS(3,(B524+1)*2,4,,"["&amp;wew!$G$7&amp;"]"&amp;_sheetname_labels)&amp;":"&amp;ADDRESS(2+F524,(B524+1)*2,4),"")</f>
        <v/>
      </c>
      <c r="N524" s="14" t="str">
        <f ca="1">ADDRESS(3,B524+1,4,,"[" &amp; wew!$G$7 &amp; "]" &amp;_sheetname_dataframe) &amp; ":" &amp; ADDRESS(2+ster!$C$14,B524+1,4)</f>
        <v>'[dane surowe2c.xlsm]data_frame'!TC3:TC35</v>
      </c>
      <c r="O524" s="14" t="str">
        <f t="shared" ca="1" si="123"/>
        <v/>
      </c>
      <c r="P524" s="14" t="str">
        <f ca="1">IF(AND($AD524,$S524=1),IF(wew!$B$3,MIN(INDIRECT($N524)),"&lt;włącz podświetlanie wartości&gt;"),"—")</f>
        <v>—</v>
      </c>
      <c r="Q524" s="14" t="str">
        <f ca="1">IF(AND($AD524,$S524=1),IF(wew!$B$3,MAX(INDIRECT($N524)),"&lt;włącz podświetlanie wartości&gt;"),"—")</f>
        <v>—</v>
      </c>
      <c r="R524" s="14" t="str">
        <f ca="1">IF(AD524,ster!$C$14- (COUNTIF( INDIRECT(N524),"" )+ COUNT(INDIRECT(N524)) +COUNTIF( INDIRECT(N524),"NA" )),"")</f>
        <v/>
      </c>
      <c r="S524" s="12" t="str">
        <f ca="1">IF(AD524,IF(COUNTA(INDIRECT(N524))=0,0, 1-(ster!$C$14- COUNT(INDIRECT(N524)) -COUNTIF( INDIRECT(N524),"" )) /COUNTA(INDIRECT(N524))),"")</f>
        <v/>
      </c>
      <c r="T524" s="17" t="str">
        <f t="array" aca="1" ref="T524" ca="1">IF(L524&lt;&gt;"",SUM(IF(INDIRECT(L524)&lt;&gt;INT(INDIRECT(L524)),1,0)),"")</f>
        <v/>
      </c>
      <c r="U524" s="17" t="str">
        <f t="array" aca="1" ref="U524" ca="1">IF(S524=1,SUM(IF(ISNUMBER(INDIRECT(N524)),IF(INDIRECT(N524)&lt;&gt;INT(INDIRECT(N524)),1,0),0)),"")</f>
        <v/>
      </c>
      <c r="V524" s="17">
        <f t="shared" ca="1" si="124"/>
        <v>0</v>
      </c>
      <c r="W524" s="17">
        <f t="shared" ca="1" si="125"/>
        <v>0</v>
      </c>
      <c r="X524" s="24" t="str">
        <f t="array" aca="1" ref="X524" ca="1">IF(AD524,IF(AG524&lt;&gt;"",AG524,IF(J524,MIN(INDIRECT( K524)),"")),"")</f>
        <v/>
      </c>
      <c r="Y524" s="17" t="str">
        <f t="array" aca="1" ref="Y524" ca="1">IF(AD524,IF(AH524&lt;&gt;"",AH524,IF(J524,MAX(INDIRECT( K524)),"")),"")</f>
        <v/>
      </c>
      <c r="Z524" s="17" t="b">
        <f t="shared" ca="1" si="126"/>
        <v>0</v>
      </c>
      <c r="AC524" s="17" t="str">
        <f t="shared" ca="1" si="127"/>
        <v/>
      </c>
      <c r="AD524" s="14" t="b">
        <f t="shared" ca="1" si="128"/>
        <v>0</v>
      </c>
      <c r="AE524" s="15" t="b">
        <f t="shared" ca="1" si="129"/>
        <v>0</v>
      </c>
      <c r="AF524" s="16"/>
      <c r="AG524" s="16"/>
      <c r="AH524" s="16"/>
      <c r="AI524" s="16"/>
      <c r="AJ524" s="16"/>
      <c r="AK524" s="16"/>
      <c r="AL524" s="16"/>
      <c r="AM524" s="16"/>
    </row>
    <row r="525" spans="2:39">
      <c r="B525" s="14">
        <f t="shared" si="118"/>
        <v>523</v>
      </c>
      <c r="C525" s="14" t="str">
        <f t="shared" ca="1" si="119"/>
        <v/>
      </c>
      <c r="D525" s="14" t="str">
        <f t="shared" ca="1" si="120"/>
        <v/>
      </c>
      <c r="E525" s="14" t="str">
        <f t="shared" ca="1" si="117"/>
        <v/>
      </c>
      <c r="F525" s="14">
        <f t="shared" ca="1" si="116"/>
        <v>0</v>
      </c>
      <c r="G525" s="14" t="str">
        <f t="shared" ca="1" si="121"/>
        <v/>
      </c>
      <c r="H525" s="14">
        <f ca="1">IF(G525&lt;&gt;"",IFERROR( IsVariableNameLegal(G525),0),0)+IF(COUNTIF(INDIRECT(wew!$C$13),G525)&gt;1,10,0)</f>
        <v>0</v>
      </c>
      <c r="I525" s="14">
        <f ca="1">IF(E525&lt;&gt;"",IF(LEN(E525)&gt;150,1,0)+IF(COUNTIF(INDIRECT(wew!$C$15),E525)&gt;1,10,0),0)</f>
        <v>0</v>
      </c>
      <c r="J525" s="14" t="b">
        <f t="shared" ca="1" si="122"/>
        <v>0</v>
      </c>
      <c r="K525" s="14" t="str">
        <f ca="1">ADDRESS(3,(B525+1)*2-1,4,,"[" &amp; wew!$G$7 &amp; "]" &amp; _sheetname_labels) &amp; ":" &amp; ADDRESS(2+ster!$B$20,(B525+1)*2-1,4)</f>
        <v>'[dane surowe2c.xlsm]labels'!ANG3:ANG36</v>
      </c>
      <c r="L525" s="14" t="str">
        <f ca="1">IF(F525&gt;0,ADDRESS(3,(B525+1)*2-1,4,,"[" &amp; wew!$G$7 &amp; "]" &amp; _sheetname_labels) &amp; ":" &amp; ADDRESS(2+F525,(B525+1)*2-1,4),"")</f>
        <v/>
      </c>
      <c r="M525" s="14" t="str">
        <f ca="1">IF(F525&gt;0,ADDRESS(3,(B525+1)*2,4,,"["&amp;wew!$G$7&amp;"]"&amp;_sheetname_labels)&amp;":"&amp;ADDRESS(2+F525,(B525+1)*2,4),"")</f>
        <v/>
      </c>
      <c r="N525" s="14" t="str">
        <f ca="1">ADDRESS(3,B525+1,4,,"[" &amp; wew!$G$7 &amp; "]" &amp;_sheetname_dataframe) &amp; ":" &amp; ADDRESS(2+ster!$C$14,B525+1,4)</f>
        <v>'[dane surowe2c.xlsm]data_frame'!TD3:TD35</v>
      </c>
      <c r="O525" s="14" t="str">
        <f t="shared" ca="1" si="123"/>
        <v/>
      </c>
      <c r="P525" s="14" t="str">
        <f ca="1">IF(AND($AD525,$S525=1),IF(wew!$B$3,MIN(INDIRECT($N525)),"&lt;włącz podświetlanie wartości&gt;"),"—")</f>
        <v>—</v>
      </c>
      <c r="Q525" s="14" t="str">
        <f ca="1">IF(AND($AD525,$S525=1),IF(wew!$B$3,MAX(INDIRECT($N525)),"&lt;włącz podświetlanie wartości&gt;"),"—")</f>
        <v>—</v>
      </c>
      <c r="R525" s="14" t="str">
        <f ca="1">IF(AD525,ster!$C$14- (COUNTIF( INDIRECT(N525),"" )+ COUNT(INDIRECT(N525)) +COUNTIF( INDIRECT(N525),"NA" )),"")</f>
        <v/>
      </c>
      <c r="S525" s="12" t="str">
        <f ca="1">IF(AD525,IF(COUNTA(INDIRECT(N525))=0,0, 1-(ster!$C$14- COUNT(INDIRECT(N525)) -COUNTIF( INDIRECT(N525),"" )) /COUNTA(INDIRECT(N525))),"")</f>
        <v/>
      </c>
      <c r="T525" s="17" t="str">
        <f t="array" aca="1" ref="T525" ca="1">IF(L525&lt;&gt;"",SUM(IF(INDIRECT(L525)&lt;&gt;INT(INDIRECT(L525)),1,0)),"")</f>
        <v/>
      </c>
      <c r="U525" s="17" t="str">
        <f t="array" aca="1" ref="U525" ca="1">IF(S525=1,SUM(IF(ISNUMBER(INDIRECT(N525)),IF(INDIRECT(N525)&lt;&gt;INT(INDIRECT(N525)),1,0),0)),"")</f>
        <v/>
      </c>
      <c r="V525" s="17">
        <f t="shared" ca="1" si="124"/>
        <v>0</v>
      </c>
      <c r="W525" s="17">
        <f t="shared" ca="1" si="125"/>
        <v>0</v>
      </c>
      <c r="X525" s="24" t="str">
        <f t="array" aca="1" ref="X525" ca="1">IF(AD525,IF(AG525&lt;&gt;"",AG525,IF(J525,MIN(INDIRECT( K525)),"")),"")</f>
        <v/>
      </c>
      <c r="Y525" s="17" t="str">
        <f t="array" aca="1" ref="Y525" ca="1">IF(AD525,IF(AH525&lt;&gt;"",AH525,IF(J525,MAX(INDIRECT( K525)),"")),"")</f>
        <v/>
      </c>
      <c r="Z525" s="17" t="b">
        <f t="shared" ca="1" si="126"/>
        <v>0</v>
      </c>
      <c r="AC525" s="17" t="str">
        <f t="shared" ca="1" si="127"/>
        <v/>
      </c>
      <c r="AD525" s="14" t="b">
        <f t="shared" ca="1" si="128"/>
        <v>0</v>
      </c>
      <c r="AE525" s="15" t="b">
        <f t="shared" ca="1" si="129"/>
        <v>0</v>
      </c>
      <c r="AF525" s="16"/>
      <c r="AG525" s="16"/>
      <c r="AH525" s="16"/>
      <c r="AI525" s="16"/>
      <c r="AJ525" s="16"/>
      <c r="AK525" s="16"/>
      <c r="AL525" s="16"/>
      <c r="AM525" s="16"/>
    </row>
    <row r="526" spans="2:39">
      <c r="B526" s="14">
        <f t="shared" si="118"/>
        <v>524</v>
      </c>
      <c r="C526" s="14" t="str">
        <f t="shared" ca="1" si="119"/>
        <v/>
      </c>
      <c r="D526" s="14" t="str">
        <f t="shared" ca="1" si="120"/>
        <v/>
      </c>
      <c r="E526" s="14" t="str">
        <f t="shared" ca="1" si="117"/>
        <v/>
      </c>
      <c r="F526" s="14">
        <f t="shared" ca="1" si="116"/>
        <v>0</v>
      </c>
      <c r="G526" s="14" t="str">
        <f t="shared" ca="1" si="121"/>
        <v/>
      </c>
      <c r="H526" s="14">
        <f ca="1">IF(G526&lt;&gt;"",IFERROR( IsVariableNameLegal(G526),0),0)+IF(COUNTIF(INDIRECT(wew!$C$13),G526)&gt;1,10,0)</f>
        <v>0</v>
      </c>
      <c r="I526" s="14">
        <f ca="1">IF(E526&lt;&gt;"",IF(LEN(E526)&gt;150,1,0)+IF(COUNTIF(INDIRECT(wew!$C$15),E526)&gt;1,10,0),0)</f>
        <v>0</v>
      </c>
      <c r="J526" s="14" t="b">
        <f t="shared" ca="1" si="122"/>
        <v>0</v>
      </c>
      <c r="K526" s="14" t="str">
        <f ca="1">ADDRESS(3,(B526+1)*2-1,4,,"[" &amp; wew!$G$7 &amp; "]" &amp; _sheetname_labels) &amp; ":" &amp; ADDRESS(2+ster!$B$20,(B526+1)*2-1,4)</f>
        <v>'[dane surowe2c.xlsm]labels'!ANI3:ANI36</v>
      </c>
      <c r="L526" s="14" t="str">
        <f ca="1">IF(F526&gt;0,ADDRESS(3,(B526+1)*2-1,4,,"[" &amp; wew!$G$7 &amp; "]" &amp; _sheetname_labels) &amp; ":" &amp; ADDRESS(2+F526,(B526+1)*2-1,4),"")</f>
        <v/>
      </c>
      <c r="M526" s="14" t="str">
        <f ca="1">IF(F526&gt;0,ADDRESS(3,(B526+1)*2,4,,"["&amp;wew!$G$7&amp;"]"&amp;_sheetname_labels)&amp;":"&amp;ADDRESS(2+F526,(B526+1)*2,4),"")</f>
        <v/>
      </c>
      <c r="N526" s="14" t="str">
        <f ca="1">ADDRESS(3,B526+1,4,,"[" &amp; wew!$G$7 &amp; "]" &amp;_sheetname_dataframe) &amp; ":" &amp; ADDRESS(2+ster!$C$14,B526+1,4)</f>
        <v>'[dane surowe2c.xlsm]data_frame'!TE3:TE35</v>
      </c>
      <c r="O526" s="14" t="str">
        <f t="shared" ca="1" si="123"/>
        <v/>
      </c>
      <c r="P526" s="14" t="str">
        <f ca="1">IF(AND($AD526,$S526=1),IF(wew!$B$3,MIN(INDIRECT($N526)),"&lt;włącz podświetlanie wartości&gt;"),"—")</f>
        <v>—</v>
      </c>
      <c r="Q526" s="14" t="str">
        <f ca="1">IF(AND($AD526,$S526=1),IF(wew!$B$3,MAX(INDIRECT($N526)),"&lt;włącz podświetlanie wartości&gt;"),"—")</f>
        <v>—</v>
      </c>
      <c r="R526" s="14" t="str">
        <f ca="1">IF(AD526,ster!$C$14- (COUNTIF( INDIRECT(N526),"" )+ COUNT(INDIRECT(N526)) +COUNTIF( INDIRECT(N526),"NA" )),"")</f>
        <v/>
      </c>
      <c r="S526" s="12" t="str">
        <f ca="1">IF(AD526,IF(COUNTA(INDIRECT(N526))=0,0, 1-(ster!$C$14- COUNT(INDIRECT(N526)) -COUNTIF( INDIRECT(N526),"" )) /COUNTA(INDIRECT(N526))),"")</f>
        <v/>
      </c>
      <c r="T526" s="17" t="str">
        <f t="array" aca="1" ref="T526" ca="1">IF(L526&lt;&gt;"",SUM(IF(INDIRECT(L526)&lt;&gt;INT(INDIRECT(L526)),1,0)),"")</f>
        <v/>
      </c>
      <c r="U526" s="17" t="str">
        <f t="array" aca="1" ref="U526" ca="1">IF(S526=1,SUM(IF(ISNUMBER(INDIRECT(N526)),IF(INDIRECT(N526)&lt;&gt;INT(INDIRECT(N526)),1,0),0)),"")</f>
        <v/>
      </c>
      <c r="V526" s="17">
        <f t="shared" ca="1" si="124"/>
        <v>0</v>
      </c>
      <c r="W526" s="17">
        <f t="shared" ca="1" si="125"/>
        <v>0</v>
      </c>
      <c r="X526" s="24" t="str">
        <f t="array" aca="1" ref="X526" ca="1">IF(AD526,IF(AG526&lt;&gt;"",AG526,IF(J526,MIN(INDIRECT( K526)),"")),"")</f>
        <v/>
      </c>
      <c r="Y526" s="17" t="str">
        <f t="array" aca="1" ref="Y526" ca="1">IF(AD526,IF(AH526&lt;&gt;"",AH526,IF(J526,MAX(INDIRECT( K526)),"")),"")</f>
        <v/>
      </c>
      <c r="Z526" s="17" t="b">
        <f t="shared" ca="1" si="126"/>
        <v>0</v>
      </c>
      <c r="AC526" s="17" t="str">
        <f t="shared" ca="1" si="127"/>
        <v/>
      </c>
      <c r="AD526" s="14" t="b">
        <f t="shared" ca="1" si="128"/>
        <v>0</v>
      </c>
      <c r="AE526" s="15" t="b">
        <f t="shared" ca="1" si="129"/>
        <v>0</v>
      </c>
      <c r="AF526" s="16"/>
      <c r="AG526" s="16"/>
      <c r="AH526" s="16"/>
      <c r="AI526" s="16"/>
      <c r="AJ526" s="16"/>
      <c r="AK526" s="16"/>
      <c r="AL526" s="16"/>
      <c r="AM526" s="16"/>
    </row>
    <row r="527" spans="2:39">
      <c r="B527" s="14">
        <f t="shared" si="118"/>
        <v>525</v>
      </c>
      <c r="C527" s="14" t="str">
        <f t="shared" ca="1" si="119"/>
        <v/>
      </c>
      <c r="D527" s="14" t="str">
        <f t="shared" ca="1" si="120"/>
        <v/>
      </c>
      <c r="E527" s="14" t="str">
        <f t="shared" ca="1" si="117"/>
        <v/>
      </c>
      <c r="F527" s="14">
        <f t="shared" ca="1" si="116"/>
        <v>0</v>
      </c>
      <c r="G527" s="14" t="str">
        <f t="shared" ca="1" si="121"/>
        <v/>
      </c>
      <c r="H527" s="14">
        <f ca="1">IF(G527&lt;&gt;"",IFERROR( IsVariableNameLegal(G527),0),0)+IF(COUNTIF(INDIRECT(wew!$C$13),G527)&gt;1,10,0)</f>
        <v>0</v>
      </c>
      <c r="I527" s="14">
        <f ca="1">IF(E527&lt;&gt;"",IF(LEN(E527)&gt;150,1,0)+IF(COUNTIF(INDIRECT(wew!$C$15),E527)&gt;1,10,0),0)</f>
        <v>0</v>
      </c>
      <c r="J527" s="14" t="b">
        <f t="shared" ca="1" si="122"/>
        <v>0</v>
      </c>
      <c r="K527" s="14" t="str">
        <f ca="1">ADDRESS(3,(B527+1)*2-1,4,,"[" &amp; wew!$G$7 &amp; "]" &amp; _sheetname_labels) &amp; ":" &amp; ADDRESS(2+ster!$B$20,(B527+1)*2-1,4)</f>
        <v>'[dane surowe2c.xlsm]labels'!ANK3:ANK36</v>
      </c>
      <c r="L527" s="14" t="str">
        <f ca="1">IF(F527&gt;0,ADDRESS(3,(B527+1)*2-1,4,,"[" &amp; wew!$G$7 &amp; "]" &amp; _sheetname_labels) &amp; ":" &amp; ADDRESS(2+F527,(B527+1)*2-1,4),"")</f>
        <v/>
      </c>
      <c r="M527" s="14" t="str">
        <f ca="1">IF(F527&gt;0,ADDRESS(3,(B527+1)*2,4,,"["&amp;wew!$G$7&amp;"]"&amp;_sheetname_labels)&amp;":"&amp;ADDRESS(2+F527,(B527+1)*2,4),"")</f>
        <v/>
      </c>
      <c r="N527" s="14" t="str">
        <f ca="1">ADDRESS(3,B527+1,4,,"[" &amp; wew!$G$7 &amp; "]" &amp;_sheetname_dataframe) &amp; ":" &amp; ADDRESS(2+ster!$C$14,B527+1,4)</f>
        <v>'[dane surowe2c.xlsm]data_frame'!TF3:TF35</v>
      </c>
      <c r="O527" s="14" t="str">
        <f t="shared" ca="1" si="123"/>
        <v/>
      </c>
      <c r="P527" s="14" t="str">
        <f ca="1">IF(AND($AD527,$S527=1),IF(wew!$B$3,MIN(INDIRECT($N527)),"&lt;włącz podświetlanie wartości&gt;"),"—")</f>
        <v>—</v>
      </c>
      <c r="Q527" s="14" t="str">
        <f ca="1">IF(AND($AD527,$S527=1),IF(wew!$B$3,MAX(INDIRECT($N527)),"&lt;włącz podświetlanie wartości&gt;"),"—")</f>
        <v>—</v>
      </c>
      <c r="R527" s="14" t="str">
        <f ca="1">IF(AD527,ster!$C$14- (COUNTIF( INDIRECT(N527),"" )+ COUNT(INDIRECT(N527)) +COUNTIF( INDIRECT(N527),"NA" )),"")</f>
        <v/>
      </c>
      <c r="S527" s="12" t="str">
        <f ca="1">IF(AD527,IF(COUNTA(INDIRECT(N527))=0,0, 1-(ster!$C$14- COUNT(INDIRECT(N527)) -COUNTIF( INDIRECT(N527),"" )) /COUNTA(INDIRECT(N527))),"")</f>
        <v/>
      </c>
      <c r="T527" s="17" t="str">
        <f t="array" aca="1" ref="T527" ca="1">IF(L527&lt;&gt;"",SUM(IF(INDIRECT(L527)&lt;&gt;INT(INDIRECT(L527)),1,0)),"")</f>
        <v/>
      </c>
      <c r="U527" s="17" t="str">
        <f t="array" aca="1" ref="U527" ca="1">IF(S527=1,SUM(IF(ISNUMBER(INDIRECT(N527)),IF(INDIRECT(N527)&lt;&gt;INT(INDIRECT(N527)),1,0),0)),"")</f>
        <v/>
      </c>
      <c r="V527" s="17">
        <f t="shared" ca="1" si="124"/>
        <v>0</v>
      </c>
      <c r="W527" s="17">
        <f t="shared" ca="1" si="125"/>
        <v>0</v>
      </c>
      <c r="X527" s="24" t="str">
        <f t="array" aca="1" ref="X527" ca="1">IF(AD527,IF(AG527&lt;&gt;"",AG527,IF(J527,MIN(INDIRECT( K527)),"")),"")</f>
        <v/>
      </c>
      <c r="Y527" s="17" t="str">
        <f t="array" aca="1" ref="Y527" ca="1">IF(AD527,IF(AH527&lt;&gt;"",AH527,IF(J527,MAX(INDIRECT( K527)),"")),"")</f>
        <v/>
      </c>
      <c r="Z527" s="17" t="b">
        <f t="shared" ca="1" si="126"/>
        <v>0</v>
      </c>
      <c r="AC527" s="17" t="str">
        <f t="shared" ca="1" si="127"/>
        <v/>
      </c>
      <c r="AD527" s="14" t="b">
        <f t="shared" ca="1" si="128"/>
        <v>0</v>
      </c>
      <c r="AE527" s="15" t="b">
        <f t="shared" ca="1" si="129"/>
        <v>0</v>
      </c>
      <c r="AF527" s="16"/>
      <c r="AG527" s="16"/>
      <c r="AH527" s="16"/>
      <c r="AI527" s="16"/>
      <c r="AJ527" s="16"/>
      <c r="AK527" s="16"/>
      <c r="AL527" s="16"/>
      <c r="AM527" s="16"/>
    </row>
    <row r="528" spans="2:39">
      <c r="B528" s="14">
        <f t="shared" si="118"/>
        <v>526</v>
      </c>
      <c r="C528" s="14" t="str">
        <f t="shared" ca="1" si="119"/>
        <v/>
      </c>
      <c r="D528" s="14" t="str">
        <f t="shared" ca="1" si="120"/>
        <v/>
      </c>
      <c r="E528" s="14" t="str">
        <f t="shared" ca="1" si="117"/>
        <v/>
      </c>
      <c r="F528" s="14">
        <f t="shared" ca="1" si="116"/>
        <v>0</v>
      </c>
      <c r="G528" s="14" t="str">
        <f t="shared" ca="1" si="121"/>
        <v/>
      </c>
      <c r="H528" s="14">
        <f ca="1">IF(G528&lt;&gt;"",IFERROR( IsVariableNameLegal(G528),0),0)+IF(COUNTIF(INDIRECT(wew!$C$13),G528)&gt;1,10,0)</f>
        <v>0</v>
      </c>
      <c r="I528" s="14">
        <f ca="1">IF(E528&lt;&gt;"",IF(LEN(E528)&gt;150,1,0)+IF(COUNTIF(INDIRECT(wew!$C$15),E528)&gt;1,10,0),0)</f>
        <v>0</v>
      </c>
      <c r="J528" s="14" t="b">
        <f t="shared" ca="1" si="122"/>
        <v>0</v>
      </c>
      <c r="K528" s="14" t="str">
        <f ca="1">ADDRESS(3,(B528+1)*2-1,4,,"[" &amp; wew!$G$7 &amp; "]" &amp; _sheetname_labels) &amp; ":" &amp; ADDRESS(2+ster!$B$20,(B528+1)*2-1,4)</f>
        <v>'[dane surowe2c.xlsm]labels'!ANM3:ANM36</v>
      </c>
      <c r="L528" s="14" t="str">
        <f ca="1">IF(F528&gt;0,ADDRESS(3,(B528+1)*2-1,4,,"[" &amp; wew!$G$7 &amp; "]" &amp; _sheetname_labels) &amp; ":" &amp; ADDRESS(2+F528,(B528+1)*2-1,4),"")</f>
        <v/>
      </c>
      <c r="M528" s="14" t="str">
        <f ca="1">IF(F528&gt;0,ADDRESS(3,(B528+1)*2,4,,"["&amp;wew!$G$7&amp;"]"&amp;_sheetname_labels)&amp;":"&amp;ADDRESS(2+F528,(B528+1)*2,4),"")</f>
        <v/>
      </c>
      <c r="N528" s="14" t="str">
        <f ca="1">ADDRESS(3,B528+1,4,,"[" &amp; wew!$G$7 &amp; "]" &amp;_sheetname_dataframe) &amp; ":" &amp; ADDRESS(2+ster!$C$14,B528+1,4)</f>
        <v>'[dane surowe2c.xlsm]data_frame'!TG3:TG35</v>
      </c>
      <c r="O528" s="14" t="str">
        <f t="shared" ca="1" si="123"/>
        <v/>
      </c>
      <c r="P528" s="14" t="str">
        <f ca="1">IF(AND($AD528,$S528=1),IF(wew!$B$3,MIN(INDIRECT($N528)),"&lt;włącz podświetlanie wartości&gt;"),"—")</f>
        <v>—</v>
      </c>
      <c r="Q528" s="14" t="str">
        <f ca="1">IF(AND($AD528,$S528=1),IF(wew!$B$3,MAX(INDIRECT($N528)),"&lt;włącz podświetlanie wartości&gt;"),"—")</f>
        <v>—</v>
      </c>
      <c r="R528" s="14" t="str">
        <f ca="1">IF(AD528,ster!$C$14- (COUNTIF( INDIRECT(N528),"" )+ COUNT(INDIRECT(N528)) +COUNTIF( INDIRECT(N528),"NA" )),"")</f>
        <v/>
      </c>
      <c r="S528" s="12" t="str">
        <f ca="1">IF(AD528,IF(COUNTA(INDIRECT(N528))=0,0, 1-(ster!$C$14- COUNT(INDIRECT(N528)) -COUNTIF( INDIRECT(N528),"" )) /COUNTA(INDIRECT(N528))),"")</f>
        <v/>
      </c>
      <c r="T528" s="17" t="str">
        <f t="array" aca="1" ref="T528" ca="1">IF(L528&lt;&gt;"",SUM(IF(INDIRECT(L528)&lt;&gt;INT(INDIRECT(L528)),1,0)),"")</f>
        <v/>
      </c>
      <c r="U528" s="17" t="str">
        <f t="array" aca="1" ref="U528" ca="1">IF(S528=1,SUM(IF(ISNUMBER(INDIRECT(N528)),IF(INDIRECT(N528)&lt;&gt;INT(INDIRECT(N528)),1,0),0)),"")</f>
        <v/>
      </c>
      <c r="V528" s="17">
        <f t="shared" ca="1" si="124"/>
        <v>0</v>
      </c>
      <c r="W528" s="17">
        <f t="shared" ca="1" si="125"/>
        <v>0</v>
      </c>
      <c r="X528" s="24" t="str">
        <f t="array" aca="1" ref="X528" ca="1">IF(AD528,IF(AG528&lt;&gt;"",AG528,IF(J528,MIN(INDIRECT( K528)),"")),"")</f>
        <v/>
      </c>
      <c r="Y528" s="17" t="str">
        <f t="array" aca="1" ref="Y528" ca="1">IF(AD528,IF(AH528&lt;&gt;"",AH528,IF(J528,MAX(INDIRECT( K528)),"")),"")</f>
        <v/>
      </c>
      <c r="Z528" s="17" t="b">
        <f t="shared" ca="1" si="126"/>
        <v>0</v>
      </c>
      <c r="AC528" s="17" t="str">
        <f t="shared" ca="1" si="127"/>
        <v/>
      </c>
      <c r="AD528" s="14" t="b">
        <f t="shared" ca="1" si="128"/>
        <v>0</v>
      </c>
      <c r="AE528" s="15" t="b">
        <f t="shared" ca="1" si="129"/>
        <v>0</v>
      </c>
      <c r="AF528" s="16"/>
      <c r="AG528" s="16"/>
      <c r="AH528" s="16"/>
      <c r="AI528" s="16"/>
      <c r="AJ528" s="16"/>
      <c r="AK528" s="16"/>
      <c r="AL528" s="16"/>
      <c r="AM528" s="16"/>
    </row>
    <row r="529" spans="2:39">
      <c r="B529" s="14">
        <f t="shared" si="118"/>
        <v>527</v>
      </c>
      <c r="C529" s="14" t="str">
        <f t="shared" ca="1" si="119"/>
        <v/>
      </c>
      <c r="D529" s="14" t="str">
        <f t="shared" ca="1" si="120"/>
        <v/>
      </c>
      <c r="E529" s="14" t="str">
        <f t="shared" ca="1" si="117"/>
        <v/>
      </c>
      <c r="F529" s="14">
        <f t="shared" ca="1" si="116"/>
        <v>0</v>
      </c>
      <c r="G529" s="14" t="str">
        <f t="shared" ca="1" si="121"/>
        <v/>
      </c>
      <c r="H529" s="14">
        <f ca="1">IF(G529&lt;&gt;"",IFERROR( IsVariableNameLegal(G529),0),0)+IF(COUNTIF(INDIRECT(wew!$C$13),G529)&gt;1,10,0)</f>
        <v>0</v>
      </c>
      <c r="I529" s="14">
        <f ca="1">IF(E529&lt;&gt;"",IF(LEN(E529)&gt;150,1,0)+IF(COUNTIF(INDIRECT(wew!$C$15),E529)&gt;1,10,0),0)</f>
        <v>0</v>
      </c>
      <c r="J529" s="14" t="b">
        <f t="shared" ca="1" si="122"/>
        <v>0</v>
      </c>
      <c r="K529" s="14" t="str">
        <f ca="1">ADDRESS(3,(B529+1)*2-1,4,,"[" &amp; wew!$G$7 &amp; "]" &amp; _sheetname_labels) &amp; ":" &amp; ADDRESS(2+ster!$B$20,(B529+1)*2-1,4)</f>
        <v>'[dane surowe2c.xlsm]labels'!ANO3:ANO36</v>
      </c>
      <c r="L529" s="14" t="str">
        <f ca="1">IF(F529&gt;0,ADDRESS(3,(B529+1)*2-1,4,,"[" &amp; wew!$G$7 &amp; "]" &amp; _sheetname_labels) &amp; ":" &amp; ADDRESS(2+F529,(B529+1)*2-1,4),"")</f>
        <v/>
      </c>
      <c r="M529" s="14" t="str">
        <f ca="1">IF(F529&gt;0,ADDRESS(3,(B529+1)*2,4,,"["&amp;wew!$G$7&amp;"]"&amp;_sheetname_labels)&amp;":"&amp;ADDRESS(2+F529,(B529+1)*2,4),"")</f>
        <v/>
      </c>
      <c r="N529" s="14" t="str">
        <f ca="1">ADDRESS(3,B529+1,4,,"[" &amp; wew!$G$7 &amp; "]" &amp;_sheetname_dataframe) &amp; ":" &amp; ADDRESS(2+ster!$C$14,B529+1,4)</f>
        <v>'[dane surowe2c.xlsm]data_frame'!TH3:TH35</v>
      </c>
      <c r="O529" s="14" t="str">
        <f t="shared" ca="1" si="123"/>
        <v/>
      </c>
      <c r="P529" s="14" t="str">
        <f ca="1">IF(AND($AD529,$S529=1),IF(wew!$B$3,MIN(INDIRECT($N529)),"&lt;włącz podświetlanie wartości&gt;"),"—")</f>
        <v>—</v>
      </c>
      <c r="Q529" s="14" t="str">
        <f ca="1">IF(AND($AD529,$S529=1),IF(wew!$B$3,MAX(INDIRECT($N529)),"&lt;włącz podświetlanie wartości&gt;"),"—")</f>
        <v>—</v>
      </c>
      <c r="R529" s="14" t="str">
        <f ca="1">IF(AD529,ster!$C$14- (COUNTIF( INDIRECT(N529),"" )+ COUNT(INDIRECT(N529)) +COUNTIF( INDIRECT(N529),"NA" )),"")</f>
        <v/>
      </c>
      <c r="S529" s="12" t="str">
        <f ca="1">IF(AD529,IF(COUNTA(INDIRECT(N529))=0,0, 1-(ster!$C$14- COUNT(INDIRECT(N529)) -COUNTIF( INDIRECT(N529),"" )) /COUNTA(INDIRECT(N529))),"")</f>
        <v/>
      </c>
      <c r="T529" s="17" t="str">
        <f t="array" aca="1" ref="T529" ca="1">IF(L529&lt;&gt;"",SUM(IF(INDIRECT(L529)&lt;&gt;INT(INDIRECT(L529)),1,0)),"")</f>
        <v/>
      </c>
      <c r="U529" s="17" t="str">
        <f t="array" aca="1" ref="U529" ca="1">IF(S529=1,SUM(IF(ISNUMBER(INDIRECT(N529)),IF(INDIRECT(N529)&lt;&gt;INT(INDIRECT(N529)),1,0),0)),"")</f>
        <v/>
      </c>
      <c r="V529" s="17">
        <f t="shared" ca="1" si="124"/>
        <v>0</v>
      </c>
      <c r="W529" s="17">
        <f t="shared" ca="1" si="125"/>
        <v>0</v>
      </c>
      <c r="X529" s="24" t="str">
        <f t="array" aca="1" ref="X529" ca="1">IF(AD529,IF(AG529&lt;&gt;"",AG529,IF(J529,MIN(INDIRECT( K529)),"")),"")</f>
        <v/>
      </c>
      <c r="Y529" s="17" t="str">
        <f t="array" aca="1" ref="Y529" ca="1">IF(AD529,IF(AH529&lt;&gt;"",AH529,IF(J529,MAX(INDIRECT( K529)),"")),"")</f>
        <v/>
      </c>
      <c r="Z529" s="17" t="b">
        <f t="shared" ca="1" si="126"/>
        <v>0</v>
      </c>
      <c r="AC529" s="17" t="str">
        <f t="shared" ca="1" si="127"/>
        <v/>
      </c>
      <c r="AD529" s="14" t="b">
        <f t="shared" ca="1" si="128"/>
        <v>0</v>
      </c>
      <c r="AE529" s="15" t="b">
        <f t="shared" ca="1" si="129"/>
        <v>0</v>
      </c>
      <c r="AF529" s="16"/>
      <c r="AG529" s="16"/>
      <c r="AH529" s="16"/>
      <c r="AI529" s="16"/>
      <c r="AJ529" s="16"/>
      <c r="AK529" s="16"/>
      <c r="AL529" s="16"/>
      <c r="AM529" s="16"/>
    </row>
    <row r="530" spans="2:39">
      <c r="B530" s="14">
        <f t="shared" si="118"/>
        <v>528</v>
      </c>
      <c r="C530" s="14" t="str">
        <f t="shared" ca="1" si="119"/>
        <v/>
      </c>
      <c r="D530" s="14" t="str">
        <f t="shared" ca="1" si="120"/>
        <v/>
      </c>
      <c r="E530" s="14" t="str">
        <f t="shared" ca="1" si="117"/>
        <v/>
      </c>
      <c r="F530" s="14">
        <f t="shared" ca="1" si="116"/>
        <v>0</v>
      </c>
      <c r="G530" s="14" t="str">
        <f t="shared" ca="1" si="121"/>
        <v/>
      </c>
      <c r="H530" s="14">
        <f ca="1">IF(G530&lt;&gt;"",IFERROR( IsVariableNameLegal(G530),0),0)+IF(COUNTIF(INDIRECT(wew!$C$13),G530)&gt;1,10,0)</f>
        <v>0</v>
      </c>
      <c r="I530" s="14">
        <f ca="1">IF(E530&lt;&gt;"",IF(LEN(E530)&gt;150,1,0)+IF(COUNTIF(INDIRECT(wew!$C$15),E530)&gt;1,10,0),0)</f>
        <v>0</v>
      </c>
      <c r="J530" s="14" t="b">
        <f t="shared" ca="1" si="122"/>
        <v>0</v>
      </c>
      <c r="K530" s="14" t="str">
        <f ca="1">ADDRESS(3,(B530+1)*2-1,4,,"[" &amp; wew!$G$7 &amp; "]" &amp; _sheetname_labels) &amp; ":" &amp; ADDRESS(2+ster!$B$20,(B530+1)*2-1,4)</f>
        <v>'[dane surowe2c.xlsm]labels'!ANQ3:ANQ36</v>
      </c>
      <c r="L530" s="14" t="str">
        <f ca="1">IF(F530&gt;0,ADDRESS(3,(B530+1)*2-1,4,,"[" &amp; wew!$G$7 &amp; "]" &amp; _sheetname_labels) &amp; ":" &amp; ADDRESS(2+F530,(B530+1)*2-1,4),"")</f>
        <v/>
      </c>
      <c r="M530" s="14" t="str">
        <f ca="1">IF(F530&gt;0,ADDRESS(3,(B530+1)*2,4,,"["&amp;wew!$G$7&amp;"]"&amp;_sheetname_labels)&amp;":"&amp;ADDRESS(2+F530,(B530+1)*2,4),"")</f>
        <v/>
      </c>
      <c r="N530" s="14" t="str">
        <f ca="1">ADDRESS(3,B530+1,4,,"[" &amp; wew!$G$7 &amp; "]" &amp;_sheetname_dataframe) &amp; ":" &amp; ADDRESS(2+ster!$C$14,B530+1,4)</f>
        <v>'[dane surowe2c.xlsm]data_frame'!TI3:TI35</v>
      </c>
      <c r="O530" s="14" t="str">
        <f t="shared" ca="1" si="123"/>
        <v/>
      </c>
      <c r="P530" s="14" t="str">
        <f ca="1">IF(AND($AD530,$S530=1),IF(wew!$B$3,MIN(INDIRECT($N530)),"&lt;włącz podświetlanie wartości&gt;"),"—")</f>
        <v>—</v>
      </c>
      <c r="Q530" s="14" t="str">
        <f ca="1">IF(AND($AD530,$S530=1),IF(wew!$B$3,MAX(INDIRECT($N530)),"&lt;włącz podświetlanie wartości&gt;"),"—")</f>
        <v>—</v>
      </c>
      <c r="R530" s="14" t="str">
        <f ca="1">IF(AD530,ster!$C$14- (COUNTIF( INDIRECT(N530),"" )+ COUNT(INDIRECT(N530)) +COUNTIF( INDIRECT(N530),"NA" )),"")</f>
        <v/>
      </c>
      <c r="S530" s="12" t="str">
        <f ca="1">IF(AD530,IF(COUNTA(INDIRECT(N530))=0,0, 1-(ster!$C$14- COUNT(INDIRECT(N530)) -COUNTIF( INDIRECT(N530),"" )) /COUNTA(INDIRECT(N530))),"")</f>
        <v/>
      </c>
      <c r="T530" s="17" t="str">
        <f t="array" aca="1" ref="T530" ca="1">IF(L530&lt;&gt;"",SUM(IF(INDIRECT(L530)&lt;&gt;INT(INDIRECT(L530)),1,0)),"")</f>
        <v/>
      </c>
      <c r="U530" s="17" t="str">
        <f t="array" aca="1" ref="U530" ca="1">IF(S530=1,SUM(IF(ISNUMBER(INDIRECT(N530)),IF(INDIRECT(N530)&lt;&gt;INT(INDIRECT(N530)),1,0),0)),"")</f>
        <v/>
      </c>
      <c r="V530" s="17">
        <f t="shared" ca="1" si="124"/>
        <v>0</v>
      </c>
      <c r="W530" s="17">
        <f t="shared" ca="1" si="125"/>
        <v>0</v>
      </c>
      <c r="X530" s="24" t="str">
        <f t="array" aca="1" ref="X530" ca="1">IF(AD530,IF(AG530&lt;&gt;"",AG530,IF(J530,MIN(INDIRECT( K530)),"")),"")</f>
        <v/>
      </c>
      <c r="Y530" s="17" t="str">
        <f t="array" aca="1" ref="Y530" ca="1">IF(AD530,IF(AH530&lt;&gt;"",AH530,IF(J530,MAX(INDIRECT( K530)),"")),"")</f>
        <v/>
      </c>
      <c r="Z530" s="17" t="b">
        <f t="shared" ca="1" si="126"/>
        <v>0</v>
      </c>
      <c r="AC530" s="17" t="str">
        <f t="shared" ca="1" si="127"/>
        <v/>
      </c>
      <c r="AD530" s="14" t="b">
        <f t="shared" ca="1" si="128"/>
        <v>0</v>
      </c>
      <c r="AE530" s="15" t="b">
        <f t="shared" ca="1" si="129"/>
        <v>0</v>
      </c>
      <c r="AF530" s="16"/>
      <c r="AG530" s="16"/>
      <c r="AH530" s="16"/>
      <c r="AI530" s="16"/>
      <c r="AJ530" s="16"/>
      <c r="AK530" s="16"/>
      <c r="AL530" s="16"/>
      <c r="AM530" s="16"/>
    </row>
    <row r="531" spans="2:39">
      <c r="B531" s="14">
        <f t="shared" si="118"/>
        <v>529</v>
      </c>
      <c r="C531" s="14" t="str">
        <f t="shared" ca="1" si="119"/>
        <v/>
      </c>
      <c r="D531" s="14" t="str">
        <f t="shared" ca="1" si="120"/>
        <v/>
      </c>
      <c r="E531" s="14" t="str">
        <f t="shared" ca="1" si="117"/>
        <v/>
      </c>
      <c r="F531" s="14">
        <f t="shared" ca="1" si="116"/>
        <v>0</v>
      </c>
      <c r="G531" s="14" t="str">
        <f t="shared" ca="1" si="121"/>
        <v/>
      </c>
      <c r="H531" s="14">
        <f ca="1">IF(G531&lt;&gt;"",IFERROR( IsVariableNameLegal(G531),0),0)+IF(COUNTIF(INDIRECT(wew!$C$13),G531)&gt;1,10,0)</f>
        <v>0</v>
      </c>
      <c r="I531" s="14">
        <f ca="1">IF(E531&lt;&gt;"",IF(LEN(E531)&gt;150,1,0)+IF(COUNTIF(INDIRECT(wew!$C$15),E531)&gt;1,10,0),0)</f>
        <v>0</v>
      </c>
      <c r="J531" s="14" t="b">
        <f t="shared" ca="1" si="122"/>
        <v>0</v>
      </c>
      <c r="K531" s="14" t="str">
        <f ca="1">ADDRESS(3,(B531+1)*2-1,4,,"[" &amp; wew!$G$7 &amp; "]" &amp; _sheetname_labels) &amp; ":" &amp; ADDRESS(2+ster!$B$20,(B531+1)*2-1,4)</f>
        <v>'[dane surowe2c.xlsm]labels'!ANS3:ANS36</v>
      </c>
      <c r="L531" s="14" t="str">
        <f ca="1">IF(F531&gt;0,ADDRESS(3,(B531+1)*2-1,4,,"[" &amp; wew!$G$7 &amp; "]" &amp; _sheetname_labels) &amp; ":" &amp; ADDRESS(2+F531,(B531+1)*2-1,4),"")</f>
        <v/>
      </c>
      <c r="M531" s="14" t="str">
        <f ca="1">IF(F531&gt;0,ADDRESS(3,(B531+1)*2,4,,"["&amp;wew!$G$7&amp;"]"&amp;_sheetname_labels)&amp;":"&amp;ADDRESS(2+F531,(B531+1)*2,4),"")</f>
        <v/>
      </c>
      <c r="N531" s="14" t="str">
        <f ca="1">ADDRESS(3,B531+1,4,,"[" &amp; wew!$G$7 &amp; "]" &amp;_sheetname_dataframe) &amp; ":" &amp; ADDRESS(2+ster!$C$14,B531+1,4)</f>
        <v>'[dane surowe2c.xlsm]data_frame'!TJ3:TJ35</v>
      </c>
      <c r="O531" s="14" t="str">
        <f t="shared" ca="1" si="123"/>
        <v/>
      </c>
      <c r="P531" s="14" t="str">
        <f ca="1">IF(AND($AD531,$S531=1),IF(wew!$B$3,MIN(INDIRECT($N531)),"&lt;włącz podświetlanie wartości&gt;"),"—")</f>
        <v>—</v>
      </c>
      <c r="Q531" s="14" t="str">
        <f ca="1">IF(AND($AD531,$S531=1),IF(wew!$B$3,MAX(INDIRECT($N531)),"&lt;włącz podświetlanie wartości&gt;"),"—")</f>
        <v>—</v>
      </c>
      <c r="R531" s="14" t="str">
        <f ca="1">IF(AD531,ster!$C$14- (COUNTIF( INDIRECT(N531),"" )+ COUNT(INDIRECT(N531)) +COUNTIF( INDIRECT(N531),"NA" )),"")</f>
        <v/>
      </c>
      <c r="S531" s="12" t="str">
        <f ca="1">IF(AD531,IF(COUNTA(INDIRECT(N531))=0,0, 1-(ster!$C$14- COUNT(INDIRECT(N531)) -COUNTIF( INDIRECT(N531),"" )) /COUNTA(INDIRECT(N531))),"")</f>
        <v/>
      </c>
      <c r="T531" s="17" t="str">
        <f t="array" aca="1" ref="T531" ca="1">IF(L531&lt;&gt;"",SUM(IF(INDIRECT(L531)&lt;&gt;INT(INDIRECT(L531)),1,0)),"")</f>
        <v/>
      </c>
      <c r="U531" s="17" t="str">
        <f t="array" aca="1" ref="U531" ca="1">IF(S531=1,SUM(IF(ISNUMBER(INDIRECT(N531)),IF(INDIRECT(N531)&lt;&gt;INT(INDIRECT(N531)),1,0),0)),"")</f>
        <v/>
      </c>
      <c r="V531" s="17">
        <f t="shared" ca="1" si="124"/>
        <v>0</v>
      </c>
      <c r="W531" s="17">
        <f t="shared" ca="1" si="125"/>
        <v>0</v>
      </c>
      <c r="X531" s="24" t="str">
        <f t="array" aca="1" ref="X531" ca="1">IF(AD531,IF(AG531&lt;&gt;"",AG531,IF(J531,MIN(INDIRECT( K531)),"")),"")</f>
        <v/>
      </c>
      <c r="Y531" s="17" t="str">
        <f t="array" aca="1" ref="Y531" ca="1">IF(AD531,IF(AH531&lt;&gt;"",AH531,IF(J531,MAX(INDIRECT( K531)),"")),"")</f>
        <v/>
      </c>
      <c r="Z531" s="17" t="b">
        <f t="shared" ca="1" si="126"/>
        <v>0</v>
      </c>
      <c r="AC531" s="17" t="str">
        <f t="shared" ca="1" si="127"/>
        <v/>
      </c>
      <c r="AD531" s="14" t="b">
        <f t="shared" ca="1" si="128"/>
        <v>0</v>
      </c>
      <c r="AE531" s="15" t="b">
        <f t="shared" ca="1" si="129"/>
        <v>0</v>
      </c>
      <c r="AF531" s="16"/>
      <c r="AG531" s="16"/>
      <c r="AH531" s="16"/>
      <c r="AI531" s="16"/>
      <c r="AJ531" s="16"/>
      <c r="AK531" s="16"/>
      <c r="AL531" s="16"/>
      <c r="AM531" s="16"/>
    </row>
    <row r="532" spans="2:39">
      <c r="B532" s="14">
        <f t="shared" si="118"/>
        <v>530</v>
      </c>
      <c r="C532" s="14" t="str">
        <f t="shared" ca="1" si="119"/>
        <v/>
      </c>
      <c r="D532" s="14" t="str">
        <f t="shared" ca="1" si="120"/>
        <v/>
      </c>
      <c r="E532" s="14" t="str">
        <f t="shared" ca="1" si="117"/>
        <v/>
      </c>
      <c r="F532" s="14">
        <f t="shared" ca="1" si="116"/>
        <v>0</v>
      </c>
      <c r="G532" s="14" t="str">
        <f t="shared" ca="1" si="121"/>
        <v/>
      </c>
      <c r="H532" s="14">
        <f ca="1">IF(G532&lt;&gt;"",IFERROR( IsVariableNameLegal(G532),0),0)+IF(COUNTIF(INDIRECT(wew!$C$13),G532)&gt;1,10,0)</f>
        <v>0</v>
      </c>
      <c r="I532" s="14">
        <f ca="1">IF(E532&lt;&gt;"",IF(LEN(E532)&gt;150,1,0)+IF(COUNTIF(INDIRECT(wew!$C$15),E532)&gt;1,10,0),0)</f>
        <v>0</v>
      </c>
      <c r="J532" s="14" t="b">
        <f t="shared" ca="1" si="122"/>
        <v>0</v>
      </c>
      <c r="K532" s="14" t="str">
        <f ca="1">ADDRESS(3,(B532+1)*2-1,4,,"[" &amp; wew!$G$7 &amp; "]" &amp; _sheetname_labels) &amp; ":" &amp; ADDRESS(2+ster!$B$20,(B532+1)*2-1,4)</f>
        <v>'[dane surowe2c.xlsm]labels'!ANU3:ANU36</v>
      </c>
      <c r="L532" s="14" t="str">
        <f ca="1">IF(F532&gt;0,ADDRESS(3,(B532+1)*2-1,4,,"[" &amp; wew!$G$7 &amp; "]" &amp; _sheetname_labels) &amp; ":" &amp; ADDRESS(2+F532,(B532+1)*2-1,4),"")</f>
        <v/>
      </c>
      <c r="M532" s="14" t="str">
        <f ca="1">IF(F532&gt;0,ADDRESS(3,(B532+1)*2,4,,"["&amp;wew!$G$7&amp;"]"&amp;_sheetname_labels)&amp;":"&amp;ADDRESS(2+F532,(B532+1)*2,4),"")</f>
        <v/>
      </c>
      <c r="N532" s="14" t="str">
        <f ca="1">ADDRESS(3,B532+1,4,,"[" &amp; wew!$G$7 &amp; "]" &amp;_sheetname_dataframe) &amp; ":" &amp; ADDRESS(2+ster!$C$14,B532+1,4)</f>
        <v>'[dane surowe2c.xlsm]data_frame'!TK3:TK35</v>
      </c>
      <c r="O532" s="14" t="str">
        <f t="shared" ca="1" si="123"/>
        <v/>
      </c>
      <c r="P532" s="14" t="str">
        <f ca="1">IF(AND($AD532,$S532=1),IF(wew!$B$3,MIN(INDIRECT($N532)),"&lt;włącz podświetlanie wartości&gt;"),"—")</f>
        <v>—</v>
      </c>
      <c r="Q532" s="14" t="str">
        <f ca="1">IF(AND($AD532,$S532=1),IF(wew!$B$3,MAX(INDIRECT($N532)),"&lt;włącz podświetlanie wartości&gt;"),"—")</f>
        <v>—</v>
      </c>
      <c r="R532" s="14" t="str">
        <f ca="1">IF(AD532,ster!$C$14- (COUNTIF( INDIRECT(N532),"" )+ COUNT(INDIRECT(N532)) +COUNTIF( INDIRECT(N532),"NA" )),"")</f>
        <v/>
      </c>
      <c r="S532" s="12" t="str">
        <f ca="1">IF(AD532,IF(COUNTA(INDIRECT(N532))=0,0, 1-(ster!$C$14- COUNT(INDIRECT(N532)) -COUNTIF( INDIRECT(N532),"" )) /COUNTA(INDIRECT(N532))),"")</f>
        <v/>
      </c>
      <c r="T532" s="17" t="str">
        <f t="array" aca="1" ref="T532" ca="1">IF(L532&lt;&gt;"",SUM(IF(INDIRECT(L532)&lt;&gt;INT(INDIRECT(L532)),1,0)),"")</f>
        <v/>
      </c>
      <c r="U532" s="17" t="str">
        <f t="array" aca="1" ref="U532" ca="1">IF(S532=1,SUM(IF(ISNUMBER(INDIRECT(N532)),IF(INDIRECT(N532)&lt;&gt;INT(INDIRECT(N532)),1,0),0)),"")</f>
        <v/>
      </c>
      <c r="V532" s="17">
        <f t="shared" ca="1" si="124"/>
        <v>0</v>
      </c>
      <c r="W532" s="17">
        <f t="shared" ca="1" si="125"/>
        <v>0</v>
      </c>
      <c r="X532" s="24" t="str">
        <f t="array" aca="1" ref="X532" ca="1">IF(AD532,IF(AG532&lt;&gt;"",AG532,IF(J532,MIN(INDIRECT( K532)),"")),"")</f>
        <v/>
      </c>
      <c r="Y532" s="17" t="str">
        <f t="array" aca="1" ref="Y532" ca="1">IF(AD532,IF(AH532&lt;&gt;"",AH532,IF(J532,MAX(INDIRECT( K532)),"")),"")</f>
        <v/>
      </c>
      <c r="Z532" s="17" t="b">
        <f t="shared" ca="1" si="126"/>
        <v>0</v>
      </c>
      <c r="AC532" s="17" t="str">
        <f t="shared" ca="1" si="127"/>
        <v/>
      </c>
      <c r="AD532" s="14" t="b">
        <f t="shared" ca="1" si="128"/>
        <v>0</v>
      </c>
      <c r="AE532" s="15" t="b">
        <f t="shared" ca="1" si="129"/>
        <v>0</v>
      </c>
      <c r="AF532" s="16"/>
      <c r="AG532" s="16"/>
      <c r="AH532" s="16"/>
      <c r="AI532" s="16"/>
      <c r="AJ532" s="16"/>
      <c r="AK532" s="16"/>
      <c r="AL532" s="16"/>
      <c r="AM532" s="16"/>
    </row>
    <row r="533" spans="2:39">
      <c r="B533" s="14">
        <f t="shared" si="118"/>
        <v>531</v>
      </c>
      <c r="C533" s="14" t="str">
        <f t="shared" ca="1" si="119"/>
        <v/>
      </c>
      <c r="D533" s="14" t="str">
        <f t="shared" ca="1" si="120"/>
        <v/>
      </c>
      <c r="E533" s="14" t="str">
        <f t="shared" ca="1" si="117"/>
        <v/>
      </c>
      <c r="F533" s="14">
        <f t="shared" ca="1" si="116"/>
        <v>0</v>
      </c>
      <c r="G533" s="14" t="str">
        <f t="shared" ca="1" si="121"/>
        <v/>
      </c>
      <c r="H533" s="14">
        <f ca="1">IF(G533&lt;&gt;"",IFERROR( IsVariableNameLegal(G533),0),0)+IF(COUNTIF(INDIRECT(wew!$C$13),G533)&gt;1,10,0)</f>
        <v>0</v>
      </c>
      <c r="I533" s="14">
        <f ca="1">IF(E533&lt;&gt;"",IF(LEN(E533)&gt;150,1,0)+IF(COUNTIF(INDIRECT(wew!$C$15),E533)&gt;1,10,0),0)</f>
        <v>0</v>
      </c>
      <c r="J533" s="14" t="b">
        <f t="shared" ca="1" si="122"/>
        <v>0</v>
      </c>
      <c r="K533" s="14" t="str">
        <f ca="1">ADDRESS(3,(B533+1)*2-1,4,,"[" &amp; wew!$G$7 &amp; "]" &amp; _sheetname_labels) &amp; ":" &amp; ADDRESS(2+ster!$B$20,(B533+1)*2-1,4)</f>
        <v>'[dane surowe2c.xlsm]labels'!ANW3:ANW36</v>
      </c>
      <c r="L533" s="14" t="str">
        <f ca="1">IF(F533&gt;0,ADDRESS(3,(B533+1)*2-1,4,,"[" &amp; wew!$G$7 &amp; "]" &amp; _sheetname_labels) &amp; ":" &amp; ADDRESS(2+F533,(B533+1)*2-1,4),"")</f>
        <v/>
      </c>
      <c r="M533" s="14" t="str">
        <f ca="1">IF(F533&gt;0,ADDRESS(3,(B533+1)*2,4,,"["&amp;wew!$G$7&amp;"]"&amp;_sheetname_labels)&amp;":"&amp;ADDRESS(2+F533,(B533+1)*2,4),"")</f>
        <v/>
      </c>
      <c r="N533" s="14" t="str">
        <f ca="1">ADDRESS(3,B533+1,4,,"[" &amp; wew!$G$7 &amp; "]" &amp;_sheetname_dataframe) &amp; ":" &amp; ADDRESS(2+ster!$C$14,B533+1,4)</f>
        <v>'[dane surowe2c.xlsm]data_frame'!TL3:TL35</v>
      </c>
      <c r="O533" s="14" t="str">
        <f t="shared" ca="1" si="123"/>
        <v/>
      </c>
      <c r="P533" s="14" t="str">
        <f ca="1">IF(AND($AD533,$S533=1),IF(wew!$B$3,MIN(INDIRECT($N533)),"&lt;włącz podświetlanie wartości&gt;"),"—")</f>
        <v>—</v>
      </c>
      <c r="Q533" s="14" t="str">
        <f ca="1">IF(AND($AD533,$S533=1),IF(wew!$B$3,MAX(INDIRECT($N533)),"&lt;włącz podświetlanie wartości&gt;"),"—")</f>
        <v>—</v>
      </c>
      <c r="R533" s="14" t="str">
        <f ca="1">IF(AD533,ster!$C$14- (COUNTIF( INDIRECT(N533),"" )+ COUNT(INDIRECT(N533)) +COUNTIF( INDIRECT(N533),"NA" )),"")</f>
        <v/>
      </c>
      <c r="S533" s="12" t="str">
        <f ca="1">IF(AD533,IF(COUNTA(INDIRECT(N533))=0,0, 1-(ster!$C$14- COUNT(INDIRECT(N533)) -COUNTIF( INDIRECT(N533),"" )) /COUNTA(INDIRECT(N533))),"")</f>
        <v/>
      </c>
      <c r="T533" s="17" t="str">
        <f t="array" aca="1" ref="T533" ca="1">IF(L533&lt;&gt;"",SUM(IF(INDIRECT(L533)&lt;&gt;INT(INDIRECT(L533)),1,0)),"")</f>
        <v/>
      </c>
      <c r="U533" s="17" t="str">
        <f t="array" aca="1" ref="U533" ca="1">IF(S533=1,SUM(IF(ISNUMBER(INDIRECT(N533)),IF(INDIRECT(N533)&lt;&gt;INT(INDIRECT(N533)),1,0),0)),"")</f>
        <v/>
      </c>
      <c r="V533" s="17">
        <f t="shared" ca="1" si="124"/>
        <v>0</v>
      </c>
      <c r="W533" s="17">
        <f t="shared" ca="1" si="125"/>
        <v>0</v>
      </c>
      <c r="X533" s="24" t="str">
        <f t="array" aca="1" ref="X533" ca="1">IF(AD533,IF(AG533&lt;&gt;"",AG533,IF(J533,MIN(INDIRECT( K533)),"")),"")</f>
        <v/>
      </c>
      <c r="Y533" s="17" t="str">
        <f t="array" aca="1" ref="Y533" ca="1">IF(AD533,IF(AH533&lt;&gt;"",AH533,IF(J533,MAX(INDIRECT( K533)),"")),"")</f>
        <v/>
      </c>
      <c r="Z533" s="17" t="b">
        <f t="shared" ca="1" si="126"/>
        <v>0</v>
      </c>
      <c r="AC533" s="17" t="str">
        <f t="shared" ca="1" si="127"/>
        <v/>
      </c>
      <c r="AD533" s="14" t="b">
        <f t="shared" ca="1" si="128"/>
        <v>0</v>
      </c>
      <c r="AE533" s="15" t="b">
        <f t="shared" ca="1" si="129"/>
        <v>0</v>
      </c>
      <c r="AF533" s="16"/>
      <c r="AG533" s="16"/>
      <c r="AH533" s="16"/>
      <c r="AI533" s="16"/>
      <c r="AJ533" s="16"/>
      <c r="AK533" s="16"/>
      <c r="AL533" s="16"/>
      <c r="AM533" s="16"/>
    </row>
    <row r="534" spans="2:39">
      <c r="B534" s="14">
        <f t="shared" si="118"/>
        <v>532</v>
      </c>
      <c r="C534" s="14" t="str">
        <f t="shared" ca="1" si="119"/>
        <v/>
      </c>
      <c r="D534" s="14" t="str">
        <f t="shared" ca="1" si="120"/>
        <v/>
      </c>
      <c r="E534" s="14" t="str">
        <f t="shared" ca="1" si="117"/>
        <v/>
      </c>
      <c r="F534" s="14">
        <f t="shared" ca="1" si="116"/>
        <v>0</v>
      </c>
      <c r="G534" s="14" t="str">
        <f t="shared" ca="1" si="121"/>
        <v/>
      </c>
      <c r="H534" s="14">
        <f ca="1">IF(G534&lt;&gt;"",IFERROR( IsVariableNameLegal(G534),0),0)+IF(COUNTIF(INDIRECT(wew!$C$13),G534)&gt;1,10,0)</f>
        <v>0</v>
      </c>
      <c r="I534" s="14">
        <f ca="1">IF(E534&lt;&gt;"",IF(LEN(E534)&gt;150,1,0)+IF(COUNTIF(INDIRECT(wew!$C$15),E534)&gt;1,10,0),0)</f>
        <v>0</v>
      </c>
      <c r="J534" s="14" t="b">
        <f t="shared" ca="1" si="122"/>
        <v>0</v>
      </c>
      <c r="K534" s="14" t="str">
        <f ca="1">ADDRESS(3,(B534+1)*2-1,4,,"[" &amp; wew!$G$7 &amp; "]" &amp; _sheetname_labels) &amp; ":" &amp; ADDRESS(2+ster!$B$20,(B534+1)*2-1,4)</f>
        <v>'[dane surowe2c.xlsm]labels'!ANY3:ANY36</v>
      </c>
      <c r="L534" s="14" t="str">
        <f ca="1">IF(F534&gt;0,ADDRESS(3,(B534+1)*2-1,4,,"[" &amp; wew!$G$7 &amp; "]" &amp; _sheetname_labels) &amp; ":" &amp; ADDRESS(2+F534,(B534+1)*2-1,4),"")</f>
        <v/>
      </c>
      <c r="M534" s="14" t="str">
        <f ca="1">IF(F534&gt;0,ADDRESS(3,(B534+1)*2,4,,"["&amp;wew!$G$7&amp;"]"&amp;_sheetname_labels)&amp;":"&amp;ADDRESS(2+F534,(B534+1)*2,4),"")</f>
        <v/>
      </c>
      <c r="N534" s="14" t="str">
        <f ca="1">ADDRESS(3,B534+1,4,,"[" &amp; wew!$G$7 &amp; "]" &amp;_sheetname_dataframe) &amp; ":" &amp; ADDRESS(2+ster!$C$14,B534+1,4)</f>
        <v>'[dane surowe2c.xlsm]data_frame'!TM3:TM35</v>
      </c>
      <c r="O534" s="14" t="str">
        <f t="shared" ca="1" si="123"/>
        <v/>
      </c>
      <c r="P534" s="14" t="str">
        <f ca="1">IF(AND($AD534,$S534=1),IF(wew!$B$3,MIN(INDIRECT($N534)),"&lt;włącz podświetlanie wartości&gt;"),"—")</f>
        <v>—</v>
      </c>
      <c r="Q534" s="14" t="str">
        <f ca="1">IF(AND($AD534,$S534=1),IF(wew!$B$3,MAX(INDIRECT($N534)),"&lt;włącz podświetlanie wartości&gt;"),"—")</f>
        <v>—</v>
      </c>
      <c r="R534" s="14" t="str">
        <f ca="1">IF(AD534,ster!$C$14- (COUNTIF( INDIRECT(N534),"" )+ COUNT(INDIRECT(N534)) +COUNTIF( INDIRECT(N534),"NA" )),"")</f>
        <v/>
      </c>
      <c r="S534" s="12" t="str">
        <f ca="1">IF(AD534,IF(COUNTA(INDIRECT(N534))=0,0, 1-(ster!$C$14- COUNT(INDIRECT(N534)) -COUNTIF( INDIRECT(N534),"" )) /COUNTA(INDIRECT(N534))),"")</f>
        <v/>
      </c>
      <c r="T534" s="17" t="str">
        <f t="array" aca="1" ref="T534" ca="1">IF(L534&lt;&gt;"",SUM(IF(INDIRECT(L534)&lt;&gt;INT(INDIRECT(L534)),1,0)),"")</f>
        <v/>
      </c>
      <c r="U534" s="17" t="str">
        <f t="array" aca="1" ref="U534" ca="1">IF(S534=1,SUM(IF(ISNUMBER(INDIRECT(N534)),IF(INDIRECT(N534)&lt;&gt;INT(INDIRECT(N534)),1,0),0)),"")</f>
        <v/>
      </c>
      <c r="V534" s="17">
        <f t="shared" ca="1" si="124"/>
        <v>0</v>
      </c>
      <c r="W534" s="17">
        <f t="shared" ca="1" si="125"/>
        <v>0</v>
      </c>
      <c r="X534" s="24" t="str">
        <f t="array" aca="1" ref="X534" ca="1">IF(AD534,IF(AG534&lt;&gt;"",AG534,IF(J534,MIN(INDIRECT( K534)),"")),"")</f>
        <v/>
      </c>
      <c r="Y534" s="17" t="str">
        <f t="array" aca="1" ref="Y534" ca="1">IF(AD534,IF(AH534&lt;&gt;"",AH534,IF(J534,MAX(INDIRECT( K534)),"")),"")</f>
        <v/>
      </c>
      <c r="Z534" s="17" t="b">
        <f t="shared" ca="1" si="126"/>
        <v>0</v>
      </c>
      <c r="AC534" s="17" t="str">
        <f t="shared" ca="1" si="127"/>
        <v/>
      </c>
      <c r="AD534" s="14" t="b">
        <f t="shared" ca="1" si="128"/>
        <v>0</v>
      </c>
      <c r="AE534" s="15" t="b">
        <f t="shared" ca="1" si="129"/>
        <v>0</v>
      </c>
      <c r="AF534" s="16"/>
      <c r="AG534" s="16"/>
      <c r="AH534" s="16"/>
      <c r="AI534" s="16"/>
      <c r="AJ534" s="16"/>
      <c r="AK534" s="16"/>
      <c r="AL534" s="16"/>
      <c r="AM534" s="16"/>
    </row>
    <row r="535" spans="2:39">
      <c r="B535" s="14">
        <f t="shared" si="118"/>
        <v>533</v>
      </c>
      <c r="C535" s="14" t="str">
        <f t="shared" ca="1" si="119"/>
        <v/>
      </c>
      <c r="D535" s="14" t="str">
        <f t="shared" ca="1" si="120"/>
        <v/>
      </c>
      <c r="E535" s="14" t="str">
        <f t="shared" ca="1" si="117"/>
        <v/>
      </c>
      <c r="F535" s="14">
        <f t="shared" ca="1" si="116"/>
        <v>0</v>
      </c>
      <c r="G535" s="14" t="str">
        <f t="shared" ca="1" si="121"/>
        <v/>
      </c>
      <c r="H535" s="14">
        <f ca="1">IF(G535&lt;&gt;"",IFERROR( IsVariableNameLegal(G535),0),0)+IF(COUNTIF(INDIRECT(wew!$C$13),G535)&gt;1,10,0)</f>
        <v>0</v>
      </c>
      <c r="I535" s="14">
        <f ca="1">IF(E535&lt;&gt;"",IF(LEN(E535)&gt;150,1,0)+IF(COUNTIF(INDIRECT(wew!$C$15),E535)&gt;1,10,0),0)</f>
        <v>0</v>
      </c>
      <c r="J535" s="14" t="b">
        <f t="shared" ca="1" si="122"/>
        <v>0</v>
      </c>
      <c r="K535" s="14" t="str">
        <f ca="1">ADDRESS(3,(B535+1)*2-1,4,,"[" &amp; wew!$G$7 &amp; "]" &amp; _sheetname_labels) &amp; ":" &amp; ADDRESS(2+ster!$B$20,(B535+1)*2-1,4)</f>
        <v>'[dane surowe2c.xlsm]labels'!AOA3:AOA36</v>
      </c>
      <c r="L535" s="14" t="str">
        <f ca="1">IF(F535&gt;0,ADDRESS(3,(B535+1)*2-1,4,,"[" &amp; wew!$G$7 &amp; "]" &amp; _sheetname_labels) &amp; ":" &amp; ADDRESS(2+F535,(B535+1)*2-1,4),"")</f>
        <v/>
      </c>
      <c r="M535" s="14" t="str">
        <f ca="1">IF(F535&gt;0,ADDRESS(3,(B535+1)*2,4,,"["&amp;wew!$G$7&amp;"]"&amp;_sheetname_labels)&amp;":"&amp;ADDRESS(2+F535,(B535+1)*2,4),"")</f>
        <v/>
      </c>
      <c r="N535" s="14" t="str">
        <f ca="1">ADDRESS(3,B535+1,4,,"[" &amp; wew!$G$7 &amp; "]" &amp;_sheetname_dataframe) &amp; ":" &amp; ADDRESS(2+ster!$C$14,B535+1,4)</f>
        <v>'[dane surowe2c.xlsm]data_frame'!TN3:TN35</v>
      </c>
      <c r="O535" s="14" t="str">
        <f t="shared" ca="1" si="123"/>
        <v/>
      </c>
      <c r="P535" s="14" t="str">
        <f ca="1">IF(AND($AD535,$S535=1),IF(wew!$B$3,MIN(INDIRECT($N535)),"&lt;włącz podświetlanie wartości&gt;"),"—")</f>
        <v>—</v>
      </c>
      <c r="Q535" s="14" t="str">
        <f ca="1">IF(AND($AD535,$S535=1),IF(wew!$B$3,MAX(INDIRECT($N535)),"&lt;włącz podświetlanie wartości&gt;"),"—")</f>
        <v>—</v>
      </c>
      <c r="R535" s="14" t="str">
        <f ca="1">IF(AD535,ster!$C$14- (COUNTIF( INDIRECT(N535),"" )+ COUNT(INDIRECT(N535)) +COUNTIF( INDIRECT(N535),"NA" )),"")</f>
        <v/>
      </c>
      <c r="S535" s="12" t="str">
        <f ca="1">IF(AD535,IF(COUNTA(INDIRECT(N535))=0,0, 1-(ster!$C$14- COUNT(INDIRECT(N535)) -COUNTIF( INDIRECT(N535),"" )) /COUNTA(INDIRECT(N535))),"")</f>
        <v/>
      </c>
      <c r="T535" s="17" t="str">
        <f t="array" aca="1" ref="T535" ca="1">IF(L535&lt;&gt;"",SUM(IF(INDIRECT(L535)&lt;&gt;INT(INDIRECT(L535)),1,0)),"")</f>
        <v/>
      </c>
      <c r="U535" s="17" t="str">
        <f t="array" aca="1" ref="U535" ca="1">IF(S535=1,SUM(IF(ISNUMBER(INDIRECT(N535)),IF(INDIRECT(N535)&lt;&gt;INT(INDIRECT(N535)),1,0),0)),"")</f>
        <v/>
      </c>
      <c r="V535" s="17">
        <f t="shared" ca="1" si="124"/>
        <v>0</v>
      </c>
      <c r="W535" s="17">
        <f t="shared" ca="1" si="125"/>
        <v>0</v>
      </c>
      <c r="X535" s="24" t="str">
        <f t="array" aca="1" ref="X535" ca="1">IF(AD535,IF(AG535&lt;&gt;"",AG535,IF(J535,MIN(INDIRECT( K535)),"")),"")</f>
        <v/>
      </c>
      <c r="Y535" s="17" t="str">
        <f t="array" aca="1" ref="Y535" ca="1">IF(AD535,IF(AH535&lt;&gt;"",AH535,IF(J535,MAX(INDIRECT( K535)),"")),"")</f>
        <v/>
      </c>
      <c r="Z535" s="17" t="b">
        <f t="shared" ca="1" si="126"/>
        <v>0</v>
      </c>
      <c r="AC535" s="17" t="str">
        <f t="shared" ca="1" si="127"/>
        <v/>
      </c>
      <c r="AD535" s="14" t="b">
        <f t="shared" ca="1" si="128"/>
        <v>0</v>
      </c>
      <c r="AE535" s="15" t="b">
        <f t="shared" ca="1" si="129"/>
        <v>0</v>
      </c>
      <c r="AF535" s="16"/>
      <c r="AG535" s="16"/>
      <c r="AH535" s="16"/>
      <c r="AI535" s="16"/>
      <c r="AJ535" s="16"/>
      <c r="AK535" s="16"/>
      <c r="AL535" s="16"/>
      <c r="AM535" s="16"/>
    </row>
    <row r="536" spans="2:39">
      <c r="B536" s="14">
        <f t="shared" si="118"/>
        <v>534</v>
      </c>
      <c r="C536" s="14" t="str">
        <f t="shared" ca="1" si="119"/>
        <v/>
      </c>
      <c r="D536" s="14" t="str">
        <f t="shared" ca="1" si="120"/>
        <v/>
      </c>
      <c r="E536" s="14" t="str">
        <f t="shared" ca="1" si="117"/>
        <v/>
      </c>
      <c r="F536" s="14">
        <f t="shared" ca="1" si="116"/>
        <v>0</v>
      </c>
      <c r="G536" s="14" t="str">
        <f t="shared" ca="1" si="121"/>
        <v/>
      </c>
      <c r="H536" s="14">
        <f ca="1">IF(G536&lt;&gt;"",IFERROR( IsVariableNameLegal(G536),0),0)+IF(COUNTIF(INDIRECT(wew!$C$13),G536)&gt;1,10,0)</f>
        <v>0</v>
      </c>
      <c r="I536" s="14">
        <f ca="1">IF(E536&lt;&gt;"",IF(LEN(E536)&gt;150,1,0)+IF(COUNTIF(INDIRECT(wew!$C$15),E536)&gt;1,10,0),0)</f>
        <v>0</v>
      </c>
      <c r="J536" s="14" t="b">
        <f t="shared" ca="1" si="122"/>
        <v>0</v>
      </c>
      <c r="K536" s="14" t="str">
        <f ca="1">ADDRESS(3,(B536+1)*2-1,4,,"[" &amp; wew!$G$7 &amp; "]" &amp; _sheetname_labels) &amp; ":" &amp; ADDRESS(2+ster!$B$20,(B536+1)*2-1,4)</f>
        <v>'[dane surowe2c.xlsm]labels'!AOC3:AOC36</v>
      </c>
      <c r="L536" s="14" t="str">
        <f ca="1">IF(F536&gt;0,ADDRESS(3,(B536+1)*2-1,4,,"[" &amp; wew!$G$7 &amp; "]" &amp; _sheetname_labels) &amp; ":" &amp; ADDRESS(2+F536,(B536+1)*2-1,4),"")</f>
        <v/>
      </c>
      <c r="M536" s="14" t="str">
        <f ca="1">IF(F536&gt;0,ADDRESS(3,(B536+1)*2,4,,"["&amp;wew!$G$7&amp;"]"&amp;_sheetname_labels)&amp;":"&amp;ADDRESS(2+F536,(B536+1)*2,4),"")</f>
        <v/>
      </c>
      <c r="N536" s="14" t="str">
        <f ca="1">ADDRESS(3,B536+1,4,,"[" &amp; wew!$G$7 &amp; "]" &amp;_sheetname_dataframe) &amp; ":" &amp; ADDRESS(2+ster!$C$14,B536+1,4)</f>
        <v>'[dane surowe2c.xlsm]data_frame'!TO3:TO35</v>
      </c>
      <c r="O536" s="14" t="str">
        <f t="shared" ca="1" si="123"/>
        <v/>
      </c>
      <c r="P536" s="14" t="str">
        <f ca="1">IF(AND($AD536,$S536=1),IF(wew!$B$3,MIN(INDIRECT($N536)),"&lt;włącz podświetlanie wartości&gt;"),"—")</f>
        <v>—</v>
      </c>
      <c r="Q536" s="14" t="str">
        <f ca="1">IF(AND($AD536,$S536=1),IF(wew!$B$3,MAX(INDIRECT($N536)),"&lt;włącz podświetlanie wartości&gt;"),"—")</f>
        <v>—</v>
      </c>
      <c r="R536" s="14" t="str">
        <f ca="1">IF(AD536,ster!$C$14- (COUNTIF( INDIRECT(N536),"" )+ COUNT(INDIRECT(N536)) +COUNTIF( INDIRECT(N536),"NA" )),"")</f>
        <v/>
      </c>
      <c r="S536" s="12" t="str">
        <f ca="1">IF(AD536,IF(COUNTA(INDIRECT(N536))=0,0, 1-(ster!$C$14- COUNT(INDIRECT(N536)) -COUNTIF( INDIRECT(N536),"" )) /COUNTA(INDIRECT(N536))),"")</f>
        <v/>
      </c>
      <c r="T536" s="17" t="str">
        <f t="array" aca="1" ref="T536" ca="1">IF(L536&lt;&gt;"",SUM(IF(INDIRECT(L536)&lt;&gt;INT(INDIRECT(L536)),1,0)),"")</f>
        <v/>
      </c>
      <c r="U536" s="17" t="str">
        <f t="array" aca="1" ref="U536" ca="1">IF(S536=1,SUM(IF(ISNUMBER(INDIRECT(N536)),IF(INDIRECT(N536)&lt;&gt;INT(INDIRECT(N536)),1,0),0)),"")</f>
        <v/>
      </c>
      <c r="V536" s="17">
        <f t="shared" ca="1" si="124"/>
        <v>0</v>
      </c>
      <c r="W536" s="17">
        <f t="shared" ca="1" si="125"/>
        <v>0</v>
      </c>
      <c r="X536" s="24" t="str">
        <f t="array" aca="1" ref="X536" ca="1">IF(AD536,IF(AG536&lt;&gt;"",AG536,IF(J536,MIN(INDIRECT( K536)),"")),"")</f>
        <v/>
      </c>
      <c r="Y536" s="17" t="str">
        <f t="array" aca="1" ref="Y536" ca="1">IF(AD536,IF(AH536&lt;&gt;"",AH536,IF(J536,MAX(INDIRECT( K536)),"")),"")</f>
        <v/>
      </c>
      <c r="Z536" s="17" t="b">
        <f t="shared" ca="1" si="126"/>
        <v>0</v>
      </c>
      <c r="AC536" s="17" t="str">
        <f t="shared" ca="1" si="127"/>
        <v/>
      </c>
      <c r="AD536" s="14" t="b">
        <f t="shared" ca="1" si="128"/>
        <v>0</v>
      </c>
      <c r="AE536" s="15" t="b">
        <f t="shared" ca="1" si="129"/>
        <v>0</v>
      </c>
      <c r="AF536" s="16"/>
      <c r="AG536" s="16"/>
      <c r="AH536" s="16"/>
      <c r="AI536" s="16"/>
      <c r="AJ536" s="16"/>
      <c r="AK536" s="16"/>
      <c r="AL536" s="16"/>
      <c r="AM536" s="16"/>
    </row>
    <row r="537" spans="2:39">
      <c r="B537" s="14">
        <f t="shared" si="118"/>
        <v>535</v>
      </c>
      <c r="C537" s="14" t="str">
        <f t="shared" ca="1" si="119"/>
        <v/>
      </c>
      <c r="D537" s="14" t="str">
        <f t="shared" ca="1" si="120"/>
        <v/>
      </c>
      <c r="E537" s="14" t="str">
        <f t="shared" ca="1" si="117"/>
        <v/>
      </c>
      <c r="F537" s="14">
        <f t="shared" ca="1" si="116"/>
        <v>0</v>
      </c>
      <c r="G537" s="14" t="str">
        <f t="shared" ca="1" si="121"/>
        <v/>
      </c>
      <c r="H537" s="14">
        <f ca="1">IF(G537&lt;&gt;"",IFERROR( IsVariableNameLegal(G537),0),0)+IF(COUNTIF(INDIRECT(wew!$C$13),G537)&gt;1,10,0)</f>
        <v>0</v>
      </c>
      <c r="I537" s="14">
        <f ca="1">IF(E537&lt;&gt;"",IF(LEN(E537)&gt;150,1,0)+IF(COUNTIF(INDIRECT(wew!$C$15),E537)&gt;1,10,0),0)</f>
        <v>0</v>
      </c>
      <c r="J537" s="14" t="b">
        <f t="shared" ca="1" si="122"/>
        <v>0</v>
      </c>
      <c r="K537" s="14" t="str">
        <f ca="1">ADDRESS(3,(B537+1)*2-1,4,,"[" &amp; wew!$G$7 &amp; "]" &amp; _sheetname_labels) &amp; ":" &amp; ADDRESS(2+ster!$B$20,(B537+1)*2-1,4)</f>
        <v>'[dane surowe2c.xlsm]labels'!AOE3:AOE36</v>
      </c>
      <c r="L537" s="14" t="str">
        <f ca="1">IF(F537&gt;0,ADDRESS(3,(B537+1)*2-1,4,,"[" &amp; wew!$G$7 &amp; "]" &amp; _sheetname_labels) &amp; ":" &amp; ADDRESS(2+F537,(B537+1)*2-1,4),"")</f>
        <v/>
      </c>
      <c r="M537" s="14" t="str">
        <f ca="1">IF(F537&gt;0,ADDRESS(3,(B537+1)*2,4,,"["&amp;wew!$G$7&amp;"]"&amp;_sheetname_labels)&amp;":"&amp;ADDRESS(2+F537,(B537+1)*2,4),"")</f>
        <v/>
      </c>
      <c r="N537" s="14" t="str">
        <f ca="1">ADDRESS(3,B537+1,4,,"[" &amp; wew!$G$7 &amp; "]" &amp;_sheetname_dataframe) &amp; ":" &amp; ADDRESS(2+ster!$C$14,B537+1,4)</f>
        <v>'[dane surowe2c.xlsm]data_frame'!TP3:TP35</v>
      </c>
      <c r="O537" s="14" t="str">
        <f t="shared" ca="1" si="123"/>
        <v/>
      </c>
      <c r="P537" s="14" t="str">
        <f ca="1">IF(AND($AD537,$S537=1),IF(wew!$B$3,MIN(INDIRECT($N537)),"&lt;włącz podświetlanie wartości&gt;"),"—")</f>
        <v>—</v>
      </c>
      <c r="Q537" s="14" t="str">
        <f ca="1">IF(AND($AD537,$S537=1),IF(wew!$B$3,MAX(INDIRECT($N537)),"&lt;włącz podświetlanie wartości&gt;"),"—")</f>
        <v>—</v>
      </c>
      <c r="R537" s="14" t="str">
        <f ca="1">IF(AD537,ster!$C$14- (COUNTIF( INDIRECT(N537),"" )+ COUNT(INDIRECT(N537)) +COUNTIF( INDIRECT(N537),"NA" )),"")</f>
        <v/>
      </c>
      <c r="S537" s="12" t="str">
        <f ca="1">IF(AD537,IF(COUNTA(INDIRECT(N537))=0,0, 1-(ster!$C$14- COUNT(INDIRECT(N537)) -COUNTIF( INDIRECT(N537),"" )) /COUNTA(INDIRECT(N537))),"")</f>
        <v/>
      </c>
      <c r="T537" s="17" t="str">
        <f t="array" aca="1" ref="T537" ca="1">IF(L537&lt;&gt;"",SUM(IF(INDIRECT(L537)&lt;&gt;INT(INDIRECT(L537)),1,0)),"")</f>
        <v/>
      </c>
      <c r="U537" s="17" t="str">
        <f t="array" aca="1" ref="U537" ca="1">IF(S537=1,SUM(IF(ISNUMBER(INDIRECT(N537)),IF(INDIRECT(N537)&lt;&gt;INT(INDIRECT(N537)),1,0),0)),"")</f>
        <v/>
      </c>
      <c r="V537" s="17">
        <f t="shared" ca="1" si="124"/>
        <v>0</v>
      </c>
      <c r="W537" s="17">
        <f t="shared" ca="1" si="125"/>
        <v>0</v>
      </c>
      <c r="X537" s="24" t="str">
        <f t="array" aca="1" ref="X537" ca="1">IF(AD537,IF(AG537&lt;&gt;"",AG537,IF(J537,MIN(INDIRECT( K537)),"")),"")</f>
        <v/>
      </c>
      <c r="Y537" s="17" t="str">
        <f t="array" aca="1" ref="Y537" ca="1">IF(AD537,IF(AH537&lt;&gt;"",AH537,IF(J537,MAX(INDIRECT( K537)),"")),"")</f>
        <v/>
      </c>
      <c r="Z537" s="17" t="b">
        <f t="shared" ca="1" si="126"/>
        <v>0</v>
      </c>
      <c r="AC537" s="17" t="str">
        <f t="shared" ca="1" si="127"/>
        <v/>
      </c>
      <c r="AD537" s="14" t="b">
        <f t="shared" ca="1" si="128"/>
        <v>0</v>
      </c>
      <c r="AE537" s="15" t="b">
        <f t="shared" ca="1" si="129"/>
        <v>0</v>
      </c>
      <c r="AF537" s="16"/>
      <c r="AG537" s="16"/>
      <c r="AH537" s="16"/>
      <c r="AI537" s="16"/>
      <c r="AJ537" s="16"/>
      <c r="AK537" s="16"/>
      <c r="AL537" s="16"/>
      <c r="AM537" s="16"/>
    </row>
    <row r="538" spans="2:39">
      <c r="B538" s="14">
        <f t="shared" si="118"/>
        <v>536</v>
      </c>
      <c r="C538" s="14" t="str">
        <f t="shared" ca="1" si="119"/>
        <v/>
      </c>
      <c r="D538" s="14" t="str">
        <f t="shared" ca="1" si="120"/>
        <v/>
      </c>
      <c r="E538" s="14" t="str">
        <f t="shared" ca="1" si="117"/>
        <v/>
      </c>
      <c r="F538" s="14">
        <f t="shared" ca="1" si="116"/>
        <v>0</v>
      </c>
      <c r="G538" s="14" t="str">
        <f t="shared" ca="1" si="121"/>
        <v/>
      </c>
      <c r="H538" s="14">
        <f ca="1">IF(G538&lt;&gt;"",IFERROR( IsVariableNameLegal(G538),0),0)+IF(COUNTIF(INDIRECT(wew!$C$13),G538)&gt;1,10,0)</f>
        <v>0</v>
      </c>
      <c r="I538" s="14">
        <f ca="1">IF(E538&lt;&gt;"",IF(LEN(E538)&gt;150,1,0)+IF(COUNTIF(INDIRECT(wew!$C$15),E538)&gt;1,10,0),0)</f>
        <v>0</v>
      </c>
      <c r="J538" s="14" t="b">
        <f t="shared" ca="1" si="122"/>
        <v>0</v>
      </c>
      <c r="K538" s="14" t="str">
        <f ca="1">ADDRESS(3,(B538+1)*2-1,4,,"[" &amp; wew!$G$7 &amp; "]" &amp; _sheetname_labels) &amp; ":" &amp; ADDRESS(2+ster!$B$20,(B538+1)*2-1,4)</f>
        <v>'[dane surowe2c.xlsm]labels'!AOG3:AOG36</v>
      </c>
      <c r="L538" s="14" t="str">
        <f ca="1">IF(F538&gt;0,ADDRESS(3,(B538+1)*2-1,4,,"[" &amp; wew!$G$7 &amp; "]" &amp; _sheetname_labels) &amp; ":" &amp; ADDRESS(2+F538,(B538+1)*2-1,4),"")</f>
        <v/>
      </c>
      <c r="M538" s="14" t="str">
        <f ca="1">IF(F538&gt;0,ADDRESS(3,(B538+1)*2,4,,"["&amp;wew!$G$7&amp;"]"&amp;_sheetname_labels)&amp;":"&amp;ADDRESS(2+F538,(B538+1)*2,4),"")</f>
        <v/>
      </c>
      <c r="N538" s="14" t="str">
        <f ca="1">ADDRESS(3,B538+1,4,,"[" &amp; wew!$G$7 &amp; "]" &amp;_sheetname_dataframe) &amp; ":" &amp; ADDRESS(2+ster!$C$14,B538+1,4)</f>
        <v>'[dane surowe2c.xlsm]data_frame'!TQ3:TQ35</v>
      </c>
      <c r="O538" s="14" t="str">
        <f t="shared" ca="1" si="123"/>
        <v/>
      </c>
      <c r="P538" s="14" t="str">
        <f ca="1">IF(AND($AD538,$S538=1),IF(wew!$B$3,MIN(INDIRECT($N538)),"&lt;włącz podświetlanie wartości&gt;"),"—")</f>
        <v>—</v>
      </c>
      <c r="Q538" s="14" t="str">
        <f ca="1">IF(AND($AD538,$S538=1),IF(wew!$B$3,MAX(INDIRECT($N538)),"&lt;włącz podświetlanie wartości&gt;"),"—")</f>
        <v>—</v>
      </c>
      <c r="R538" s="14" t="str">
        <f ca="1">IF(AD538,ster!$C$14- (COUNTIF( INDIRECT(N538),"" )+ COUNT(INDIRECT(N538)) +COUNTIF( INDIRECT(N538),"NA" )),"")</f>
        <v/>
      </c>
      <c r="S538" s="12" t="str">
        <f ca="1">IF(AD538,IF(COUNTA(INDIRECT(N538))=0,0, 1-(ster!$C$14- COUNT(INDIRECT(N538)) -COUNTIF( INDIRECT(N538),"" )) /COUNTA(INDIRECT(N538))),"")</f>
        <v/>
      </c>
      <c r="T538" s="17" t="str">
        <f t="array" aca="1" ref="T538" ca="1">IF(L538&lt;&gt;"",SUM(IF(INDIRECT(L538)&lt;&gt;INT(INDIRECT(L538)),1,0)),"")</f>
        <v/>
      </c>
      <c r="U538" s="17" t="str">
        <f t="array" aca="1" ref="U538" ca="1">IF(S538=1,SUM(IF(ISNUMBER(INDIRECT(N538)),IF(INDIRECT(N538)&lt;&gt;INT(INDIRECT(N538)),1,0),0)),"")</f>
        <v/>
      </c>
      <c r="V538" s="17">
        <f t="shared" ca="1" si="124"/>
        <v>0</v>
      </c>
      <c r="W538" s="17">
        <f t="shared" ca="1" si="125"/>
        <v>0</v>
      </c>
      <c r="X538" s="24" t="str">
        <f t="array" aca="1" ref="X538" ca="1">IF(AD538,IF(AG538&lt;&gt;"",AG538,IF(J538,MIN(INDIRECT( K538)),"")),"")</f>
        <v/>
      </c>
      <c r="Y538" s="17" t="str">
        <f t="array" aca="1" ref="Y538" ca="1">IF(AD538,IF(AH538&lt;&gt;"",AH538,IF(J538,MAX(INDIRECT( K538)),"")),"")</f>
        <v/>
      </c>
      <c r="Z538" s="17" t="b">
        <f t="shared" ca="1" si="126"/>
        <v>0</v>
      </c>
      <c r="AC538" s="17" t="str">
        <f t="shared" ca="1" si="127"/>
        <v/>
      </c>
      <c r="AD538" s="14" t="b">
        <f t="shared" ca="1" si="128"/>
        <v>0</v>
      </c>
      <c r="AE538" s="15" t="b">
        <f t="shared" ca="1" si="129"/>
        <v>0</v>
      </c>
      <c r="AF538" s="16"/>
      <c r="AG538" s="16"/>
      <c r="AH538" s="16"/>
      <c r="AI538" s="16"/>
      <c r="AJ538" s="16"/>
      <c r="AK538" s="16"/>
      <c r="AL538" s="16"/>
      <c r="AM538" s="16"/>
    </row>
    <row r="539" spans="2:39">
      <c r="B539" s="14">
        <f t="shared" si="118"/>
        <v>537</v>
      </c>
      <c r="C539" s="14" t="str">
        <f t="shared" ca="1" si="119"/>
        <v/>
      </c>
      <c r="D539" s="14" t="str">
        <f t="shared" ca="1" si="120"/>
        <v/>
      </c>
      <c r="E539" s="14" t="str">
        <f t="shared" ca="1" si="117"/>
        <v/>
      </c>
      <c r="F539" s="14">
        <f t="shared" ca="1" si="116"/>
        <v>0</v>
      </c>
      <c r="G539" s="14" t="str">
        <f t="shared" ca="1" si="121"/>
        <v/>
      </c>
      <c r="H539" s="14">
        <f ca="1">IF(G539&lt;&gt;"",IFERROR( IsVariableNameLegal(G539),0),0)+IF(COUNTIF(INDIRECT(wew!$C$13),G539)&gt;1,10,0)</f>
        <v>0</v>
      </c>
      <c r="I539" s="14">
        <f ca="1">IF(E539&lt;&gt;"",IF(LEN(E539)&gt;150,1,0)+IF(COUNTIF(INDIRECT(wew!$C$15),E539)&gt;1,10,0),0)</f>
        <v>0</v>
      </c>
      <c r="J539" s="14" t="b">
        <f t="shared" ca="1" si="122"/>
        <v>0</v>
      </c>
      <c r="K539" s="14" t="str">
        <f ca="1">ADDRESS(3,(B539+1)*2-1,4,,"[" &amp; wew!$G$7 &amp; "]" &amp; _sheetname_labels) &amp; ":" &amp; ADDRESS(2+ster!$B$20,(B539+1)*2-1,4)</f>
        <v>'[dane surowe2c.xlsm]labels'!AOI3:AOI36</v>
      </c>
      <c r="L539" s="14" t="str">
        <f ca="1">IF(F539&gt;0,ADDRESS(3,(B539+1)*2-1,4,,"[" &amp; wew!$G$7 &amp; "]" &amp; _sheetname_labels) &amp; ":" &amp; ADDRESS(2+F539,(B539+1)*2-1,4),"")</f>
        <v/>
      </c>
      <c r="M539" s="14" t="str">
        <f ca="1">IF(F539&gt;0,ADDRESS(3,(B539+1)*2,4,,"["&amp;wew!$G$7&amp;"]"&amp;_sheetname_labels)&amp;":"&amp;ADDRESS(2+F539,(B539+1)*2,4),"")</f>
        <v/>
      </c>
      <c r="N539" s="14" t="str">
        <f ca="1">ADDRESS(3,B539+1,4,,"[" &amp; wew!$G$7 &amp; "]" &amp;_sheetname_dataframe) &amp; ":" &amp; ADDRESS(2+ster!$C$14,B539+1,4)</f>
        <v>'[dane surowe2c.xlsm]data_frame'!TR3:TR35</v>
      </c>
      <c r="O539" s="14" t="str">
        <f t="shared" ca="1" si="123"/>
        <v/>
      </c>
      <c r="P539" s="14" t="str">
        <f ca="1">IF(AND($AD539,$S539=1),IF(wew!$B$3,MIN(INDIRECT($N539)),"&lt;włącz podświetlanie wartości&gt;"),"—")</f>
        <v>—</v>
      </c>
      <c r="Q539" s="14" t="str">
        <f ca="1">IF(AND($AD539,$S539=1),IF(wew!$B$3,MAX(INDIRECT($N539)),"&lt;włącz podświetlanie wartości&gt;"),"—")</f>
        <v>—</v>
      </c>
      <c r="R539" s="14" t="str">
        <f ca="1">IF(AD539,ster!$C$14- (COUNTIF( INDIRECT(N539),"" )+ COUNT(INDIRECT(N539)) +COUNTIF( INDIRECT(N539),"NA" )),"")</f>
        <v/>
      </c>
      <c r="S539" s="12" t="str">
        <f ca="1">IF(AD539,IF(COUNTA(INDIRECT(N539))=0,0, 1-(ster!$C$14- COUNT(INDIRECT(N539)) -COUNTIF( INDIRECT(N539),"" )) /COUNTA(INDIRECT(N539))),"")</f>
        <v/>
      </c>
      <c r="T539" s="17" t="str">
        <f t="array" aca="1" ref="T539" ca="1">IF(L539&lt;&gt;"",SUM(IF(INDIRECT(L539)&lt;&gt;INT(INDIRECT(L539)),1,0)),"")</f>
        <v/>
      </c>
      <c r="U539" s="17" t="str">
        <f t="array" aca="1" ref="U539" ca="1">IF(S539=1,SUM(IF(ISNUMBER(INDIRECT(N539)),IF(INDIRECT(N539)&lt;&gt;INT(INDIRECT(N539)),1,0),0)),"")</f>
        <v/>
      </c>
      <c r="V539" s="17">
        <f t="shared" ca="1" si="124"/>
        <v>0</v>
      </c>
      <c r="W539" s="17">
        <f t="shared" ca="1" si="125"/>
        <v>0</v>
      </c>
      <c r="X539" s="24" t="str">
        <f t="array" aca="1" ref="X539" ca="1">IF(AD539,IF(AG539&lt;&gt;"",AG539,IF(J539,MIN(INDIRECT( K539)),"")),"")</f>
        <v/>
      </c>
      <c r="Y539" s="17" t="str">
        <f t="array" aca="1" ref="Y539" ca="1">IF(AD539,IF(AH539&lt;&gt;"",AH539,IF(J539,MAX(INDIRECT( K539)),"")),"")</f>
        <v/>
      </c>
      <c r="Z539" s="17" t="b">
        <f t="shared" ca="1" si="126"/>
        <v>0</v>
      </c>
      <c r="AC539" s="17" t="str">
        <f t="shared" ca="1" si="127"/>
        <v/>
      </c>
      <c r="AD539" s="14" t="b">
        <f t="shared" ca="1" si="128"/>
        <v>0</v>
      </c>
      <c r="AE539" s="15" t="b">
        <f t="shared" ca="1" si="129"/>
        <v>0</v>
      </c>
      <c r="AF539" s="16"/>
      <c r="AG539" s="16"/>
      <c r="AH539" s="16"/>
      <c r="AI539" s="16"/>
      <c r="AJ539" s="16"/>
      <c r="AK539" s="16"/>
      <c r="AL539" s="16"/>
      <c r="AM539" s="16"/>
    </row>
    <row r="540" spans="2:39">
      <c r="B540" s="14">
        <f t="shared" si="118"/>
        <v>538</v>
      </c>
      <c r="C540" s="14" t="str">
        <f t="shared" ca="1" si="119"/>
        <v/>
      </c>
      <c r="D540" s="14" t="str">
        <f t="shared" ca="1" si="120"/>
        <v/>
      </c>
      <c r="E540" s="14" t="str">
        <f t="shared" ca="1" si="117"/>
        <v/>
      </c>
      <c r="F540" s="14">
        <f t="shared" ca="1" si="116"/>
        <v>0</v>
      </c>
      <c r="G540" s="14" t="str">
        <f t="shared" ca="1" si="121"/>
        <v/>
      </c>
      <c r="H540" s="14">
        <f ca="1">IF(G540&lt;&gt;"",IFERROR( IsVariableNameLegal(G540),0),0)+IF(COUNTIF(INDIRECT(wew!$C$13),G540)&gt;1,10,0)</f>
        <v>0</v>
      </c>
      <c r="I540" s="14">
        <f ca="1">IF(E540&lt;&gt;"",IF(LEN(E540)&gt;150,1,0)+IF(COUNTIF(INDIRECT(wew!$C$15),E540)&gt;1,10,0),0)</f>
        <v>0</v>
      </c>
      <c r="J540" s="14" t="b">
        <f t="shared" ca="1" si="122"/>
        <v>0</v>
      </c>
      <c r="K540" s="14" t="str">
        <f ca="1">ADDRESS(3,(B540+1)*2-1,4,,"[" &amp; wew!$G$7 &amp; "]" &amp; _sheetname_labels) &amp; ":" &amp; ADDRESS(2+ster!$B$20,(B540+1)*2-1,4)</f>
        <v>'[dane surowe2c.xlsm]labels'!AOK3:AOK36</v>
      </c>
      <c r="L540" s="14" t="str">
        <f ca="1">IF(F540&gt;0,ADDRESS(3,(B540+1)*2-1,4,,"[" &amp; wew!$G$7 &amp; "]" &amp; _sheetname_labels) &amp; ":" &amp; ADDRESS(2+F540,(B540+1)*2-1,4),"")</f>
        <v/>
      </c>
      <c r="M540" s="14" t="str">
        <f ca="1">IF(F540&gt;0,ADDRESS(3,(B540+1)*2,4,,"["&amp;wew!$G$7&amp;"]"&amp;_sheetname_labels)&amp;":"&amp;ADDRESS(2+F540,(B540+1)*2,4),"")</f>
        <v/>
      </c>
      <c r="N540" s="14" t="str">
        <f ca="1">ADDRESS(3,B540+1,4,,"[" &amp; wew!$G$7 &amp; "]" &amp;_sheetname_dataframe) &amp; ":" &amp; ADDRESS(2+ster!$C$14,B540+1,4)</f>
        <v>'[dane surowe2c.xlsm]data_frame'!TS3:TS35</v>
      </c>
      <c r="O540" s="14" t="str">
        <f t="shared" ca="1" si="123"/>
        <v/>
      </c>
      <c r="P540" s="14" t="str">
        <f ca="1">IF(AND($AD540,$S540=1),IF(wew!$B$3,MIN(INDIRECT($N540)),"&lt;włącz podświetlanie wartości&gt;"),"—")</f>
        <v>—</v>
      </c>
      <c r="Q540" s="14" t="str">
        <f ca="1">IF(AND($AD540,$S540=1),IF(wew!$B$3,MAX(INDIRECT($N540)),"&lt;włącz podświetlanie wartości&gt;"),"—")</f>
        <v>—</v>
      </c>
      <c r="R540" s="14" t="str">
        <f ca="1">IF(AD540,ster!$C$14- (COUNTIF( INDIRECT(N540),"" )+ COUNT(INDIRECT(N540)) +COUNTIF( INDIRECT(N540),"NA" )),"")</f>
        <v/>
      </c>
      <c r="S540" s="12" t="str">
        <f ca="1">IF(AD540,IF(COUNTA(INDIRECT(N540))=0,0, 1-(ster!$C$14- COUNT(INDIRECT(N540)) -COUNTIF( INDIRECT(N540),"" )) /COUNTA(INDIRECT(N540))),"")</f>
        <v/>
      </c>
      <c r="T540" s="17" t="str">
        <f t="array" aca="1" ref="T540" ca="1">IF(L540&lt;&gt;"",SUM(IF(INDIRECT(L540)&lt;&gt;INT(INDIRECT(L540)),1,0)),"")</f>
        <v/>
      </c>
      <c r="U540" s="17" t="str">
        <f t="array" aca="1" ref="U540" ca="1">IF(S540=1,SUM(IF(ISNUMBER(INDIRECT(N540)),IF(INDIRECT(N540)&lt;&gt;INT(INDIRECT(N540)),1,0),0)),"")</f>
        <v/>
      </c>
      <c r="V540" s="17">
        <f t="shared" ca="1" si="124"/>
        <v>0</v>
      </c>
      <c r="W540" s="17">
        <f t="shared" ca="1" si="125"/>
        <v>0</v>
      </c>
      <c r="X540" s="24" t="str">
        <f t="array" aca="1" ref="X540" ca="1">IF(AD540,IF(AG540&lt;&gt;"",AG540,IF(J540,MIN(INDIRECT( K540)),"")),"")</f>
        <v/>
      </c>
      <c r="Y540" s="17" t="str">
        <f t="array" aca="1" ref="Y540" ca="1">IF(AD540,IF(AH540&lt;&gt;"",AH540,IF(J540,MAX(INDIRECT( K540)),"")),"")</f>
        <v/>
      </c>
      <c r="Z540" s="17" t="b">
        <f t="shared" ca="1" si="126"/>
        <v>0</v>
      </c>
      <c r="AC540" s="17" t="str">
        <f t="shared" ca="1" si="127"/>
        <v/>
      </c>
      <c r="AD540" s="14" t="b">
        <f t="shared" ca="1" si="128"/>
        <v>0</v>
      </c>
      <c r="AE540" s="15" t="b">
        <f t="shared" ca="1" si="129"/>
        <v>0</v>
      </c>
      <c r="AF540" s="16"/>
      <c r="AG540" s="16"/>
      <c r="AH540" s="16"/>
      <c r="AI540" s="16"/>
      <c r="AJ540" s="16"/>
      <c r="AK540" s="16"/>
      <c r="AL540" s="16"/>
      <c r="AM540" s="16"/>
    </row>
    <row r="541" spans="2:39">
      <c r="B541" s="14">
        <f t="shared" si="118"/>
        <v>539</v>
      </c>
      <c r="C541" s="14" t="str">
        <f t="shared" ca="1" si="119"/>
        <v/>
      </c>
      <c r="D541" s="14" t="str">
        <f t="shared" ca="1" si="120"/>
        <v/>
      </c>
      <c r="E541" s="14" t="str">
        <f t="shared" ca="1" si="117"/>
        <v/>
      </c>
      <c r="F541" s="14">
        <f t="shared" ca="1" si="116"/>
        <v>0</v>
      </c>
      <c r="G541" s="14" t="str">
        <f t="shared" ca="1" si="121"/>
        <v/>
      </c>
      <c r="H541" s="14">
        <f ca="1">IF(G541&lt;&gt;"",IFERROR( IsVariableNameLegal(G541),0),0)+IF(COUNTIF(INDIRECT(wew!$C$13),G541)&gt;1,10,0)</f>
        <v>0</v>
      </c>
      <c r="I541" s="14">
        <f ca="1">IF(E541&lt;&gt;"",IF(LEN(E541)&gt;150,1,0)+IF(COUNTIF(INDIRECT(wew!$C$15),E541)&gt;1,10,0),0)</f>
        <v>0</v>
      </c>
      <c r="J541" s="14" t="b">
        <f t="shared" ca="1" si="122"/>
        <v>0</v>
      </c>
      <c r="K541" s="14" t="str">
        <f ca="1">ADDRESS(3,(B541+1)*2-1,4,,"[" &amp; wew!$G$7 &amp; "]" &amp; _sheetname_labels) &amp; ":" &amp; ADDRESS(2+ster!$B$20,(B541+1)*2-1,4)</f>
        <v>'[dane surowe2c.xlsm]labels'!AOM3:AOM36</v>
      </c>
      <c r="L541" s="14" t="str">
        <f ca="1">IF(F541&gt;0,ADDRESS(3,(B541+1)*2-1,4,,"[" &amp; wew!$G$7 &amp; "]" &amp; _sheetname_labels) &amp; ":" &amp; ADDRESS(2+F541,(B541+1)*2-1,4),"")</f>
        <v/>
      </c>
      <c r="M541" s="14" t="str">
        <f ca="1">IF(F541&gt;0,ADDRESS(3,(B541+1)*2,4,,"["&amp;wew!$G$7&amp;"]"&amp;_sheetname_labels)&amp;":"&amp;ADDRESS(2+F541,(B541+1)*2,4),"")</f>
        <v/>
      </c>
      <c r="N541" s="14" t="str">
        <f ca="1">ADDRESS(3,B541+1,4,,"[" &amp; wew!$G$7 &amp; "]" &amp;_sheetname_dataframe) &amp; ":" &amp; ADDRESS(2+ster!$C$14,B541+1,4)</f>
        <v>'[dane surowe2c.xlsm]data_frame'!TT3:TT35</v>
      </c>
      <c r="O541" s="14" t="str">
        <f t="shared" ca="1" si="123"/>
        <v/>
      </c>
      <c r="P541" s="14" t="str">
        <f ca="1">IF(AND($AD541,$S541=1),IF(wew!$B$3,MIN(INDIRECT($N541)),"&lt;włącz podświetlanie wartości&gt;"),"—")</f>
        <v>—</v>
      </c>
      <c r="Q541" s="14" t="str">
        <f ca="1">IF(AND($AD541,$S541=1),IF(wew!$B$3,MAX(INDIRECT($N541)),"&lt;włącz podświetlanie wartości&gt;"),"—")</f>
        <v>—</v>
      </c>
      <c r="R541" s="14" t="str">
        <f ca="1">IF(AD541,ster!$C$14- (COUNTIF( INDIRECT(N541),"" )+ COUNT(INDIRECT(N541)) +COUNTIF( INDIRECT(N541),"NA" )),"")</f>
        <v/>
      </c>
      <c r="S541" s="12" t="str">
        <f ca="1">IF(AD541,IF(COUNTA(INDIRECT(N541))=0,0, 1-(ster!$C$14- COUNT(INDIRECT(N541)) -COUNTIF( INDIRECT(N541),"" )) /COUNTA(INDIRECT(N541))),"")</f>
        <v/>
      </c>
      <c r="T541" s="17" t="str">
        <f t="array" aca="1" ref="T541" ca="1">IF(L541&lt;&gt;"",SUM(IF(INDIRECT(L541)&lt;&gt;INT(INDIRECT(L541)),1,0)),"")</f>
        <v/>
      </c>
      <c r="U541" s="17" t="str">
        <f t="array" aca="1" ref="U541" ca="1">IF(S541=1,SUM(IF(ISNUMBER(INDIRECT(N541)),IF(INDIRECT(N541)&lt;&gt;INT(INDIRECT(N541)),1,0),0)),"")</f>
        <v/>
      </c>
      <c r="V541" s="17">
        <f t="shared" ca="1" si="124"/>
        <v>0</v>
      </c>
      <c r="W541" s="17">
        <f t="shared" ca="1" si="125"/>
        <v>0</v>
      </c>
      <c r="X541" s="24" t="str">
        <f t="array" aca="1" ref="X541" ca="1">IF(AD541,IF(AG541&lt;&gt;"",AG541,IF(J541,MIN(INDIRECT( K541)),"")),"")</f>
        <v/>
      </c>
      <c r="Y541" s="17" t="str">
        <f t="array" aca="1" ref="Y541" ca="1">IF(AD541,IF(AH541&lt;&gt;"",AH541,IF(J541,MAX(INDIRECT( K541)),"")),"")</f>
        <v/>
      </c>
      <c r="Z541" s="17" t="b">
        <f t="shared" ca="1" si="126"/>
        <v>0</v>
      </c>
      <c r="AC541" s="17" t="str">
        <f t="shared" ca="1" si="127"/>
        <v/>
      </c>
      <c r="AD541" s="14" t="b">
        <f t="shared" ca="1" si="128"/>
        <v>0</v>
      </c>
      <c r="AE541" s="15" t="b">
        <f t="shared" ca="1" si="129"/>
        <v>0</v>
      </c>
      <c r="AF541" s="16"/>
      <c r="AG541" s="16"/>
      <c r="AH541" s="16"/>
      <c r="AI541" s="16"/>
      <c r="AJ541" s="16"/>
      <c r="AK541" s="16"/>
      <c r="AL541" s="16"/>
      <c r="AM541" s="16"/>
    </row>
    <row r="542" spans="2:39">
      <c r="B542" s="14">
        <f t="shared" si="118"/>
        <v>540</v>
      </c>
      <c r="C542" s="14" t="str">
        <f t="shared" ca="1" si="119"/>
        <v/>
      </c>
      <c r="D542" s="14" t="str">
        <f t="shared" ca="1" si="120"/>
        <v/>
      </c>
      <c r="E542" s="14" t="str">
        <f t="shared" ca="1" si="117"/>
        <v/>
      </c>
      <c r="F542" s="14">
        <f t="shared" ca="1" si="116"/>
        <v>0</v>
      </c>
      <c r="G542" s="14" t="str">
        <f t="shared" ca="1" si="121"/>
        <v/>
      </c>
      <c r="H542" s="14">
        <f ca="1">IF(G542&lt;&gt;"",IFERROR( IsVariableNameLegal(G542),0),0)+IF(COUNTIF(INDIRECT(wew!$C$13),G542)&gt;1,10,0)</f>
        <v>0</v>
      </c>
      <c r="I542" s="14">
        <f ca="1">IF(E542&lt;&gt;"",IF(LEN(E542)&gt;150,1,0)+IF(COUNTIF(INDIRECT(wew!$C$15),E542)&gt;1,10,0),0)</f>
        <v>0</v>
      </c>
      <c r="J542" s="14" t="b">
        <f t="shared" ca="1" si="122"/>
        <v>0</v>
      </c>
      <c r="K542" s="14" t="str">
        <f ca="1">ADDRESS(3,(B542+1)*2-1,4,,"[" &amp; wew!$G$7 &amp; "]" &amp; _sheetname_labels) &amp; ":" &amp; ADDRESS(2+ster!$B$20,(B542+1)*2-1,4)</f>
        <v>'[dane surowe2c.xlsm]labels'!AOO3:AOO36</v>
      </c>
      <c r="L542" s="14" t="str">
        <f ca="1">IF(F542&gt;0,ADDRESS(3,(B542+1)*2-1,4,,"[" &amp; wew!$G$7 &amp; "]" &amp; _sheetname_labels) &amp; ":" &amp; ADDRESS(2+F542,(B542+1)*2-1,4),"")</f>
        <v/>
      </c>
      <c r="M542" s="14" t="str">
        <f ca="1">IF(F542&gt;0,ADDRESS(3,(B542+1)*2,4,,"["&amp;wew!$G$7&amp;"]"&amp;_sheetname_labels)&amp;":"&amp;ADDRESS(2+F542,(B542+1)*2,4),"")</f>
        <v/>
      </c>
      <c r="N542" s="14" t="str">
        <f ca="1">ADDRESS(3,B542+1,4,,"[" &amp; wew!$G$7 &amp; "]" &amp;_sheetname_dataframe) &amp; ":" &amp; ADDRESS(2+ster!$C$14,B542+1,4)</f>
        <v>'[dane surowe2c.xlsm]data_frame'!TU3:TU35</v>
      </c>
      <c r="O542" s="14" t="str">
        <f t="shared" ca="1" si="123"/>
        <v/>
      </c>
      <c r="P542" s="14" t="str">
        <f ca="1">IF(AND($AD542,$S542=1),IF(wew!$B$3,MIN(INDIRECT($N542)),"&lt;włącz podświetlanie wartości&gt;"),"—")</f>
        <v>—</v>
      </c>
      <c r="Q542" s="14" t="str">
        <f ca="1">IF(AND($AD542,$S542=1),IF(wew!$B$3,MAX(INDIRECT($N542)),"&lt;włącz podświetlanie wartości&gt;"),"—")</f>
        <v>—</v>
      </c>
      <c r="R542" s="14" t="str">
        <f ca="1">IF(AD542,ster!$C$14- (COUNTIF( INDIRECT(N542),"" )+ COUNT(INDIRECT(N542)) +COUNTIF( INDIRECT(N542),"NA" )),"")</f>
        <v/>
      </c>
      <c r="S542" s="12" t="str">
        <f ca="1">IF(AD542,IF(COUNTA(INDIRECT(N542))=0,0, 1-(ster!$C$14- COUNT(INDIRECT(N542)) -COUNTIF( INDIRECT(N542),"" )) /COUNTA(INDIRECT(N542))),"")</f>
        <v/>
      </c>
      <c r="T542" s="17" t="str">
        <f t="array" aca="1" ref="T542" ca="1">IF(L542&lt;&gt;"",SUM(IF(INDIRECT(L542)&lt;&gt;INT(INDIRECT(L542)),1,0)),"")</f>
        <v/>
      </c>
      <c r="U542" s="17" t="str">
        <f t="array" aca="1" ref="U542" ca="1">IF(S542=1,SUM(IF(ISNUMBER(INDIRECT(N542)),IF(INDIRECT(N542)&lt;&gt;INT(INDIRECT(N542)),1,0),0)),"")</f>
        <v/>
      </c>
      <c r="V542" s="17">
        <f t="shared" ca="1" si="124"/>
        <v>0</v>
      </c>
      <c r="W542" s="17">
        <f t="shared" ca="1" si="125"/>
        <v>0</v>
      </c>
      <c r="X542" s="24" t="str">
        <f t="array" aca="1" ref="X542" ca="1">IF(AD542,IF(AG542&lt;&gt;"",AG542,IF(J542,MIN(INDIRECT( K542)),"")),"")</f>
        <v/>
      </c>
      <c r="Y542" s="17" t="str">
        <f t="array" aca="1" ref="Y542" ca="1">IF(AD542,IF(AH542&lt;&gt;"",AH542,IF(J542,MAX(INDIRECT( K542)),"")),"")</f>
        <v/>
      </c>
      <c r="Z542" s="17" t="b">
        <f t="shared" ca="1" si="126"/>
        <v>0</v>
      </c>
      <c r="AC542" s="17" t="str">
        <f t="shared" ca="1" si="127"/>
        <v/>
      </c>
      <c r="AD542" s="14" t="b">
        <f t="shared" ca="1" si="128"/>
        <v>0</v>
      </c>
      <c r="AE542" s="15" t="b">
        <f t="shared" ca="1" si="129"/>
        <v>0</v>
      </c>
      <c r="AF542" s="16"/>
      <c r="AG542" s="16"/>
      <c r="AH542" s="16"/>
      <c r="AI542" s="16"/>
      <c r="AJ542" s="16"/>
      <c r="AK542" s="16"/>
      <c r="AL542" s="16"/>
      <c r="AM542" s="16"/>
    </row>
    <row r="543" spans="2:39">
      <c r="B543" s="14">
        <f t="shared" si="118"/>
        <v>541</v>
      </c>
      <c r="C543" s="14" t="str">
        <f t="shared" ca="1" si="119"/>
        <v/>
      </c>
      <c r="D543" s="14" t="str">
        <f t="shared" ca="1" si="120"/>
        <v/>
      </c>
      <c r="E543" s="14" t="str">
        <f t="shared" ca="1" si="117"/>
        <v/>
      </c>
      <c r="F543" s="14">
        <f t="shared" ca="1" si="116"/>
        <v>0</v>
      </c>
      <c r="G543" s="14" t="str">
        <f t="shared" ca="1" si="121"/>
        <v/>
      </c>
      <c r="H543" s="14">
        <f ca="1">IF(G543&lt;&gt;"",IFERROR( IsVariableNameLegal(G543),0),0)+IF(COUNTIF(INDIRECT(wew!$C$13),G543)&gt;1,10,0)</f>
        <v>0</v>
      </c>
      <c r="I543" s="14">
        <f ca="1">IF(E543&lt;&gt;"",IF(LEN(E543)&gt;150,1,0)+IF(COUNTIF(INDIRECT(wew!$C$15),E543)&gt;1,10,0),0)</f>
        <v>0</v>
      </c>
      <c r="J543" s="14" t="b">
        <f t="shared" ca="1" si="122"/>
        <v>0</v>
      </c>
      <c r="K543" s="14" t="str">
        <f ca="1">ADDRESS(3,(B543+1)*2-1,4,,"[" &amp; wew!$G$7 &amp; "]" &amp; _sheetname_labels) &amp; ":" &amp; ADDRESS(2+ster!$B$20,(B543+1)*2-1,4)</f>
        <v>'[dane surowe2c.xlsm]labels'!AOQ3:AOQ36</v>
      </c>
      <c r="L543" s="14" t="str">
        <f ca="1">IF(F543&gt;0,ADDRESS(3,(B543+1)*2-1,4,,"[" &amp; wew!$G$7 &amp; "]" &amp; _sheetname_labels) &amp; ":" &amp; ADDRESS(2+F543,(B543+1)*2-1,4),"")</f>
        <v/>
      </c>
      <c r="M543" s="14" t="str">
        <f ca="1">IF(F543&gt;0,ADDRESS(3,(B543+1)*2,4,,"["&amp;wew!$G$7&amp;"]"&amp;_sheetname_labels)&amp;":"&amp;ADDRESS(2+F543,(B543+1)*2,4),"")</f>
        <v/>
      </c>
      <c r="N543" s="14" t="str">
        <f ca="1">ADDRESS(3,B543+1,4,,"[" &amp; wew!$G$7 &amp; "]" &amp;_sheetname_dataframe) &amp; ":" &amp; ADDRESS(2+ster!$C$14,B543+1,4)</f>
        <v>'[dane surowe2c.xlsm]data_frame'!TV3:TV35</v>
      </c>
      <c r="O543" s="14" t="str">
        <f t="shared" ca="1" si="123"/>
        <v/>
      </c>
      <c r="P543" s="14" t="str">
        <f ca="1">IF(AND($AD543,$S543=1),IF(wew!$B$3,MIN(INDIRECT($N543)),"&lt;włącz podświetlanie wartości&gt;"),"—")</f>
        <v>—</v>
      </c>
      <c r="Q543" s="14" t="str">
        <f ca="1">IF(AND($AD543,$S543=1),IF(wew!$B$3,MAX(INDIRECT($N543)),"&lt;włącz podświetlanie wartości&gt;"),"—")</f>
        <v>—</v>
      </c>
      <c r="R543" s="14" t="str">
        <f ca="1">IF(AD543,ster!$C$14- (COUNTIF( INDIRECT(N543),"" )+ COUNT(INDIRECT(N543)) +COUNTIF( INDIRECT(N543),"NA" )),"")</f>
        <v/>
      </c>
      <c r="S543" s="12" t="str">
        <f ca="1">IF(AD543,IF(COUNTA(INDIRECT(N543))=0,0, 1-(ster!$C$14- COUNT(INDIRECT(N543)) -COUNTIF( INDIRECT(N543),"" )) /COUNTA(INDIRECT(N543))),"")</f>
        <v/>
      </c>
      <c r="T543" s="17" t="str">
        <f t="array" aca="1" ref="T543" ca="1">IF(L543&lt;&gt;"",SUM(IF(INDIRECT(L543)&lt;&gt;INT(INDIRECT(L543)),1,0)),"")</f>
        <v/>
      </c>
      <c r="U543" s="17" t="str">
        <f t="array" aca="1" ref="U543" ca="1">IF(S543=1,SUM(IF(ISNUMBER(INDIRECT(N543)),IF(INDIRECT(N543)&lt;&gt;INT(INDIRECT(N543)),1,0),0)),"")</f>
        <v/>
      </c>
      <c r="V543" s="17">
        <f t="shared" ca="1" si="124"/>
        <v>0</v>
      </c>
      <c r="W543" s="17">
        <f t="shared" ca="1" si="125"/>
        <v>0</v>
      </c>
      <c r="X543" s="24" t="str">
        <f t="array" aca="1" ref="X543" ca="1">IF(AD543,IF(AG543&lt;&gt;"",AG543,IF(J543,MIN(INDIRECT( K543)),"")),"")</f>
        <v/>
      </c>
      <c r="Y543" s="17" t="str">
        <f t="array" aca="1" ref="Y543" ca="1">IF(AD543,IF(AH543&lt;&gt;"",AH543,IF(J543,MAX(INDIRECT( K543)),"")),"")</f>
        <v/>
      </c>
      <c r="Z543" s="17" t="b">
        <f t="shared" ca="1" si="126"/>
        <v>0</v>
      </c>
      <c r="AC543" s="17" t="str">
        <f t="shared" ca="1" si="127"/>
        <v/>
      </c>
      <c r="AD543" s="14" t="b">
        <f t="shared" ca="1" si="128"/>
        <v>0</v>
      </c>
      <c r="AE543" s="15" t="b">
        <f t="shared" ca="1" si="129"/>
        <v>0</v>
      </c>
      <c r="AF543" s="16"/>
      <c r="AG543" s="16"/>
      <c r="AH543" s="16"/>
      <c r="AI543" s="16"/>
      <c r="AJ543" s="16"/>
      <c r="AK543" s="16"/>
      <c r="AL543" s="16"/>
      <c r="AM543" s="16"/>
    </row>
    <row r="544" spans="2:39">
      <c r="B544" s="14">
        <f t="shared" si="118"/>
        <v>542</v>
      </c>
      <c r="C544" s="14" t="str">
        <f t="shared" ca="1" si="119"/>
        <v/>
      </c>
      <c r="D544" s="14" t="str">
        <f t="shared" ca="1" si="120"/>
        <v/>
      </c>
      <c r="E544" s="14" t="str">
        <f t="shared" ca="1" si="117"/>
        <v/>
      </c>
      <c r="F544" s="14">
        <f t="shared" ca="1" si="116"/>
        <v>0</v>
      </c>
      <c r="G544" s="14" t="str">
        <f t="shared" ca="1" si="121"/>
        <v/>
      </c>
      <c r="H544" s="14">
        <f ca="1">IF(G544&lt;&gt;"",IFERROR( IsVariableNameLegal(G544),0),0)+IF(COUNTIF(INDIRECT(wew!$C$13),G544)&gt;1,10,0)</f>
        <v>0</v>
      </c>
      <c r="I544" s="14">
        <f ca="1">IF(E544&lt;&gt;"",IF(LEN(E544)&gt;150,1,0)+IF(COUNTIF(INDIRECT(wew!$C$15),E544)&gt;1,10,0),0)</f>
        <v>0</v>
      </c>
      <c r="J544" s="14" t="b">
        <f t="shared" ca="1" si="122"/>
        <v>0</v>
      </c>
      <c r="K544" s="14" t="str">
        <f ca="1">ADDRESS(3,(B544+1)*2-1,4,,"[" &amp; wew!$G$7 &amp; "]" &amp; _sheetname_labels) &amp; ":" &amp; ADDRESS(2+ster!$B$20,(B544+1)*2-1,4)</f>
        <v>'[dane surowe2c.xlsm]labels'!AOS3:AOS36</v>
      </c>
      <c r="L544" s="14" t="str">
        <f ca="1">IF(F544&gt;0,ADDRESS(3,(B544+1)*2-1,4,,"[" &amp; wew!$G$7 &amp; "]" &amp; _sheetname_labels) &amp; ":" &amp; ADDRESS(2+F544,(B544+1)*2-1,4),"")</f>
        <v/>
      </c>
      <c r="M544" s="14" t="str">
        <f ca="1">IF(F544&gt;0,ADDRESS(3,(B544+1)*2,4,,"["&amp;wew!$G$7&amp;"]"&amp;_sheetname_labels)&amp;":"&amp;ADDRESS(2+F544,(B544+1)*2,4),"")</f>
        <v/>
      </c>
      <c r="N544" s="14" t="str">
        <f ca="1">ADDRESS(3,B544+1,4,,"[" &amp; wew!$G$7 &amp; "]" &amp;_sheetname_dataframe) &amp; ":" &amp; ADDRESS(2+ster!$C$14,B544+1,4)</f>
        <v>'[dane surowe2c.xlsm]data_frame'!TW3:TW35</v>
      </c>
      <c r="O544" s="14" t="str">
        <f t="shared" ca="1" si="123"/>
        <v/>
      </c>
      <c r="P544" s="14" t="str">
        <f ca="1">IF(AND($AD544,$S544=1),IF(wew!$B$3,MIN(INDIRECT($N544)),"&lt;włącz podświetlanie wartości&gt;"),"—")</f>
        <v>—</v>
      </c>
      <c r="Q544" s="14" t="str">
        <f ca="1">IF(AND($AD544,$S544=1),IF(wew!$B$3,MAX(INDIRECT($N544)),"&lt;włącz podświetlanie wartości&gt;"),"—")</f>
        <v>—</v>
      </c>
      <c r="R544" s="14" t="str">
        <f ca="1">IF(AD544,ster!$C$14- (COUNTIF( INDIRECT(N544),"" )+ COUNT(INDIRECT(N544)) +COUNTIF( INDIRECT(N544),"NA" )),"")</f>
        <v/>
      </c>
      <c r="S544" s="12" t="str">
        <f ca="1">IF(AD544,IF(COUNTA(INDIRECT(N544))=0,0, 1-(ster!$C$14- COUNT(INDIRECT(N544)) -COUNTIF( INDIRECT(N544),"" )) /COUNTA(INDIRECT(N544))),"")</f>
        <v/>
      </c>
      <c r="T544" s="17" t="str">
        <f t="array" aca="1" ref="T544" ca="1">IF(L544&lt;&gt;"",SUM(IF(INDIRECT(L544)&lt;&gt;INT(INDIRECT(L544)),1,0)),"")</f>
        <v/>
      </c>
      <c r="U544" s="17" t="str">
        <f t="array" aca="1" ref="U544" ca="1">IF(S544=1,SUM(IF(ISNUMBER(INDIRECT(N544)),IF(INDIRECT(N544)&lt;&gt;INT(INDIRECT(N544)),1,0),0)),"")</f>
        <v/>
      </c>
      <c r="V544" s="17">
        <f t="shared" ca="1" si="124"/>
        <v>0</v>
      </c>
      <c r="W544" s="17">
        <f t="shared" ca="1" si="125"/>
        <v>0</v>
      </c>
      <c r="X544" s="24" t="str">
        <f t="array" aca="1" ref="X544" ca="1">IF(AD544,IF(AG544&lt;&gt;"",AG544,IF(J544,MIN(INDIRECT( K544)),"")),"")</f>
        <v/>
      </c>
      <c r="Y544" s="17" t="str">
        <f t="array" aca="1" ref="Y544" ca="1">IF(AD544,IF(AH544&lt;&gt;"",AH544,IF(J544,MAX(INDIRECT( K544)),"")),"")</f>
        <v/>
      </c>
      <c r="Z544" s="17" t="b">
        <f t="shared" ca="1" si="126"/>
        <v>0</v>
      </c>
      <c r="AC544" s="17" t="str">
        <f t="shared" ca="1" si="127"/>
        <v/>
      </c>
      <c r="AD544" s="14" t="b">
        <f t="shared" ca="1" si="128"/>
        <v>0</v>
      </c>
      <c r="AE544" s="15" t="b">
        <f t="shared" ca="1" si="129"/>
        <v>0</v>
      </c>
      <c r="AF544" s="16"/>
      <c r="AG544" s="16"/>
      <c r="AH544" s="16"/>
      <c r="AI544" s="16"/>
      <c r="AJ544" s="16"/>
      <c r="AK544" s="16"/>
      <c r="AL544" s="16"/>
      <c r="AM544" s="16"/>
    </row>
    <row r="545" spans="2:39">
      <c r="B545" s="14">
        <f t="shared" si="118"/>
        <v>543</v>
      </c>
      <c r="C545" s="14" t="str">
        <f t="shared" ca="1" si="119"/>
        <v/>
      </c>
      <c r="D545" s="14" t="str">
        <f t="shared" ca="1" si="120"/>
        <v/>
      </c>
      <c r="E545" s="14" t="str">
        <f t="shared" ca="1" si="117"/>
        <v/>
      </c>
      <c r="F545" s="14">
        <f t="shared" ca="1" si="116"/>
        <v>0</v>
      </c>
      <c r="G545" s="14" t="str">
        <f t="shared" ca="1" si="121"/>
        <v/>
      </c>
      <c r="H545" s="14">
        <f ca="1">IF(G545&lt;&gt;"",IFERROR( IsVariableNameLegal(G545),0),0)+IF(COUNTIF(INDIRECT(wew!$C$13),G545)&gt;1,10,0)</f>
        <v>0</v>
      </c>
      <c r="I545" s="14">
        <f ca="1">IF(E545&lt;&gt;"",IF(LEN(E545)&gt;150,1,0)+IF(COUNTIF(INDIRECT(wew!$C$15),E545)&gt;1,10,0),0)</f>
        <v>0</v>
      </c>
      <c r="J545" s="14" t="b">
        <f t="shared" ca="1" si="122"/>
        <v>0</v>
      </c>
      <c r="K545" s="14" t="str">
        <f ca="1">ADDRESS(3,(B545+1)*2-1,4,,"[" &amp; wew!$G$7 &amp; "]" &amp; _sheetname_labels) &amp; ":" &amp; ADDRESS(2+ster!$B$20,(B545+1)*2-1,4)</f>
        <v>'[dane surowe2c.xlsm]labels'!AOU3:AOU36</v>
      </c>
      <c r="L545" s="14" t="str">
        <f ca="1">IF(F545&gt;0,ADDRESS(3,(B545+1)*2-1,4,,"[" &amp; wew!$G$7 &amp; "]" &amp; _sheetname_labels) &amp; ":" &amp; ADDRESS(2+F545,(B545+1)*2-1,4),"")</f>
        <v/>
      </c>
      <c r="M545" s="14" t="str">
        <f ca="1">IF(F545&gt;0,ADDRESS(3,(B545+1)*2,4,,"["&amp;wew!$G$7&amp;"]"&amp;_sheetname_labels)&amp;":"&amp;ADDRESS(2+F545,(B545+1)*2,4),"")</f>
        <v/>
      </c>
      <c r="N545" s="14" t="str">
        <f ca="1">ADDRESS(3,B545+1,4,,"[" &amp; wew!$G$7 &amp; "]" &amp;_sheetname_dataframe) &amp; ":" &amp; ADDRESS(2+ster!$C$14,B545+1,4)</f>
        <v>'[dane surowe2c.xlsm]data_frame'!TX3:TX35</v>
      </c>
      <c r="O545" s="14" t="str">
        <f t="shared" ca="1" si="123"/>
        <v/>
      </c>
      <c r="P545" s="14" t="str">
        <f ca="1">IF(AND($AD545,$S545=1),IF(wew!$B$3,MIN(INDIRECT($N545)),"&lt;włącz podświetlanie wartości&gt;"),"—")</f>
        <v>—</v>
      </c>
      <c r="Q545" s="14" t="str">
        <f ca="1">IF(AND($AD545,$S545=1),IF(wew!$B$3,MAX(INDIRECT($N545)),"&lt;włącz podświetlanie wartości&gt;"),"—")</f>
        <v>—</v>
      </c>
      <c r="R545" s="14" t="str">
        <f ca="1">IF(AD545,ster!$C$14- (COUNTIF( INDIRECT(N545),"" )+ COUNT(INDIRECT(N545)) +COUNTIF( INDIRECT(N545),"NA" )),"")</f>
        <v/>
      </c>
      <c r="S545" s="12" t="str">
        <f ca="1">IF(AD545,IF(COUNTA(INDIRECT(N545))=0,0, 1-(ster!$C$14- COUNT(INDIRECT(N545)) -COUNTIF( INDIRECT(N545),"" )) /COUNTA(INDIRECT(N545))),"")</f>
        <v/>
      </c>
      <c r="T545" s="17" t="str">
        <f t="array" aca="1" ref="T545" ca="1">IF(L545&lt;&gt;"",SUM(IF(INDIRECT(L545)&lt;&gt;INT(INDIRECT(L545)),1,0)),"")</f>
        <v/>
      </c>
      <c r="U545" s="17" t="str">
        <f t="array" aca="1" ref="U545" ca="1">IF(S545=1,SUM(IF(ISNUMBER(INDIRECT(N545)),IF(INDIRECT(N545)&lt;&gt;INT(INDIRECT(N545)),1,0),0)),"")</f>
        <v/>
      </c>
      <c r="V545" s="17">
        <f t="shared" ca="1" si="124"/>
        <v>0</v>
      </c>
      <c r="W545" s="17">
        <f t="shared" ca="1" si="125"/>
        <v>0</v>
      </c>
      <c r="X545" s="24" t="str">
        <f t="array" aca="1" ref="X545" ca="1">IF(AD545,IF(AG545&lt;&gt;"",AG545,IF(J545,MIN(INDIRECT( K545)),"")),"")</f>
        <v/>
      </c>
      <c r="Y545" s="17" t="str">
        <f t="array" aca="1" ref="Y545" ca="1">IF(AD545,IF(AH545&lt;&gt;"",AH545,IF(J545,MAX(INDIRECT( K545)),"")),"")</f>
        <v/>
      </c>
      <c r="Z545" s="17" t="b">
        <f t="shared" ca="1" si="126"/>
        <v>0</v>
      </c>
      <c r="AC545" s="17" t="str">
        <f t="shared" ca="1" si="127"/>
        <v/>
      </c>
      <c r="AD545" s="14" t="b">
        <f t="shared" ca="1" si="128"/>
        <v>0</v>
      </c>
      <c r="AE545" s="15" t="b">
        <f t="shared" ca="1" si="129"/>
        <v>0</v>
      </c>
      <c r="AF545" s="16"/>
      <c r="AG545" s="16"/>
      <c r="AH545" s="16"/>
      <c r="AI545" s="16"/>
      <c r="AJ545" s="16"/>
      <c r="AK545" s="16"/>
      <c r="AL545" s="16"/>
      <c r="AM545" s="16"/>
    </row>
    <row r="546" spans="2:39">
      <c r="B546" s="14">
        <f t="shared" si="118"/>
        <v>544</v>
      </c>
      <c r="C546" s="14" t="str">
        <f t="shared" ca="1" si="119"/>
        <v/>
      </c>
      <c r="D546" s="14" t="str">
        <f t="shared" ca="1" si="120"/>
        <v/>
      </c>
      <c r="E546" s="14" t="str">
        <f t="shared" ca="1" si="117"/>
        <v/>
      </c>
      <c r="F546" s="14">
        <f t="shared" ca="1" si="116"/>
        <v>0</v>
      </c>
      <c r="G546" s="14" t="str">
        <f t="shared" ca="1" si="121"/>
        <v/>
      </c>
      <c r="H546" s="14">
        <f ca="1">IF(G546&lt;&gt;"",IFERROR( IsVariableNameLegal(G546),0),0)+IF(COUNTIF(INDIRECT(wew!$C$13),G546)&gt;1,10,0)</f>
        <v>0</v>
      </c>
      <c r="I546" s="14">
        <f ca="1">IF(E546&lt;&gt;"",IF(LEN(E546)&gt;150,1,0)+IF(COUNTIF(INDIRECT(wew!$C$15),E546)&gt;1,10,0),0)</f>
        <v>0</v>
      </c>
      <c r="J546" s="14" t="b">
        <f t="shared" ca="1" si="122"/>
        <v>0</v>
      </c>
      <c r="K546" s="14" t="str">
        <f ca="1">ADDRESS(3,(B546+1)*2-1,4,,"[" &amp; wew!$G$7 &amp; "]" &amp; _sheetname_labels) &amp; ":" &amp; ADDRESS(2+ster!$B$20,(B546+1)*2-1,4)</f>
        <v>'[dane surowe2c.xlsm]labels'!AOW3:AOW36</v>
      </c>
      <c r="L546" s="14" t="str">
        <f ca="1">IF(F546&gt;0,ADDRESS(3,(B546+1)*2-1,4,,"[" &amp; wew!$G$7 &amp; "]" &amp; _sheetname_labels) &amp; ":" &amp; ADDRESS(2+F546,(B546+1)*2-1,4),"")</f>
        <v/>
      </c>
      <c r="M546" s="14" t="str">
        <f ca="1">IF(F546&gt;0,ADDRESS(3,(B546+1)*2,4,,"["&amp;wew!$G$7&amp;"]"&amp;_sheetname_labels)&amp;":"&amp;ADDRESS(2+F546,(B546+1)*2,4),"")</f>
        <v/>
      </c>
      <c r="N546" s="14" t="str">
        <f ca="1">ADDRESS(3,B546+1,4,,"[" &amp; wew!$G$7 &amp; "]" &amp;_sheetname_dataframe) &amp; ":" &amp; ADDRESS(2+ster!$C$14,B546+1,4)</f>
        <v>'[dane surowe2c.xlsm]data_frame'!TY3:TY35</v>
      </c>
      <c r="O546" s="14" t="str">
        <f t="shared" ca="1" si="123"/>
        <v/>
      </c>
      <c r="P546" s="14" t="str">
        <f ca="1">IF(AND($AD546,$S546=1),IF(wew!$B$3,MIN(INDIRECT($N546)),"&lt;włącz podświetlanie wartości&gt;"),"—")</f>
        <v>—</v>
      </c>
      <c r="Q546" s="14" t="str">
        <f ca="1">IF(AND($AD546,$S546=1),IF(wew!$B$3,MAX(INDIRECT($N546)),"&lt;włącz podświetlanie wartości&gt;"),"—")</f>
        <v>—</v>
      </c>
      <c r="R546" s="14" t="str">
        <f ca="1">IF(AD546,ster!$C$14- (COUNTIF( INDIRECT(N546),"" )+ COUNT(INDIRECT(N546)) +COUNTIF( INDIRECT(N546),"NA" )),"")</f>
        <v/>
      </c>
      <c r="S546" s="12" t="str">
        <f ca="1">IF(AD546,IF(COUNTA(INDIRECT(N546))=0,0, 1-(ster!$C$14- COUNT(INDIRECT(N546)) -COUNTIF( INDIRECT(N546),"" )) /COUNTA(INDIRECT(N546))),"")</f>
        <v/>
      </c>
      <c r="T546" s="17" t="str">
        <f t="array" aca="1" ref="T546" ca="1">IF(L546&lt;&gt;"",SUM(IF(INDIRECT(L546)&lt;&gt;INT(INDIRECT(L546)),1,0)),"")</f>
        <v/>
      </c>
      <c r="U546" s="17" t="str">
        <f t="array" aca="1" ref="U546" ca="1">IF(S546=1,SUM(IF(ISNUMBER(INDIRECT(N546)),IF(INDIRECT(N546)&lt;&gt;INT(INDIRECT(N546)),1,0),0)),"")</f>
        <v/>
      </c>
      <c r="V546" s="17">
        <f t="shared" ca="1" si="124"/>
        <v>0</v>
      </c>
      <c r="W546" s="17">
        <f t="shared" ca="1" si="125"/>
        <v>0</v>
      </c>
      <c r="X546" s="24" t="str">
        <f t="array" aca="1" ref="X546" ca="1">IF(AD546,IF(AG546&lt;&gt;"",AG546,IF(J546,MIN(INDIRECT( K546)),"")),"")</f>
        <v/>
      </c>
      <c r="Y546" s="17" t="str">
        <f t="array" aca="1" ref="Y546" ca="1">IF(AD546,IF(AH546&lt;&gt;"",AH546,IF(J546,MAX(INDIRECT( K546)),"")),"")</f>
        <v/>
      </c>
      <c r="Z546" s="17" t="b">
        <f t="shared" ca="1" si="126"/>
        <v>0</v>
      </c>
      <c r="AC546" s="17" t="str">
        <f t="shared" ca="1" si="127"/>
        <v/>
      </c>
      <c r="AD546" s="14" t="b">
        <f t="shared" ca="1" si="128"/>
        <v>0</v>
      </c>
      <c r="AE546" s="15" t="b">
        <f t="shared" ca="1" si="129"/>
        <v>0</v>
      </c>
      <c r="AF546" s="16"/>
      <c r="AG546" s="16"/>
      <c r="AH546" s="16"/>
      <c r="AI546" s="16"/>
      <c r="AJ546" s="16"/>
      <c r="AK546" s="16"/>
      <c r="AL546" s="16"/>
      <c r="AM546" s="16"/>
    </row>
    <row r="547" spans="2:39">
      <c r="B547" s="14">
        <f t="shared" si="118"/>
        <v>545</v>
      </c>
      <c r="C547" s="14" t="str">
        <f t="shared" ca="1" si="119"/>
        <v/>
      </c>
      <c r="D547" s="14" t="str">
        <f t="shared" ca="1" si="120"/>
        <v/>
      </c>
      <c r="E547" s="14" t="str">
        <f t="shared" ca="1" si="117"/>
        <v/>
      </c>
      <c r="F547" s="14">
        <f t="shared" ref="F547" ca="1" si="130">IF(AD547,COUNT(INDIRECT(K547)),0)</f>
        <v>0</v>
      </c>
      <c r="G547" s="14" t="str">
        <f t="shared" ca="1" si="121"/>
        <v/>
      </c>
      <c r="H547" s="14">
        <f ca="1">IF(G547&lt;&gt;"",IFERROR( IsVariableNameLegal(G547),0),0)+IF(COUNTIF(INDIRECT(wew!$C$13),G547)&gt;1,10,0)</f>
        <v>0</v>
      </c>
      <c r="I547" s="14">
        <f ca="1">IF(E547&lt;&gt;"",IF(LEN(E547)&gt;150,1,0)+IF(COUNTIF(INDIRECT(wew!$C$15),E547)&gt;1,10,0),0)</f>
        <v>0</v>
      </c>
      <c r="J547" s="14" t="b">
        <f t="shared" ca="1" si="122"/>
        <v>0</v>
      </c>
      <c r="K547" s="14" t="str">
        <f ca="1">ADDRESS(3,(B547+1)*2-1,4,,"[" &amp; wew!$G$7 &amp; "]" &amp; _sheetname_labels) &amp; ":" &amp; ADDRESS(2+ster!$B$20,(B547+1)*2-1,4)</f>
        <v>'[dane surowe2c.xlsm]labels'!AOY3:AOY36</v>
      </c>
      <c r="L547" s="14" t="str">
        <f ca="1">IF(F547&gt;0,ADDRESS(3,(B547+1)*2-1,4,,"[" &amp; wew!$G$7 &amp; "]" &amp; _sheetname_labels) &amp; ":" &amp; ADDRESS(2+F547,(B547+1)*2-1,4),"")</f>
        <v/>
      </c>
      <c r="M547" s="14" t="str">
        <f ca="1">IF(F547&gt;0,ADDRESS(3,(B547+1)*2,4,,"["&amp;wew!$G$7&amp;"]"&amp;_sheetname_labels)&amp;":"&amp;ADDRESS(2+F547,(B547+1)*2,4),"")</f>
        <v/>
      </c>
      <c r="N547" s="14" t="str">
        <f ca="1">ADDRESS(3,B547+1,4,,"[" &amp; wew!$G$7 &amp; "]" &amp;_sheetname_dataframe) &amp; ":" &amp; ADDRESS(2+ster!$C$14,B547+1,4)</f>
        <v>'[dane surowe2c.xlsm]data_frame'!TZ3:TZ35</v>
      </c>
      <c r="O547" s="14" t="str">
        <f t="shared" ca="1" si="123"/>
        <v/>
      </c>
      <c r="P547" s="14" t="str">
        <f ca="1">IF(AND($AD547,$S547=1),IF(wew!$B$3,MIN(INDIRECT($N547)),"&lt;włącz podświetlanie wartości&gt;"),"—")</f>
        <v>—</v>
      </c>
      <c r="Q547" s="14" t="str">
        <f ca="1">IF(AND($AD547,$S547=1),IF(wew!$B$3,MAX(INDIRECT($N547)),"&lt;włącz podświetlanie wartości&gt;"),"—")</f>
        <v>—</v>
      </c>
      <c r="R547" s="14" t="str">
        <f ca="1">IF(AD547,ster!$C$14- (COUNTIF( INDIRECT(N547),"" )+ COUNT(INDIRECT(N547)) +COUNTIF( INDIRECT(N547),"NA" )),"")</f>
        <v/>
      </c>
      <c r="S547" s="12" t="str">
        <f ca="1">IF(AD547,IF(COUNTA(INDIRECT(N547))=0,0, 1-(ster!$C$14- COUNT(INDIRECT(N547)) -COUNTIF( INDIRECT(N547),"" )) /COUNTA(INDIRECT(N547))),"")</f>
        <v/>
      </c>
      <c r="T547" s="17" t="str">
        <f t="array" aca="1" ref="T547" ca="1">IF(L547&lt;&gt;"",SUM(IF(INDIRECT(L547)&lt;&gt;INT(INDIRECT(L547)),1,0)),"")</f>
        <v/>
      </c>
      <c r="U547" s="17" t="str">
        <f t="array" aca="1" ref="U547" ca="1">IF(S547=1,SUM(IF(ISNUMBER(INDIRECT(N547)),IF(INDIRECT(N547)&lt;&gt;INT(INDIRECT(N547)),1,0),0)),"")</f>
        <v/>
      </c>
      <c r="V547" s="17">
        <f t="shared" ca="1" si="124"/>
        <v>0</v>
      </c>
      <c r="W547" s="17">
        <f t="shared" ca="1" si="125"/>
        <v>0</v>
      </c>
      <c r="X547" s="24" t="str">
        <f t="array" aca="1" ref="X547" ca="1">IF(AD547,IF(AG547&lt;&gt;"",AG547,IF(J547,MIN(INDIRECT( K547)),"")),"")</f>
        <v/>
      </c>
      <c r="Y547" s="17" t="str">
        <f t="array" aca="1" ref="Y547" ca="1">IF(AD547,IF(AH547&lt;&gt;"",AH547,IF(J547,MAX(INDIRECT( K547)),"")),"")</f>
        <v/>
      </c>
      <c r="Z547" s="17" t="b">
        <f t="shared" ca="1" si="126"/>
        <v>0</v>
      </c>
      <c r="AC547" s="17" t="str">
        <f t="shared" ca="1" si="127"/>
        <v/>
      </c>
      <c r="AD547" s="14" t="b">
        <f t="shared" ca="1" si="128"/>
        <v>0</v>
      </c>
      <c r="AE547" s="15" t="b">
        <f t="shared" ca="1" si="129"/>
        <v>0</v>
      </c>
      <c r="AF547" s="16"/>
      <c r="AG547" s="16"/>
      <c r="AH547" s="16"/>
      <c r="AI547" s="16"/>
      <c r="AJ547" s="16"/>
      <c r="AK547" s="16"/>
      <c r="AL547" s="16"/>
      <c r="AM547" s="16"/>
    </row>
  </sheetData>
  <protectedRanges>
    <protectedRange sqref="AJ548:AN1048576 AN3:AN547" name="Grupy"/>
    <protectedRange sqref="C2:C547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2:AD547">
    <cfRule type="expression" dxfId="19" priority="48" stopIfTrue="1">
      <formula>$C2="D"</formula>
    </cfRule>
  </conditionalFormatting>
  <conditionalFormatting sqref="D2:D547">
    <cfRule type="expression" dxfId="18" priority="17" stopIfTrue="1">
      <formula>($H2&lt;&gt;0)*($H2&lt;&gt;"")</formula>
    </cfRule>
  </conditionalFormatting>
  <conditionalFormatting sqref="E2:E547">
    <cfRule type="expression" dxfId="17" priority="16" stopIfTrue="1">
      <formula>($I2&lt;&gt;0)*($I2&lt;&gt;"")</formula>
    </cfRule>
  </conditionalFormatting>
  <conditionalFormatting sqref="AJ2:AN2 AJ3:AM547">
    <cfRule type="expression" dxfId="16" priority="181" stopIfTrue="1">
      <formula>$AD2*($C2&lt;&gt;"")*($C2&lt;&gt;"S")</formula>
    </cfRule>
  </conditionalFormatting>
  <conditionalFormatting sqref="AF2:AF547">
    <cfRule type="expression" dxfId="15" priority="182" stopIfTrue="1">
      <formula>$AD2*($C2&lt;&gt;"")*($C2&lt;&gt;"S")</formula>
    </cfRule>
  </conditionalFormatting>
  <conditionalFormatting sqref="AF2:AN2 AF3:AM547">
    <cfRule type="expression" dxfId="14" priority="183" stopIfTrue="1">
      <formula>(NOT($AD2))+($C2="")+($C2="S")</formula>
    </cfRule>
  </conditionalFormatting>
  <conditionalFormatting sqref="AG2:AI547">
    <cfRule type="expression" dxfId="13" priority="184" stopIfTrue="1">
      <formula>(($C2="I")+($C2="O")+($C2="P")+($C2="D"))*$AD2</formula>
    </cfRule>
  </conditionalFormatting>
  <conditionalFormatting sqref="AE2:AE547">
    <cfRule type="expression" dxfId="12" priority="185" stopIfTrue="1">
      <formula>$AD2*($C2&lt;&gt;"")*$J2</formula>
    </cfRule>
    <cfRule type="expression" dxfId="11" priority="186" stopIfTrue="1">
      <formula>(NOT($AD2))+($C2="")+($C2="S")+NOT($J2)</formula>
    </cfRule>
  </conditionalFormatting>
  <conditionalFormatting sqref="B2:AD547">
    <cfRule type="expression" dxfId="10" priority="41" stopIfTrue="1">
      <formula>$C2="N"</formula>
    </cfRule>
  </conditionalFormatting>
  <conditionalFormatting sqref="B2:AD547">
    <cfRule type="expression" dxfId="9" priority="45" stopIfTrue="1">
      <formula>OR($C2="P",$C2="O")</formula>
    </cfRule>
  </conditionalFormatting>
  <conditionalFormatting sqref="B2:AD547">
    <cfRule type="expression" dxfId="8" priority="46" stopIfTrue="1">
      <formula>$C2="I"</formula>
    </cfRule>
  </conditionalFormatting>
  <conditionalFormatting sqref="B2:AD547">
    <cfRule type="expression" dxfId="7" priority="47" stopIfTrue="1">
      <formula>$C2="S"</formula>
    </cfRule>
  </conditionalFormatting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C4" sqref="C4:C18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351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34</v>
      </c>
      <c r="J3" s="14" t="s">
        <v>233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/>
      </c>
      <c r="F4" s="14" t="str">
        <f ca="1">IFERROR(IF($B4&lt;=ster!$C$16, INDEX(INDIRECT(NewZal!$S$55),$B4),""),COUNTIF(INDIRECT(wew!$K$7),B4))</f>
        <v/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/>
      </c>
      <c r="F5" s="14" t="str">
        <f ca="1">IFERROR(IF($B5&lt;=ster!$C$16, INDEX(INDIRECT(NewZal!$S$55),$B5),""),COUNTIF(INDIRECT(wew!$K$7),B5))</f>
        <v/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/>
      </c>
      <c r="F6" s="14" t="str">
        <f ca="1">IFERROR(IF($B6&lt;=ster!$C$16, INDEX(INDIRECT(NewZal!$S$55),$B6),""),COUNTIF(INDIRECT(wew!$K$7),B6))</f>
        <v/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/>
      </c>
      <c r="F7" s="14" t="str">
        <f ca="1">IFERROR(IF($B7&lt;=ster!$C$16, INDEX(INDIRECT(NewZal!$S$55),$B7),""),COUNTIF(INDIRECT(wew!$K$7),B7))</f>
        <v/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/>
      </c>
      <c r="F8" s="14" t="str">
        <f ca="1">IFERROR(IF($B8&lt;=ster!$C$16, INDEX(INDIRECT(NewZal!$S$55),$B8),""),COUNTIF(INDIRECT(wew!$K$7),B8))</f>
        <v/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/>
      </c>
      <c r="F9" s="14" t="str">
        <f ca="1">IFERROR(IF($B9&lt;=ster!$C$16, INDEX(INDIRECT(NewZal!$S$55),$B9),""),COUNTIF(INDIRECT(wew!$K$7),B9))</f>
        <v/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/>
      </c>
      <c r="F10" s="14" t="str">
        <f ca="1">IFERROR(IF($B10&lt;=ster!$C$16, INDEX(INDIRECT(NewZal!$S$55),$B10),""),COUNTIF(INDIRECT(wew!$K$7),B10))</f>
        <v/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/>
      </c>
      <c r="F11" s="14" t="str">
        <f ca="1">IFERROR(IF($B11&lt;=ster!$C$16, INDEX(INDIRECT(NewZal!$S$55),$B11),""),COUNTIF(INDIRECT(wew!$K$7),B11))</f>
        <v/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/>
      </c>
      <c r="F12" s="14" t="str">
        <f ca="1">IFERROR(IF($B12&lt;=ster!$C$16, INDEX(INDIRECT(NewZal!$S$55),$B12),""),COUNTIF(INDIRECT(wew!$K$7),B12))</f>
        <v/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/>
      </c>
      <c r="F13" s="14" t="str">
        <f ca="1">IFERROR(IF($B13&lt;=ster!$C$16, INDEX(INDIRECT(NewZal!$S$55),$B13),""),COUNTIF(INDIRECT(wew!$K$7),B13))</f>
        <v/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/>
      </c>
      <c r="F14" s="14" t="str">
        <f ca="1">IFERROR(IF($B14&lt;=ster!$C$16, INDEX(INDIRECT(NewZal!$S$55),$B14),""),COUNTIF(INDIRECT(wew!$K$7),B14))</f>
        <v/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/>
      </c>
      <c r="F15" s="14" t="str">
        <f ca="1">IFERROR(IF($B15&lt;=ster!$C$16, INDEX(INDIRECT(NewZal!$S$55),$B15),""),COUNTIF(INDIRECT(wew!$K$7),B15))</f>
        <v/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/>
      </c>
      <c r="F16" s="14" t="str">
        <f ca="1">IFERROR(IF($B16&lt;=ster!$C$16, INDEX(INDIRECT(NewZal!$S$55),$B16),""),COUNTIF(INDIRECT(wew!$K$7),B16))</f>
        <v/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/>
      </c>
      <c r="F17" s="14" t="str">
        <f ca="1">IFERROR(IF($B17&lt;=ster!$C$16, INDEX(INDIRECT(NewZal!$S$55),$B17),""),COUNTIF(INDIRECT(wew!$K$7),B17))</f>
        <v/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/>
      </c>
      <c r="F18" s="14" t="str">
        <f ca="1">IFERROR(IF($B18&lt;=ster!$C$16, INDEX(INDIRECT(NewZal!$S$55),$B18),""),COUNTIF(INDIRECT(wew!$K$7),B18))</f>
        <v/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/>
      </c>
      <c r="F19" s="14" t="str">
        <f ca="1">IFERROR(IF($B19&lt;=ster!$C$16, INDEX(INDIRECT(NewZal!$S$55),$B19),""),COUNTIF(INDIRECT(wew!$K$7),B19))</f>
        <v/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/>
      </c>
      <c r="F20" s="14" t="str">
        <f ca="1">IFERROR(IF($B20&lt;=ster!$C$16, INDEX(INDIRECT(NewZal!$S$55),$B20),""),COUNTIF(INDIRECT(wew!$K$7),B20))</f>
        <v/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/>
      </c>
      <c r="F21" s="14" t="str">
        <f ca="1">IFERROR(IF($B21&lt;=ster!$C$16, INDEX(INDIRECT(NewZal!$S$55),$B21),""),COUNTIF(INDIRECT(wew!$K$7),B21))</f>
        <v/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/>
      </c>
      <c r="F22" s="14" t="str">
        <f ca="1">IFERROR(IF($B22&lt;=ster!$C$16, INDEX(INDIRECT(NewZal!$S$55),$B22),""),COUNTIF(INDIRECT(wew!$K$7),B22))</f>
        <v/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/>
      </c>
      <c r="F23" s="14" t="str">
        <f ca="1">IFERROR(IF($B23&lt;=ster!$C$16, INDEX(INDIRECT(NewZal!$S$55),$B23),""),COUNTIF(INDIRECT(wew!$K$7),B23))</f>
        <v/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/>
      </c>
      <c r="F24" s="14" t="str">
        <f ca="1">IFERROR(IF($B24&lt;=ster!$C$16, INDEX(INDIRECT(NewZal!$S$55),$B24),""),COUNTIF(INDIRECT(wew!$K$7),B24))</f>
        <v/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/>
      </c>
      <c r="F25" s="14" t="str">
        <f ca="1">IFERROR(IF($B25&lt;=ster!$C$16, INDEX(INDIRECT(NewZal!$S$55),$B25),""),COUNTIF(INDIRECT(wew!$K$7),B25))</f>
        <v/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/>
      </c>
      <c r="F26" s="14" t="str">
        <f ca="1">IFERROR(IF($B26&lt;=ster!$C$16, INDEX(INDIRECT(NewZal!$S$55),$B26),""),COUNTIF(INDIRECT(wew!$K$7),B26))</f>
        <v/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N11" sqref="N11"/>
    </sheetView>
  </sheetViews>
  <sheetFormatPr defaultRowHeight="12.75"/>
  <cols>
    <col min="1" max="1" width="9.28515625" bestFit="1" customWidth="1"/>
    <col min="6" max="6" width="9.710937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223</v>
      </c>
      <c r="C2" s="14" t="s">
        <v>274</v>
      </c>
      <c r="D2" s="15" t="s">
        <v>228</v>
      </c>
    </row>
    <row r="3" spans="1:18">
      <c r="B3" s="7" t="s">
        <v>354</v>
      </c>
      <c r="C3" s="9" t="str">
        <f>"baza danych do pracy " &amp; B3</f>
        <v>baza danych do pracy Mamede</v>
      </c>
      <c r="D3" s="9" t="s">
        <v>1186</v>
      </c>
    </row>
    <row r="4" spans="1:18">
      <c r="B4" s="15" t="s">
        <v>139</v>
      </c>
      <c r="C4" s="15" t="s">
        <v>140</v>
      </c>
    </row>
    <row r="5" spans="1:18">
      <c r="B5" s="6" t="s">
        <v>353</v>
      </c>
      <c r="C5" s="6" t="s">
        <v>353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356</v>
      </c>
      <c r="C12">
        <f t="array" ref="C12">MAX(IF(data_frame!2:2&lt;&gt;"",COLUMN(data_frame!2:2),""))</f>
        <v>357</v>
      </c>
      <c r="M12" s="15"/>
    </row>
    <row r="13" spans="1:18">
      <c r="B13" t="s">
        <v>15</v>
      </c>
      <c r="C13" t="s">
        <v>16</v>
      </c>
    </row>
    <row r="14" spans="1:18">
      <c r="B14">
        <f ca="1">COUNTA(INDIRECT(_sheetname_dataframe &amp; "!A:A"))-2</f>
        <v>32</v>
      </c>
      <c r="C14">
        <f t="array" aca="1" ref="C14" ca="1">MAX(IF(ISNUMBER( INDIRECT(wew!R9 &amp; "!A:A")),ROW(  INDIRECT(wew!R9 &amp; "!A:A")),""))-2</f>
        <v>33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0</v>
      </c>
      <c r="D16">
        <f ca="1">MAX(INDIRECT(wew!R7 &amp; "!AI2:iv"&amp;1+C12))</f>
        <v>0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136</v>
      </c>
    </row>
    <row r="20" spans="2:15">
      <c r="B20" s="5">
        <v>34</v>
      </c>
      <c r="I20" s="15" t="s">
        <v>137</v>
      </c>
    </row>
    <row r="21" spans="2:15">
      <c r="I21" s="15" t="s">
        <v>138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38</v>
      </c>
    </row>
    <row r="24" spans="2:15">
      <c r="O24" s="25" t="str">
        <f>C3 &amp; ".rds"</f>
        <v>baza danych do pracy Mamede.rds</v>
      </c>
    </row>
    <row r="25" spans="2:15">
      <c r="O25" s="14" t="s">
        <v>301</v>
      </c>
    </row>
    <row r="26" spans="2:15">
      <c r="O26" s="30" t="s">
        <v>299</v>
      </c>
    </row>
    <row r="27" spans="2:15">
      <c r="O27" s="14" t="s">
        <v>300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31"/>
  <sheetViews>
    <sheetView workbookViewId="0">
      <selection activeCell="Q6" sqref="Q6"/>
    </sheetView>
  </sheetViews>
  <sheetFormatPr defaultRowHeight="12.75"/>
  <cols>
    <col min="1" max="1" width="11.42578125" customWidth="1"/>
    <col min="2" max="2" width="10.140625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130</v>
      </c>
      <c r="C2" s="15" t="s">
        <v>135</v>
      </c>
    </row>
    <row r="3" spans="1:18">
      <c r="A3" s="5">
        <v>3</v>
      </c>
      <c r="B3" s="16" t="b">
        <v>1</v>
      </c>
      <c r="C3" s="14"/>
    </row>
    <row r="5" spans="1:18">
      <c r="C5" s="14"/>
    </row>
    <row r="6" spans="1:18">
      <c r="B6" s="15" t="s">
        <v>208</v>
      </c>
      <c r="C6" t="s">
        <v>31</v>
      </c>
      <c r="G6" s="15" t="s">
        <v>27</v>
      </c>
      <c r="K6" s="14" t="s">
        <v>329</v>
      </c>
      <c r="N6" s="15"/>
      <c r="O6" s="15"/>
      <c r="P6" s="15"/>
      <c r="Q6" s="15" t="s">
        <v>336</v>
      </c>
      <c r="R6" s="14" t="s">
        <v>337</v>
      </c>
    </row>
    <row r="7" spans="1:18">
      <c r="B7" s="16" t="s">
        <v>209</v>
      </c>
      <c r="C7" s="14" t="str">
        <f ca="1">NewZal!$T$20</f>
        <v>'[dane surowe2c.xlsm]variables'!$J$2:$J$358</v>
      </c>
      <c r="G7" t="str">
        <f ca="1">NewZal!H2</f>
        <v>dane surowe2c.xlsm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variables!AJ2:AP358</v>
      </c>
      <c r="Q7" t="s">
        <v>291</v>
      </c>
      <c r="R7" s="16" t="s">
        <v>304</v>
      </c>
    </row>
    <row r="8" spans="1:18">
      <c r="C8" s="15" t="s">
        <v>32</v>
      </c>
      <c r="G8" s="15" t="s">
        <v>141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variables!AJ2:AJ358</v>
      </c>
      <c r="Q8" t="s">
        <v>126</v>
      </c>
      <c r="R8" s="16" t="s">
        <v>302</v>
      </c>
    </row>
    <row r="9" spans="1:18">
      <c r="C9" s="14" t="str">
        <f ca="1">NewZal!$T$25</f>
        <v>'[dane surowe2c.xlsm]variables'!$P$2:$P$358</v>
      </c>
      <c r="G9" t="str">
        <f ca="1">IF(ISERROR(FIND(".xlsm",G7)),"???",MID(G7,1,LEN(G7)-5))</f>
        <v>dane surowe2c</v>
      </c>
      <c r="J9">
        <f>J8+1</f>
        <v>1</v>
      </c>
      <c r="K9" s="14" t="str">
        <f t="shared" si="0"/>
        <v>variables!AK2:AK358</v>
      </c>
      <c r="Q9" t="s">
        <v>127</v>
      </c>
      <c r="R9" s="16" t="s">
        <v>303</v>
      </c>
    </row>
    <row r="10" spans="1:18">
      <c r="C10" s="15" t="s">
        <v>33</v>
      </c>
      <c r="G10" t="s">
        <v>18</v>
      </c>
      <c r="J10" s="14">
        <f t="shared" ref="J10:J15" si="1">J9+1</f>
        <v>2</v>
      </c>
      <c r="K10" s="14" t="str">
        <f t="shared" si="0"/>
        <v>variables!AL2:AL358</v>
      </c>
    </row>
    <row r="11" spans="1:18">
      <c r="C11" s="14" t="str">
        <f ca="1">NewZal!$T$26</f>
        <v>'[dane surowe2c.xlsm]variables'!$Q$2:$Q$358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variables!AM2:AM358</v>
      </c>
    </row>
    <row r="12" spans="1:18">
      <c r="C12" s="15" t="s">
        <v>165</v>
      </c>
      <c r="G12" s="14" t="s">
        <v>330</v>
      </c>
      <c r="J12" s="14">
        <f t="shared" si="1"/>
        <v>4</v>
      </c>
      <c r="K12" s="14" t="str">
        <f t="shared" si="0"/>
        <v>variables!AN2:AN358</v>
      </c>
    </row>
    <row r="13" spans="1:18">
      <c r="C13" s="14" t="str">
        <f ca="1">NewZal!$T$14</f>
        <v>'[dane surowe2c.xlsm]data_frame'!$A$2:$MS$2</v>
      </c>
      <c r="G13" s="14" t="s">
        <v>331</v>
      </c>
      <c r="J13" s="14">
        <f t="shared" si="1"/>
        <v>5</v>
      </c>
      <c r="K13" s="14" t="str">
        <f t="shared" si="0"/>
        <v>variables!AO2:AO358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variables!AP2:AP358</v>
      </c>
    </row>
    <row r="15" spans="1:18">
      <c r="C15" s="14" t="str">
        <f ca="1">NewZal!$T$13</f>
        <v>'[dane surowe2c.xlsm]data_frame'!$A$1:$MS$1</v>
      </c>
      <c r="J15" s="14">
        <f t="shared" si="1"/>
        <v>7</v>
      </c>
      <c r="K15" s="14" t="str">
        <f t="shared" si="0"/>
        <v>variables!AQ2:AQ358</v>
      </c>
    </row>
    <row r="16" spans="1:18">
      <c r="C16" s="15" t="s">
        <v>133</v>
      </c>
    </row>
    <row r="17" spans="3:3">
      <c r="C17" t="str">
        <f ca="1">NewZal!$T$27</f>
        <v>'[dane surowe2c.xlsm]variables'!$X$2:$X$358</v>
      </c>
    </row>
    <row r="18" spans="3:3">
      <c r="C18" s="15" t="s">
        <v>134</v>
      </c>
    </row>
    <row r="19" spans="3:3">
      <c r="C19" t="str">
        <f ca="1">NewZal!$T$28</f>
        <v>'[dane surowe2c.xlsm]variables'!$Y$2:$Y$358</v>
      </c>
    </row>
    <row r="20" spans="3:3">
      <c r="C20" s="15" t="s">
        <v>278</v>
      </c>
    </row>
    <row r="21" spans="3:3">
      <c r="C21" t="str">
        <f ca="1">NewZal!T33</f>
        <v>'[dane surowe2c.xlsm]variables'!$Z$2:$Z$358</v>
      </c>
    </row>
    <row r="22" spans="3:3">
      <c r="C22" s="15" t="s">
        <v>285</v>
      </c>
    </row>
    <row r="23" spans="3:3">
      <c r="C23" t="str">
        <f ca="1">NewZal!T34</f>
        <v>'[dane surowe2c.xlsm]variables'!$V$2:$V$358</v>
      </c>
    </row>
    <row r="24" spans="3:3">
      <c r="C24" s="15" t="s">
        <v>289</v>
      </c>
    </row>
    <row r="25" spans="3:3">
      <c r="C25" t="str">
        <f ca="1">NewZal!T35</f>
        <v>'[dane surowe2c.xlsm]variables'!$W$2:$W$358</v>
      </c>
    </row>
    <row r="26" spans="3:3">
      <c r="C26" s="15" t="s">
        <v>293</v>
      </c>
    </row>
    <row r="27" spans="3:3">
      <c r="C27">
        <f>COLUMN(variables!H1)</f>
        <v>8</v>
      </c>
    </row>
    <row r="28" spans="3:3">
      <c r="C28" s="15" t="s">
        <v>294</v>
      </c>
    </row>
    <row r="29" spans="3:3">
      <c r="C29">
        <f>COLUMN(variables!I1)</f>
        <v>9</v>
      </c>
    </row>
    <row r="30" spans="3:3">
      <c r="C30" s="15" t="s">
        <v>298</v>
      </c>
    </row>
    <row r="31" spans="3:3">
      <c r="C31">
        <f>COLUMN(variables!AC1)</f>
        <v>29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11"/>
  <sheetViews>
    <sheetView workbookViewId="0">
      <selection activeCell="A5" sqref="A5"/>
    </sheetView>
  </sheetViews>
  <sheetFormatPr defaultRowHeight="12.75"/>
  <sheetData>
    <row r="1" spans="1:7">
      <c r="A1" s="14" t="s">
        <v>336</v>
      </c>
      <c r="B1" s="14" t="s">
        <v>347</v>
      </c>
      <c r="C1" s="14" t="s">
        <v>348</v>
      </c>
      <c r="D1" s="14" t="s">
        <v>349</v>
      </c>
      <c r="E1" s="14" t="s">
        <v>339</v>
      </c>
      <c r="F1" s="14" t="s">
        <v>340</v>
      </c>
      <c r="G1" s="14" t="s">
        <v>341</v>
      </c>
    </row>
    <row r="2" spans="1:7">
      <c r="A2" t="s">
        <v>342</v>
      </c>
      <c r="B2" s="14" t="str">
        <f t="shared" ref="B2:B11" ca="1" si="0">CELL("address",INDIRECT(A2))</f>
        <v>'[dane surowe2c.xlsm]data_frame'!$A$1</v>
      </c>
      <c r="C2" s="14">
        <f t="shared" ref="C2:C11" ca="1" si="1">FIND("]",B2)</f>
        <v>21</v>
      </c>
      <c r="D2" s="14">
        <f t="shared" ref="D2:D11" ca="1" si="2">FIND("!",B2)</f>
        <v>33</v>
      </c>
      <c r="E2" s="14" t="str">
        <f ca="1">IFERROR(IFERROR(MID(B2,C2+1,D2-C2-2),_xll.SHEETNAME()),"wew")</f>
        <v>data_frame</v>
      </c>
      <c r="F2" s="14">
        <f t="shared" ref="F2:F11" ca="1" si="3">ROW(INDIRECT(A2))</f>
        <v>1</v>
      </c>
      <c r="G2" s="14">
        <f t="shared" ref="G2:G11" ca="1" si="4">COLUMN(INDIRECT(A2))</f>
        <v>1</v>
      </c>
    </row>
    <row r="3" spans="1:7">
      <c r="A3" t="s">
        <v>343</v>
      </c>
      <c r="B3" s="14" t="str">
        <f t="shared" ca="1" si="0"/>
        <v>'[dane surowe2c.xlsm]labels'!$A$1</v>
      </c>
      <c r="C3" s="14">
        <f t="shared" ca="1" si="1"/>
        <v>21</v>
      </c>
      <c r="D3" s="14">
        <f t="shared" ca="1" si="2"/>
        <v>29</v>
      </c>
      <c r="E3" s="14" t="str">
        <f ca="1">IFERROR(IFERROR(MID(B3,C3+1,D3-C3-2),_xll.SHEETNAME()),"wew")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344</v>
      </c>
      <c r="B4" s="14" t="str">
        <f t="shared" ca="1" si="0"/>
        <v>'[dane surowe2c.xlsm]variables'!$C$2</v>
      </c>
      <c r="C4" s="14">
        <f t="shared" ca="1" si="1"/>
        <v>21</v>
      </c>
      <c r="D4" s="14">
        <f t="shared" ca="1" si="2"/>
        <v>32</v>
      </c>
      <c r="E4" s="14" t="str">
        <f ca="1">IFERROR(IFERROR(MID(B4,C4+1,D4-C4-2),_xll.SHEETNAME()),"wew")</f>
        <v>variables</v>
      </c>
      <c r="F4" s="14">
        <f t="shared" ca="1" si="3"/>
        <v>2</v>
      </c>
      <c r="G4" s="14">
        <f t="shared" ca="1" si="4"/>
        <v>3</v>
      </c>
    </row>
    <row r="5" spans="1:7">
      <c r="A5" t="s">
        <v>345</v>
      </c>
      <c r="B5" s="14" t="str">
        <f t="shared" ca="1" si="0"/>
        <v>'[dane surowe2c.xlsm]variables'!$AF$2</v>
      </c>
      <c r="C5" s="14">
        <f t="shared" ca="1" si="1"/>
        <v>21</v>
      </c>
      <c r="D5" s="14">
        <f t="shared" ca="1" si="2"/>
        <v>32</v>
      </c>
      <c r="E5" s="14" t="str">
        <f ca="1">IFERROR(IFERROR(MID(B5,C5+1,D5-C5-2),_xll.SHEETNAME()),"wew")</f>
        <v>variables</v>
      </c>
      <c r="F5" s="14">
        <f t="shared" ca="1" si="3"/>
        <v>2</v>
      </c>
      <c r="G5" s="14">
        <f t="shared" ca="1" si="4"/>
        <v>32</v>
      </c>
    </row>
    <row r="6" spans="1:7">
      <c r="A6" t="s">
        <v>346</v>
      </c>
      <c r="B6" s="14" t="str">
        <f t="shared" ca="1" si="0"/>
        <v>'[dane surowe2c.xlsm]variables'!$AJ$1</v>
      </c>
      <c r="C6" s="14">
        <f t="shared" ca="1" si="1"/>
        <v>21</v>
      </c>
      <c r="D6" s="14">
        <f t="shared" ca="1" si="2"/>
        <v>32</v>
      </c>
      <c r="E6" s="14" t="str">
        <f ca="1">IFERROR(IFERROR(MID(B6,C6+1,D6-C6-2),_xll.SHEETNAME()),"wew")</f>
        <v>variables</v>
      </c>
      <c r="F6" s="14">
        <f t="shared" ca="1" si="3"/>
        <v>1</v>
      </c>
      <c r="G6" s="14">
        <f t="shared" ca="1" si="4"/>
        <v>36</v>
      </c>
    </row>
    <row r="7" spans="1:7">
      <c r="A7" t="s">
        <v>338</v>
      </c>
      <c r="B7" s="14" t="str">
        <f t="shared" ca="1" si="0"/>
        <v>'[dane surowe2c.xlsm]grupy'!$C$4</v>
      </c>
      <c r="C7" s="14">
        <f t="shared" ca="1" si="1"/>
        <v>21</v>
      </c>
      <c r="D7" s="14">
        <f t="shared" ca="1" si="2"/>
        <v>28</v>
      </c>
      <c r="E7" s="14" t="str">
        <f ca="1">IFERROR(IFERROR(MID(B7,C7+1,D7-C7-2),_xll.SHEETNAME()),"wew")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350</v>
      </c>
      <c r="B8" s="14" t="str">
        <f t="shared" ca="1" si="0"/>
        <v>'[dane surowe2c.xlsm]ster'!$B$3</v>
      </c>
      <c r="C8" s="14">
        <f t="shared" ca="1" si="1"/>
        <v>21</v>
      </c>
      <c r="D8" s="14">
        <f t="shared" ca="1" si="2"/>
        <v>27</v>
      </c>
      <c r="E8" s="14" t="str">
        <f ca="1">IFERROR(IFERROR(MID(B8,C8+1,D8-C8-2),_xll.SHEETNAME()),"wew")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335</v>
      </c>
      <c r="B9" s="14" t="str">
        <f t="shared" ca="1" si="0"/>
        <v>'[dane surowe2c.xlsm]ster'!$B$5</v>
      </c>
      <c r="C9" s="14">
        <f t="shared" ca="1" si="1"/>
        <v>21</v>
      </c>
      <c r="D9" s="14">
        <f t="shared" ca="1" si="2"/>
        <v>27</v>
      </c>
      <c r="E9" s="14" t="str">
        <f ca="1">IFERROR(IFERROR(MID(B9,C9+1,D9-C9-2),_xll.SHEETNAME()),"wew")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333</v>
      </c>
      <c r="B10" s="14" t="str">
        <f t="shared" ca="1" si="0"/>
        <v>'[dane surowe2c.xlsm]ster'!$C$3</v>
      </c>
      <c r="C10" s="14">
        <f t="shared" ca="1" si="1"/>
        <v>21</v>
      </c>
      <c r="D10" s="14">
        <f t="shared" ca="1" si="2"/>
        <v>27</v>
      </c>
      <c r="E10" s="14" t="str">
        <f ca="1">IFERROR(IFERROR(MID(B10,C10+1,D10-C10-2),_xll.SHEETNAME()),"wew")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334</v>
      </c>
      <c r="B11" s="14" t="str">
        <f t="shared" ca="1" si="0"/>
        <v>'[dane surowe2c.xlsm]ster'!$D$3</v>
      </c>
      <c r="C11" s="14">
        <f t="shared" ca="1" si="1"/>
        <v>21</v>
      </c>
      <c r="D11" s="14">
        <f t="shared" ca="1" si="2"/>
        <v>27</v>
      </c>
      <c r="E11" s="14" t="str">
        <f ca="1">IFERROR(IFERROR(MID(B11,C11+1,D11-C11-2),_xll.SHEETNAME()),"wew")</f>
        <v>ster</v>
      </c>
      <c r="F11" s="14">
        <f t="shared" ca="1" si="3"/>
        <v>3</v>
      </c>
      <c r="G11" s="14">
        <f t="shared" ca="1" si="4"/>
        <v>4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imageMso="FieldList" supertip="Add a blank variable to the database"/>
          <button id="customDelVar" label="Remove variable from the database" size="large" onAction="cmdDelVar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30</vt:i4>
      </vt:variant>
    </vt:vector>
  </HeadingPairs>
  <TitlesOfParts>
    <vt:vector size="38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_Col_IsCharacter</vt:lpstr>
      <vt:lpstr>_Col_LongNameErr</vt:lpstr>
      <vt:lpstr>_Col_SPSSNameErr</vt:lpstr>
      <vt:lpstr>_FirstRowTemplate</vt:lpstr>
      <vt:lpstr>_Flag_HighlightValues</vt:lpstr>
      <vt:lpstr>_sheetname_dataframe</vt:lpstr>
      <vt:lpstr>_sheetname_labels</vt:lpstr>
      <vt:lpstr>_sheetname_var</vt:lpstr>
      <vt:lpstr>CustomerFolder</vt:lpstr>
      <vt:lpstr>DataOrigin</vt:lpstr>
      <vt:lpstr>DBLongName</vt:lpstr>
      <vt:lpstr>LabelOrigin</vt:lpstr>
      <vt:lpstr>LongNames</vt:lpstr>
      <vt:lpstr>MaxLabelCount</vt:lpstr>
      <vt:lpstr>Measure</vt:lpstr>
      <vt:lpstr>PathPrefix</vt:lpstr>
      <vt:lpstr>PointerColumn</vt:lpstr>
      <vt:lpstr>RFileName</vt:lpstr>
      <vt:lpstr>RObjName</vt:lpstr>
      <vt:lpstr>ServerIP</vt:lpstr>
      <vt:lpstr>ServerPort</vt:lpstr>
      <vt:lpstr>SPSSFileName</vt:lpstr>
      <vt:lpstr>SPSSNames</vt:lpstr>
      <vt:lpstr>SubcustomerFolder</vt:lpstr>
      <vt:lpstr>Units</vt:lpstr>
      <vt:lpstr>VariableCount</vt:lpstr>
      <vt:lpstr>VariableGroupNames</vt:lpstr>
      <vt:lpstr>VariableGroupsColumn</vt:lpstr>
      <vt:lpstr>VariablesOrigin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eXPerience</cp:lastModifiedBy>
  <dcterms:created xsi:type="dcterms:W3CDTF">1996-10-14T23:33:28Z</dcterms:created>
  <dcterms:modified xsi:type="dcterms:W3CDTF">2017-02-05T13:37:33Z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