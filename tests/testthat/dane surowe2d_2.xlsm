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  <functionGroup name="RExcel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Completed="0" calcOnSave="0"/>
  <customWorkbookViews>
    <customWorkbookView name="dev" guid="{B0700225-2463-44C9-9C4E-A79FCDA233AE}" maximized="1" xWindow="1" yWindow="1" windowWidth="1362" windowHeight="549" activeSheetId="25"/>
    <customWorkbookView name="usr" guid="{E6351D91-D2AA-41F8-B6F1-38581D57FD08}" maximized="1" xWindow="1" yWindow="1" windowWidth="1916" windowHeight="863" activeSheetId="7"/>
  </customWorkbookViews>
</workbook>
</file>

<file path=xl/calcChain.xml><?xml version="1.0" encoding="utf-8"?>
<calcChain xmlns="http://schemas.openxmlformats.org/spreadsheetml/2006/main">
  <c r="D29" i="3"/>
  <c r="BG1" i="2"/>
  <c r="BH1"/>
  <c r="BF1"/>
  <c r="BE1"/>
  <c r="BC1"/>
  <c r="BD1"/>
  <c r="BP29" i="3"/>
  <c r="BB1" i="2"/>
  <c r="AZ1"/>
  <c r="H29" i="3"/>
  <c r="BA1" i="2"/>
  <c r="O29" i="3"/>
  <c r="BD2" i="2" l="1"/>
  <c r="BC2"/>
  <c r="BE2"/>
  <c r="BF2"/>
  <c r="BH2"/>
  <c r="BG2"/>
  <c r="CQ29" i="3" a="1"/>
  <c r="CQ29" s="1"/>
  <c r="DJ29" s="1"/>
  <c r="BA29"/>
  <c r="AO29"/>
  <c r="AP29"/>
  <c r="AQ29"/>
  <c r="CW29" s="1" a="1"/>
  <c r="CW29" s="1"/>
  <c r="DP29" s="1"/>
  <c r="AS29"/>
  <c r="CV29" s="1" a="1"/>
  <c r="CV29" s="1"/>
  <c r="DO29" s="1"/>
  <c r="AL29"/>
  <c r="F29"/>
  <c r="AZ2" i="2"/>
  <c r="BA2"/>
  <c r="BB2"/>
  <c r="D30" i="3"/>
  <c r="AA3" i="1"/>
  <c r="AA4"/>
  <c r="AA5"/>
  <c r="AA6"/>
  <c r="AA7"/>
  <c r="AA8"/>
  <c r="AA9"/>
  <c r="AA10"/>
  <c r="AA11"/>
  <c r="AA12"/>
  <c r="D25" i="3"/>
  <c r="H25"/>
  <c r="O30"/>
  <c r="O25"/>
  <c r="BP30"/>
  <c r="P29"/>
  <c r="CN29"/>
  <c r="H30"/>
  <c r="DG29" l="1"/>
  <c r="G29"/>
  <c r="CP29" a="1"/>
  <c r="CP29" s="1"/>
  <c r="DI29" s="1"/>
  <c r="AE29"/>
  <c r="F25"/>
  <c r="AL25"/>
  <c r="AQ30"/>
  <c r="CW30" s="1" a="1"/>
  <c r="CW30" s="1"/>
  <c r="DP30" s="1"/>
  <c r="AL30"/>
  <c r="BA30"/>
  <c r="CQ30" a="1"/>
  <c r="CQ30" s="1"/>
  <c r="DJ30" s="1"/>
  <c r="F30"/>
  <c r="AS30"/>
  <c r="CV30" s="1" a="1"/>
  <c r="CV30" s="1"/>
  <c r="DO30" s="1"/>
  <c r="AP30"/>
  <c r="AO30"/>
  <c r="AO25"/>
  <c r="AP25"/>
  <c r="AQ25"/>
  <c r="AS25"/>
  <c r="BA25"/>
  <c r="CN30"/>
  <c r="P25"/>
  <c r="BP25"/>
  <c r="CN25"/>
  <c r="P30"/>
  <c r="AF29" l="1"/>
  <c r="AG29"/>
  <c r="EF29" s="1"/>
  <c r="CY29" a="1"/>
  <c r="CY29" s="1"/>
  <c r="DR29" s="1"/>
  <c r="DG30"/>
  <c r="G25"/>
  <c r="CP30" a="1"/>
  <c r="CP30" s="1"/>
  <c r="DI30" s="1"/>
  <c r="G30"/>
  <c r="CP25" a="1"/>
  <c r="CP25" s="1"/>
  <c r="DI25" s="1"/>
  <c r="CQ25" a="1"/>
  <c r="CQ25" s="1"/>
  <c r="DJ25" s="1"/>
  <c r="CW25" a="1"/>
  <c r="CW25" s="1"/>
  <c r="DP25" s="1"/>
  <c r="DG25"/>
  <c r="D26"/>
  <c r="O26"/>
  <c r="AE25" l="1"/>
  <c r="H26"/>
  <c r="AL26" l="1"/>
  <c r="F26"/>
  <c r="AG25"/>
  <c r="EF25" s="1"/>
  <c r="AF25"/>
  <c r="CY25" a="1"/>
  <c r="CY25" s="1"/>
  <c r="DR25" s="1"/>
  <c r="AO26"/>
  <c r="AP26"/>
  <c r="AQ26"/>
  <c r="AS26"/>
  <c r="BA26"/>
  <c r="P26"/>
  <c r="BP26"/>
  <c r="CN26"/>
  <c r="G26" l="1"/>
  <c r="CP26" a="1"/>
  <c r="CP26" s="1"/>
  <c r="DI26" s="1"/>
  <c r="CQ26" a="1"/>
  <c r="CQ26" s="1"/>
  <c r="DJ26" s="1"/>
  <c r="CW26" a="1"/>
  <c r="CW26" s="1"/>
  <c r="DP26" s="1"/>
  <c r="DG26"/>
  <c r="D27"/>
  <c r="O27"/>
  <c r="AH25" l="1"/>
  <c r="AE26"/>
  <c r="H27"/>
  <c r="AL27" l="1"/>
  <c r="F27"/>
  <c r="AJ25"/>
  <c r="EG25" s="1"/>
  <c r="AI25"/>
  <c r="CZ25" a="1"/>
  <c r="CZ25" s="1"/>
  <c r="DS25" s="1"/>
  <c r="AG26"/>
  <c r="EF26" s="1"/>
  <c r="AF26"/>
  <c r="CY26" a="1"/>
  <c r="CY26" s="1"/>
  <c r="DR26" s="1"/>
  <c r="AO27"/>
  <c r="AP27"/>
  <c r="AQ27"/>
  <c r="AS27"/>
  <c r="BA27"/>
  <c r="CN27"/>
  <c r="P27"/>
  <c r="BP27"/>
  <c r="G27" l="1"/>
  <c r="CP27" a="1"/>
  <c r="CP27" s="1"/>
  <c r="DI27" s="1"/>
  <c r="CQ27" a="1"/>
  <c r="CQ27" s="1"/>
  <c r="DJ27" s="1"/>
  <c r="CW27" a="1"/>
  <c r="CW27" s="1"/>
  <c r="DP27" s="1"/>
  <c r="DG27"/>
  <c r="D28"/>
  <c r="O28"/>
  <c r="AH26" l="1"/>
  <c r="AE27"/>
  <c r="H28"/>
  <c r="AL28" l="1"/>
  <c r="F28"/>
  <c r="AJ26"/>
  <c r="EG26" s="1"/>
  <c r="AI26"/>
  <c r="CZ26" a="1"/>
  <c r="CZ26" s="1"/>
  <c r="DS26" s="1"/>
  <c r="AG27"/>
  <c r="EF27" s="1"/>
  <c r="AF27"/>
  <c r="CY27" a="1"/>
  <c r="CY27" s="1"/>
  <c r="DR27" s="1"/>
  <c r="AO28"/>
  <c r="AP28"/>
  <c r="AQ28"/>
  <c r="AS28"/>
  <c r="BA28"/>
  <c r="P28"/>
  <c r="BP28"/>
  <c r="CN28"/>
  <c r="G28" l="1"/>
  <c r="CP28" a="1"/>
  <c r="CP28" s="1"/>
  <c r="DI28" s="1"/>
  <c r="CQ28" a="1"/>
  <c r="CQ28" s="1"/>
  <c r="DJ28" s="1"/>
  <c r="CV28" a="1"/>
  <c r="CV28" s="1"/>
  <c r="DO28" s="1"/>
  <c r="CW28" a="1"/>
  <c r="CW28" s="1"/>
  <c r="DP28" s="1"/>
  <c r="DG28"/>
  <c r="D31"/>
  <c r="O31"/>
  <c r="H31"/>
  <c r="AH29" l="1"/>
  <c r="AE30"/>
  <c r="F31"/>
  <c r="AE28"/>
  <c r="AH27"/>
  <c r="AE31"/>
  <c r="AF31" s="1"/>
  <c r="AL31"/>
  <c r="P31"/>
  <c r="AI29" l="1"/>
  <c r="AJ29"/>
  <c r="EG29" s="1"/>
  <c r="CZ29" a="1"/>
  <c r="CZ29" s="1"/>
  <c r="DS29" s="1"/>
  <c r="G31"/>
  <c r="AF30"/>
  <c r="AG30"/>
  <c r="EF30" s="1"/>
  <c r="AH30"/>
  <c r="CY30" a="1"/>
  <c r="CY30" s="1"/>
  <c r="DR30" s="1"/>
  <c r="AH31"/>
  <c r="AJ31" s="1"/>
  <c r="AF28"/>
  <c r="AH28"/>
  <c r="AG28"/>
  <c r="EF28" s="1"/>
  <c r="CY28" a="1"/>
  <c r="CY28" s="1"/>
  <c r="DR28" s="1"/>
  <c r="AG31"/>
  <c r="AJ27"/>
  <c r="EG27" s="1"/>
  <c r="AI27"/>
  <c r="CZ27" a="1"/>
  <c r="CZ27" s="1"/>
  <c r="DS27" s="1"/>
  <c r="AO31"/>
  <c r="AP31"/>
  <c r="AQ31"/>
  <c r="AS31"/>
  <c r="BA31"/>
  <c r="BP31"/>
  <c r="CN31"/>
  <c r="AI30" l="1"/>
  <c r="AJ30"/>
  <c r="EG30" s="1"/>
  <c r="CZ30" a="1"/>
  <c r="CZ30" s="1"/>
  <c r="DS30" s="1"/>
  <c r="AI31"/>
  <c r="AJ28"/>
  <c r="EG28" s="1"/>
  <c r="AI28"/>
  <c r="CZ28" a="1"/>
  <c r="CZ28" s="1"/>
  <c r="DS28" s="1"/>
  <c r="CP31" a="1"/>
  <c r="CP31" s="1"/>
  <c r="CQ31" a="1"/>
  <c r="CQ31" s="1"/>
  <c r="DJ31" s="1"/>
  <c r="CV31" a="1"/>
  <c r="CV31" s="1"/>
  <c r="DO31" s="1"/>
  <c r="CW31" a="1"/>
  <c r="CW31" s="1"/>
  <c r="DP31" s="1"/>
  <c r="CY31" a="1"/>
  <c r="CY31" s="1"/>
  <c r="DR31" s="1"/>
  <c r="CZ31" a="1"/>
  <c r="CZ31" s="1"/>
  <c r="DS31" s="1"/>
  <c r="DG31"/>
  <c r="DI31"/>
  <c r="EF31"/>
  <c r="EG31"/>
  <c r="AU1" i="2"/>
  <c r="AV1"/>
  <c r="AW1"/>
  <c r="AY1"/>
  <c r="AX1"/>
  <c r="AU2" l="1"/>
  <c r="AV2"/>
  <c r="AW2"/>
  <c r="AX2"/>
  <c r="AY2"/>
  <c r="Y3" i="1"/>
  <c r="Z3"/>
  <c r="Y4"/>
  <c r="Z4"/>
  <c r="Y5"/>
  <c r="Z5"/>
  <c r="Y6"/>
  <c r="Z6"/>
  <c r="Y7"/>
  <c r="Z7"/>
  <c r="Y8"/>
  <c r="Z8"/>
  <c r="Y9"/>
  <c r="Z9"/>
  <c r="Y10"/>
  <c r="Z10"/>
  <c r="Y11"/>
  <c r="Z11"/>
  <c r="Y12"/>
  <c r="Z12"/>
  <c r="X4"/>
  <c r="X5"/>
  <c r="X6"/>
  <c r="AB6" s="1"/>
  <c r="X7"/>
  <c r="AB7" s="1"/>
  <c r="X8"/>
  <c r="X9"/>
  <c r="X10"/>
  <c r="X11"/>
  <c r="AB11" s="1"/>
  <c r="X12"/>
  <c r="X3"/>
  <c r="S4"/>
  <c r="T4" s="1"/>
  <c r="T5"/>
  <c r="S6"/>
  <c r="T6" s="1"/>
  <c r="S7"/>
  <c r="T7" s="1"/>
  <c r="S8"/>
  <c r="T8" s="1"/>
  <c r="S9"/>
  <c r="T9" s="1"/>
  <c r="S10"/>
  <c r="T10" s="1"/>
  <c r="S11"/>
  <c r="T11" s="1"/>
  <c r="S12"/>
  <c r="T12" s="1"/>
  <c r="S3"/>
  <c r="T3" s="1"/>
  <c r="F21" i="26"/>
  <c r="G20"/>
  <c r="B20"/>
  <c r="AP1" i="2"/>
  <c r="AN1"/>
  <c r="AO1"/>
  <c r="AS1"/>
  <c r="B21" i="26"/>
  <c r="AT1" i="2"/>
  <c r="G21" i="26"/>
  <c r="AK1" i="2"/>
  <c r="AL1"/>
  <c r="F20" i="26"/>
  <c r="AM1" i="2"/>
  <c r="AQ1"/>
  <c r="AR1"/>
  <c r="AB12" i="1" l="1"/>
  <c r="AD3"/>
  <c r="AB3"/>
  <c r="AB4"/>
  <c r="AB5"/>
  <c r="AB8"/>
  <c r="AB9"/>
  <c r="AB10"/>
  <c r="AD6"/>
  <c r="AD12"/>
  <c r="AC4"/>
  <c r="AD4"/>
  <c r="AC7"/>
  <c r="AD7"/>
  <c r="AC11"/>
  <c r="AD11"/>
  <c r="AD5"/>
  <c r="AD8"/>
  <c r="AD9"/>
  <c r="AD10"/>
  <c r="AC6"/>
  <c r="AC3"/>
  <c r="AC12"/>
  <c r="AC5"/>
  <c r="AC8"/>
  <c r="AC9"/>
  <c r="AC10"/>
  <c r="D20" i="26"/>
  <c r="E20" s="1"/>
  <c r="C20"/>
  <c r="C21"/>
  <c r="D21"/>
  <c r="AT2" i="2"/>
  <c r="AL2"/>
  <c r="AK2"/>
  <c r="AM2"/>
  <c r="AN2"/>
  <c r="AO2"/>
  <c r="AP2"/>
  <c r="AQ2"/>
  <c r="AR2"/>
  <c r="AS2"/>
  <c r="D20" i="3"/>
  <c r="BP21"/>
  <c r="O20"/>
  <c r="H20"/>
  <c r="BP20"/>
  <c r="E21" i="26" l="1"/>
  <c r="CQ20" i="3" a="1"/>
  <c r="CQ20" s="1"/>
  <c r="DJ20" s="1"/>
  <c r="BA20"/>
  <c r="AS20"/>
  <c r="CV20" s="1" a="1"/>
  <c r="CV20" s="1"/>
  <c r="DO20" s="1"/>
  <c r="AQ20"/>
  <c r="AP20"/>
  <c r="AO20"/>
  <c r="AL20"/>
  <c r="F20"/>
  <c r="D21"/>
  <c r="P20"/>
  <c r="O21"/>
  <c r="AE1" i="2"/>
  <c r="AB1"/>
  <c r="AH1"/>
  <c r="H21" i="3"/>
  <c r="Z1" i="2"/>
  <c r="AC1"/>
  <c r="AG1"/>
  <c r="X1"/>
  <c r="AJ1"/>
  <c r="AD1"/>
  <c r="CN20" i="3"/>
  <c r="Y1" i="2"/>
  <c r="V1"/>
  <c r="AA1"/>
  <c r="W1"/>
  <c r="AF1"/>
  <c r="AI1"/>
  <c r="AY21" i="3" l="1"/>
  <c r="P21"/>
  <c r="CP21" s="1" a="1"/>
  <c r="CP21" s="1"/>
  <c r="DI21" s="1"/>
  <c r="CN21"/>
  <c r="DG20"/>
  <c r="CP20" a="1"/>
  <c r="CP20" s="1"/>
  <c r="DI20" s="1"/>
  <c r="G20"/>
  <c r="AE20"/>
  <c r="CW20" a="1"/>
  <c r="CW20" s="1"/>
  <c r="DP20" s="1"/>
  <c r="DG21"/>
  <c r="CQ21" a="1"/>
  <c r="CQ21" s="1"/>
  <c r="DJ21" s="1"/>
  <c r="BA21"/>
  <c r="AS21"/>
  <c r="CV21" s="1" a="1"/>
  <c r="CV21" s="1"/>
  <c r="DO21" s="1"/>
  <c r="AQ21"/>
  <c r="AP21"/>
  <c r="AO21"/>
  <c r="AL21"/>
  <c r="G21"/>
  <c r="F21"/>
  <c r="V2" i="2"/>
  <c r="W2"/>
  <c r="X2"/>
  <c r="Y2"/>
  <c r="Z2"/>
  <c r="AA2"/>
  <c r="AB2"/>
  <c r="AC2"/>
  <c r="AD2"/>
  <c r="AE2"/>
  <c r="AF2"/>
  <c r="AG2"/>
  <c r="AH2"/>
  <c r="AI2"/>
  <c r="AJ2"/>
  <c r="M12" i="1"/>
  <c r="H12"/>
  <c r="G12"/>
  <c r="F12"/>
  <c r="E12"/>
  <c r="C12"/>
  <c r="J9"/>
  <c r="A1"/>
  <c r="AG20" i="3"/>
  <c r="EF20" l="1"/>
  <c r="CW21" a="1"/>
  <c r="CW21" s="1"/>
  <c r="DP21" s="1"/>
  <c r="D13"/>
  <c r="B19" i="26"/>
  <c r="BP7" i="3"/>
  <c r="BP12"/>
  <c r="BP11"/>
  <c r="BP17"/>
  <c r="BP10"/>
  <c r="BP24"/>
  <c r="AQV1" i="2"/>
  <c r="BP13" i="3"/>
  <c r="N1" i="2"/>
  <c r="BP23" i="3"/>
  <c r="F19" i="26"/>
  <c r="BP6" i="3"/>
  <c r="L1" i="2"/>
  <c r="G19" i="26"/>
  <c r="U1" i="2"/>
  <c r="S1"/>
  <c r="AQS1"/>
  <c r="BP3" i="3"/>
  <c r="BP22"/>
  <c r="BP19"/>
  <c r="J1" i="2"/>
  <c r="E1"/>
  <c r="BP16" i="3"/>
  <c r="M1" i="2"/>
  <c r="BP18" i="3"/>
  <c r="BP4"/>
  <c r="BP8"/>
  <c r="I1" i="2"/>
  <c r="G1"/>
  <c r="BP15" i="3"/>
  <c r="P1" i="2"/>
  <c r="F1"/>
  <c r="BP5" i="3"/>
  <c r="Q1" i="2"/>
  <c r="AQT1"/>
  <c r="T1"/>
  <c r="H1"/>
  <c r="AQU1"/>
  <c r="BP14" i="3"/>
  <c r="K1" i="2"/>
  <c r="BP9" i="3"/>
  <c r="H13"/>
  <c r="R1" i="2"/>
  <c r="O1"/>
  <c r="R6" i="3" l="1"/>
  <c r="Q6"/>
  <c r="C19" i="26"/>
  <c r="E19" s="1"/>
  <c r="D19"/>
  <c r="E2" i="2"/>
  <c r="F2"/>
  <c r="G2"/>
  <c r="H2"/>
  <c r="I2"/>
  <c r="J2"/>
  <c r="K2"/>
  <c r="L2"/>
  <c r="M2"/>
  <c r="N2"/>
  <c r="O2"/>
  <c r="P2"/>
  <c r="Q2"/>
  <c r="R2"/>
  <c r="S2"/>
  <c r="T2"/>
  <c r="U2"/>
  <c r="AQV2"/>
  <c r="AQU2"/>
  <c r="AQT2"/>
  <c r="AQS2"/>
  <c r="O13" i="3"/>
  <c r="P13"/>
  <c r="F13" l="1"/>
  <c r="G13"/>
  <c r="AL13"/>
  <c r="AO13" l="1"/>
  <c r="AP13"/>
  <c r="AQ13"/>
  <c r="CW13" s="1" a="1"/>
  <c r="CW13" s="1"/>
  <c r="DP13" s="1"/>
  <c r="AS13"/>
  <c r="CV13" s="1" a="1"/>
  <c r="CV13" s="1"/>
  <c r="DO13" s="1"/>
  <c r="BA13"/>
  <c r="CP13" a="1"/>
  <c r="CP13" s="1"/>
  <c r="DI13" s="1"/>
  <c r="CQ13" a="1"/>
  <c r="CQ13" s="1"/>
  <c r="DJ13" s="1"/>
  <c r="D14"/>
  <c r="H14"/>
  <c r="CN13"/>
  <c r="DG13" l="1"/>
  <c r="O14"/>
  <c r="P14"/>
  <c r="AE13" l="1"/>
  <c r="F14"/>
  <c r="G14"/>
  <c r="AF13" l="1"/>
  <c r="AG13"/>
  <c r="EF13" s="1"/>
  <c r="CY13" a="1"/>
  <c r="CY13" s="1"/>
  <c r="DR13" s="1"/>
  <c r="AO14"/>
  <c r="AP14"/>
  <c r="AQ14"/>
  <c r="CW14" s="1" a="1"/>
  <c r="CW14" s="1"/>
  <c r="DP14" s="1"/>
  <c r="AS14"/>
  <c r="BA14"/>
  <c r="CP14" a="1"/>
  <c r="CP14" s="1"/>
  <c r="DI14" s="1"/>
  <c r="CQ14" a="1"/>
  <c r="CQ14" s="1"/>
  <c r="DJ14" s="1"/>
  <c r="CV14" a="1"/>
  <c r="CV14" s="1"/>
  <c r="DO14" s="1"/>
  <c r="D15"/>
  <c r="H15"/>
  <c r="CN14"/>
  <c r="DG14" l="1"/>
  <c r="AL15" l="1"/>
  <c r="AO15"/>
  <c r="AP15"/>
  <c r="AQ15"/>
  <c r="AS15"/>
  <c r="CV15" s="1" a="1"/>
  <c r="CV15" s="1"/>
  <c r="DO15" s="1"/>
  <c r="BA15"/>
  <c r="CQ15" a="1"/>
  <c r="CQ15" s="1"/>
  <c r="DJ15" s="1"/>
  <c r="D16"/>
  <c r="O15"/>
  <c r="CN15" s="1"/>
  <c r="H16"/>
  <c r="P15"/>
  <c r="DG15" l="1"/>
  <c r="AH13"/>
  <c r="AE14"/>
  <c r="F15"/>
  <c r="G15"/>
  <c r="CP15" a="1"/>
  <c r="CP15" s="1"/>
  <c r="DI15" s="1"/>
  <c r="AF14" l="1"/>
  <c r="AG14"/>
  <c r="EF14" s="1"/>
  <c r="CY14" a="1"/>
  <c r="CY14" s="1"/>
  <c r="DR14" s="1"/>
  <c r="AI13"/>
  <c r="AJ13"/>
  <c r="EG13" s="1"/>
  <c r="CZ13" a="1"/>
  <c r="CZ13" s="1"/>
  <c r="DS13" s="1"/>
  <c r="AL16"/>
  <c r="AO16"/>
  <c r="AP16"/>
  <c r="AQ16"/>
  <c r="CW16" s="1" a="1"/>
  <c r="CW16" s="1"/>
  <c r="DP16" s="1"/>
  <c r="AS16"/>
  <c r="CV16" s="1" a="1"/>
  <c r="CV16" s="1"/>
  <c r="DO16" s="1"/>
  <c r="BA16"/>
  <c r="CQ16" a="1"/>
  <c r="CQ16" s="1"/>
  <c r="DJ16" s="1"/>
  <c r="D17"/>
  <c r="O16"/>
  <c r="P16"/>
  <c r="H17"/>
  <c r="CN16"/>
  <c r="DG16" l="1"/>
  <c r="AH14"/>
  <c r="AE15"/>
  <c r="F16"/>
  <c r="G16"/>
  <c r="CP16" a="1"/>
  <c r="CP16" s="1"/>
  <c r="DI16" s="1"/>
  <c r="AF15" l="1"/>
  <c r="AG15"/>
  <c r="EF15" s="1"/>
  <c r="CY15" a="1"/>
  <c r="CY15" s="1"/>
  <c r="DR15" s="1"/>
  <c r="AI14"/>
  <c r="AJ14"/>
  <c r="EG14" s="1"/>
  <c r="CZ14" a="1"/>
  <c r="CZ14" s="1"/>
  <c r="DS14" s="1"/>
  <c r="AL17"/>
  <c r="AO17"/>
  <c r="AP17"/>
  <c r="AQ17"/>
  <c r="CW17" s="1" a="1"/>
  <c r="CW17" s="1"/>
  <c r="DP17" s="1"/>
  <c r="AS17"/>
  <c r="CV17" s="1" a="1"/>
  <c r="CV17" s="1"/>
  <c r="DO17" s="1"/>
  <c r="BA17"/>
  <c r="CQ17" a="1"/>
  <c r="CQ17" s="1"/>
  <c r="DJ17" s="1"/>
  <c r="D18"/>
  <c r="O17"/>
  <c r="P17"/>
  <c r="CN17"/>
  <c r="H18"/>
  <c r="DG17" l="1"/>
  <c r="AH15"/>
  <c r="AE16"/>
  <c r="F17"/>
  <c r="G17"/>
  <c r="CP17" a="1"/>
  <c r="CP17" s="1"/>
  <c r="DI17" s="1"/>
  <c r="AF16" l="1"/>
  <c r="AG16"/>
  <c r="EF16" s="1"/>
  <c r="CY16" a="1"/>
  <c r="CY16" s="1"/>
  <c r="DR16" s="1"/>
  <c r="AI15"/>
  <c r="AJ15"/>
  <c r="EG15" s="1"/>
  <c r="CZ15" a="1"/>
  <c r="CZ15" s="1"/>
  <c r="DS15" s="1"/>
  <c r="AO18"/>
  <c r="AP18"/>
  <c r="AQ18"/>
  <c r="CW18" s="1" a="1"/>
  <c r="CW18" s="1"/>
  <c r="DP18" s="1"/>
  <c r="AS18"/>
  <c r="CV18" s="1" a="1"/>
  <c r="CV18" s="1"/>
  <c r="DO18" s="1"/>
  <c r="BA18"/>
  <c r="CQ18" a="1"/>
  <c r="CQ18" s="1"/>
  <c r="DJ18" s="1"/>
  <c r="D19"/>
  <c r="H19"/>
  <c r="O18"/>
  <c r="P18"/>
  <c r="CN18"/>
  <c r="DG18" l="1"/>
  <c r="AH16"/>
  <c r="AE17"/>
  <c r="F18"/>
  <c r="G18"/>
  <c r="CP18" a="1"/>
  <c r="CP18" s="1"/>
  <c r="DI18" s="1"/>
  <c r="AF17" l="1"/>
  <c r="AG17"/>
  <c r="EF17" s="1"/>
  <c r="CY17" a="1"/>
  <c r="CY17" s="1"/>
  <c r="DR17" s="1"/>
  <c r="AI16"/>
  <c r="AJ16"/>
  <c r="EG16" s="1"/>
  <c r="CZ16" a="1"/>
  <c r="CZ16" s="1"/>
  <c r="DS16" s="1"/>
  <c r="AO19"/>
  <c r="AP19"/>
  <c r="AQ19"/>
  <c r="CW19" s="1" a="1"/>
  <c r="CW19" s="1"/>
  <c r="DP19" s="1"/>
  <c r="AS19"/>
  <c r="CV19" s="1" a="1"/>
  <c r="CV19" s="1"/>
  <c r="DO19" s="1"/>
  <c r="BA19"/>
  <c r="CQ19" a="1"/>
  <c r="CQ19" s="1"/>
  <c r="DJ19" s="1"/>
  <c r="D22"/>
  <c r="H22"/>
  <c r="O19"/>
  <c r="P19"/>
  <c r="CN19"/>
  <c r="DG19" l="1"/>
  <c r="AH17"/>
  <c r="AE18"/>
  <c r="F19"/>
  <c r="G19"/>
  <c r="CP19" a="1"/>
  <c r="CP19" s="1"/>
  <c r="DI19" s="1"/>
  <c r="AF18" l="1"/>
  <c r="AG18"/>
  <c r="EF18" s="1"/>
  <c r="CY18" a="1"/>
  <c r="CY18" s="1"/>
  <c r="DR18" s="1"/>
  <c r="AI17"/>
  <c r="AJ17"/>
  <c r="EG17" s="1"/>
  <c r="CZ17" a="1"/>
  <c r="CZ17" s="1"/>
  <c r="DS17" s="1"/>
  <c r="AO22"/>
  <c r="AP22"/>
  <c r="AQ22"/>
  <c r="CW22" s="1" a="1"/>
  <c r="CW22" s="1"/>
  <c r="DP22" s="1"/>
  <c r="AS22"/>
  <c r="CV22" s="1" a="1"/>
  <c r="CV22" s="1"/>
  <c r="DO22" s="1"/>
  <c r="BA22"/>
  <c r="CQ22" a="1"/>
  <c r="CQ22" s="1"/>
  <c r="DJ22" s="1"/>
  <c r="D23"/>
  <c r="H23"/>
  <c r="O22"/>
  <c r="P22"/>
  <c r="CN22"/>
  <c r="AH20" l="1"/>
  <c r="AE21"/>
  <c r="DG22"/>
  <c r="AH18"/>
  <c r="AE19"/>
  <c r="F22"/>
  <c r="G22"/>
  <c r="CP22" a="1"/>
  <c r="CP22" s="1"/>
  <c r="DI22" s="1"/>
  <c r="CZ20" l="1" a="1"/>
  <c r="CZ20" s="1"/>
  <c r="DS20" s="1"/>
  <c r="AJ20"/>
  <c r="EG20" s="1"/>
  <c r="AI20"/>
  <c r="CY21" a="1"/>
  <c r="CY21" s="1"/>
  <c r="DR21" s="1"/>
  <c r="AG21"/>
  <c r="EF21" s="1"/>
  <c r="AF21"/>
  <c r="AF19"/>
  <c r="AG19"/>
  <c r="EF19" s="1"/>
  <c r="CY19" a="1"/>
  <c r="CY19" s="1"/>
  <c r="DR19" s="1"/>
  <c r="AI18"/>
  <c r="AJ18"/>
  <c r="EG18" s="1"/>
  <c r="CZ18" a="1"/>
  <c r="CZ18" s="1"/>
  <c r="DS18" s="1"/>
  <c r="AL23"/>
  <c r="AO23"/>
  <c r="AP23"/>
  <c r="AQ23"/>
  <c r="AS23"/>
  <c r="CV23" s="1" a="1"/>
  <c r="CV23" s="1"/>
  <c r="DO23" s="1"/>
  <c r="BA23"/>
  <c r="CQ23" a="1"/>
  <c r="CQ23" s="1"/>
  <c r="DJ23" s="1"/>
  <c r="CW23" a="1"/>
  <c r="CW23" s="1"/>
  <c r="DP23" s="1"/>
  <c r="D24"/>
  <c r="H24"/>
  <c r="O23"/>
  <c r="P23"/>
  <c r="AH21" l="1"/>
  <c r="AH19"/>
  <c r="AE22"/>
  <c r="F23"/>
  <c r="G23"/>
  <c r="CP23" a="1"/>
  <c r="CP23" s="1"/>
  <c r="DI23" s="1"/>
  <c r="CN23"/>
  <c r="DG23" l="1"/>
  <c r="CZ21" a="1"/>
  <c r="CZ21" s="1"/>
  <c r="DS21" s="1"/>
  <c r="AJ21"/>
  <c r="EG21" s="1"/>
  <c r="AI21"/>
  <c r="AF22"/>
  <c r="AG22"/>
  <c r="EF22" s="1"/>
  <c r="CY22" a="1"/>
  <c r="CY22" s="1"/>
  <c r="DR22" s="1"/>
  <c r="AI19"/>
  <c r="AJ19"/>
  <c r="EG19" s="1"/>
  <c r="CZ19" a="1"/>
  <c r="CZ19" s="1"/>
  <c r="DS19" s="1"/>
  <c r="AE24"/>
  <c r="AH24" s="1"/>
  <c r="AL24"/>
  <c r="AO24"/>
  <c r="AP24"/>
  <c r="AQ24"/>
  <c r="CW24" s="1" a="1"/>
  <c r="CW24" s="1"/>
  <c r="DP24" s="1"/>
  <c r="AS24"/>
  <c r="BA24"/>
  <c r="CQ24" a="1"/>
  <c r="CQ24" s="1"/>
  <c r="DJ24" s="1"/>
  <c r="P24"/>
  <c r="CY24" l="1" a="1"/>
  <c r="CY24" s="1"/>
  <c r="DR24" s="1"/>
  <c r="AJ24"/>
  <c r="EG24" s="1"/>
  <c r="AI24"/>
  <c r="CZ24" a="1"/>
  <c r="CZ24" s="1"/>
  <c r="DS24" s="1"/>
  <c r="AG24"/>
  <c r="EF24" s="1"/>
  <c r="AF24"/>
  <c r="G24"/>
  <c r="CP24" a="1"/>
  <c r="CP24" s="1"/>
  <c r="DI24" s="1"/>
  <c r="J9" i="24"/>
  <c r="J17"/>
  <c r="J20"/>
  <c r="J16"/>
  <c r="J21"/>
  <c r="J13"/>
  <c r="J19"/>
  <c r="O24" i="3"/>
  <c r="J32" i="24"/>
  <c r="J15"/>
  <c r="J23"/>
  <c r="J14"/>
  <c r="J18"/>
  <c r="J22"/>
  <c r="F24" i="3" l="1"/>
  <c r="AH22"/>
  <c r="AE23"/>
  <c r="CN24"/>
  <c r="DG24" l="1"/>
  <c r="AF23"/>
  <c r="AG23"/>
  <c r="EF23" s="1"/>
  <c r="AH23"/>
  <c r="CY23" a="1"/>
  <c r="CY23" s="1"/>
  <c r="DR23" s="1"/>
  <c r="AI22"/>
  <c r="AJ22"/>
  <c r="EG22" s="1"/>
  <c r="CZ22" a="1"/>
  <c r="CZ22" s="1"/>
  <c r="DS22" s="1"/>
  <c r="AI23" l="1"/>
  <c r="AJ23"/>
  <c r="EG23" s="1"/>
  <c r="CZ23" a="1"/>
  <c r="CZ23" s="1"/>
  <c r="DS23" s="1"/>
  <c r="D3"/>
  <c r="O3"/>
  <c r="G18" i="26"/>
  <c r="F18"/>
  <c r="B18"/>
  <c r="H3" i="3"/>
  <c r="C18" i="26" l="1"/>
  <c r="D18"/>
  <c r="AS3" i="3"/>
  <c r="CV3" s="1" a="1"/>
  <c r="CV3" s="1"/>
  <c r="F3"/>
  <c r="AL3"/>
  <c r="AO3"/>
  <c r="AP3"/>
  <c r="AQ3"/>
  <c r="BA3"/>
  <c r="CN3"/>
  <c r="P3"/>
  <c r="E18" i="26" l="1"/>
  <c r="DO3" i="3"/>
  <c r="G3"/>
  <c r="CP3" a="1"/>
  <c r="CP3" s="1"/>
  <c r="DI3" s="1"/>
  <c r="CQ3" a="1"/>
  <c r="CQ3" s="1"/>
  <c r="DJ3" s="1"/>
  <c r="CW3" a="1"/>
  <c r="CW3" s="1"/>
  <c r="DP3" s="1"/>
  <c r="DG3"/>
  <c r="D4" l="1"/>
  <c r="O4"/>
  <c r="H4"/>
  <c r="AE3" l="1"/>
  <c r="AS4"/>
  <c r="CV4" s="1" a="1"/>
  <c r="CV4" s="1"/>
  <c r="F4"/>
  <c r="AL4"/>
  <c r="AO4"/>
  <c r="AP4"/>
  <c r="AQ4"/>
  <c r="BA4"/>
  <c r="CN4"/>
  <c r="P4"/>
  <c r="CY3" l="1" a="1"/>
  <c r="CY3" s="1"/>
  <c r="DR3" s="1"/>
  <c r="AF3"/>
  <c r="AG3"/>
  <c r="EF3" s="1"/>
  <c r="DO4"/>
  <c r="G4"/>
  <c r="CP4" a="1"/>
  <c r="CP4" s="1"/>
  <c r="DI4" s="1"/>
  <c r="CQ4" a="1"/>
  <c r="CQ4" s="1"/>
  <c r="DJ4" s="1"/>
  <c r="CW4" a="1"/>
  <c r="CW4" s="1"/>
  <c r="DP4" s="1"/>
  <c r="DG4"/>
  <c r="D5"/>
  <c r="O5"/>
  <c r="H5"/>
  <c r="AH3" l="1"/>
  <c r="AS5"/>
  <c r="CV5" s="1" a="1"/>
  <c r="CV5" s="1"/>
  <c r="AE4"/>
  <c r="CY4" s="1" a="1"/>
  <c r="CY4" s="1"/>
  <c r="DR4" s="1"/>
  <c r="F5"/>
  <c r="AL5"/>
  <c r="AO5"/>
  <c r="AP5"/>
  <c r="AQ5"/>
  <c r="BA5"/>
  <c r="CN5"/>
  <c r="P5"/>
  <c r="AI3" l="1"/>
  <c r="AJ3"/>
  <c r="EG3" s="1"/>
  <c r="CZ3" a="1"/>
  <c r="CZ3" s="1"/>
  <c r="DS3" s="1"/>
  <c r="DO5"/>
  <c r="G5"/>
  <c r="AF4"/>
  <c r="AG4"/>
  <c r="EF4" s="1"/>
  <c r="CP5" a="1"/>
  <c r="CP5"/>
  <c r="DI5" s="1"/>
  <c r="CQ5" a="1"/>
  <c r="CQ5" s="1"/>
  <c r="DJ5" s="1"/>
  <c r="CW5" a="1"/>
  <c r="CW5" s="1"/>
  <c r="DP5" s="1"/>
  <c r="DG5"/>
  <c r="D6"/>
  <c r="O6"/>
  <c r="H6"/>
  <c r="AY6" l="1"/>
  <c r="AS6"/>
  <c r="CV6" s="1" a="1"/>
  <c r="CV6" s="1"/>
  <c r="AH4"/>
  <c r="AE5"/>
  <c r="CY5" s="1" a="1"/>
  <c r="CY5" s="1"/>
  <c r="DR5" s="1"/>
  <c r="F6"/>
  <c r="AL6"/>
  <c r="AO6"/>
  <c r="AP6"/>
  <c r="AQ6"/>
  <c r="BA6"/>
  <c r="P6"/>
  <c r="CN6"/>
  <c r="DO6" l="1"/>
  <c r="AI4"/>
  <c r="AJ4"/>
  <c r="EG4" s="1"/>
  <c r="CZ4" a="1"/>
  <c r="CZ4" s="1"/>
  <c r="DS4" s="1"/>
  <c r="G6"/>
  <c r="AF5"/>
  <c r="AG5"/>
  <c r="EF5" s="1"/>
  <c r="CP6" a="1"/>
  <c r="CP6"/>
  <c r="DI6" s="1"/>
  <c r="CQ6" a="1"/>
  <c r="CQ6" s="1"/>
  <c r="DJ6" s="1"/>
  <c r="CW6" a="1"/>
  <c r="CW6" s="1"/>
  <c r="DP6" s="1"/>
  <c r="DG6"/>
  <c r="D7"/>
  <c r="O7"/>
  <c r="H7"/>
  <c r="AS7" l="1"/>
  <c r="AH5"/>
  <c r="AE6"/>
  <c r="CY6" s="1" a="1"/>
  <c r="CY6" s="1"/>
  <c r="DR6" s="1"/>
  <c r="F7"/>
  <c r="AO7"/>
  <c r="AP7"/>
  <c r="AQ7"/>
  <c r="BA7"/>
  <c r="P7"/>
  <c r="CN7"/>
  <c r="AI5" l="1"/>
  <c r="AJ5"/>
  <c r="EG5" s="1"/>
  <c r="CZ5" a="1"/>
  <c r="CZ5" s="1"/>
  <c r="DS5" s="1"/>
  <c r="G7"/>
  <c r="AF6"/>
  <c r="AG6"/>
  <c r="EF6" s="1"/>
  <c r="CP7" a="1"/>
  <c r="CP7" s="1"/>
  <c r="DI7" s="1"/>
  <c r="CQ7" a="1"/>
  <c r="CQ7" s="1"/>
  <c r="DJ7" s="1"/>
  <c r="DG7"/>
  <c r="D8"/>
  <c r="O8"/>
  <c r="H8"/>
  <c r="AS8" l="1"/>
  <c r="AH6"/>
  <c r="AE7"/>
  <c r="CY7" s="1" a="1"/>
  <c r="CY7" s="1"/>
  <c r="DR7" s="1"/>
  <c r="F8"/>
  <c r="AL8"/>
  <c r="AO8"/>
  <c r="AP8"/>
  <c r="AQ8"/>
  <c r="BA8"/>
  <c r="BI8" s="1"/>
  <c r="CN8"/>
  <c r="P8"/>
  <c r="AI6" l="1"/>
  <c r="AJ6"/>
  <c r="EG6" s="1"/>
  <c r="CZ6" a="1"/>
  <c r="CZ6" s="1"/>
  <c r="DS6" s="1"/>
  <c r="G8"/>
  <c r="AF7"/>
  <c r="AG7"/>
  <c r="EF7" s="1"/>
  <c r="CP8" a="1"/>
  <c r="CP8" s="1"/>
  <c r="DI8" s="1"/>
  <c r="CQ8" a="1"/>
  <c r="CQ8" s="1"/>
  <c r="DJ8" s="1"/>
  <c r="DG8"/>
  <c r="D9"/>
  <c r="H9"/>
  <c r="O9"/>
  <c r="AS9" l="1"/>
  <c r="CV9" s="1" a="1"/>
  <c r="CV9" s="1"/>
  <c r="AH7"/>
  <c r="AE8"/>
  <c r="F9"/>
  <c r="AO9"/>
  <c r="AP9"/>
  <c r="AQ9"/>
  <c r="BA9"/>
  <c r="CN9"/>
  <c r="P9"/>
  <c r="AI7" l="1"/>
  <c r="AJ7"/>
  <c r="EG7" s="1"/>
  <c r="CZ7" a="1"/>
  <c r="CZ7" s="1"/>
  <c r="DS7" s="1"/>
  <c r="G9"/>
  <c r="CP9" a="1"/>
  <c r="CP9" s="1"/>
  <c r="DI9" s="1"/>
  <c r="CQ9" a="1"/>
  <c r="CQ9" s="1"/>
  <c r="DJ9" s="1"/>
  <c r="CW9" a="1"/>
  <c r="CW9" s="1"/>
  <c r="DP9" s="1"/>
  <c r="DG9"/>
  <c r="D10"/>
  <c r="AG8"/>
  <c r="O10"/>
  <c r="H10"/>
  <c r="EF8" l="1"/>
  <c r="AS10"/>
  <c r="AH8"/>
  <c r="AE9"/>
  <c r="CY9" s="1" a="1"/>
  <c r="CY9" s="1"/>
  <c r="DR9" s="1"/>
  <c r="F10"/>
  <c r="AL10"/>
  <c r="AO10"/>
  <c r="AP10"/>
  <c r="AQ10"/>
  <c r="BA10"/>
  <c r="CN10"/>
  <c r="P10"/>
  <c r="CV10" l="1" a="1"/>
  <c r="CV10" s="1"/>
  <c r="DO10" s="1"/>
  <c r="G10"/>
  <c r="AF9"/>
  <c r="AG9"/>
  <c r="EF9" s="1"/>
  <c r="CP10" a="1"/>
  <c r="CP10" s="1"/>
  <c r="DI10" s="1"/>
  <c r="CQ10" a="1"/>
  <c r="CQ10" s="1"/>
  <c r="DJ10" s="1"/>
  <c r="CW10" a="1"/>
  <c r="CW10" s="1"/>
  <c r="DP10" s="1"/>
  <c r="DG10"/>
  <c r="D11"/>
  <c r="AJ8"/>
  <c r="O11"/>
  <c r="H11"/>
  <c r="EG8" l="1"/>
  <c r="AS11"/>
  <c r="AH9"/>
  <c r="AE10"/>
  <c r="CY10" s="1" a="1"/>
  <c r="CY10" s="1"/>
  <c r="DR10" s="1"/>
  <c r="F11"/>
  <c r="AO11"/>
  <c r="AP11"/>
  <c r="AQ11"/>
  <c r="BA11"/>
  <c r="CN11"/>
  <c r="P11"/>
  <c r="AI9" l="1"/>
  <c r="AJ9"/>
  <c r="EG9" s="1"/>
  <c r="CZ9" a="1"/>
  <c r="CZ9" s="1"/>
  <c r="DS9" s="1"/>
  <c r="G11"/>
  <c r="AF10"/>
  <c r="AG10"/>
  <c r="EF10" s="1"/>
  <c r="CP11" a="1"/>
  <c r="CP11" s="1"/>
  <c r="DI11" s="1"/>
  <c r="CQ11" a="1"/>
  <c r="CQ11" s="1"/>
  <c r="DJ11" s="1"/>
  <c r="CW11" a="1"/>
  <c r="CW11" s="1"/>
  <c r="DP11" s="1"/>
  <c r="DG11"/>
  <c r="D12"/>
  <c r="O12"/>
  <c r="H12"/>
  <c r="AS12" l="1"/>
  <c r="CV12" s="1" a="1"/>
  <c r="CV12" s="1"/>
  <c r="AH10"/>
  <c r="AE11"/>
  <c r="CY11" s="1" a="1"/>
  <c r="CY11" s="1"/>
  <c r="DR11" s="1"/>
  <c r="F12"/>
  <c r="AL12"/>
  <c r="AO12"/>
  <c r="AP12"/>
  <c r="AQ12"/>
  <c r="BA12"/>
  <c r="CN12"/>
  <c r="P12"/>
  <c r="DO12" l="1"/>
  <c r="AI10"/>
  <c r="AJ10"/>
  <c r="EG10" s="1"/>
  <c r="CZ10" a="1"/>
  <c r="CZ10" s="1"/>
  <c r="DS10" s="1"/>
  <c r="G12"/>
  <c r="AF11"/>
  <c r="AG11"/>
  <c r="EF11" s="1"/>
  <c r="CP12" a="1"/>
  <c r="CP12"/>
  <c r="DI12" s="1"/>
  <c r="CQ12" a="1"/>
  <c r="CQ12" s="1"/>
  <c r="DJ12" s="1"/>
  <c r="CW12" a="1"/>
  <c r="CW12" s="1"/>
  <c r="DP12" s="1"/>
  <c r="DG12"/>
  <c r="AH11" l="1"/>
  <c r="AE12"/>
  <c r="CY12" s="1" a="1"/>
  <c r="CY12" s="1"/>
  <c r="DR12" s="1"/>
  <c r="AI11" l="1"/>
  <c r="AJ11"/>
  <c r="EG11" s="1"/>
  <c r="CZ11" a="1"/>
  <c r="CZ11" s="1"/>
  <c r="DS11" s="1"/>
  <c r="AF12"/>
  <c r="AG12"/>
  <c r="EF12" s="1"/>
  <c r="AH12" l="1"/>
  <c r="AI12" l="1"/>
  <c r="AJ12"/>
  <c r="EG12" s="1"/>
  <c r="CZ12" a="1"/>
  <c r="CZ12" s="1"/>
  <c r="DS12" s="1"/>
  <c r="C14" i="7" a="1"/>
  <c r="BP2" i="3"/>
  <c r="C14" i="7" l="1"/>
  <c r="K15" i="24" s="1"/>
  <c r="C12" i="7" a="1"/>
  <c r="C12" s="1"/>
  <c r="AZ14" i="2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R70" s="1"/>
  <c r="AY70" s="1"/>
  <c r="J69"/>
  <c r="J48"/>
  <c r="AS48" s="1"/>
  <c r="J47"/>
  <c r="AR47" s="1"/>
  <c r="J41"/>
  <c r="AR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AG35" s="1"/>
  <c r="CI35"/>
  <c r="CJ35"/>
  <c r="CN35"/>
  <c r="CO35"/>
  <c r="CP35"/>
  <c r="CQ35"/>
  <c r="CR35"/>
  <c r="DR35"/>
  <c r="DS35"/>
  <c r="DT35"/>
  <c r="DH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L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CI29"/>
  <c r="CJ29"/>
  <c r="CN29"/>
  <c r="CO29"/>
  <c r="CP29"/>
  <c r="CQ29"/>
  <c r="CR29"/>
  <c r="DR29"/>
  <c r="CV29" s="1"/>
  <c r="DS29"/>
  <c r="DG29" s="1"/>
  <c r="DT29"/>
  <c r="DH29" s="1"/>
  <c r="DU29"/>
  <c r="DI29" s="1"/>
  <c r="DV29"/>
  <c r="DJ29" s="1"/>
  <c r="D30"/>
  <c r="AD30"/>
  <c r="AE30"/>
  <c r="AF30"/>
  <c r="AK30"/>
  <c r="AO30"/>
  <c r="AN30"/>
  <c r="AM30"/>
  <c r="AJ30"/>
  <c r="AZ30"/>
  <c r="BI30"/>
  <c r="BJ30"/>
  <c r="BP30"/>
  <c r="BX30"/>
  <c r="AG30" s="1"/>
  <c r="CI30"/>
  <c r="CJ30"/>
  <c r="CN30"/>
  <c r="CO30"/>
  <c r="CP30"/>
  <c r="CQ30"/>
  <c r="CR30"/>
  <c r="DR30"/>
  <c r="DF30" s="1"/>
  <c r="DS30"/>
  <c r="CW30" s="1"/>
  <c r="DT30"/>
  <c r="DH30" s="1"/>
  <c r="DU30"/>
  <c r="DI30" s="1"/>
  <c r="DV30"/>
  <c r="DJ30" s="1"/>
  <c r="D33"/>
  <c r="AD33"/>
  <c r="AE33"/>
  <c r="AF33"/>
  <c r="AO33"/>
  <c r="AN33"/>
  <c r="AM33"/>
  <c r="AK33"/>
  <c r="AJ33"/>
  <c r="AZ33"/>
  <c r="BI33"/>
  <c r="BJ33"/>
  <c r="BP33"/>
  <c r="BX33"/>
  <c r="AG33" s="1"/>
  <c r="CI33"/>
  <c r="CJ33"/>
  <c r="CN33"/>
  <c r="CO33"/>
  <c r="CP33"/>
  <c r="CQ33"/>
  <c r="CR33"/>
  <c r="DR33"/>
  <c r="DF33" s="1"/>
  <c r="DS33"/>
  <c r="CW33" s="1"/>
  <c r="DT33"/>
  <c r="DH33" s="1"/>
  <c r="DU33"/>
  <c r="DV33"/>
  <c r="D36"/>
  <c r="AD36"/>
  <c r="AE36"/>
  <c r="AF36"/>
  <c r="AN36"/>
  <c r="AO36"/>
  <c r="AM36"/>
  <c r="AK36"/>
  <c r="AJ36"/>
  <c r="DG33"/>
  <c r="AZ36"/>
  <c r="BI36"/>
  <c r="BJ36"/>
  <c r="BP36"/>
  <c r="BX36"/>
  <c r="CI36"/>
  <c r="CJ36"/>
  <c r="CN36"/>
  <c r="CO36"/>
  <c r="CP36"/>
  <c r="CQ36"/>
  <c r="CR36"/>
  <c r="DR36"/>
  <c r="DF36" s="1"/>
  <c r="DS36"/>
  <c r="CW36" s="1"/>
  <c r="DT36"/>
  <c r="CX36" s="1"/>
  <c r="DU36"/>
  <c r="DV36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DJ97" s="1"/>
  <c r="DU97"/>
  <c r="DI97" s="1"/>
  <c r="DT97"/>
  <c r="CX97" s="1"/>
  <c r="DS97"/>
  <c r="CW97" s="1"/>
  <c r="DR97"/>
  <c r="DF97" s="1"/>
  <c r="DQ97"/>
  <c r="DE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DG96" s="1"/>
  <c r="DR96"/>
  <c r="DF96" s="1"/>
  <c r="DQ96"/>
  <c r="CU96" s="1"/>
  <c r="DP96"/>
  <c r="DD96" s="1"/>
  <c r="DO96"/>
  <c r="DC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BY97" s="1"/>
  <c r="AL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J95" s="1"/>
  <c r="DU95"/>
  <c r="DT95"/>
  <c r="CX95" s="1"/>
  <c r="DS95"/>
  <c r="DG95" s="1"/>
  <c r="DR95"/>
  <c r="CV95" s="1"/>
  <c r="DQ95"/>
  <c r="DP95"/>
  <c r="CT95" s="1"/>
  <c r="DO95"/>
  <c r="DC95" s="1"/>
  <c r="CR95"/>
  <c r="CQ95"/>
  <c r="CP95"/>
  <c r="CO95"/>
  <c r="CN95"/>
  <c r="CM95"/>
  <c r="CL95"/>
  <c r="CK95"/>
  <c r="CJ95"/>
  <c r="CI95"/>
  <c r="BX96"/>
  <c r="AH96" s="1"/>
  <c r="AO96"/>
  <c r="BV96"/>
  <c r="BS97"/>
  <c r="BT97"/>
  <c r="BQ97"/>
  <c r="BR97"/>
  <c r="CD97"/>
  <c r="CA97"/>
  <c r="BK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J94" s="1"/>
  <c r="DU94"/>
  <c r="CY94" s="1"/>
  <c r="DT94"/>
  <c r="DH94" s="1"/>
  <c r="DS94"/>
  <c r="CW94" s="1"/>
  <c r="DR94"/>
  <c r="DF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G95" s="1"/>
  <c r="AO95"/>
  <c r="AF95"/>
  <c r="AJ95"/>
  <c r="AN95"/>
  <c r="AV95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DH93" s="1"/>
  <c r="DS93"/>
  <c r="DR93"/>
  <c r="CV93" s="1"/>
  <c r="DQ93"/>
  <c r="CU93" s="1"/>
  <c r="DP93"/>
  <c r="DD93" s="1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G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DJ92" s="1"/>
  <c r="DU92"/>
  <c r="CY92" s="1"/>
  <c r="DT92"/>
  <c r="CX92" s="1"/>
  <c r="DS92"/>
  <c r="CW92" s="1"/>
  <c r="DR92"/>
  <c r="DF92" s="1"/>
  <c r="DQ92"/>
  <c r="DE92" s="1"/>
  <c r="DP92"/>
  <c r="DD92" s="1"/>
  <c r="DO92"/>
  <c r="CS92" s="1"/>
  <c r="CR92"/>
  <c r="CQ92"/>
  <c r="CP92"/>
  <c r="CO92"/>
  <c r="CN92"/>
  <c r="CM92"/>
  <c r="CL92"/>
  <c r="CK92"/>
  <c r="CJ92"/>
  <c r="CI92"/>
  <c r="BX93"/>
  <c r="AG93" s="1"/>
  <c r="AO93"/>
  <c r="AF93"/>
  <c r="AJ93"/>
  <c r="AN93"/>
  <c r="AV93"/>
  <c r="BS94"/>
  <c r="BT94"/>
  <c r="BQ94"/>
  <c r="BR94"/>
  <c r="CD94"/>
  <c r="CA94"/>
  <c r="BK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J91" s="1"/>
  <c r="DU91"/>
  <c r="DI91" s="1"/>
  <c r="DT91"/>
  <c r="DH91" s="1"/>
  <c r="DS91"/>
  <c r="CW91" s="1"/>
  <c r="DR91"/>
  <c r="CV91" s="1"/>
  <c r="DQ91"/>
  <c r="DE91" s="1"/>
  <c r="DP91"/>
  <c r="DD91" s="1"/>
  <c r="DO91"/>
  <c r="CR91"/>
  <c r="CQ91"/>
  <c r="CP91"/>
  <c r="CO91"/>
  <c r="CN91"/>
  <c r="CM91"/>
  <c r="CL91"/>
  <c r="CK91"/>
  <c r="CJ91"/>
  <c r="CI91"/>
  <c r="BX92"/>
  <c r="AH92" s="1"/>
  <c r="AO92"/>
  <c r="BV92"/>
  <c r="AM92"/>
  <c r="AF92"/>
  <c r="AJ92"/>
  <c r="AN92"/>
  <c r="AR92"/>
  <c r="AW92"/>
  <c r="AV92"/>
  <c r="AZ92"/>
  <c r="BB92"/>
  <c r="BP92"/>
  <c r="BW92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DJ90" s="1"/>
  <c r="DU90"/>
  <c r="DI90" s="1"/>
  <c r="DT90"/>
  <c r="DH90" s="1"/>
  <c r="DS90"/>
  <c r="CW90" s="1"/>
  <c r="DR90"/>
  <c r="CV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CZ89" s="1"/>
  <c r="DU89"/>
  <c r="CY89" s="1"/>
  <c r="DT89"/>
  <c r="DH89" s="1"/>
  <c r="DS89"/>
  <c r="CW89" s="1"/>
  <c r="DR89"/>
  <c r="DF89" s="1"/>
  <c r="DQ89"/>
  <c r="CU89" s="1"/>
  <c r="DP89"/>
  <c r="DD89" s="1"/>
  <c r="DO89"/>
  <c r="DC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CZ88" s="1"/>
  <c r="DU88"/>
  <c r="CY88" s="1"/>
  <c r="DT88"/>
  <c r="DS88"/>
  <c r="DG88" s="1"/>
  <c r="DR88"/>
  <c r="DF88" s="1"/>
  <c r="DQ88"/>
  <c r="DE88" s="1"/>
  <c r="DP88"/>
  <c r="DO88"/>
  <c r="CS88" s="1"/>
  <c r="CR88"/>
  <c r="CQ88"/>
  <c r="CP88"/>
  <c r="CO88"/>
  <c r="CN88"/>
  <c r="CM88"/>
  <c r="CL88"/>
  <c r="CK88"/>
  <c r="CJ88"/>
  <c r="CI88"/>
  <c r="BX89"/>
  <c r="AH89" s="1"/>
  <c r="AO89"/>
  <c r="AF89"/>
  <c r="AJ89"/>
  <c r="AN89"/>
  <c r="AV89"/>
  <c r="BS90"/>
  <c r="BT90"/>
  <c r="BQ90"/>
  <c r="BR90"/>
  <c r="BZ92"/>
  <c r="BG92"/>
  <c r="BF92"/>
  <c r="B89"/>
  <c r="U89"/>
  <c r="AK89"/>
  <c r="AM89"/>
  <c r="BA89"/>
  <c r="BV89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DU87"/>
  <c r="DI87" s="1"/>
  <c r="DT87"/>
  <c r="DH87" s="1"/>
  <c r="DS87"/>
  <c r="DG87" s="1"/>
  <c r="DR87"/>
  <c r="CV87" s="1"/>
  <c r="DQ87"/>
  <c r="DE87" s="1"/>
  <c r="DP87"/>
  <c r="DD87" s="1"/>
  <c r="DO87"/>
  <c r="DC87" s="1"/>
  <c r="CR87"/>
  <c r="CQ87"/>
  <c r="CP87"/>
  <c r="CO87"/>
  <c r="CN87"/>
  <c r="CM87"/>
  <c r="CL87"/>
  <c r="CK87"/>
  <c r="CJ87"/>
  <c r="CI87"/>
  <c r="BX88"/>
  <c r="AH88" s="1"/>
  <c r="AO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DH86" s="1"/>
  <c r="DS86"/>
  <c r="CW86" s="1"/>
  <c r="DR86"/>
  <c r="CV86" s="1"/>
  <c r="DQ86"/>
  <c r="CU86" s="1"/>
  <c r="DP86"/>
  <c r="DD86" s="1"/>
  <c r="DO86"/>
  <c r="DC86" s="1"/>
  <c r="CR86"/>
  <c r="CQ86"/>
  <c r="CP86"/>
  <c r="CO86"/>
  <c r="CN86"/>
  <c r="CM86"/>
  <c r="CL86"/>
  <c r="CK86"/>
  <c r="CJ86"/>
  <c r="CI86"/>
  <c r="BX87"/>
  <c r="AG87" s="1"/>
  <c r="AO87"/>
  <c r="AF87"/>
  <c r="AJ87"/>
  <c r="AN87"/>
  <c r="AV87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J85" s="1"/>
  <c r="DU85"/>
  <c r="DT85"/>
  <c r="CX85" s="1"/>
  <c r="DS85"/>
  <c r="CW85" s="1"/>
  <c r="DR85"/>
  <c r="CV85" s="1"/>
  <c r="DQ85"/>
  <c r="DP85"/>
  <c r="CT85" s="1"/>
  <c r="DO85"/>
  <c r="CS85" s="1"/>
  <c r="CR85"/>
  <c r="CQ85"/>
  <c r="CP85"/>
  <c r="CO85"/>
  <c r="CN85"/>
  <c r="CM85"/>
  <c r="CL85"/>
  <c r="CK85"/>
  <c r="CJ85"/>
  <c r="CI85"/>
  <c r="BX86"/>
  <c r="BY86" s="1"/>
  <c r="AO86"/>
  <c r="BV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/>
  <c r="BQ87"/>
  <c r="BR87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DG84" s="1"/>
  <c r="DR84"/>
  <c r="CV84" s="1"/>
  <c r="DQ84"/>
  <c r="CU84" s="1"/>
  <c r="DP84"/>
  <c r="CT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CZ83" s="1"/>
  <c r="DU83"/>
  <c r="CY83" s="1"/>
  <c r="DT83"/>
  <c r="DH83" s="1"/>
  <c r="DS83"/>
  <c r="CW83" s="1"/>
  <c r="DR83"/>
  <c r="CV83" s="1"/>
  <c r="DQ83"/>
  <c r="CU83" s="1"/>
  <c r="DP83"/>
  <c r="DD83" s="1"/>
  <c r="DO83"/>
  <c r="DC83" s="1"/>
  <c r="CR83"/>
  <c r="CQ83"/>
  <c r="CP83"/>
  <c r="CO83"/>
  <c r="CN83"/>
  <c r="CM83"/>
  <c r="CL83"/>
  <c r="CK83"/>
  <c r="CJ83"/>
  <c r="CI83"/>
  <c r="B84"/>
  <c r="U84"/>
  <c r="BX84"/>
  <c r="AG84" s="1"/>
  <c r="AO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DI82" s="1"/>
  <c r="DT82"/>
  <c r="DH82" s="1"/>
  <c r="DS82"/>
  <c r="CW82" s="1"/>
  <c r="DR82"/>
  <c r="DF82" s="1"/>
  <c r="DQ82"/>
  <c r="DE82" s="1"/>
  <c r="DP82"/>
  <c r="CT82" s="1"/>
  <c r="DO82"/>
  <c r="CS82" s="1"/>
  <c r="CR82"/>
  <c r="CQ82"/>
  <c r="CP82"/>
  <c r="CO82"/>
  <c r="CN82"/>
  <c r="CM82"/>
  <c r="CL82"/>
  <c r="CK82"/>
  <c r="CJ82"/>
  <c r="CI82"/>
  <c r="BX83"/>
  <c r="AG83" s="1"/>
  <c r="AO83"/>
  <c r="AF83"/>
  <c r="AJ83"/>
  <c r="AN83"/>
  <c r="AV83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CZ81" s="1"/>
  <c r="DU81"/>
  <c r="CY81" s="1"/>
  <c r="DT81"/>
  <c r="DH81" s="1"/>
  <c r="DS81"/>
  <c r="CW81" s="1"/>
  <c r="DR81"/>
  <c r="DF81" s="1"/>
  <c r="DQ81"/>
  <c r="CU81" s="1"/>
  <c r="DP81"/>
  <c r="DD81" s="1"/>
  <c r="DO8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DJ80" s="1"/>
  <c r="DU80"/>
  <c r="DI80" s="1"/>
  <c r="DT80"/>
  <c r="DS80"/>
  <c r="DG80" s="1"/>
  <c r="DR80"/>
  <c r="DF80" s="1"/>
  <c r="DQ80"/>
  <c r="DE80" s="1"/>
  <c r="DP80"/>
  <c r="DO80"/>
  <c r="CS80" s="1"/>
  <c r="CR80"/>
  <c r="CQ80"/>
  <c r="CP80"/>
  <c r="CO80"/>
  <c r="CN80"/>
  <c r="CM80"/>
  <c r="CL80"/>
  <c r="CK80"/>
  <c r="CJ80"/>
  <c r="CI80"/>
  <c r="BX81"/>
  <c r="BY81" s="1"/>
  <c r="AI81" s="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CZ79" s="1"/>
  <c r="DU79"/>
  <c r="DI79" s="1"/>
  <c r="DT79"/>
  <c r="CX79" s="1"/>
  <c r="DS79"/>
  <c r="DR79"/>
  <c r="CV79" s="1"/>
  <c r="DQ79"/>
  <c r="DE79" s="1"/>
  <c r="DP79"/>
  <c r="DD79" s="1"/>
  <c r="DO79"/>
  <c r="CR79"/>
  <c r="CQ79"/>
  <c r="CP79"/>
  <c r="CO79"/>
  <c r="CN79"/>
  <c r="CM79"/>
  <c r="CL79"/>
  <c r="CK79"/>
  <c r="CJ79"/>
  <c r="CI79"/>
  <c r="BX80"/>
  <c r="BY80" s="1"/>
  <c r="AO80"/>
  <c r="AF80"/>
  <c r="AJ80"/>
  <c r="AN80"/>
  <c r="AV80"/>
  <c r="BS81"/>
  <c r="BT81"/>
  <c r="BQ81"/>
  <c r="BR81"/>
  <c r="CD81"/>
  <c r="AY81"/>
  <c r="AQ81"/>
  <c r="CA81"/>
  <c r="BK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DU78"/>
  <c r="DI78" s="1"/>
  <c r="DT78"/>
  <c r="CX78" s="1"/>
  <c r="DS78"/>
  <c r="DG78" s="1"/>
  <c r="DR78"/>
  <c r="DQ78"/>
  <c r="CU78" s="1"/>
  <c r="DP78"/>
  <c r="CT78" s="1"/>
  <c r="DO78"/>
  <c r="DC78" s="1"/>
  <c r="CR78"/>
  <c r="CQ78"/>
  <c r="CP78"/>
  <c r="CO78"/>
  <c r="CN78"/>
  <c r="CM78"/>
  <c r="CL78"/>
  <c r="CK78"/>
  <c r="CJ78"/>
  <c r="CI78"/>
  <c r="BX79"/>
  <c r="AO79"/>
  <c r="AF79"/>
  <c r="AJ79"/>
  <c r="AN79"/>
  <c r="AV79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J77" s="1"/>
  <c r="DU77"/>
  <c r="DT77"/>
  <c r="DH77" s="1"/>
  <c r="DS77"/>
  <c r="DG77" s="1"/>
  <c r="DR77"/>
  <c r="CV77" s="1"/>
  <c r="DQ77"/>
  <c r="DP77"/>
  <c r="CT77" s="1"/>
  <c r="DO77"/>
  <c r="CS77" s="1"/>
  <c r="CR77"/>
  <c r="CQ77"/>
  <c r="CP77"/>
  <c r="CO77"/>
  <c r="CN77"/>
  <c r="CM77"/>
  <c r="CL77"/>
  <c r="CK77"/>
  <c r="CJ77"/>
  <c r="CI77"/>
  <c r="BX78"/>
  <c r="AH78" s="1"/>
  <c r="AO78"/>
  <c r="CD79"/>
  <c r="CA79"/>
  <c r="BK79"/>
  <c r="AX79"/>
  <c r="AY79"/>
  <c r="AQ79"/>
  <c r="AF78"/>
  <c r="AJ78"/>
  <c r="AN78"/>
  <c r="AR78"/>
  <c r="AW78"/>
  <c r="AV78"/>
  <c r="AZ78"/>
  <c r="BB78"/>
  <c r="BP78"/>
  <c r="BW78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CY76" s="1"/>
  <c r="DT76"/>
  <c r="CX76" s="1"/>
  <c r="DS76"/>
  <c r="DG76" s="1"/>
  <c r="DR76"/>
  <c r="CV76" s="1"/>
  <c r="DQ76"/>
  <c r="CU76" s="1"/>
  <c r="DP76"/>
  <c r="CT76" s="1"/>
  <c r="DO76"/>
  <c r="DC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H75" s="1"/>
  <c r="DS75"/>
  <c r="CW75" s="1"/>
  <c r="DR75"/>
  <c r="DF75" s="1"/>
  <c r="DQ75"/>
  <c r="CU75" s="1"/>
  <c r="DP75"/>
  <c r="CT75" s="1"/>
  <c r="DO75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CZ74" s="1"/>
  <c r="DU74"/>
  <c r="DI74" s="1"/>
  <c r="DT74"/>
  <c r="CX74" s="1"/>
  <c r="DS74"/>
  <c r="CW74" s="1"/>
  <c r="DR74"/>
  <c r="DF74" s="1"/>
  <c r="DQ74"/>
  <c r="CU74" s="1"/>
  <c r="DP74"/>
  <c r="DD74" s="1"/>
  <c r="DO74"/>
  <c r="CR74"/>
  <c r="CQ74"/>
  <c r="CP74"/>
  <c r="CO74"/>
  <c r="CN74"/>
  <c r="CM74"/>
  <c r="CL74"/>
  <c r="CK74"/>
  <c r="CJ74"/>
  <c r="CI74"/>
  <c r="BX75"/>
  <c r="AH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DJ73" s="1"/>
  <c r="DU73"/>
  <c r="CY73" s="1"/>
  <c r="DT73"/>
  <c r="CX73" s="1"/>
  <c r="DS73"/>
  <c r="CW73" s="1"/>
  <c r="DR73"/>
  <c r="DF73" s="1"/>
  <c r="DQ73"/>
  <c r="CU73" s="1"/>
  <c r="DP73"/>
  <c r="CT73" s="1"/>
  <c r="DO73"/>
  <c r="DC73" s="1"/>
  <c r="CR73"/>
  <c r="CQ73"/>
  <c r="CP73"/>
  <c r="CO73"/>
  <c r="CN73"/>
  <c r="CM73"/>
  <c r="CL73"/>
  <c r="CK73"/>
  <c r="CJ73"/>
  <c r="CI73"/>
  <c r="BX74"/>
  <c r="AG74" s="1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C74" s="1"/>
  <c r="BH74" s="1" a="1"/>
  <c r="BH74" s="1"/>
  <c r="BB74"/>
  <c r="BP74"/>
  <c r="BW74"/>
  <c r="BJ73"/>
  <c r="BI73"/>
  <c r="AT73"/>
  <c r="AS73"/>
  <c r="AU73"/>
  <c r="AE73"/>
  <c r="AD73"/>
  <c r="CE73"/>
  <c r="DV72"/>
  <c r="DJ72" s="1"/>
  <c r="DU72"/>
  <c r="CY72" s="1"/>
  <c r="DT72"/>
  <c r="CX72" s="1"/>
  <c r="DS72"/>
  <c r="CW72" s="1"/>
  <c r="DR72"/>
  <c r="DF72" s="1"/>
  <c r="DQ72"/>
  <c r="CU72" s="1"/>
  <c r="DP72"/>
  <c r="CT72" s="1"/>
  <c r="DO72"/>
  <c r="CS72" s="1"/>
  <c r="CR72"/>
  <c r="CQ72"/>
  <c r="CP72"/>
  <c r="CO72"/>
  <c r="CN72"/>
  <c r="CM72"/>
  <c r="CL72"/>
  <c r="CK72"/>
  <c r="CJ72"/>
  <c r="CI72"/>
  <c r="B73"/>
  <c r="U73"/>
  <c r="BX73"/>
  <c r="AH73" s="1"/>
  <c r="AO73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AG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DI71" s="1"/>
  <c r="DT71"/>
  <c r="DH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DJ70" s="1"/>
  <c r="DU70"/>
  <c r="DI70" s="1"/>
  <c r="DT70"/>
  <c r="CX70" s="1"/>
  <c r="DS70"/>
  <c r="CW70" s="1"/>
  <c r="DR70"/>
  <c r="DF70" s="1"/>
  <c r="DQ70"/>
  <c r="DE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T70"/>
  <c r="AS70"/>
  <c r="AU70" s="1"/>
  <c r="AE70"/>
  <c r="AD70"/>
  <c r="DV69"/>
  <c r="CZ69" s="1"/>
  <c r="DU69"/>
  <c r="DT69"/>
  <c r="CX69" s="1"/>
  <c r="DS69"/>
  <c r="DG69" s="1"/>
  <c r="DR69"/>
  <c r="CV69" s="1"/>
  <c r="DQ69"/>
  <c r="DP69"/>
  <c r="CT69" s="1"/>
  <c r="DO69"/>
  <c r="CS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T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H68" s="1"/>
  <c r="DS68"/>
  <c r="DR68"/>
  <c r="CV68" s="1"/>
  <c r="DQ68"/>
  <c r="DE68" s="1"/>
  <c r="DP68"/>
  <c r="CT68" s="1"/>
  <c r="DO68"/>
  <c r="CS68" s="1"/>
  <c r="CR68"/>
  <c r="CQ68"/>
  <c r="CP68"/>
  <c r="CO68"/>
  <c r="CN68"/>
  <c r="CM68"/>
  <c r="CL68"/>
  <c r="CK68"/>
  <c r="CJ68"/>
  <c r="CI68"/>
  <c r="BJ68"/>
  <c r="BI68"/>
  <c r="AE68"/>
  <c r="AD68"/>
  <c r="DV67"/>
  <c r="DU67"/>
  <c r="CY67" s="1"/>
  <c r="DT67"/>
  <c r="DH67" s="1"/>
  <c r="DS67"/>
  <c r="CW67" s="1"/>
  <c r="DR67"/>
  <c r="CV67" s="1"/>
  <c r="DQ67"/>
  <c r="CU67" s="1"/>
  <c r="DP67"/>
  <c r="DD67" s="1"/>
  <c r="DO67"/>
  <c r="CS67" s="1"/>
  <c r="CR67"/>
  <c r="CQ67"/>
  <c r="CP67"/>
  <c r="CO67"/>
  <c r="CN67"/>
  <c r="CM67"/>
  <c r="CL67"/>
  <c r="CK67"/>
  <c r="CJ67"/>
  <c r="CI67"/>
  <c r="BX68"/>
  <c r="BY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DH66" s="1"/>
  <c r="DS66"/>
  <c r="CW66" s="1"/>
  <c r="DR66"/>
  <c r="CV66" s="1"/>
  <c r="DQ66"/>
  <c r="CU66" s="1"/>
  <c r="DP66"/>
  <c r="DD66" s="1"/>
  <c r="DO66"/>
  <c r="CS66" s="1"/>
  <c r="CR66"/>
  <c r="CQ66"/>
  <c r="CP66"/>
  <c r="CO66"/>
  <c r="CN66"/>
  <c r="CM66"/>
  <c r="CL66"/>
  <c r="CK66"/>
  <c r="CJ66"/>
  <c r="CI66"/>
  <c r="AH68"/>
  <c r="AZ67"/>
  <c r="AO67"/>
  <c r="AK67"/>
  <c r="AM67"/>
  <c r="BA67"/>
  <c r="BX67"/>
  <c r="AH67" s="1"/>
  <c r="AF67"/>
  <c r="AJ67"/>
  <c r="AN67"/>
  <c r="BP67"/>
  <c r="BJ66"/>
  <c r="BI66"/>
  <c r="AE66"/>
  <c r="AD66"/>
  <c r="DV65"/>
  <c r="CZ65" s="1"/>
  <c r="DU65"/>
  <c r="DI65" s="1"/>
  <c r="DT65"/>
  <c r="CX65" s="1"/>
  <c r="DS65"/>
  <c r="CW65" s="1"/>
  <c r="DR65"/>
  <c r="CV65" s="1"/>
  <c r="DQ65"/>
  <c r="CU65" s="1"/>
  <c r="DP65"/>
  <c r="CT65" s="1"/>
  <c r="CR65"/>
  <c r="CQ65"/>
  <c r="CP65"/>
  <c r="CO65"/>
  <c r="CN65"/>
  <c r="CM65"/>
  <c r="CL65"/>
  <c r="CJ65"/>
  <c r="CI65"/>
  <c r="BX66"/>
  <c r="AO66"/>
  <c r="AF66"/>
  <c r="AJ66"/>
  <c r="AN66"/>
  <c r="AZ66"/>
  <c r="BP66"/>
  <c r="AK66"/>
  <c r="AM66"/>
  <c r="BA66"/>
  <c r="BJ65"/>
  <c r="BI65"/>
  <c r="AE65"/>
  <c r="AD65"/>
  <c r="DV64"/>
  <c r="DJ64" s="1"/>
  <c r="DU64"/>
  <c r="CY64" s="1"/>
  <c r="DT64"/>
  <c r="DH64" s="1"/>
  <c r="DS64"/>
  <c r="DG64" s="1"/>
  <c r="DR64"/>
  <c r="CV64" s="1"/>
  <c r="DQ64"/>
  <c r="DE64" s="1"/>
  <c r="DP64"/>
  <c r="DD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DE63" s="1"/>
  <c r="DP63"/>
  <c r="CT63" s="1"/>
  <c r="CR63"/>
  <c r="CQ63"/>
  <c r="CP63"/>
  <c r="CO63"/>
  <c r="CN63"/>
  <c r="CM63"/>
  <c r="CL63"/>
  <c r="CJ63"/>
  <c r="CI63"/>
  <c r="BX64"/>
  <c r="AH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DG62" s="1"/>
  <c r="DR62"/>
  <c r="DF62" s="1"/>
  <c r="DQ62"/>
  <c r="CU62" s="1"/>
  <c r="DP62"/>
  <c r="DD62" s="1"/>
  <c r="CR62"/>
  <c r="CQ62"/>
  <c r="CP62"/>
  <c r="CO62"/>
  <c r="CN62"/>
  <c r="CM62"/>
  <c r="CL62"/>
  <c r="CJ62"/>
  <c r="CI62"/>
  <c r="BX63"/>
  <c r="BY63" s="1"/>
  <c r="AL63" s="1"/>
  <c r="AO63"/>
  <c r="AF63"/>
  <c r="AJ63"/>
  <c r="AN63"/>
  <c r="AK63"/>
  <c r="AM63"/>
  <c r="BA63"/>
  <c r="AZ63"/>
  <c r="BP63"/>
  <c r="BJ62"/>
  <c r="BI62"/>
  <c r="AE62"/>
  <c r="AD62"/>
  <c r="DV61"/>
  <c r="CZ61" s="1"/>
  <c r="DU61"/>
  <c r="DI61" s="1"/>
  <c r="DT61"/>
  <c r="DS61"/>
  <c r="DG61" s="1"/>
  <c r="DR61"/>
  <c r="CV61" s="1"/>
  <c r="DQ61"/>
  <c r="CU61" s="1"/>
  <c r="DP61"/>
  <c r="DO61"/>
  <c r="DC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DU60"/>
  <c r="CY60" s="1"/>
  <c r="DT60"/>
  <c r="DH60" s="1"/>
  <c r="DS60"/>
  <c r="CW60" s="1"/>
  <c r="DR60"/>
  <c r="CV60" s="1"/>
  <c r="DQ60"/>
  <c r="DE60" s="1"/>
  <c r="DP60"/>
  <c r="CT60" s="1"/>
  <c r="DO60"/>
  <c r="DC60" s="1"/>
  <c r="CR60"/>
  <c r="CQ60"/>
  <c r="CP60"/>
  <c r="CO60"/>
  <c r="CN60"/>
  <c r="CM60"/>
  <c r="CL60"/>
  <c r="CK60"/>
  <c r="CJ60"/>
  <c r="CI60"/>
  <c r="BX61"/>
  <c r="BY61" s="1"/>
  <c r="AO61"/>
  <c r="AF61"/>
  <c r="AJ61"/>
  <c r="AN61"/>
  <c r="AK61"/>
  <c r="AM61"/>
  <c r="AZ61"/>
  <c r="BP61"/>
  <c r="BJ60"/>
  <c r="BI60"/>
  <c r="AE60"/>
  <c r="AD60"/>
  <c r="DV59"/>
  <c r="DJ59" s="1"/>
  <c r="DU59"/>
  <c r="DT59"/>
  <c r="CX59" s="1"/>
  <c r="DS59"/>
  <c r="CW59" s="1"/>
  <c r="DR59"/>
  <c r="CV59" s="1"/>
  <c r="DQ59"/>
  <c r="DP59"/>
  <c r="CT59" s="1"/>
  <c r="DO59"/>
  <c r="CS59" s="1"/>
  <c r="CR59"/>
  <c r="CQ59"/>
  <c r="CP59"/>
  <c r="CO59"/>
  <c r="CN59"/>
  <c r="CM59"/>
  <c r="CL59"/>
  <c r="CK59"/>
  <c r="CJ59"/>
  <c r="CI59"/>
  <c r="BX60"/>
  <c r="BY60" s="1"/>
  <c r="AO60"/>
  <c r="AF60"/>
  <c r="AJ60"/>
  <c r="AN60"/>
  <c r="AK60"/>
  <c r="AM60"/>
  <c r="AZ60"/>
  <c r="BP60"/>
  <c r="BJ59"/>
  <c r="BI59"/>
  <c r="AE59"/>
  <c r="AD59"/>
  <c r="DV58"/>
  <c r="CZ58" s="1"/>
  <c r="DU58"/>
  <c r="CY58" s="1"/>
  <c r="DT58"/>
  <c r="DS58"/>
  <c r="CW58" s="1"/>
  <c r="DR58"/>
  <c r="CV58" s="1"/>
  <c r="DQ58"/>
  <c r="DE58" s="1"/>
  <c r="DP58"/>
  <c r="DO58"/>
  <c r="DC58" s="1"/>
  <c r="CR58"/>
  <c r="CQ58"/>
  <c r="CP58"/>
  <c r="CO58"/>
  <c r="CN58"/>
  <c r="CM58"/>
  <c r="CL58"/>
  <c r="CK58"/>
  <c r="CJ58"/>
  <c r="CI58"/>
  <c r="BX59"/>
  <c r="BY59" s="1"/>
  <c r="AL59" s="1"/>
  <c r="AO59"/>
  <c r="AF59"/>
  <c r="AJ59"/>
  <c r="AN59"/>
  <c r="AK59"/>
  <c r="AM59"/>
  <c r="AZ59"/>
  <c r="BP59"/>
  <c r="BJ58"/>
  <c r="BI58"/>
  <c r="AE58"/>
  <c r="AD58"/>
  <c r="DV57"/>
  <c r="CZ57" s="1"/>
  <c r="DU57"/>
  <c r="DI57" s="1"/>
  <c r="DT57"/>
  <c r="CX57" s="1"/>
  <c r="DS57"/>
  <c r="DG57" s="1"/>
  <c r="DR57"/>
  <c r="CV57" s="1"/>
  <c r="DQ57"/>
  <c r="DE57" s="1"/>
  <c r="DP57"/>
  <c r="CT57" s="1"/>
  <c r="DO57"/>
  <c r="CS57" s="1"/>
  <c r="CR57"/>
  <c r="CQ57"/>
  <c r="CP57"/>
  <c r="CO57"/>
  <c r="CN57"/>
  <c r="CM57"/>
  <c r="CL57"/>
  <c r="CK57"/>
  <c r="CJ57"/>
  <c r="CI57"/>
  <c r="BX58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CZ56" s="1"/>
  <c r="DU56"/>
  <c r="CY56" s="1"/>
  <c r="DT56"/>
  <c r="CX56" s="1"/>
  <c r="DS56"/>
  <c r="DG56" s="1"/>
  <c r="DR56"/>
  <c r="CV56" s="1"/>
  <c r="DQ56"/>
  <c r="CU56" s="1"/>
  <c r="DP56"/>
  <c r="DD56" s="1"/>
  <c r="DO56"/>
  <c r="DC56" s="1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DJ55" s="1"/>
  <c r="DU55"/>
  <c r="CY55" s="1"/>
  <c r="DT55"/>
  <c r="CX55" s="1"/>
  <c r="DS55"/>
  <c r="CW55" s="1"/>
  <c r="DR55"/>
  <c r="CV55" s="1"/>
  <c r="DQ55"/>
  <c r="DE55" s="1"/>
  <c r="DP55"/>
  <c r="CT55" s="1"/>
  <c r="DO55"/>
  <c r="CS55" s="1"/>
  <c r="CR55"/>
  <c r="CQ55"/>
  <c r="CP55"/>
  <c r="CO55"/>
  <c r="CN55"/>
  <c r="CM55"/>
  <c r="CL55"/>
  <c r="CK55"/>
  <c r="CJ55"/>
  <c r="CI55"/>
  <c r="AV56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DU54"/>
  <c r="CY54" s="1"/>
  <c r="DT54"/>
  <c r="DH54" s="1"/>
  <c r="DS54"/>
  <c r="DG54" s="1"/>
  <c r="DR54"/>
  <c r="DQ54"/>
  <c r="CU54" s="1"/>
  <c r="DP54"/>
  <c r="CT54" s="1"/>
  <c r="DO54"/>
  <c r="DC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DU53"/>
  <c r="DI53" s="1"/>
  <c r="DT53"/>
  <c r="DH53" s="1"/>
  <c r="DS53"/>
  <c r="DG53" s="1"/>
  <c r="DR53"/>
  <c r="CV53" s="1"/>
  <c r="DQ53"/>
  <c r="CU53" s="1"/>
  <c r="DP53"/>
  <c r="CT53" s="1"/>
  <c r="DO53"/>
  <c r="DC53" s="1"/>
  <c r="CR53"/>
  <c r="CQ53"/>
  <c r="CP53"/>
  <c r="CO53"/>
  <c r="CN53"/>
  <c r="CM53"/>
  <c r="CL53"/>
  <c r="CK53"/>
  <c r="CJ53"/>
  <c r="CI53"/>
  <c r="BX54"/>
  <c r="BY54" s="1"/>
  <c r="AI54" s="1"/>
  <c r="AO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DG52" s="1"/>
  <c r="DR52"/>
  <c r="CV52" s="1"/>
  <c r="DQ52"/>
  <c r="CU52" s="1"/>
  <c r="DP52"/>
  <c r="CT52" s="1"/>
  <c r="DO52"/>
  <c r="CS52" s="1"/>
  <c r="CR52"/>
  <c r="CQ52"/>
  <c r="CP52"/>
  <c r="CO52"/>
  <c r="CN52"/>
  <c r="CM52"/>
  <c r="CL52"/>
  <c r="CK52"/>
  <c r="CJ52"/>
  <c r="CI52"/>
  <c r="BX53"/>
  <c r="BY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DJ51" s="1"/>
  <c r="DU51"/>
  <c r="CY51" s="1"/>
  <c r="DT51"/>
  <c r="CX51" s="1"/>
  <c r="DS51"/>
  <c r="CW51" s="1"/>
  <c r="DR51"/>
  <c r="DF51" s="1"/>
  <c r="DQ51"/>
  <c r="DE51" s="1"/>
  <c r="DP51"/>
  <c r="DD51" s="1"/>
  <c r="DO51"/>
  <c r="CS51" s="1"/>
  <c r="CR51"/>
  <c r="CQ51"/>
  <c r="CP51"/>
  <c r="CO51"/>
  <c r="CN51"/>
  <c r="CM51"/>
  <c r="CL51"/>
  <c r="CK51"/>
  <c r="CJ51"/>
  <c r="CI51"/>
  <c r="BX52"/>
  <c r="AH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DJ50" s="1"/>
  <c r="DU50"/>
  <c r="DI50" s="1"/>
  <c r="DT50"/>
  <c r="CX50" s="1"/>
  <c r="DS50"/>
  <c r="CW50" s="1"/>
  <c r="DR50"/>
  <c r="DF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DI49" s="1"/>
  <c r="DT49"/>
  <c r="CX49" s="1"/>
  <c r="DS49"/>
  <c r="CW49" s="1"/>
  <c r="DR49"/>
  <c r="DF49" s="1"/>
  <c r="DQ49"/>
  <c r="CU49" s="1"/>
  <c r="DP49"/>
  <c r="CT49" s="1"/>
  <c r="DO49"/>
  <c r="CS49" s="1"/>
  <c r="CR49"/>
  <c r="CQ49"/>
  <c r="CP49"/>
  <c r="CO49"/>
  <c r="CN49"/>
  <c r="CM49"/>
  <c r="CL49"/>
  <c r="CK49"/>
  <c r="CJ49"/>
  <c r="CI49"/>
  <c r="BX50"/>
  <c r="AG50" s="1"/>
  <c r="AO50"/>
  <c r="AF50"/>
  <c r="AJ50"/>
  <c r="AN50"/>
  <c r="AZ50"/>
  <c r="BP50"/>
  <c r="AK50"/>
  <c r="AM50"/>
  <c r="BA50"/>
  <c r="BJ49"/>
  <c r="BI49"/>
  <c r="AE49"/>
  <c r="AD49"/>
  <c r="DV48"/>
  <c r="DJ48" s="1"/>
  <c r="DU48"/>
  <c r="DI48" s="1"/>
  <c r="DT48"/>
  <c r="CX48" s="1"/>
  <c r="DS48"/>
  <c r="DG48" s="1"/>
  <c r="DR48"/>
  <c r="DF48" s="1"/>
  <c r="DQ48"/>
  <c r="DE48" s="1"/>
  <c r="DP48"/>
  <c r="CT48" s="1"/>
  <c r="DO48"/>
  <c r="CS48" s="1"/>
  <c r="CR48"/>
  <c r="CQ48"/>
  <c r="CP48"/>
  <c r="CO48"/>
  <c r="CN48"/>
  <c r="CM48"/>
  <c r="CL48"/>
  <c r="CK48"/>
  <c r="CJ48"/>
  <c r="CI48"/>
  <c r="BX49"/>
  <c r="AH49" s="1"/>
  <c r="AO49"/>
  <c r="AF49"/>
  <c r="AJ49"/>
  <c r="AN49"/>
  <c r="AZ49"/>
  <c r="BP49"/>
  <c r="AK49"/>
  <c r="AM49"/>
  <c r="BA49"/>
  <c r="BJ48"/>
  <c r="BI48"/>
  <c r="AE48"/>
  <c r="AD48"/>
  <c r="DV47"/>
  <c r="DJ47" s="1"/>
  <c r="DU47"/>
  <c r="DI47" s="1"/>
  <c r="DT47"/>
  <c r="CX47" s="1"/>
  <c r="DS47"/>
  <c r="CW47" s="1"/>
  <c r="DR47"/>
  <c r="CV47" s="1"/>
  <c r="DQ47"/>
  <c r="CU47" s="1"/>
  <c r="DP47"/>
  <c r="CT47" s="1"/>
  <c r="DO47"/>
  <c r="CS47" s="1"/>
  <c r="CR47"/>
  <c r="CQ47"/>
  <c r="CP47"/>
  <c r="CO47"/>
  <c r="CN47"/>
  <c r="CM47"/>
  <c r="CL47"/>
  <c r="CK47"/>
  <c r="CJ47"/>
  <c r="CI47"/>
  <c r="BX48"/>
  <c r="AO48"/>
  <c r="AF48"/>
  <c r="AJ48"/>
  <c r="AN48"/>
  <c r="AK48"/>
  <c r="AM48"/>
  <c r="BA48"/>
  <c r="AZ48"/>
  <c r="BP48"/>
  <c r="BJ47"/>
  <c r="BI47"/>
  <c r="AE47"/>
  <c r="AD47"/>
  <c r="DV46"/>
  <c r="DJ46" s="1"/>
  <c r="DU46"/>
  <c r="CY46" s="1"/>
  <c r="DT46"/>
  <c r="CX46" s="1"/>
  <c r="DS46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AG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DT45"/>
  <c r="CX45" s="1"/>
  <c r="DS45"/>
  <c r="DG45" s="1"/>
  <c r="DR45"/>
  <c r="DF45" s="1"/>
  <c r="DQ45"/>
  <c r="CU45" s="1"/>
  <c r="DP45"/>
  <c r="DD45" s="1"/>
  <c r="DO45"/>
  <c r="DC45" s="1"/>
  <c r="CR45"/>
  <c r="CQ45"/>
  <c r="CP45"/>
  <c r="CO45"/>
  <c r="CN45"/>
  <c r="CM45"/>
  <c r="CL45"/>
  <c r="CK45"/>
  <c r="CJ45"/>
  <c r="CI45"/>
  <c r="BX46"/>
  <c r="AO46"/>
  <c r="AF46"/>
  <c r="AJ46"/>
  <c r="AN46"/>
  <c r="AK46"/>
  <c r="AM46"/>
  <c r="BA46"/>
  <c r="AZ46"/>
  <c r="BP46"/>
  <c r="BJ45"/>
  <c r="BI45"/>
  <c r="AE45"/>
  <c r="AD45"/>
  <c r="DV44"/>
  <c r="DJ44" s="1"/>
  <c r="DU44"/>
  <c r="DI44" s="1"/>
  <c r="DT44"/>
  <c r="CX44" s="1"/>
  <c r="DS44"/>
  <c r="CW44" s="1"/>
  <c r="DR44"/>
  <c r="DF44" s="1"/>
  <c r="DQ44"/>
  <c r="DE44" s="1"/>
  <c r="DP44"/>
  <c r="CT44" s="1"/>
  <c r="DO44"/>
  <c r="CS44" s="1"/>
  <c r="CR44"/>
  <c r="CQ44"/>
  <c r="CP44"/>
  <c r="CO44"/>
  <c r="CN44"/>
  <c r="CM44"/>
  <c r="CL44"/>
  <c r="CK44"/>
  <c r="CJ44"/>
  <c r="CI44"/>
  <c r="BX45"/>
  <c r="AH45" s="1"/>
  <c r="AO45"/>
  <c r="AF45"/>
  <c r="AJ45"/>
  <c r="AN45"/>
  <c r="AK45"/>
  <c r="AM45"/>
  <c r="BA45"/>
  <c r="AZ45"/>
  <c r="BP45"/>
  <c r="BJ44"/>
  <c r="BI44"/>
  <c r="AE44"/>
  <c r="AD44"/>
  <c r="DV43"/>
  <c r="DJ43" s="1"/>
  <c r="DU43"/>
  <c r="DI43" s="1"/>
  <c r="DT43"/>
  <c r="DH43" s="1"/>
  <c r="DS43"/>
  <c r="CW43" s="1"/>
  <c r="DR43"/>
  <c r="DF43" s="1"/>
  <c r="DQ43"/>
  <c r="CU43" s="1"/>
  <c r="DP43"/>
  <c r="CT43" s="1"/>
  <c r="DO43"/>
  <c r="CS43" s="1"/>
  <c r="CR43"/>
  <c r="CQ43"/>
  <c r="CP43"/>
  <c r="CO43"/>
  <c r="CN43"/>
  <c r="CM43"/>
  <c r="CL43"/>
  <c r="CK43"/>
  <c r="CJ43"/>
  <c r="CI43"/>
  <c r="BX44"/>
  <c r="AG44" s="1"/>
  <c r="AO44"/>
  <c r="AF44"/>
  <c r="AJ44"/>
  <c r="AN44"/>
  <c r="AK44"/>
  <c r="AM44"/>
  <c r="BA44"/>
  <c r="AZ44"/>
  <c r="BP44"/>
  <c r="BJ43"/>
  <c r="BI43"/>
  <c r="AE43"/>
  <c r="AD43"/>
  <c r="DV42"/>
  <c r="CZ42" s="1"/>
  <c r="DU42"/>
  <c r="CY42" s="1"/>
  <c r="DT42"/>
  <c r="CX42" s="1"/>
  <c r="DS42"/>
  <c r="CW42" s="1"/>
  <c r="DR42"/>
  <c r="CV42" s="1"/>
  <c r="DQ42"/>
  <c r="CU42" s="1"/>
  <c r="DP42"/>
  <c r="CT42" s="1"/>
  <c r="DO42"/>
  <c r="CR42"/>
  <c r="CQ42"/>
  <c r="CP42"/>
  <c r="CO42"/>
  <c r="CN42"/>
  <c r="CM42"/>
  <c r="CL42"/>
  <c r="CK42"/>
  <c r="CJ42"/>
  <c r="CI42"/>
  <c r="BX43"/>
  <c r="AH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DI41" s="1"/>
  <c r="DT41"/>
  <c r="CX41" s="1"/>
  <c r="DS41"/>
  <c r="DR41"/>
  <c r="CV41" s="1"/>
  <c r="DQ41"/>
  <c r="DE41" s="1"/>
  <c r="DP41"/>
  <c r="CT41" s="1"/>
  <c r="DO41"/>
  <c r="CR41"/>
  <c r="CQ41"/>
  <c r="CP41"/>
  <c r="CO41"/>
  <c r="CN41"/>
  <c r="CM41"/>
  <c r="CL41"/>
  <c r="CK41"/>
  <c r="CJ41"/>
  <c r="CI41"/>
  <c r="BY43"/>
  <c r="AI43" s="1"/>
  <c r="BX42"/>
  <c r="AH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DO40"/>
  <c r="CS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DJ39" s="1"/>
  <c r="DU39"/>
  <c r="DT39"/>
  <c r="DH39" s="1"/>
  <c r="DS39"/>
  <c r="DG39" s="1"/>
  <c r="DR39"/>
  <c r="CV39" s="1"/>
  <c r="DQ39"/>
  <c r="DP39"/>
  <c r="DD39" s="1"/>
  <c r="CR39"/>
  <c r="CQ39"/>
  <c r="CP39"/>
  <c r="CO39"/>
  <c r="CN39"/>
  <c r="CM39"/>
  <c r="CL39"/>
  <c r="CJ39"/>
  <c r="CI39"/>
  <c r="BX40"/>
  <c r="AG40" s="1"/>
  <c r="AO40"/>
  <c r="AF40"/>
  <c r="AJ40"/>
  <c r="AN40"/>
  <c r="AK40"/>
  <c r="AM40"/>
  <c r="BA40"/>
  <c r="AZ40"/>
  <c r="BP40"/>
  <c r="BJ39"/>
  <c r="BI39"/>
  <c r="AE39"/>
  <c r="AD39"/>
  <c r="BX39"/>
  <c r="BY39" s="1"/>
  <c r="AO39"/>
  <c r="AF39"/>
  <c r="AJ39"/>
  <c r="AN39"/>
  <c r="BP39"/>
  <c r="AK39"/>
  <c r="AM39"/>
  <c r="DV38"/>
  <c r="CZ38" s="1"/>
  <c r="DU38"/>
  <c r="CY38" s="1"/>
  <c r="DT38"/>
  <c r="DH38" s="1"/>
  <c r="DS38"/>
  <c r="CW38" s="1"/>
  <c r="DR38"/>
  <c r="DF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AG38" s="1"/>
  <c r="AO38"/>
  <c r="AF38"/>
  <c r="AJ38"/>
  <c r="AN38"/>
  <c r="AK38"/>
  <c r="AM38"/>
  <c r="AZ38"/>
  <c r="BP38"/>
  <c r="DV37"/>
  <c r="DU37"/>
  <c r="DI37" s="1"/>
  <c r="DT37"/>
  <c r="DH37" s="1"/>
  <c r="DS37"/>
  <c r="DG37" s="1"/>
  <c r="DR37"/>
  <c r="DQ37"/>
  <c r="CU37" s="1"/>
  <c r="DP37"/>
  <c r="DD37" s="1"/>
  <c r="CR37"/>
  <c r="CQ37"/>
  <c r="CP37"/>
  <c r="CO37"/>
  <c r="CN37"/>
  <c r="CM37"/>
  <c r="CL37"/>
  <c r="CJ37"/>
  <c r="CI37"/>
  <c r="BJ37"/>
  <c r="BI37"/>
  <c r="AE37"/>
  <c r="AD37"/>
  <c r="DV32"/>
  <c r="DJ32" s="1"/>
  <c r="DU32"/>
  <c r="DI32" s="1"/>
  <c r="DT32"/>
  <c r="CX32" s="1"/>
  <c r="DS32"/>
  <c r="DG32" s="1"/>
  <c r="DR32"/>
  <c r="DF32" s="1"/>
  <c r="CR32"/>
  <c r="CQ32"/>
  <c r="CP32"/>
  <c r="CO32"/>
  <c r="CN32"/>
  <c r="CJ32"/>
  <c r="CI32"/>
  <c r="BX37"/>
  <c r="AH37" s="1"/>
  <c r="AO37"/>
  <c r="AF37"/>
  <c r="AJ37"/>
  <c r="AN37"/>
  <c r="AK37"/>
  <c r="AM37"/>
  <c r="AZ37"/>
  <c r="BP37"/>
  <c r="BJ32"/>
  <c r="BI32"/>
  <c r="AE32"/>
  <c r="AD32"/>
  <c r="DV31"/>
  <c r="DJ31" s="1"/>
  <c r="DU31"/>
  <c r="DI31" s="1"/>
  <c r="DT31"/>
  <c r="CX31" s="1"/>
  <c r="DS31"/>
  <c r="DG31" s="1"/>
  <c r="DR31"/>
  <c r="DF31" s="1"/>
  <c r="CR31"/>
  <c r="CQ31"/>
  <c r="CP31"/>
  <c r="CO31"/>
  <c r="CN31"/>
  <c r="CJ31"/>
  <c r="CI31"/>
  <c r="BX32"/>
  <c r="AH32" s="1"/>
  <c r="AO32"/>
  <c r="AF32"/>
  <c r="AJ32"/>
  <c r="AN32"/>
  <c r="AZ32"/>
  <c r="BP32"/>
  <c r="AK32"/>
  <c r="AM32"/>
  <c r="BJ31"/>
  <c r="BI31"/>
  <c r="AE31"/>
  <c r="AD31"/>
  <c r="DV28"/>
  <c r="DJ28" s="1"/>
  <c r="DU28"/>
  <c r="CY28" s="1"/>
  <c r="DT28"/>
  <c r="DH28" s="1"/>
  <c r="DS28"/>
  <c r="CW28" s="1"/>
  <c r="DR28"/>
  <c r="CV28" s="1"/>
  <c r="CR28"/>
  <c r="CQ28"/>
  <c r="CP28"/>
  <c r="CO28"/>
  <c r="CN28"/>
  <c r="CJ28"/>
  <c r="CI28"/>
  <c r="BX31"/>
  <c r="BY31" s="1"/>
  <c r="AI31" s="1"/>
  <c r="AO31"/>
  <c r="AF31"/>
  <c r="AJ31"/>
  <c r="AN31"/>
  <c r="AK31"/>
  <c r="AM31"/>
  <c r="AZ31"/>
  <c r="BP31"/>
  <c r="BJ28"/>
  <c r="BI28"/>
  <c r="AE28"/>
  <c r="AD28"/>
  <c r="DV27"/>
  <c r="DU27"/>
  <c r="DI27" s="1"/>
  <c r="DT27"/>
  <c r="CX27" s="1"/>
  <c r="DS27"/>
  <c r="DG27" s="1"/>
  <c r="DR27"/>
  <c r="CV27" s="1"/>
  <c r="CR27"/>
  <c r="CQ27"/>
  <c r="CP27"/>
  <c r="CO27"/>
  <c r="CN27"/>
  <c r="CJ27"/>
  <c r="CI27"/>
  <c r="BX28"/>
  <c r="BY28" s="1"/>
  <c r="AL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CV26" s="1"/>
  <c r="CR26"/>
  <c r="CQ26"/>
  <c r="CP26"/>
  <c r="CO26"/>
  <c r="CN26"/>
  <c r="CJ26"/>
  <c r="CI26"/>
  <c r="BX27"/>
  <c r="AH27" s="1"/>
  <c r="AO27"/>
  <c r="AF27"/>
  <c r="AJ27"/>
  <c r="AN27"/>
  <c r="AK27"/>
  <c r="AM27"/>
  <c r="AZ27"/>
  <c r="BP27"/>
  <c r="BJ26"/>
  <c r="BI26"/>
  <c r="AE26"/>
  <c r="AD26"/>
  <c r="DV25"/>
  <c r="DJ25" s="1"/>
  <c r="DU25"/>
  <c r="CY25" s="1"/>
  <c r="DT25"/>
  <c r="CX25" s="1"/>
  <c r="DS25"/>
  <c r="DG25" s="1"/>
  <c r="DR25"/>
  <c r="CV25" s="1"/>
  <c r="CR25"/>
  <c r="CQ25"/>
  <c r="CP25"/>
  <c r="CO25"/>
  <c r="CN25"/>
  <c r="CJ25"/>
  <c r="CI25"/>
  <c r="BX26"/>
  <c r="AH26" s="1"/>
  <c r="AO26"/>
  <c r="AF26"/>
  <c r="AJ26"/>
  <c r="AN26"/>
  <c r="AZ26"/>
  <c r="BP26"/>
  <c r="AK26"/>
  <c r="AM26"/>
  <c r="BJ25"/>
  <c r="BI25"/>
  <c r="AE25"/>
  <c r="AD25"/>
  <c r="DV24"/>
  <c r="DJ24" s="1"/>
  <c r="DU24"/>
  <c r="DI24" s="1"/>
  <c r="DT24"/>
  <c r="CX24" s="1"/>
  <c r="DS24"/>
  <c r="CW24" s="1"/>
  <c r="DR24"/>
  <c r="DF24" s="1"/>
  <c r="CR24"/>
  <c r="CQ24"/>
  <c r="CP24"/>
  <c r="CO24"/>
  <c r="CN24"/>
  <c r="CJ24"/>
  <c r="CI24"/>
  <c r="BX25"/>
  <c r="AG25" s="1"/>
  <c r="AO25"/>
  <c r="AF25"/>
  <c r="AJ25"/>
  <c r="AN25"/>
  <c r="AK25"/>
  <c r="AM25"/>
  <c r="AZ25"/>
  <c r="BP25"/>
  <c r="BJ24"/>
  <c r="BI24"/>
  <c r="AE24"/>
  <c r="AD24"/>
  <c r="DV23"/>
  <c r="DJ23" s="1"/>
  <c r="DU23"/>
  <c r="CY23" s="1"/>
  <c r="DT23"/>
  <c r="DH23" s="1"/>
  <c r="DS23"/>
  <c r="CW23" s="1"/>
  <c r="DR23"/>
  <c r="CV23" s="1"/>
  <c r="CR23"/>
  <c r="CQ23"/>
  <c r="CP23"/>
  <c r="CO23"/>
  <c r="CN23"/>
  <c r="CJ23"/>
  <c r="CI23"/>
  <c r="BX24"/>
  <c r="AH24" s="1"/>
  <c r="AO24"/>
  <c r="AF24"/>
  <c r="AJ24"/>
  <c r="AN24"/>
  <c r="AK24"/>
  <c r="AM24"/>
  <c r="AZ24"/>
  <c r="BP24"/>
  <c r="BJ23"/>
  <c r="BI23"/>
  <c r="AE23"/>
  <c r="AD23"/>
  <c r="DV22"/>
  <c r="DJ22" s="1"/>
  <c r="DU22"/>
  <c r="DI22" s="1"/>
  <c r="DT22"/>
  <c r="DH22" s="1"/>
  <c r="DS22"/>
  <c r="DG22" s="1"/>
  <c r="DR22"/>
  <c r="CV22" s="1"/>
  <c r="CR22"/>
  <c r="CQ22"/>
  <c r="CP22"/>
  <c r="CO22"/>
  <c r="CN22"/>
  <c r="CJ22"/>
  <c r="CI22"/>
  <c r="BX23"/>
  <c r="AH23" s="1"/>
  <c r="AO23"/>
  <c r="AF23"/>
  <c r="AJ23"/>
  <c r="AN23"/>
  <c r="AZ23"/>
  <c r="BP23"/>
  <c r="AK23"/>
  <c r="AM23"/>
  <c r="BJ22"/>
  <c r="BI22"/>
  <c r="AE22"/>
  <c r="AD22"/>
  <c r="DV21"/>
  <c r="CZ21" s="1"/>
  <c r="DU21"/>
  <c r="DI21" s="1"/>
  <c r="DT21"/>
  <c r="CX21" s="1"/>
  <c r="DS21"/>
  <c r="CW21" s="1"/>
  <c r="DR21"/>
  <c r="CV21" s="1"/>
  <c r="CR21"/>
  <c r="CQ21"/>
  <c r="CP21"/>
  <c r="CO21"/>
  <c r="CN21"/>
  <c r="CJ21"/>
  <c r="CI21"/>
  <c r="BX22"/>
  <c r="BY22" s="1"/>
  <c r="AI22" s="1"/>
  <c r="AO22"/>
  <c r="AF22"/>
  <c r="AJ22"/>
  <c r="AN22"/>
  <c r="AK22"/>
  <c r="AM22"/>
  <c r="AZ22"/>
  <c r="BP22"/>
  <c r="BJ21"/>
  <c r="BI21"/>
  <c r="AE21"/>
  <c r="AD21"/>
  <c r="DV20"/>
  <c r="CZ20" s="1"/>
  <c r="DU20"/>
  <c r="DI20" s="1"/>
  <c r="DT20"/>
  <c r="DH20" s="1"/>
  <c r="DS20"/>
  <c r="DR20"/>
  <c r="CV20" s="1"/>
  <c r="CR20"/>
  <c r="CQ20"/>
  <c r="CP20"/>
  <c r="CO20"/>
  <c r="CN20"/>
  <c r="CJ20"/>
  <c r="CI20"/>
  <c r="AJ21"/>
  <c r="AK21"/>
  <c r="AM21"/>
  <c r="AN21"/>
  <c r="AZ21"/>
  <c r="BX21"/>
  <c r="AH21" s="1"/>
  <c r="AF21"/>
  <c r="AO21"/>
  <c r="BP21"/>
  <c r="BJ20"/>
  <c r="BI20"/>
  <c r="AE20"/>
  <c r="AD20"/>
  <c r="DV19"/>
  <c r="CZ19" s="1"/>
  <c r="DU19"/>
  <c r="DI19" s="1"/>
  <c r="DT19"/>
  <c r="CX19" s="1"/>
  <c r="DS19"/>
  <c r="DR19"/>
  <c r="CV19" s="1"/>
  <c r="CR19"/>
  <c r="CQ19"/>
  <c r="CP19"/>
  <c r="CO19"/>
  <c r="CN19"/>
  <c r="CJ19"/>
  <c r="CI19"/>
  <c r="AJ20"/>
  <c r="AK20"/>
  <c r="AM20"/>
  <c r="AN20"/>
  <c r="AZ20"/>
  <c r="BX20"/>
  <c r="AH20" s="1"/>
  <c r="AF20"/>
  <c r="AO20"/>
  <c r="BP20"/>
  <c r="BJ19"/>
  <c r="BI19"/>
  <c r="AE19"/>
  <c r="AO19"/>
  <c r="AD19"/>
  <c r="DV18"/>
  <c r="DJ18" s="1"/>
  <c r="DU18"/>
  <c r="CY18" s="1"/>
  <c r="DT18"/>
  <c r="DH18" s="1"/>
  <c r="DS18"/>
  <c r="CW18" s="1"/>
  <c r="DR18"/>
  <c r="CV18" s="1"/>
  <c r="DQ18"/>
  <c r="CU18" s="1"/>
  <c r="DP18"/>
  <c r="DD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DI17" s="1"/>
  <c r="DT17"/>
  <c r="CX17" s="1"/>
  <c r="DS17"/>
  <c r="DG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DJ16" s="1"/>
  <c r="DU16"/>
  <c r="CY16" s="1"/>
  <c r="DT16"/>
  <c r="DS16"/>
  <c r="CW16" s="1"/>
  <c r="CR16"/>
  <c r="CQ16"/>
  <c r="CP16"/>
  <c r="CO16"/>
  <c r="CJ16"/>
  <c r="CI16"/>
  <c r="AJ17"/>
  <c r="BX17"/>
  <c r="AG17" s="1"/>
  <c r="AN17"/>
  <c r="AM17"/>
  <c r="AF17"/>
  <c r="AO17"/>
  <c r="BP17"/>
  <c r="BJ16"/>
  <c r="BI16"/>
  <c r="AE16"/>
  <c r="AK16"/>
  <c r="AD16"/>
  <c r="AZ16"/>
  <c r="DV15"/>
  <c r="CZ15" s="1"/>
  <c r="DU15"/>
  <c r="CY15" s="1"/>
  <c r="DT15"/>
  <c r="DH15" s="1"/>
  <c r="DS15"/>
  <c r="CW15" s="1"/>
  <c r="DR15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CZ14" s="1"/>
  <c r="DU14"/>
  <c r="CY14" s="1"/>
  <c r="DT14"/>
  <c r="DH14" s="1"/>
  <c r="DS14"/>
  <c r="CW14" s="1"/>
  <c r="DR14"/>
  <c r="CV14" s="1"/>
  <c r="DQ14"/>
  <c r="DE14" s="1"/>
  <c r="DP14"/>
  <c r="DD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U13"/>
  <c r="CY13" s="1"/>
  <c r="DT13"/>
  <c r="DH13" s="1"/>
  <c r="DS13"/>
  <c r="DG13" s="1"/>
  <c r="DR13"/>
  <c r="DF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H14" s="1"/>
  <c r="AF14"/>
  <c r="AO14"/>
  <c r="BP14"/>
  <c r="BJ13"/>
  <c r="BI13"/>
  <c r="AE13"/>
  <c r="AO13"/>
  <c r="AD13"/>
  <c r="D13"/>
  <c r="AJ13"/>
  <c r="AK13"/>
  <c r="AM13"/>
  <c r="AN13"/>
  <c r="BX13"/>
  <c r="AH13" s="1"/>
  <c r="BP13"/>
  <c r="AF13"/>
  <c r="G2"/>
  <c r="F2"/>
  <c r="E2"/>
  <c r="D2"/>
  <c r="C2" a="1"/>
  <c r="C2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BA29" i="24"/>
  <c r="BA30"/>
  <c r="BD30" s="1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8" i="25"/>
  <c r="F15" i="26"/>
  <c r="B16"/>
  <c r="B17"/>
  <c r="K7" i="25"/>
  <c r="B14" i="26"/>
  <c r="G14"/>
  <c r="G12"/>
  <c r="K14" i="25"/>
  <c r="K12"/>
  <c r="K11"/>
  <c r="A1" i="2"/>
  <c r="B13" i="26"/>
  <c r="G13"/>
  <c r="K13" i="25"/>
  <c r="H2" i="3"/>
  <c r="G17" i="26"/>
  <c r="C1" i="2"/>
  <c r="B1"/>
  <c r="K10" i="25"/>
  <c r="D1" i="2"/>
  <c r="O2" i="3"/>
  <c r="G15" i="26"/>
  <c r="F12"/>
  <c r="K15" i="25"/>
  <c r="F13" i="26"/>
  <c r="F14"/>
  <c r="B12"/>
  <c r="K9" i="25"/>
  <c r="J34" i="24"/>
  <c r="F16" i="26"/>
  <c r="F17"/>
  <c r="G16"/>
  <c r="B15"/>
  <c r="BD41" i="24" l="1"/>
  <c r="DH85"/>
  <c r="AG39"/>
  <c r="AH80"/>
  <c r="DD53"/>
  <c r="DC48"/>
  <c r="BD83"/>
  <c r="DD95"/>
  <c r="CW69"/>
  <c r="DF20"/>
  <c r="DI72"/>
  <c r="BC94"/>
  <c r="BH94" s="1" a="1"/>
  <c r="BH94" s="1"/>
  <c r="AY69"/>
  <c r="BD40"/>
  <c r="DH25"/>
  <c r="BD63"/>
  <c r="DH24"/>
  <c r="DE54"/>
  <c r="DG23"/>
  <c r="CT79"/>
  <c r="AV70"/>
  <c r="DJ19"/>
  <c r="DI13"/>
  <c r="DC51"/>
  <c r="DE62"/>
  <c r="BY96"/>
  <c r="AL96" s="1"/>
  <c r="DF29"/>
  <c r="DG21"/>
  <c r="CT37"/>
  <c r="AI60"/>
  <c r="DE67"/>
  <c r="BY26"/>
  <c r="AL26" s="1"/>
  <c r="AG26"/>
  <c r="DJ58"/>
  <c r="DG70"/>
  <c r="DH56"/>
  <c r="BY24"/>
  <c r="AI24" s="1"/>
  <c r="CY24"/>
  <c r="DJ71"/>
  <c r="BD64"/>
  <c r="BD80"/>
  <c r="CX33"/>
  <c r="DI34"/>
  <c r="DG67"/>
  <c r="BD44"/>
  <c r="CY43"/>
  <c r="BD45"/>
  <c r="CW48"/>
  <c r="DH57"/>
  <c r="BD82"/>
  <c r="AI34"/>
  <c r="L70"/>
  <c r="AZ70" s="1"/>
  <c r="BD70" s="1"/>
  <c r="K30"/>
  <c r="K38"/>
  <c r="BA38" s="1"/>
  <c r="BD38" s="1"/>
  <c r="L69"/>
  <c r="AZ69" s="1"/>
  <c r="BD69" s="1"/>
  <c r="K29"/>
  <c r="K35"/>
  <c r="BA35" s="1"/>
  <c r="BD35" s="1"/>
  <c r="K37"/>
  <c r="BA37" s="1"/>
  <c r="BD37" s="1"/>
  <c r="K39"/>
  <c r="BA39" s="1"/>
  <c r="K36"/>
  <c r="BA36" s="1"/>
  <c r="BD36" s="1"/>
  <c r="DC50"/>
  <c r="DI68"/>
  <c r="BC84"/>
  <c r="T84" s="1"/>
  <c r="CW31"/>
  <c r="AT41"/>
  <c r="DC68"/>
  <c r="DH74"/>
  <c r="DD85"/>
  <c r="BC95"/>
  <c r="BH95" s="1" a="1"/>
  <c r="BH95" s="1"/>
  <c r="AV69"/>
  <c r="CV32"/>
  <c r="AS41"/>
  <c r="AV41" s="1"/>
  <c r="DF47"/>
  <c r="DI62"/>
  <c r="DC67"/>
  <c r="DJ76"/>
  <c r="BY78"/>
  <c r="AI78" s="1"/>
  <c r="CW77"/>
  <c r="DF90"/>
  <c r="CW80"/>
  <c r="CY53"/>
  <c r="DD82"/>
  <c r="CX13"/>
  <c r="DJ14"/>
  <c r="AT47"/>
  <c r="DD47"/>
  <c r="BD51"/>
  <c r="BD52"/>
  <c r="DG60"/>
  <c r="AQ69"/>
  <c r="CC69" s="1"/>
  <c r="BD71"/>
  <c r="DD71"/>
  <c r="BC75"/>
  <c r="T75" s="1"/>
  <c r="CW76"/>
  <c r="BD81"/>
  <c r="DE89"/>
  <c r="DG36"/>
  <c r="DC44"/>
  <c r="BY14"/>
  <c r="AL14" s="1"/>
  <c r="DI15"/>
  <c r="DE37"/>
  <c r="DG38"/>
  <c r="BD42"/>
  <c r="DJ41"/>
  <c r="DE42"/>
  <c r="DF55"/>
  <c r="DF58"/>
  <c r="CA69"/>
  <c r="DF71"/>
  <c r="DJ75"/>
  <c r="DC77"/>
  <c r="DD41"/>
  <c r="DD57"/>
  <c r="CW64"/>
  <c r="AG67"/>
  <c r="DF68"/>
  <c r="BC87"/>
  <c r="T87" s="1"/>
  <c r="DG90"/>
  <c r="DG30"/>
  <c r="DD68"/>
  <c r="CV36"/>
  <c r="CY37"/>
  <c r="DE46"/>
  <c r="DD54"/>
  <c r="DE73"/>
  <c r="DE81"/>
  <c r="CU97"/>
  <c r="CW27"/>
  <c r="CW39"/>
  <c r="AG49"/>
  <c r="DG55"/>
  <c r="DF60"/>
  <c r="DG72"/>
  <c r="BD75"/>
  <c r="BD76"/>
  <c r="BC85"/>
  <c r="BH85" s="1" a="1"/>
  <c r="BH85" s="1"/>
  <c r="DJ89"/>
  <c r="DE93"/>
  <c r="CW17"/>
  <c r="AH28"/>
  <c r="DF27"/>
  <c r="DF40"/>
  <c r="BD49"/>
  <c r="AG68"/>
  <c r="BC73"/>
  <c r="BH73" s="1" a="1"/>
  <c r="BH73" s="1"/>
  <c r="DD72"/>
  <c r="DF93"/>
  <c r="DG15"/>
  <c r="BD16"/>
  <c r="AG14"/>
  <c r="DI16"/>
  <c r="DH17"/>
  <c r="BY37"/>
  <c r="AI37" s="1"/>
  <c r="DC40"/>
  <c r="CY40"/>
  <c r="BD50"/>
  <c r="CZ50"/>
  <c r="DE53"/>
  <c r="CW57"/>
  <c r="DH59"/>
  <c r="DD60"/>
  <c r="BY62"/>
  <c r="AL62" s="1"/>
  <c r="CZ64"/>
  <c r="DD65"/>
  <c r="DH69"/>
  <c r="BD74"/>
  <c r="DC80"/>
  <c r="DF84"/>
  <c r="BD91"/>
  <c r="BD92"/>
  <c r="DH92"/>
  <c r="CW96"/>
  <c r="DI18"/>
  <c r="BD17"/>
  <c r="CX39"/>
  <c r="DJ40"/>
  <c r="DF41"/>
  <c r="AG43"/>
  <c r="DD42"/>
  <c r="DD44"/>
  <c r="DC57"/>
  <c r="DE61"/>
  <c r="DI75"/>
  <c r="DD76"/>
  <c r="BC78"/>
  <c r="BH78" s="1" a="1"/>
  <c r="BH78" s="1"/>
  <c r="DJ81"/>
  <c r="DC92"/>
  <c r="BC96"/>
  <c r="T96" s="1"/>
  <c r="CZ97"/>
  <c r="DJ34"/>
  <c r="DE18"/>
  <c r="AQ70"/>
  <c r="AP70" s="1"/>
  <c r="DC85"/>
  <c r="DH78"/>
  <c r="BY44"/>
  <c r="AL44" s="1"/>
  <c r="AS47"/>
  <c r="AV47" s="1"/>
  <c r="CY49"/>
  <c r="DI51"/>
  <c r="CX53"/>
  <c r="DI60"/>
  <c r="DF61"/>
  <c r="DC66"/>
  <c r="AW70"/>
  <c r="DG73"/>
  <c r="AG76"/>
  <c r="DH76"/>
  <c r="BC80"/>
  <c r="T80" s="1"/>
  <c r="CY79"/>
  <c r="DC82"/>
  <c r="CV92"/>
  <c r="AG96"/>
  <c r="CX34"/>
  <c r="CY27"/>
  <c r="DH19"/>
  <c r="DG94"/>
  <c r="CX37"/>
  <c r="CY65"/>
  <c r="DD84"/>
  <c r="CU41"/>
  <c r="DI52"/>
  <c r="AH54"/>
  <c r="CX54"/>
  <c r="DG58"/>
  <c r="DC59"/>
  <c r="CS61"/>
  <c r="DD69"/>
  <c r="DC70"/>
  <c r="BD72"/>
  <c r="CY74"/>
  <c r="DH79"/>
  <c r="CV81"/>
  <c r="DG83"/>
  <c r="DE84"/>
  <c r="DC88"/>
  <c r="DJ88"/>
  <c r="DJ93"/>
  <c r="DI94"/>
  <c r="CX30"/>
  <c r="AG31"/>
  <c r="CZ39"/>
  <c r="CT45"/>
  <c r="BD47"/>
  <c r="DH49"/>
  <c r="DD52"/>
  <c r="AG54"/>
  <c r="DI54"/>
  <c r="BD66"/>
  <c r="CD70"/>
  <c r="DC69"/>
  <c r="BD73"/>
  <c r="AG73"/>
  <c r="DH72"/>
  <c r="DE74"/>
  <c r="DE75"/>
  <c r="DJ79"/>
  <c r="BD85"/>
  <c r="BD88"/>
  <c r="DI88"/>
  <c r="CW88"/>
  <c r="DC90"/>
  <c r="AI97"/>
  <c r="CX29"/>
  <c r="DI38"/>
  <c r="DE15"/>
  <c r="AX70"/>
  <c r="AG45"/>
  <c r="AH22"/>
  <c r="BY27"/>
  <c r="AI27" s="1"/>
  <c r="DI42"/>
  <c r="DC43"/>
  <c r="DD50"/>
  <c r="DC52"/>
  <c r="DJ52"/>
  <c r="DC55"/>
  <c r="DI56"/>
  <c r="DD59"/>
  <c r="CW62"/>
  <c r="CX66"/>
  <c r="CA70"/>
  <c r="DC72"/>
  <c r="AH76"/>
  <c r="AG81"/>
  <c r="DD90"/>
  <c r="BC93"/>
  <c r="T93" s="1"/>
  <c r="BD97"/>
  <c r="CW29"/>
  <c r="DE13"/>
  <c r="BY45"/>
  <c r="AL45" s="1"/>
  <c r="BD77"/>
  <c r="CW22"/>
  <c r="CT39"/>
  <c r="DJ20"/>
  <c r="DE45"/>
  <c r="DE47"/>
  <c r="CU64"/>
  <c r="BK70"/>
  <c r="DE72"/>
  <c r="BC81"/>
  <c r="T81" s="1"/>
  <c r="DG81"/>
  <c r="BD84"/>
  <c r="DF86"/>
  <c r="BD96"/>
  <c r="DH36"/>
  <c r="CD41"/>
  <c r="AY41"/>
  <c r="AU48"/>
  <c r="AV48"/>
  <c r="AI68"/>
  <c r="AL68"/>
  <c r="AL80"/>
  <c r="AI80"/>
  <c r="AH50"/>
  <c r="DF69"/>
  <c r="T74"/>
  <c r="DE78"/>
  <c r="CU91"/>
  <c r="CV94"/>
  <c r="BY13"/>
  <c r="AL13" s="1"/>
  <c r="AH17"/>
  <c r="AH18"/>
  <c r="CY21"/>
  <c r="DH26"/>
  <c r="BY50"/>
  <c r="AL50" s="1"/>
  <c r="DJ68"/>
  <c r="BK69"/>
  <c r="DD78"/>
  <c r="BY82"/>
  <c r="AL82" s="1"/>
  <c r="CU92"/>
  <c r="BY30"/>
  <c r="AI30" s="1"/>
  <c r="CX22"/>
  <c r="DI26"/>
  <c r="DH27"/>
  <c r="CZ32"/>
  <c r="AH38"/>
  <c r="CW40"/>
  <c r="AG42"/>
  <c r="DJ42"/>
  <c r="CZ44"/>
  <c r="BD46"/>
  <c r="AH47"/>
  <c r="CV46"/>
  <c r="AR48"/>
  <c r="AY48" s="1"/>
  <c r="DE49"/>
  <c r="CV50"/>
  <c r="DF52"/>
  <c r="AL53"/>
  <c r="CT56"/>
  <c r="CU57"/>
  <c r="DF59"/>
  <c r="AI63"/>
  <c r="AG63"/>
  <c r="AH63"/>
  <c r="DG65"/>
  <c r="BD67"/>
  <c r="DJ69"/>
  <c r="CZ70"/>
  <c r="CV74"/>
  <c r="CV75"/>
  <c r="CS76"/>
  <c r="BC79"/>
  <c r="CY78"/>
  <c r="BY83"/>
  <c r="AI83" s="1"/>
  <c r="DC84"/>
  <c r="DG85"/>
  <c r="CT87"/>
  <c r="CY87"/>
  <c r="CY91"/>
  <c r="CZ92"/>
  <c r="DE94"/>
  <c r="CZ94"/>
  <c r="AH97"/>
  <c r="BC97"/>
  <c r="BH97" s="1" a="1"/>
  <c r="BH97" s="1"/>
  <c r="DH95"/>
  <c r="CW95"/>
  <c r="BY29"/>
  <c r="AL29" s="1"/>
  <c r="DJ35"/>
  <c r="DG50"/>
  <c r="CY71"/>
  <c r="CV72"/>
  <c r="CU87"/>
  <c r="CW54"/>
  <c r="DE56"/>
  <c r="CU68"/>
  <c r="BC77"/>
  <c r="CV82"/>
  <c r="CT83"/>
  <c r="DF85"/>
  <c r="CT86"/>
  <c r="CZ18"/>
  <c r="DF19"/>
  <c r="DH21"/>
  <c r="CX23"/>
  <c r="DI28"/>
  <c r="BY40"/>
  <c r="AI40" s="1"/>
  <c r="CW45"/>
  <c r="BY49"/>
  <c r="AI49" s="1"/>
  <c r="AT48"/>
  <c r="CZ48"/>
  <c r="AH53"/>
  <c r="CY57"/>
  <c r="AG60"/>
  <c r="AL60"/>
  <c r="CZ59"/>
  <c r="CX60"/>
  <c r="DJ61"/>
  <c r="DF63"/>
  <c r="DH65"/>
  <c r="DI67"/>
  <c r="CT67"/>
  <c r="DH73"/>
  <c r="DJ74"/>
  <c r="AH77"/>
  <c r="DD77"/>
  <c r="CX77"/>
  <c r="CU79"/>
  <c r="CZ80"/>
  <c r="CU82"/>
  <c r="CX83"/>
  <c r="AG86"/>
  <c r="AH86"/>
  <c r="CZ85"/>
  <c r="CU88"/>
  <c r="CZ90"/>
  <c r="AG97"/>
  <c r="DE96"/>
  <c r="CT96"/>
  <c r="AH30"/>
  <c r="CZ29"/>
  <c r="AG29"/>
  <c r="DG34"/>
  <c r="CY35"/>
  <c r="DD73"/>
  <c r="CS53"/>
  <c r="DG59"/>
  <c r="CT64"/>
  <c r="AG82"/>
  <c r="DI84"/>
  <c r="CZ91"/>
  <c r="CY93"/>
  <c r="CX20"/>
  <c r="BY32"/>
  <c r="AI32" s="1"/>
  <c r="BY38"/>
  <c r="AH40"/>
  <c r="AH44"/>
  <c r="CS45"/>
  <c r="CV48"/>
  <c r="CW53"/>
  <c r="AG59"/>
  <c r="AH59"/>
  <c r="CW61"/>
  <c r="DI64"/>
  <c r="DG75"/>
  <c r="DH84"/>
  <c r="CV88"/>
  <c r="DG89"/>
  <c r="BY18"/>
  <c r="AL18" s="1"/>
  <c r="CX28"/>
  <c r="AL43"/>
  <c r="DG44"/>
  <c r="CY44"/>
  <c r="DI46"/>
  <c r="CZ46"/>
  <c r="DH47"/>
  <c r="DH48"/>
  <c r="DC49"/>
  <c r="CU50"/>
  <c r="DE52"/>
  <c r="CS56"/>
  <c r="AH60"/>
  <c r="DG63"/>
  <c r="CY70"/>
  <c r="BY77"/>
  <c r="AL77" s="1"/>
  <c r="DF79"/>
  <c r="AH81"/>
  <c r="DI81"/>
  <c r="CZ82"/>
  <c r="DE83"/>
  <c r="AG85"/>
  <c r="CX86"/>
  <c r="CX87"/>
  <c r="CT89"/>
  <c r="BC91"/>
  <c r="BH91" s="1" a="1"/>
  <c r="BH91" s="1"/>
  <c r="BY94"/>
  <c r="BD95"/>
  <c r="DF95"/>
  <c r="DI96"/>
  <c r="DC97"/>
  <c r="AH29"/>
  <c r="DF34"/>
  <c r="CZ55"/>
  <c r="CS58"/>
  <c r="DG82"/>
  <c r="AG92"/>
  <c r="DF42"/>
  <c r="CU44"/>
  <c r="DG74"/>
  <c r="CS95"/>
  <c r="DF18"/>
  <c r="DG18"/>
  <c r="BY23"/>
  <c r="AL23" s="1"/>
  <c r="AG24"/>
  <c r="CW25"/>
  <c r="AI28"/>
  <c r="AG32"/>
  <c r="BD43"/>
  <c r="DH45"/>
  <c r="DD48"/>
  <c r="DH51"/>
  <c r="DI58"/>
  <c r="CX63"/>
  <c r="DF64"/>
  <c r="DE65"/>
  <c r="DE66"/>
  <c r="CX67"/>
  <c r="DI73"/>
  <c r="BD79"/>
  <c r="DI83"/>
  <c r="BD87"/>
  <c r="BY89"/>
  <c r="AI89" s="1"/>
  <c r="DG91"/>
  <c r="AH94"/>
  <c r="BY95"/>
  <c r="AL95" s="1"/>
  <c r="CZ95"/>
  <c r="CS96"/>
  <c r="CX96"/>
  <c r="DG97"/>
  <c r="CV97"/>
  <c r="CV33"/>
  <c r="CV30"/>
  <c r="CY29"/>
  <c r="BD29"/>
  <c r="AG34"/>
  <c r="CX35"/>
  <c r="AH35"/>
  <c r="DE86"/>
  <c r="BY17"/>
  <c r="AL17" s="1"/>
  <c r="AG18"/>
  <c r="CU60"/>
  <c r="DG66"/>
  <c r="DF67"/>
  <c r="CY41"/>
  <c r="AI51"/>
  <c r="CU70"/>
  <c r="BC72"/>
  <c r="CS73"/>
  <c r="CV80"/>
  <c r="DG16"/>
  <c r="DI23"/>
  <c r="BY25"/>
  <c r="AL25" s="1"/>
  <c r="DF25"/>
  <c r="AG28"/>
  <c r="AH41"/>
  <c r="DE40"/>
  <c r="BY42"/>
  <c r="AL42" s="1"/>
  <c r="DH42"/>
  <c r="DG43"/>
  <c r="DJ49"/>
  <c r="DH55"/>
  <c r="BD62"/>
  <c r="AG64"/>
  <c r="DF66"/>
  <c r="BD68"/>
  <c r="AX69"/>
  <c r="CD69"/>
  <c r="BY74"/>
  <c r="AI74" s="1"/>
  <c r="BC76"/>
  <c r="T76" s="1"/>
  <c r="AG80"/>
  <c r="BC82"/>
  <c r="T82" s="1"/>
  <c r="DJ83"/>
  <c r="DI86"/>
  <c r="AG89"/>
  <c r="CS89"/>
  <c r="CX89"/>
  <c r="DE90"/>
  <c r="DF91"/>
  <c r="BD93"/>
  <c r="DG92"/>
  <c r="BD94"/>
  <c r="DH97"/>
  <c r="AH34"/>
  <c r="CA47"/>
  <c r="AQ47"/>
  <c r="CD47"/>
  <c r="AW47"/>
  <c r="BK47"/>
  <c r="AY47"/>
  <c r="AX47"/>
  <c r="BE15"/>
  <c r="CG15"/>
  <c r="AP15"/>
  <c r="CF15"/>
  <c r="CC15"/>
  <c r="AH79"/>
  <c r="BC89"/>
  <c r="BD89"/>
  <c r="DE39"/>
  <c r="CU39"/>
  <c r="DJ53"/>
  <c r="CZ53"/>
  <c r="DC75"/>
  <c r="CS75"/>
  <c r="CW79"/>
  <c r="DG79"/>
  <c r="DI45"/>
  <c r="CY45"/>
  <c r="DI77"/>
  <c r="CY77"/>
  <c r="CX80"/>
  <c r="DH80"/>
  <c r="AG16"/>
  <c r="AI16"/>
  <c r="AH19"/>
  <c r="BY19"/>
  <c r="AI19" s="1"/>
  <c r="DJ27"/>
  <c r="CZ27"/>
  <c r="CV78"/>
  <c r="DF78"/>
  <c r="CS81"/>
  <c r="DC81"/>
  <c r="DG93"/>
  <c r="CW93"/>
  <c r="CZ17"/>
  <c r="DH32"/>
  <c r="DF39"/>
  <c r="CX52"/>
  <c r="CU63"/>
  <c r="DJ65"/>
  <c r="CX71"/>
  <c r="CY90"/>
  <c r="CD15"/>
  <c r="CZ47"/>
  <c r="CZ72"/>
  <c r="CY80"/>
  <c r="CT93"/>
  <c r="DI14"/>
  <c r="CV24"/>
  <c r="CU51"/>
  <c r="BY70"/>
  <c r="AI70" s="1"/>
  <c r="CV73"/>
  <c r="AI76"/>
  <c r="BD78"/>
  <c r="AH90"/>
  <c r="CX93"/>
  <c r="BK15"/>
  <c r="BL15" s="1"/>
  <c r="CU14"/>
  <c r="DJ15"/>
  <c r="CY20"/>
  <c r="CY22"/>
  <c r="DI25"/>
  <c r="AL31"/>
  <c r="CW37"/>
  <c r="DE43"/>
  <c r="CZ43"/>
  <c r="CV44"/>
  <c r="DH46"/>
  <c r="BD48"/>
  <c r="AH48"/>
  <c r="CY47"/>
  <c r="CY48"/>
  <c r="AG52"/>
  <c r="DJ56"/>
  <c r="CU58"/>
  <c r="DI63"/>
  <c r="AG65"/>
  <c r="DF65"/>
  <c r="CV70"/>
  <c r="AG71"/>
  <c r="BY72"/>
  <c r="AL72" s="1"/>
  <c r="CX81"/>
  <c r="CS83"/>
  <c r="DG86"/>
  <c r="AH87"/>
  <c r="CS87"/>
  <c r="BY90"/>
  <c r="AI90" s="1"/>
  <c r="BC92"/>
  <c r="CT91"/>
  <c r="DI92"/>
  <c r="CW19"/>
  <c r="DG19"/>
  <c r="DD40"/>
  <c r="CT40"/>
  <c r="DJ54"/>
  <c r="CZ54"/>
  <c r="DI59"/>
  <c r="CY59"/>
  <c r="DC41"/>
  <c r="CS41"/>
  <c r="AL61"/>
  <c r="AG61"/>
  <c r="DI69"/>
  <c r="CY69"/>
  <c r="DC79"/>
  <c r="CS79"/>
  <c r="AH39"/>
  <c r="AI39"/>
  <c r="BY46"/>
  <c r="AI46" s="1"/>
  <c r="AG46"/>
  <c r="BY58"/>
  <c r="AL58" s="1"/>
  <c r="AG58"/>
  <c r="DG68"/>
  <c r="CW68"/>
  <c r="DD80"/>
  <c r="CT80"/>
  <c r="BC90"/>
  <c r="BD90"/>
  <c r="AH36"/>
  <c r="AG36"/>
  <c r="CY39"/>
  <c r="DI39"/>
  <c r="DG46"/>
  <c r="CW46"/>
  <c r="BY69"/>
  <c r="AI69" s="1"/>
  <c r="AG69"/>
  <c r="BY21"/>
  <c r="AI21" s="1"/>
  <c r="AG21"/>
  <c r="CV37"/>
  <c r="DF37"/>
  <c r="DD58"/>
  <c r="CT58"/>
  <c r="CT61"/>
  <c r="DD61"/>
  <c r="CZ78"/>
  <c r="DJ78"/>
  <c r="BC86"/>
  <c r="BD86"/>
  <c r="DC91"/>
  <c r="CS91"/>
  <c r="BY93"/>
  <c r="AL93" s="1"/>
  <c r="AH93"/>
  <c r="DI33"/>
  <c r="CY33"/>
  <c r="DF22"/>
  <c r="CT38"/>
  <c r="CV45"/>
  <c r="CV51"/>
  <c r="CW56"/>
  <c r="DF57"/>
  <c r="DJ63"/>
  <c r="DF77"/>
  <c r="CU80"/>
  <c r="CX18"/>
  <c r="CV43"/>
  <c r="CZ45"/>
  <c r="DI55"/>
  <c r="CU55"/>
  <c r="DF56"/>
  <c r="CX64"/>
  <c r="CX75"/>
  <c r="CZ77"/>
  <c r="CY82"/>
  <c r="CX94"/>
  <c r="CA15"/>
  <c r="CT14"/>
  <c r="CU48"/>
  <c r="CZ51"/>
  <c r="AH65"/>
  <c r="CW78"/>
  <c r="CT81"/>
  <c r="BY36"/>
  <c r="AI36" s="1"/>
  <c r="CV13"/>
  <c r="CX14"/>
  <c r="AH16"/>
  <c r="DE17"/>
  <c r="CY19"/>
  <c r="AL22"/>
  <c r="CZ23"/>
  <c r="DF23"/>
  <c r="CZ24"/>
  <c r="DF26"/>
  <c r="CZ31"/>
  <c r="DC46"/>
  <c r="CS54"/>
  <c r="CS60"/>
  <c r="CY61"/>
  <c r="CX62"/>
  <c r="CT66"/>
  <c r="CY66"/>
  <c r="CU71"/>
  <c r="CZ73"/>
  <c r="CT74"/>
  <c r="DF76"/>
  <c r="BC88"/>
  <c r="CW87"/>
  <c r="CX91"/>
  <c r="DC93"/>
  <c r="DD94"/>
  <c r="CZ30"/>
  <c r="DC42"/>
  <c r="CS42"/>
  <c r="AH33"/>
  <c r="CV35"/>
  <c r="DF35"/>
  <c r="AX41"/>
  <c r="AQ41"/>
  <c r="BK41"/>
  <c r="CA41"/>
  <c r="DI95"/>
  <c r="CY95"/>
  <c r="DJ13"/>
  <c r="CZ13"/>
  <c r="DG41"/>
  <c r="CW41"/>
  <c r="AG37"/>
  <c r="BY48"/>
  <c r="AI48" s="1"/>
  <c r="DF15"/>
  <c r="CV15"/>
  <c r="DH16"/>
  <c r="CX16"/>
  <c r="BY20"/>
  <c r="AL20" s="1"/>
  <c r="AG20"/>
  <c r="CZ37"/>
  <c r="DJ37"/>
  <c r="DH58"/>
  <c r="CX58"/>
  <c r="CX61"/>
  <c r="DH61"/>
  <c r="BY66"/>
  <c r="AI66" s="1"/>
  <c r="AG66"/>
  <c r="AH66"/>
  <c r="DJ67"/>
  <c r="CZ67"/>
  <c r="CS74"/>
  <c r="DC74"/>
  <c r="DE85"/>
  <c r="CU85"/>
  <c r="DI36"/>
  <c r="CY36"/>
  <c r="DJ33"/>
  <c r="CZ33"/>
  <c r="DH40"/>
  <c r="CT46"/>
  <c r="AG79"/>
  <c r="BY79"/>
  <c r="AI79" s="1"/>
  <c r="CW84"/>
  <c r="AH95"/>
  <c r="BY33"/>
  <c r="AL33" s="1"/>
  <c r="CT18"/>
  <c r="CZ22"/>
  <c r="AW41"/>
  <c r="CY50"/>
  <c r="AL65"/>
  <c r="CS78"/>
  <c r="CY97"/>
  <c r="CX15"/>
  <c r="CZ16"/>
  <c r="CY17"/>
  <c r="CW26"/>
  <c r="CX38"/>
  <c r="BY41"/>
  <c r="AL41" s="1"/>
  <c r="AH46"/>
  <c r="CV49"/>
  <c r="DJ57"/>
  <c r="AI61"/>
  <c r="CT62"/>
  <c r="DD17"/>
  <c r="AL39"/>
  <c r="DH41"/>
  <c r="AG48"/>
  <c r="DD55"/>
  <c r="AH61"/>
  <c r="AI65"/>
  <c r="BD65"/>
  <c r="AH72"/>
  <c r="DD75"/>
  <c r="BC83"/>
  <c r="DC94"/>
  <c r="AG15"/>
  <c r="BY15"/>
  <c r="AL15" s="1"/>
  <c r="CZ60"/>
  <c r="DJ60"/>
  <c r="CU69"/>
  <c r="DE69"/>
  <c r="CU95"/>
  <c r="DE95"/>
  <c r="BY71"/>
  <c r="AI71" s="1"/>
  <c r="CT88"/>
  <c r="DD88"/>
  <c r="DG35"/>
  <c r="CW35"/>
  <c r="DE77"/>
  <c r="CU77"/>
  <c r="CX88"/>
  <c r="DH88"/>
  <c r="BY52"/>
  <c r="AL52" s="1"/>
  <c r="CW20"/>
  <c r="DG20"/>
  <c r="BY47"/>
  <c r="AI47" s="1"/>
  <c r="AH51"/>
  <c r="AG51"/>
  <c r="AG53"/>
  <c r="AI53"/>
  <c r="CV54"/>
  <c r="DF54"/>
  <c r="DE59"/>
  <c r="CU59"/>
  <c r="BY64"/>
  <c r="AI64" s="1"/>
  <c r="BY67"/>
  <c r="AI67" s="1"/>
  <c r="AH83"/>
  <c r="AL86"/>
  <c r="AI86"/>
  <c r="CY85"/>
  <c r="DI85"/>
  <c r="DJ87"/>
  <c r="CZ87"/>
  <c r="DJ36"/>
  <c r="CZ36"/>
  <c r="CT15"/>
  <c r="DG24"/>
  <c r="DG28"/>
  <c r="CX68"/>
  <c r="CT13"/>
  <c r="CV31"/>
  <c r="DG42"/>
  <c r="CW52"/>
  <c r="AH58"/>
  <c r="AG70"/>
  <c r="AG13"/>
  <c r="CW13"/>
  <c r="DG14"/>
  <c r="DF17"/>
  <c r="DF21"/>
  <c r="DJ21"/>
  <c r="CZ25"/>
  <c r="DJ26"/>
  <c r="CY32"/>
  <c r="DF53"/>
  <c r="BY87"/>
  <c r="CS86"/>
  <c r="DF87"/>
  <c r="T94"/>
  <c r="AG78"/>
  <c r="CV38"/>
  <c r="AH25"/>
  <c r="AG27"/>
  <c r="AH31"/>
  <c r="CZ28"/>
  <c r="DF28"/>
  <c r="DH31"/>
  <c r="CY31"/>
  <c r="CW32"/>
  <c r="DJ38"/>
  <c r="DD43"/>
  <c r="CX43"/>
  <c r="DH44"/>
  <c r="DC47"/>
  <c r="DD49"/>
  <c r="DH50"/>
  <c r="CT51"/>
  <c r="AI59"/>
  <c r="AH62"/>
  <c r="CV62"/>
  <c r="DJ62"/>
  <c r="DD63"/>
  <c r="DH70"/>
  <c r="CT70"/>
  <c r="DG71"/>
  <c r="BY73"/>
  <c r="AL73" s="1"/>
  <c r="BY75"/>
  <c r="AI75" s="1"/>
  <c r="AG75"/>
  <c r="DE76"/>
  <c r="DI76"/>
  <c r="AL81"/>
  <c r="AH84"/>
  <c r="CX82"/>
  <c r="DF83"/>
  <c r="BY84"/>
  <c r="AI84" s="1"/>
  <c r="CZ84"/>
  <c r="DJ86"/>
  <c r="CV89"/>
  <c r="BY91"/>
  <c r="AI91" s="1"/>
  <c r="AG91"/>
  <c r="CX90"/>
  <c r="BY92"/>
  <c r="AI92" s="1"/>
  <c r="CT92"/>
  <c r="CV96"/>
  <c r="CZ96"/>
  <c r="CT97"/>
  <c r="CY30"/>
  <c r="AH74"/>
  <c r="BY85"/>
  <c r="AI85" s="1"/>
  <c r="BY88"/>
  <c r="AL88" s="1"/>
  <c r="AG88"/>
  <c r="AH91"/>
  <c r="BY35"/>
  <c r="DF14"/>
  <c r="AG22"/>
  <c r="AG23"/>
  <c r="DE38"/>
  <c r="DG47"/>
  <c r="DG49"/>
  <c r="DG51"/>
  <c r="AL54"/>
  <c r="DJ66"/>
  <c r="DI89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AS2" i="3"/>
  <c r="CV2" s="1" a="1"/>
  <c r="CV2" s="1"/>
  <c r="C12" i="26"/>
  <c r="D12"/>
  <c r="C13"/>
  <c r="D13"/>
  <c r="C14"/>
  <c r="D14"/>
  <c r="C16"/>
  <c r="D16"/>
  <c r="C15"/>
  <c r="D15"/>
  <c r="C17"/>
  <c r="D17"/>
  <c r="D2" i="2"/>
  <c r="C2"/>
  <c r="B2"/>
  <c r="A2"/>
  <c r="C3" i="3"/>
  <c r="C4" s="1"/>
  <c r="C5" s="1"/>
  <c r="C6" s="1"/>
  <c r="C7" s="1"/>
  <c r="C8" s="1"/>
  <c r="C9" s="1"/>
  <c r="C10" s="1"/>
  <c r="C11" s="1"/>
  <c r="C12" s="1"/>
  <c r="AE2"/>
  <c r="CY2" s="1" a="1"/>
  <c r="CY2" s="1"/>
  <c r="DR2" s="1"/>
  <c r="BA15" i="24"/>
  <c r="CK15"/>
  <c r="P2" i="3"/>
  <c r="AW15" i="24"/>
  <c r="BH76" l="1" a="1"/>
  <c r="BH76" s="1"/>
  <c r="BH84" a="1"/>
  <c r="BH84" s="1"/>
  <c r="BB15"/>
  <c r="E12" i="26"/>
  <c r="AL64" i="24"/>
  <c r="T95"/>
  <c r="AL46"/>
  <c r="AL21"/>
  <c r="AI96"/>
  <c r="AU41"/>
  <c r="CE69"/>
  <c r="AL74"/>
  <c r="AI26"/>
  <c r="BE69"/>
  <c r="BG69" s="1"/>
  <c r="BB69"/>
  <c r="BC69" s="1"/>
  <c r="CH69"/>
  <c r="AP69"/>
  <c r="BL69"/>
  <c r="DB87"/>
  <c r="CF69"/>
  <c r="CG69"/>
  <c r="AU47"/>
  <c r="AL24"/>
  <c r="BH93" a="1"/>
  <c r="BH93" s="1"/>
  <c r="BH96" a="1"/>
  <c r="BH96" s="1"/>
  <c r="AL27"/>
  <c r="BH87" a="1"/>
  <c r="BH87" s="1"/>
  <c r="AL30"/>
  <c r="DB95"/>
  <c r="BH81" a="1"/>
  <c r="BH81" s="1"/>
  <c r="BH75" a="1"/>
  <c r="BH75" s="1"/>
  <c r="DB92"/>
  <c r="BH82" a="1"/>
  <c r="BH82" s="1"/>
  <c r="AI14"/>
  <c r="AI52"/>
  <c r="AI50"/>
  <c r="AL19"/>
  <c r="AI29"/>
  <c r="DB45"/>
  <c r="DB68"/>
  <c r="DB70"/>
  <c r="DB90"/>
  <c r="AL78"/>
  <c r="DB72"/>
  <c r="DB52"/>
  <c r="DB53"/>
  <c r="AI44"/>
  <c r="AL69"/>
  <c r="AI72"/>
  <c r="DB82"/>
  <c r="AL32"/>
  <c r="T78"/>
  <c r="DB94"/>
  <c r="AI62"/>
  <c r="AL84"/>
  <c r="T73"/>
  <c r="AI15"/>
  <c r="E13" i="26"/>
  <c r="AL75" i="24"/>
  <c r="AL71"/>
  <c r="CF70"/>
  <c r="AL66"/>
  <c r="DB42"/>
  <c r="AL49"/>
  <c r="BH80" a="1"/>
  <c r="BH80" s="1"/>
  <c r="AL37"/>
  <c r="BL70"/>
  <c r="DB57"/>
  <c r="T85"/>
  <c r="DB48"/>
  <c r="AI42"/>
  <c r="AI45"/>
  <c r="E14" i="26"/>
  <c r="AI77" i="24"/>
  <c r="DB73"/>
  <c r="DB84"/>
  <c r="AI82"/>
  <c r="AI17"/>
  <c r="CH70"/>
  <c r="AI95"/>
  <c r="BB70"/>
  <c r="BC70" s="1"/>
  <c r="BH70" s="1" a="1"/>
  <c r="BH70" s="1"/>
  <c r="DB75"/>
  <c r="AL83"/>
  <c r="DB96"/>
  <c r="AI18"/>
  <c r="DB47"/>
  <c r="AI20"/>
  <c r="DB91"/>
  <c r="DB61"/>
  <c r="CC70"/>
  <c r="DB78"/>
  <c r="AI13"/>
  <c r="CG70"/>
  <c r="AI33"/>
  <c r="DB49"/>
  <c r="AL47"/>
  <c r="AI58"/>
  <c r="DB51"/>
  <c r="DB50"/>
  <c r="CE70"/>
  <c r="E16" i="26"/>
  <c r="DB60" i="24"/>
  <c r="AL91"/>
  <c r="BE70"/>
  <c r="BZ70" s="1"/>
  <c r="AI25"/>
  <c r="DB97"/>
  <c r="BH72" a="1"/>
  <c r="BH72" s="1"/>
  <c r="T72"/>
  <c r="AL94"/>
  <c r="AI94"/>
  <c r="AX48"/>
  <c r="AQ48"/>
  <c r="BK48"/>
  <c r="DB88"/>
  <c r="DB76"/>
  <c r="E15" i="26"/>
  <c r="DB66" i="24"/>
  <c r="AL67"/>
  <c r="AW48"/>
  <c r="CA48"/>
  <c r="BH77" a="1"/>
  <c r="BH77" s="1"/>
  <c r="T77"/>
  <c r="AL38"/>
  <c r="AI38"/>
  <c r="T79"/>
  <c r="BH79" a="1"/>
  <c r="BH79" s="1"/>
  <c r="DB43"/>
  <c r="DB69"/>
  <c r="DB67"/>
  <c r="DB89"/>
  <c r="DB83"/>
  <c r="DB44"/>
  <c r="CD48"/>
  <c r="AL90"/>
  <c r="T97"/>
  <c r="DB79"/>
  <c r="DB46"/>
  <c r="AL85"/>
  <c r="DB81"/>
  <c r="CH15"/>
  <c r="E17" i="26"/>
  <c r="AI88" i="24"/>
  <c r="DB85"/>
  <c r="DB86"/>
  <c r="T91"/>
  <c r="AL79"/>
  <c r="AI23"/>
  <c r="DB74"/>
  <c r="DB56"/>
  <c r="DB77"/>
  <c r="AL40"/>
  <c r="AL89"/>
  <c r="BH88" a="1"/>
  <c r="BH88" s="1"/>
  <c r="T88"/>
  <c r="AP47"/>
  <c r="BE47"/>
  <c r="BL47"/>
  <c r="CC47"/>
  <c r="BB47"/>
  <c r="BC47" s="1"/>
  <c r="CF47"/>
  <c r="CH47"/>
  <c r="CE47"/>
  <c r="CG47"/>
  <c r="AL92"/>
  <c r="T92"/>
  <c r="BH92" a="1"/>
  <c r="BH92" s="1"/>
  <c r="T89"/>
  <c r="BH89" a="1"/>
  <c r="BH89" s="1"/>
  <c r="AL36"/>
  <c r="AI41"/>
  <c r="AL70"/>
  <c r="AI93"/>
  <c r="DB41"/>
  <c r="AP41"/>
  <c r="CC41"/>
  <c r="CF41"/>
  <c r="CG41"/>
  <c r="BL41"/>
  <c r="BB41"/>
  <c r="BC41" s="1"/>
  <c r="BE41"/>
  <c r="CH41"/>
  <c r="CE41"/>
  <c r="BH90" a="1"/>
  <c r="BH90" s="1"/>
  <c r="T90"/>
  <c r="BG15"/>
  <c r="BZ15"/>
  <c r="BF15"/>
  <c r="AI73"/>
  <c r="AI35"/>
  <c r="AL35"/>
  <c r="BH83" a="1"/>
  <c r="BH83" s="1"/>
  <c r="T83"/>
  <c r="T86"/>
  <c r="BH86" a="1"/>
  <c r="BH86" s="1"/>
  <c r="AL48"/>
  <c r="DB54"/>
  <c r="DB93"/>
  <c r="DB58"/>
  <c r="DB40"/>
  <c r="AI87"/>
  <c r="AL87"/>
  <c r="DB59"/>
  <c r="DB55"/>
  <c r="DB80"/>
  <c r="DO2" i="3"/>
  <c r="AH2"/>
  <c r="AF2"/>
  <c r="AG2"/>
  <c r="EF2" s="1"/>
  <c r="AR34" i="24"/>
  <c r="AS34"/>
  <c r="AU34" s="1"/>
  <c r="AT34"/>
  <c r="BD15"/>
  <c r="AX15"/>
  <c r="AY15"/>
  <c r="BC15"/>
  <c r="BH69" l="1" a="1"/>
  <c r="BH69" s="1"/>
  <c r="T69"/>
  <c r="BZ69"/>
  <c r="BF69"/>
  <c r="T70"/>
  <c r="BF70"/>
  <c r="BG70"/>
  <c r="CC48"/>
  <c r="BB48"/>
  <c r="BC48" s="1"/>
  <c r="AP48"/>
  <c r="BE48"/>
  <c r="CF48"/>
  <c r="BL48"/>
  <c r="CH48"/>
  <c r="CE48"/>
  <c r="CG48"/>
  <c r="BH47" a="1"/>
  <c r="BH47" s="1"/>
  <c r="T47"/>
  <c r="BZ41"/>
  <c r="BF41"/>
  <c r="BG41"/>
  <c r="BZ47"/>
  <c r="BF47"/>
  <c r="BG47"/>
  <c r="T41"/>
  <c r="BH41" a="1"/>
  <c r="BH41" s="1"/>
  <c r="C13" i="3"/>
  <c r="C14" s="1"/>
  <c r="C15" s="1"/>
  <c r="C16" s="1"/>
  <c r="C17" s="1"/>
  <c r="C18" s="1"/>
  <c r="C19" s="1"/>
  <c r="C20" s="1"/>
  <c r="AI2"/>
  <c r="AJ2"/>
  <c r="EG2" s="1"/>
  <c r="CZ2" a="1"/>
  <c r="CZ2" s="1"/>
  <c r="DS2" s="1"/>
  <c r="AQ34" i="24"/>
  <c r="BK34"/>
  <c r="CA34"/>
  <c r="CD34"/>
  <c r="T15"/>
  <c r="BH15" a="1"/>
  <c r="BH48" l="1" a="1"/>
  <c r="BH48" s="1"/>
  <c r="T48"/>
  <c r="BF48"/>
  <c r="BG48"/>
  <c r="BZ48"/>
  <c r="C21" i="3"/>
  <c r="C22" s="1"/>
  <c r="C23" s="1"/>
  <c r="C24" s="1"/>
  <c r="C25" s="1"/>
  <c r="C26" s="1"/>
  <c r="C27" s="1"/>
  <c r="C28" s="1"/>
  <c r="C29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BV58"/>
  <c r="CK38"/>
  <c r="J38"/>
  <c r="F11" i="26"/>
  <c r="CB76" i="24"/>
  <c r="CB56"/>
  <c r="CB75"/>
  <c r="BV62"/>
  <c r="BV44"/>
  <c r="AJ56"/>
  <c r="BV36"/>
  <c r="AJ55"/>
  <c r="J29"/>
  <c r="J65"/>
  <c r="AO55"/>
  <c r="J49"/>
  <c r="BV35"/>
  <c r="BV34"/>
  <c r="CB74"/>
  <c r="BV41"/>
  <c r="BV39"/>
  <c r="CK34"/>
  <c r="BV66"/>
  <c r="G8" i="26"/>
  <c r="CK35" i="24"/>
  <c r="CK32"/>
  <c r="BV28"/>
  <c r="BV24"/>
  <c r="G3" i="26"/>
  <c r="J45" i="24"/>
  <c r="BV68"/>
  <c r="J51"/>
  <c r="J68"/>
  <c r="J62"/>
  <c r="BV25"/>
  <c r="CB55"/>
  <c r="J53"/>
  <c r="CB86"/>
  <c r="CB57"/>
  <c r="BX57"/>
  <c r="J64"/>
  <c r="J71"/>
  <c r="BV53"/>
  <c r="BV42"/>
  <c r="CB85"/>
  <c r="J24"/>
  <c r="CB15"/>
  <c r="G5" i="26"/>
  <c r="CK65" i="24"/>
  <c r="BV33"/>
  <c r="CK13"/>
  <c r="G7" i="26"/>
  <c r="AM57" i="24"/>
  <c r="CK63"/>
  <c r="G2" i="26"/>
  <c r="BV50" i="24"/>
  <c r="CB89"/>
  <c r="J43"/>
  <c r="CB93"/>
  <c r="J28"/>
  <c r="AO56"/>
  <c r="BV20"/>
  <c r="CB94"/>
  <c r="CK33"/>
  <c r="BV18"/>
  <c r="J52"/>
  <c r="CB69"/>
  <c r="G6" i="26"/>
  <c r="CK22" i="24"/>
  <c r="BX55"/>
  <c r="B8" i="26"/>
  <c r="BV26" i="24"/>
  <c r="CB82"/>
  <c r="BV60"/>
  <c r="B2" i="26"/>
  <c r="J31" i="24"/>
  <c r="BV57"/>
  <c r="BV69"/>
  <c r="J37"/>
  <c r="BV64"/>
  <c r="BV14"/>
  <c r="CB84"/>
  <c r="BV46"/>
  <c r="BV67"/>
  <c r="BV17"/>
  <c r="BV13"/>
  <c r="BX56"/>
  <c r="BV31"/>
  <c r="AM55"/>
  <c r="CB96"/>
  <c r="F7" i="26"/>
  <c r="J33" i="24"/>
  <c r="BV51"/>
  <c r="J59"/>
  <c r="BV27"/>
  <c r="BV40"/>
  <c r="G11" i="25"/>
  <c r="B4" i="26"/>
  <c r="CK31" i="24"/>
  <c r="J63"/>
  <c r="BV49"/>
  <c r="F3" i="26"/>
  <c r="J42" i="24"/>
  <c r="B14" i="7"/>
  <c r="AW34" i="24"/>
  <c r="BV71"/>
  <c r="CK28"/>
  <c r="BV38"/>
  <c r="CB95"/>
  <c r="J60"/>
  <c r="J66"/>
  <c r="F8" i="26"/>
  <c r="CB79" i="24"/>
  <c r="CB48"/>
  <c r="CB77"/>
  <c r="CB73"/>
  <c r="BV54"/>
  <c r="J46"/>
  <c r="F2" i="26"/>
  <c r="F9"/>
  <c r="AJ57" i="24"/>
  <c r="BV70"/>
  <c r="BV32"/>
  <c r="CB72"/>
  <c r="CK64"/>
  <c r="J61"/>
  <c r="J44"/>
  <c r="CK36"/>
  <c r="J25"/>
  <c r="O2"/>
  <c r="AO57"/>
  <c r="CK21"/>
  <c r="CB41"/>
  <c r="J54"/>
  <c r="F10" i="26"/>
  <c r="CK26" i="24"/>
  <c r="BV47"/>
  <c r="F4" i="26"/>
  <c r="BV22" i="24"/>
  <c r="B5" i="26"/>
  <c r="J50" i="24"/>
  <c r="CK37"/>
  <c r="BV43"/>
  <c r="BV56"/>
  <c r="BV23"/>
  <c r="B10" i="26"/>
  <c r="BV61" i="24"/>
  <c r="BV37"/>
  <c r="J36"/>
  <c r="CB80"/>
  <c r="D14" i="7"/>
  <c r="B9" i="26"/>
  <c r="BV52" i="24"/>
  <c r="CB88"/>
  <c r="CB87"/>
  <c r="CB83"/>
  <c r="CK20"/>
  <c r="CB92"/>
  <c r="X3"/>
  <c r="F5" i="26"/>
  <c r="B11"/>
  <c r="J27" i="24"/>
  <c r="G10" i="26"/>
  <c r="BV15" i="24"/>
  <c r="BV21"/>
  <c r="CB47"/>
  <c r="CK25"/>
  <c r="J26"/>
  <c r="BV48"/>
  <c r="G4" i="26"/>
  <c r="B6"/>
  <c r="BV45" i="24"/>
  <c r="CB81"/>
  <c r="F6" i="26"/>
  <c r="AM56" i="24"/>
  <c r="CK71"/>
  <c r="CB90"/>
  <c r="L3"/>
  <c r="B7" i="26"/>
  <c r="J58" i="24"/>
  <c r="B3" i="26"/>
  <c r="CK39" i="24"/>
  <c r="J67"/>
  <c r="J30"/>
  <c r="G9" i="26"/>
  <c r="CK24" i="24"/>
  <c r="J35"/>
  <c r="CK19"/>
  <c r="CK27"/>
  <c r="CB91"/>
  <c r="J39"/>
  <c r="CK23"/>
  <c r="A1" i="25"/>
  <c r="G11" i="26"/>
  <c r="CK18" i="24"/>
  <c r="CK62"/>
  <c r="J40"/>
  <c r="BV16"/>
  <c r="CB78"/>
  <c r="CB70"/>
  <c r="BV19"/>
  <c r="CB97"/>
  <c r="CK14"/>
  <c r="BV59"/>
  <c r="BV55"/>
  <c r="C31" i="3" l="1"/>
  <c r="C30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H2" s="1"/>
  <c r="G7" i="25" s="1"/>
  <c r="J2" i="24"/>
  <c r="U2" s="1"/>
  <c r="AV15" s="1"/>
  <c r="S2"/>
  <c r="K2"/>
  <c r="AR14"/>
  <c r="AT14"/>
  <c r="AS14"/>
  <c r="AL2" i="3"/>
  <c r="CQ2" a="1"/>
  <c r="CQ2" s="1"/>
  <c r="DJ2" s="1"/>
  <c r="BA2"/>
  <c r="AQ2"/>
  <c r="CW2" s="1" a="1"/>
  <c r="CW2" s="1"/>
  <c r="AP2"/>
  <c r="AO2"/>
  <c r="I21"/>
  <c r="R27"/>
  <c r="R26"/>
  <c r="R25"/>
  <c r="R28"/>
  <c r="R31"/>
  <c r="Q31"/>
  <c r="Q25"/>
  <c r="I25"/>
  <c r="E3" i="26" l="1"/>
  <c r="E7"/>
  <c r="AI57" i="24"/>
  <c r="BA57" s="1"/>
  <c r="E10" i="26"/>
  <c r="E11"/>
  <c r="AI56" i="24"/>
  <c r="BA56" s="1"/>
  <c r="AL55"/>
  <c r="E8" i="26"/>
  <c r="E2"/>
  <c r="E4"/>
  <c r="E9"/>
  <c r="E6"/>
  <c r="E5"/>
  <c r="DP2" i="3"/>
  <c r="F2"/>
  <c r="G2"/>
  <c r="E2" s="1"/>
  <c r="CP2" a="1"/>
  <c r="CP2" s="1"/>
  <c r="DI2" s="1"/>
  <c r="AU14" i="24"/>
  <c r="AV14" s="1"/>
  <c r="AQ14"/>
  <c r="CA14"/>
  <c r="BK14"/>
  <c r="G9" i="25"/>
  <c r="AU13" i="24"/>
  <c r="AV13" s="1"/>
  <c r="AQ13"/>
  <c r="CA13"/>
  <c r="BK13"/>
  <c r="CD38"/>
  <c r="CA38"/>
  <c r="BK38"/>
  <c r="AQ38"/>
  <c r="AU38"/>
  <c r="AU36"/>
  <c r="AQ36"/>
  <c r="BK36"/>
  <c r="CA36"/>
  <c r="CD36"/>
  <c r="CD25"/>
  <c r="CA25"/>
  <c r="BK25"/>
  <c r="AQ25"/>
  <c r="AU25"/>
  <c r="CD68"/>
  <c r="CA68"/>
  <c r="BK68"/>
  <c r="AQ68"/>
  <c r="AU68"/>
  <c r="CD65"/>
  <c r="AQ65"/>
  <c r="CA65"/>
  <c r="BK65"/>
  <c r="AU65"/>
  <c r="CD43"/>
  <c r="AQ43"/>
  <c r="CA43"/>
  <c r="BK43"/>
  <c r="AU43"/>
  <c r="AU35"/>
  <c r="AQ35"/>
  <c r="BK35"/>
  <c r="CA35"/>
  <c r="CD35"/>
  <c r="AU29"/>
  <c r="AQ29"/>
  <c r="BK29"/>
  <c r="CA29"/>
  <c r="CD29"/>
  <c r="CD46"/>
  <c r="CA46"/>
  <c r="BK46"/>
  <c r="AQ46"/>
  <c r="AU46"/>
  <c r="CD23"/>
  <c r="AQ23"/>
  <c r="CA23"/>
  <c r="BK23"/>
  <c r="AU23"/>
  <c r="CD16"/>
  <c r="CA16"/>
  <c r="BK16"/>
  <c r="AQ16"/>
  <c r="AU16"/>
  <c r="CD61"/>
  <c r="CA61"/>
  <c r="BK61"/>
  <c r="AQ61"/>
  <c r="AU61"/>
  <c r="CD44"/>
  <c r="CA44"/>
  <c r="BK44"/>
  <c r="AQ44"/>
  <c r="AU44"/>
  <c r="CD39"/>
  <c r="AQ39"/>
  <c r="CA39"/>
  <c r="BK39"/>
  <c r="AU39"/>
  <c r="CD67"/>
  <c r="CA67"/>
  <c r="BK67"/>
  <c r="AQ67"/>
  <c r="AU67"/>
  <c r="CD59"/>
  <c r="CA59"/>
  <c r="BK59"/>
  <c r="AQ59"/>
  <c r="AU59"/>
  <c r="CD17"/>
  <c r="CA17"/>
  <c r="BK17"/>
  <c r="AQ17"/>
  <c r="AU17"/>
  <c r="CD63"/>
  <c r="CA63"/>
  <c r="BK63"/>
  <c r="AQ63"/>
  <c r="AU63"/>
  <c r="CD45"/>
  <c r="CA45"/>
  <c r="BK45"/>
  <c r="AQ45"/>
  <c r="AU45"/>
  <c r="CD62"/>
  <c r="AQ62"/>
  <c r="CA62"/>
  <c r="BK62"/>
  <c r="AU62"/>
  <c r="CD60"/>
  <c r="CA60"/>
  <c r="BK60"/>
  <c r="AQ60"/>
  <c r="AU60"/>
  <c r="CD54"/>
  <c r="AQ54"/>
  <c r="CA54"/>
  <c r="BK54"/>
  <c r="AU54"/>
  <c r="CD21"/>
  <c r="CA21"/>
  <c r="BK21"/>
  <c r="AQ21"/>
  <c r="AU21"/>
  <c r="CD26"/>
  <c r="AQ26"/>
  <c r="CA26"/>
  <c r="BK26"/>
  <c r="AU26"/>
  <c r="CD18"/>
  <c r="CA18"/>
  <c r="BK18"/>
  <c r="AQ18"/>
  <c r="AU18"/>
  <c r="CD66"/>
  <c r="AQ66"/>
  <c r="CA66"/>
  <c r="BK66"/>
  <c r="AU66"/>
  <c r="CD37"/>
  <c r="CA37"/>
  <c r="BK37"/>
  <c r="AQ37"/>
  <c r="AU37"/>
  <c r="CD22"/>
  <c r="CA22"/>
  <c r="BK22"/>
  <c r="AQ22"/>
  <c r="AU22"/>
  <c r="CD31"/>
  <c r="CA31"/>
  <c r="BK31"/>
  <c r="AQ31"/>
  <c r="AU31"/>
  <c r="CD58"/>
  <c r="AQ58"/>
  <c r="CA58"/>
  <c r="BK58"/>
  <c r="AU58"/>
  <c r="CD32"/>
  <c r="AQ32"/>
  <c r="CA32"/>
  <c r="BK32"/>
  <c r="AU32"/>
  <c r="CD71"/>
  <c r="AQ71"/>
  <c r="CA71"/>
  <c r="BK71"/>
  <c r="AU71"/>
  <c r="CD24"/>
  <c r="CA24"/>
  <c r="BK24"/>
  <c r="AQ24"/>
  <c r="AU24"/>
  <c r="CD49"/>
  <c r="AQ49"/>
  <c r="CA49"/>
  <c r="BK49"/>
  <c r="AU49"/>
  <c r="CD40"/>
  <c r="CA40"/>
  <c r="BK40"/>
  <c r="AQ40"/>
  <c r="AU40"/>
  <c r="AV40" s="1"/>
  <c r="CD50"/>
  <c r="AQ50"/>
  <c r="CA50"/>
  <c r="BK50"/>
  <c r="AU50"/>
  <c r="CD20"/>
  <c r="CA20"/>
  <c r="BK20"/>
  <c r="AQ20"/>
  <c r="AU20"/>
  <c r="AU33"/>
  <c r="AQ33"/>
  <c r="BK33"/>
  <c r="CA33"/>
  <c r="CD33"/>
  <c r="CD19"/>
  <c r="CA19"/>
  <c r="BK19"/>
  <c r="AQ19"/>
  <c r="AU19"/>
  <c r="CD51"/>
  <c r="CA51"/>
  <c r="BK51"/>
  <c r="AQ51"/>
  <c r="AU51"/>
  <c r="CD27"/>
  <c r="CA27"/>
  <c r="BK27"/>
  <c r="AQ27"/>
  <c r="AU27"/>
  <c r="CD53"/>
  <c r="CA53"/>
  <c r="BK53"/>
  <c r="AQ53"/>
  <c r="AU53"/>
  <c r="CD52"/>
  <c r="AQ52"/>
  <c r="CA52"/>
  <c r="BK52"/>
  <c r="AU52"/>
  <c r="CD28"/>
  <c r="AQ28"/>
  <c r="CA28"/>
  <c r="BK28"/>
  <c r="AU28"/>
  <c r="AU30"/>
  <c r="AQ30"/>
  <c r="BK30"/>
  <c r="CA30"/>
  <c r="CD30"/>
  <c r="CD64"/>
  <c r="CA64"/>
  <c r="BK64"/>
  <c r="AQ64"/>
  <c r="AU64"/>
  <c r="CD42"/>
  <c r="CA42"/>
  <c r="BK42"/>
  <c r="AQ42"/>
  <c r="AU42"/>
  <c r="AZ56"/>
  <c r="AZ55"/>
  <c r="BA55"/>
  <c r="BD39"/>
  <c r="T2"/>
  <c r="J21" i="3" a="1"/>
  <c r="W21" a="1"/>
  <c r="V21" a="1"/>
  <c r="U21" a="1"/>
  <c r="S21" a="1"/>
  <c r="R29"/>
  <c r="Q24"/>
  <c r="I17"/>
  <c r="S31" a="1"/>
  <c r="I27"/>
  <c r="I30"/>
  <c r="I24"/>
  <c r="W25" a="1"/>
  <c r="Q11"/>
  <c r="Q10"/>
  <c r="Q20"/>
  <c r="Q28"/>
  <c r="Q15"/>
  <c r="Q2"/>
  <c r="Q18"/>
  <c r="AF20"/>
  <c r="S25" a="1"/>
  <c r="I20"/>
  <c r="Q5"/>
  <c r="I15"/>
  <c r="W31" a="1"/>
  <c r="V31" a="1"/>
  <c r="Q30"/>
  <c r="Q26"/>
  <c r="Q16"/>
  <c r="I10"/>
  <c r="Q27"/>
  <c r="U31" a="1"/>
  <c r="Q14"/>
  <c r="Q22"/>
  <c r="U25" a="1"/>
  <c r="I31"/>
  <c r="Q4"/>
  <c r="Q7"/>
  <c r="Q12"/>
  <c r="Q19"/>
  <c r="I13"/>
  <c r="Q3"/>
  <c r="J25" a="1"/>
  <c r="I14"/>
  <c r="I19"/>
  <c r="I29"/>
  <c r="Q8"/>
  <c r="Q23"/>
  <c r="I16"/>
  <c r="I18"/>
  <c r="Q17"/>
  <c r="I9"/>
  <c r="I28"/>
  <c r="Q9"/>
  <c r="Q29"/>
  <c r="V25" a="1"/>
  <c r="I22"/>
  <c r="I23"/>
  <c r="I26"/>
  <c r="Q13"/>
  <c r="Q21"/>
  <c r="S31" l="1"/>
  <c r="W31"/>
  <c r="V31"/>
  <c r="CU31" s="1" a="1"/>
  <c r="CU31" s="1"/>
  <c r="DN31" s="1" a="1"/>
  <c r="DN31" s="1"/>
  <c r="U31"/>
  <c r="S25"/>
  <c r="J25"/>
  <c r="U25"/>
  <c r="W25"/>
  <c r="V25"/>
  <c r="CU25" s="1" a="1"/>
  <c r="CU25" s="1"/>
  <c r="DN25" s="1" a="1"/>
  <c r="DN25" s="1"/>
  <c r="AZ57" i="24"/>
  <c r="BD57" s="1"/>
  <c r="S21" i="3"/>
  <c r="U21"/>
  <c r="V21"/>
  <c r="CU21" s="1" a="1"/>
  <c r="CU21" s="1"/>
  <c r="DN21" s="1" a="1"/>
  <c r="DN21" s="1"/>
  <c r="W21"/>
  <c r="J21"/>
  <c r="G15" i="25"/>
  <c r="BC55" i="24"/>
  <c r="BD55"/>
  <c r="BC56"/>
  <c r="BD56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1" i="3"/>
  <c r="L21"/>
  <c r="K21"/>
  <c r="M25"/>
  <c r="L25"/>
  <c r="K25"/>
  <c r="CV25" s="1" a="1"/>
  <c r="R10"/>
  <c r="R23"/>
  <c r="R13"/>
  <c r="R12"/>
  <c r="R15"/>
  <c r="R21"/>
  <c r="R11"/>
  <c r="R24"/>
  <c r="R14"/>
  <c r="R4"/>
  <c r="R5"/>
  <c r="R7"/>
  <c r="R8"/>
  <c r="R3"/>
  <c r="R16"/>
  <c r="R18"/>
  <c r="R19"/>
  <c r="R2"/>
  <c r="R22"/>
  <c r="R17"/>
  <c r="R20"/>
  <c r="R9"/>
  <c r="R30"/>
  <c r="U27" a="1"/>
  <c r="S9" a="1"/>
  <c r="W14" a="1"/>
  <c r="U24" a="1"/>
  <c r="W28" a="1"/>
  <c r="W16" a="1"/>
  <c r="W30" a="1"/>
  <c r="W15" a="1"/>
  <c r="V10" a="1"/>
  <c r="V28" a="1"/>
  <c r="V26" a="1"/>
  <c r="J18" a="1"/>
  <c r="U17" a="1"/>
  <c r="S23" a="1"/>
  <c r="J27" a="1"/>
  <c r="J23" a="1"/>
  <c r="J10" a="1"/>
  <c r="U22" a="1"/>
  <c r="V17" a="1"/>
  <c r="V18" a="1"/>
  <c r="V9" a="1"/>
  <c r="J14" a="1"/>
  <c r="U16" a="1"/>
  <c r="S27" a="1"/>
  <c r="J15" a="1"/>
  <c r="W24" a="1"/>
  <c r="W27" a="1"/>
  <c r="V13" a="1"/>
  <c r="W17" a="1"/>
  <c r="W26" a="1"/>
  <c r="J28" a="1"/>
  <c r="S17" a="1"/>
  <c r="V15" a="1"/>
  <c r="J9" a="1"/>
  <c r="S19" a="1"/>
  <c r="S15" a="1"/>
  <c r="U30" a="1"/>
  <c r="S14" a="1"/>
  <c r="W10" a="1"/>
  <c r="CW15" a="1"/>
  <c r="V24" a="1"/>
  <c r="W13" a="1"/>
  <c r="U9" a="1"/>
  <c r="S28" a="1"/>
  <c r="J19" a="1"/>
  <c r="J30" a="1"/>
  <c r="W20" a="1"/>
  <c r="S10" a="1"/>
  <c r="J17" a="1"/>
  <c r="V30" a="1"/>
  <c r="J26" a="1"/>
  <c r="J16" a="1"/>
  <c r="U19" a="1"/>
  <c r="W23" a="1"/>
  <c r="S13" a="1"/>
  <c r="U20" a="1"/>
  <c r="V19" a="1"/>
  <c r="V23" a="1"/>
  <c r="J31" a="1"/>
  <c r="S20" a="1"/>
  <c r="U26" a="1"/>
  <c r="V22" a="1"/>
  <c r="W19" a="1"/>
  <c r="U29" a="1"/>
  <c r="J22" a="1"/>
  <c r="J20" a="1"/>
  <c r="S26" a="1"/>
  <c r="W29" a="1"/>
  <c r="V16" a="1"/>
  <c r="S30" a="1"/>
  <c r="J29" a="1"/>
  <c r="U28" a="1"/>
  <c r="V20" a="1"/>
  <c r="U23" a="1"/>
  <c r="U18" a="1"/>
  <c r="J13" a="1"/>
  <c r="U15" a="1"/>
  <c r="U10" a="1"/>
  <c r="W22" a="1"/>
  <c r="S24" a="1"/>
  <c r="S16" a="1"/>
  <c r="J24" a="1"/>
  <c r="S22" a="1"/>
  <c r="S18" a="1"/>
  <c r="U14" a="1"/>
  <c r="V27" a="1"/>
  <c r="V14" a="1"/>
  <c r="W9" a="1"/>
  <c r="V29" a="1"/>
  <c r="S29" a="1"/>
  <c r="U13" a="1"/>
  <c r="W18" a="1"/>
  <c r="S29" l="1"/>
  <c r="BB29" s="1"/>
  <c r="V29"/>
  <c r="CU29" s="1" a="1"/>
  <c r="CU29" s="1"/>
  <c r="DN29" s="1" a="1"/>
  <c r="DN29" s="1"/>
  <c r="V27"/>
  <c r="CU27" s="1" a="1"/>
  <c r="CU27" s="1"/>
  <c r="DN27" s="1" a="1"/>
  <c r="DN27" s="1"/>
  <c r="J29"/>
  <c r="L29" s="1"/>
  <c r="W29"/>
  <c r="ED29" s="1"/>
  <c r="DZ29" s="1"/>
  <c r="U29"/>
  <c r="J31"/>
  <c r="W27"/>
  <c r="ED27" s="1"/>
  <c r="DZ27" s="1"/>
  <c r="S27"/>
  <c r="BB27" s="1"/>
  <c r="U27"/>
  <c r="CS29" a="1"/>
  <c r="CS29" s="1"/>
  <c r="DL29" s="1"/>
  <c r="CR29" a="1"/>
  <c r="CR29" s="1"/>
  <c r="DK29" s="1"/>
  <c r="J26"/>
  <c r="V26"/>
  <c r="CU26" s="1" a="1"/>
  <c r="CU26" s="1"/>
  <c r="DN26" s="1" a="1"/>
  <c r="DN26" s="1"/>
  <c r="U30"/>
  <c r="S26"/>
  <c r="S30"/>
  <c r="V28"/>
  <c r="CU28" s="1" a="1"/>
  <c r="CU28" s="1"/>
  <c r="DN28" s="1" a="1"/>
  <c r="DN28" s="1"/>
  <c r="S28"/>
  <c r="BB28" s="1"/>
  <c r="V30"/>
  <c r="CU30" s="1" a="1"/>
  <c r="CU30" s="1"/>
  <c r="DN30" s="1" a="1"/>
  <c r="DN30" s="1"/>
  <c r="J27"/>
  <c r="U26"/>
  <c r="W30"/>
  <c r="W28"/>
  <c r="J28"/>
  <c r="W26"/>
  <c r="CS26" s="1" a="1"/>
  <c r="CS26" s="1"/>
  <c r="DL26" s="1"/>
  <c r="U28"/>
  <c r="J30"/>
  <c r="CS31" a="1"/>
  <c r="CS31" s="1"/>
  <c r="DL31" s="1"/>
  <c r="ED31"/>
  <c r="DZ31" s="1"/>
  <c r="CR31" a="1"/>
  <c r="CR31" s="1"/>
  <c r="DK31" s="1"/>
  <c r="AA31"/>
  <c r="BB31"/>
  <c r="CV25"/>
  <c r="DO25" s="1"/>
  <c r="T25" a="1"/>
  <c r="T25" s="1"/>
  <c r="Z25" s="1"/>
  <c r="N25"/>
  <c r="CS25" a="1"/>
  <c r="CS25" s="1"/>
  <c r="DL25" s="1"/>
  <c r="CR25" a="1"/>
  <c r="CR25" s="1"/>
  <c r="DK25" s="1"/>
  <c r="ED25"/>
  <c r="DZ25" s="1"/>
  <c r="AA25"/>
  <c r="BB25"/>
  <c r="CR27" a="1"/>
  <c r="CR27" s="1"/>
  <c r="DK27" s="1"/>
  <c r="CS27" a="1"/>
  <c r="CS27" s="1"/>
  <c r="DL27" s="1"/>
  <c r="BC57" i="24"/>
  <c r="T57" s="1"/>
  <c r="V20" i="3"/>
  <c r="CU20" s="1" a="1"/>
  <c r="CU20" s="1"/>
  <c r="DN20" s="1" a="1"/>
  <c r="DN20" s="1"/>
  <c r="W20"/>
  <c r="ED20" s="1"/>
  <c r="DZ20" s="1"/>
  <c r="J20"/>
  <c r="S20"/>
  <c r="U20"/>
  <c r="BB20"/>
  <c r="T21" a="1"/>
  <c r="T21" s="1"/>
  <c r="N21"/>
  <c r="ED21"/>
  <c r="DZ21" s="1"/>
  <c r="CS21" a="1"/>
  <c r="CS21" s="1"/>
  <c r="DL21" s="1"/>
  <c r="CR21" a="1"/>
  <c r="CR21" s="1"/>
  <c r="DK21" s="1"/>
  <c r="AW21"/>
  <c r="AB21" a="1"/>
  <c r="AB21" s="1"/>
  <c r="AC21" s="1" a="1"/>
  <c r="AC21" s="1"/>
  <c r="AD21" s="1"/>
  <c r="AK21" s="1"/>
  <c r="Y21" a="1"/>
  <c r="Y21" s="1"/>
  <c r="X21" a="1"/>
  <c r="X21" s="1"/>
  <c r="AA21"/>
  <c r="Z21"/>
  <c r="BB21"/>
  <c r="J24"/>
  <c r="W24"/>
  <c r="V24"/>
  <c r="CU24" s="1" a="1"/>
  <c r="CU24" s="1"/>
  <c r="DN24" s="1" a="1"/>
  <c r="DN24" s="1"/>
  <c r="U24"/>
  <c r="S24"/>
  <c r="CW15"/>
  <c r="DP15" s="1"/>
  <c r="J13"/>
  <c r="W13"/>
  <c r="V13"/>
  <c r="CU13" s="1" a="1"/>
  <c r="CU13" s="1"/>
  <c r="DN13" s="1" a="1"/>
  <c r="DN13" s="1"/>
  <c r="U13"/>
  <c r="S13"/>
  <c r="J14"/>
  <c r="W14"/>
  <c r="V14"/>
  <c r="U14"/>
  <c r="S14"/>
  <c r="J15"/>
  <c r="W15"/>
  <c r="V15"/>
  <c r="CU15" s="1" a="1"/>
  <c r="CU15" s="1"/>
  <c r="DN15" s="1" a="1"/>
  <c r="DN15" s="1"/>
  <c r="U15"/>
  <c r="S15"/>
  <c r="J16"/>
  <c r="W16"/>
  <c r="V16"/>
  <c r="CU16" s="1" a="1"/>
  <c r="CU16" s="1"/>
  <c r="DN16" s="1" a="1"/>
  <c r="DN16" s="1"/>
  <c r="U16"/>
  <c r="S16"/>
  <c r="J17"/>
  <c r="W17"/>
  <c r="V17"/>
  <c r="CU17" s="1" a="1"/>
  <c r="CU17" s="1"/>
  <c r="DN17" s="1" a="1"/>
  <c r="DN17" s="1"/>
  <c r="U17"/>
  <c r="S17"/>
  <c r="J18"/>
  <c r="W18"/>
  <c r="V18"/>
  <c r="CU18" s="1" a="1"/>
  <c r="CU18" s="1"/>
  <c r="DN18" s="1" a="1"/>
  <c r="DN18" s="1"/>
  <c r="U18"/>
  <c r="S18"/>
  <c r="J19"/>
  <c r="W19"/>
  <c r="V19"/>
  <c r="CU19" s="1" a="1"/>
  <c r="CU19" s="1"/>
  <c r="DN19" s="1" a="1"/>
  <c r="DN19" s="1"/>
  <c r="U19"/>
  <c r="S19"/>
  <c r="J22"/>
  <c r="W22"/>
  <c r="V22"/>
  <c r="CU22" s="1" a="1"/>
  <c r="CU22" s="1"/>
  <c r="DN22" s="1" a="1"/>
  <c r="DN22" s="1"/>
  <c r="U22"/>
  <c r="S22"/>
  <c r="J23"/>
  <c r="W23"/>
  <c r="V23"/>
  <c r="U23"/>
  <c r="S23"/>
  <c r="W10"/>
  <c r="ED10" s="1"/>
  <c r="DZ10" s="1"/>
  <c r="V10"/>
  <c r="U10"/>
  <c r="S10"/>
  <c r="AA10" s="1"/>
  <c r="J10"/>
  <c r="L10" s="1"/>
  <c r="W9"/>
  <c r="ED9" s="1"/>
  <c r="DZ9" s="1"/>
  <c r="V9"/>
  <c r="U9"/>
  <c r="S9"/>
  <c r="BB9" s="1"/>
  <c r="J9"/>
  <c r="BB8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BH56" a="1"/>
  <c r="BH56" s="1"/>
  <c r="T56"/>
  <c r="T55"/>
  <c r="BH55" a="1"/>
  <c r="BH55" s="1"/>
  <c r="K10" i="3"/>
  <c r="AW65" i="24"/>
  <c r="AW29"/>
  <c r="AW63"/>
  <c r="AW30"/>
  <c r="Y27" i="3" a="1"/>
  <c r="X28" a="1"/>
  <c r="L9"/>
  <c r="AB29" a="1"/>
  <c r="Y29" a="1"/>
  <c r="X31" a="1"/>
  <c r="K9"/>
  <c r="X25" a="1"/>
  <c r="AB25" a="1"/>
  <c r="AB31" a="1"/>
  <c r="AN21"/>
  <c r="Y28" a="1"/>
  <c r="Y25" a="1"/>
  <c r="AB27" a="1"/>
  <c r="Y31" a="1"/>
  <c r="X9" a="1"/>
  <c r="AB28" a="1"/>
  <c r="X27" a="1"/>
  <c r="CU23" a="1"/>
  <c r="CU14" a="1"/>
  <c r="X29" a="1"/>
  <c r="K29" l="1"/>
  <c r="N29"/>
  <c r="AV29" s="1"/>
  <c r="M29"/>
  <c r="T29" s="1" a="1"/>
  <c r="T29" s="1"/>
  <c r="Z29" s="1"/>
  <c r="AW29" s="1"/>
  <c r="AA29"/>
  <c r="M31"/>
  <c r="L31"/>
  <c r="K31"/>
  <c r="AA27"/>
  <c r="AA28"/>
  <c r="AA26"/>
  <c r="AB29"/>
  <c r="AC29" s="1" a="1"/>
  <c r="AC29" s="1"/>
  <c r="AD29" s="1"/>
  <c r="AK29" s="1"/>
  <c r="Y29"/>
  <c r="X29"/>
  <c r="ED28"/>
  <c r="DZ28" s="1"/>
  <c r="CR28" a="1"/>
  <c r="CR28" s="1"/>
  <c r="DK28" s="1"/>
  <c r="BB26"/>
  <c r="ED26"/>
  <c r="DZ26" s="1"/>
  <c r="CS28" a="1"/>
  <c r="CS28" s="1"/>
  <c r="DL28" s="1"/>
  <c r="ED30"/>
  <c r="DZ30" s="1"/>
  <c r="CR30" a="1"/>
  <c r="CR30" s="1"/>
  <c r="DK30" s="1"/>
  <c r="CS30" a="1"/>
  <c r="CS30" s="1"/>
  <c r="DL30" s="1"/>
  <c r="K27"/>
  <c r="CV27" s="1" a="1"/>
  <c r="CV27" s="1"/>
  <c r="DO27" s="1"/>
  <c r="L27"/>
  <c r="M27"/>
  <c r="T27" s="1" a="1"/>
  <c r="T27" s="1"/>
  <c r="Z27" s="1"/>
  <c r="AW27" s="1"/>
  <c r="K26"/>
  <c r="CV26" s="1" a="1"/>
  <c r="CV26" s="1"/>
  <c r="DO26" s="1"/>
  <c r="L26"/>
  <c r="M26"/>
  <c r="T26" s="1" a="1"/>
  <c r="T26" s="1"/>
  <c r="Z26" s="1"/>
  <c r="AW26" s="1"/>
  <c r="K28"/>
  <c r="M28"/>
  <c r="L28"/>
  <c r="AA30"/>
  <c r="BB30"/>
  <c r="CR26" a="1"/>
  <c r="CR26" s="1"/>
  <c r="DK26" s="1"/>
  <c r="L30"/>
  <c r="N30"/>
  <c r="K30"/>
  <c r="M30"/>
  <c r="T30" s="1" a="1"/>
  <c r="T30" s="1"/>
  <c r="Z30" s="1"/>
  <c r="AW30" s="1"/>
  <c r="Y31"/>
  <c r="AB31"/>
  <c r="AC31" s="1" a="1"/>
  <c r="AC31" s="1"/>
  <c r="AD31" s="1"/>
  <c r="AK31" s="1"/>
  <c r="X31"/>
  <c r="AB28"/>
  <c r="AC28" s="1" a="1"/>
  <c r="AC28" s="1"/>
  <c r="AD28" s="1"/>
  <c r="AK28" s="1"/>
  <c r="X28"/>
  <c r="Y28"/>
  <c r="X27"/>
  <c r="AB27"/>
  <c r="AC27" s="1" a="1"/>
  <c r="AC27" s="1"/>
  <c r="AD27" s="1"/>
  <c r="AK27" s="1"/>
  <c r="X25"/>
  <c r="Y25"/>
  <c r="Y27"/>
  <c r="AB25"/>
  <c r="AC25" s="1" a="1"/>
  <c r="AC25" s="1"/>
  <c r="AD25" s="1"/>
  <c r="AK25" s="1"/>
  <c r="AT25"/>
  <c r="AR25"/>
  <c r="CT25" s="1" a="1"/>
  <c r="CT25" s="1"/>
  <c r="DM25" s="1"/>
  <c r="AY25"/>
  <c r="AZ25" s="1" a="1"/>
  <c r="AZ25" s="1"/>
  <c r="AU25"/>
  <c r="AX25" a="1"/>
  <c r="AX25" s="1"/>
  <c r="E25" s="1"/>
  <c r="AV25"/>
  <c r="BC25"/>
  <c r="BD25"/>
  <c r="AW25"/>
  <c r="AA9"/>
  <c r="Y10" a="1"/>
  <c r="Y10" s="1"/>
  <c r="AB10" a="1"/>
  <c r="AB10" s="1"/>
  <c r="AC10" s="1" a="1"/>
  <c r="AC10" s="1"/>
  <c r="AD10" s="1"/>
  <c r="AK10" s="1"/>
  <c r="BH57" i="24" a="1"/>
  <c r="BH57" s="1"/>
  <c r="BB10" i="3"/>
  <c r="BI10" s="1"/>
  <c r="BM10" s="1"/>
  <c r="CS20" a="1"/>
  <c r="CS20" s="1"/>
  <c r="DL20" s="1"/>
  <c r="X10" a="1"/>
  <c r="X10" s="1"/>
  <c r="CR20" a="1"/>
  <c r="CR20" s="1"/>
  <c r="DK20" s="1"/>
  <c r="L20"/>
  <c r="M20"/>
  <c r="T20" s="1" a="1"/>
  <c r="T20" s="1"/>
  <c r="Z20" s="1"/>
  <c r="AW20" s="1"/>
  <c r="K20"/>
  <c r="AA20"/>
  <c r="CR9" a="1"/>
  <c r="CR9" s="1"/>
  <c r="DK9" s="1"/>
  <c r="CR10" a="1"/>
  <c r="CR10" s="1"/>
  <c r="DK10" s="1"/>
  <c r="BD20"/>
  <c r="BC20"/>
  <c r="BI21"/>
  <c r="BM21" s="1"/>
  <c r="AZ21" a="1"/>
  <c r="AZ21" s="1"/>
  <c r="AX21" a="1"/>
  <c r="AX21" s="1"/>
  <c r="AV21"/>
  <c r="AU21"/>
  <c r="AT21"/>
  <c r="AR21"/>
  <c r="CT21" s="1" a="1"/>
  <c r="CT21" s="1"/>
  <c r="DM21" s="1"/>
  <c r="BD21"/>
  <c r="BC21"/>
  <c r="E21"/>
  <c r="AA24"/>
  <c r="BB24"/>
  <c r="CR24" a="1"/>
  <c r="CR24" s="1"/>
  <c r="DK24" s="1"/>
  <c r="CS24" a="1"/>
  <c r="CS24" s="1"/>
  <c r="DL24" s="1"/>
  <c r="ED24"/>
  <c r="DZ24" s="1"/>
  <c r="CU23"/>
  <c r="DN23" s="1" a="1"/>
  <c r="DN23" s="1"/>
  <c r="CU14"/>
  <c r="DN14" s="1" a="1"/>
  <c r="DN14" s="1"/>
  <c r="AA23"/>
  <c r="BB23"/>
  <c r="CR23" a="1"/>
  <c r="CR23" s="1"/>
  <c r="DK23" s="1"/>
  <c r="CS23" a="1"/>
  <c r="CS23" s="1"/>
  <c r="DL23" s="1"/>
  <c r="ED23"/>
  <c r="DZ23" s="1"/>
  <c r="AA22"/>
  <c r="BB22"/>
  <c r="CR22" a="1"/>
  <c r="CR22" s="1"/>
  <c r="DK22" s="1"/>
  <c r="CS22" a="1"/>
  <c r="CS22" s="1"/>
  <c r="DL22" s="1"/>
  <c r="ED22"/>
  <c r="DZ22" s="1"/>
  <c r="AA19"/>
  <c r="BB19"/>
  <c r="CR19" a="1"/>
  <c r="CR19" s="1"/>
  <c r="DK19" s="1"/>
  <c r="CS19" a="1"/>
  <c r="CS19" s="1"/>
  <c r="DL19" s="1"/>
  <c r="ED19"/>
  <c r="DZ19" s="1"/>
  <c r="AA18"/>
  <c r="BB18"/>
  <c r="CR18" a="1"/>
  <c r="CR18" s="1"/>
  <c r="DK18" s="1"/>
  <c r="CS18" a="1"/>
  <c r="CS18" s="1"/>
  <c r="DL18" s="1"/>
  <c r="ED18"/>
  <c r="DZ18" s="1"/>
  <c r="AA17"/>
  <c r="BB17"/>
  <c r="CR17" a="1"/>
  <c r="CR17" s="1"/>
  <c r="DK17" s="1"/>
  <c r="CS17" a="1"/>
  <c r="CS17" s="1"/>
  <c r="DL17" s="1"/>
  <c r="ED17"/>
  <c r="DZ17" s="1"/>
  <c r="K17"/>
  <c r="L17"/>
  <c r="M17"/>
  <c r="T17" s="1" a="1"/>
  <c r="T17" s="1"/>
  <c r="Z17" s="1"/>
  <c r="AA16"/>
  <c r="BB16"/>
  <c r="CR16" a="1"/>
  <c r="CR16" s="1"/>
  <c r="DK16" s="1"/>
  <c r="CS16" a="1"/>
  <c r="CS16" s="1"/>
  <c r="DL16" s="1"/>
  <c r="ED16"/>
  <c r="DZ16" s="1"/>
  <c r="K16"/>
  <c r="L16"/>
  <c r="M16"/>
  <c r="T16" s="1" a="1"/>
  <c r="T16" s="1"/>
  <c r="Z16" s="1"/>
  <c r="AA15"/>
  <c r="BB15"/>
  <c r="CR15" a="1"/>
  <c r="CR15" s="1"/>
  <c r="DK15" s="1"/>
  <c r="CS15" a="1"/>
  <c r="CS15" s="1"/>
  <c r="DL15" s="1"/>
  <c r="ED15"/>
  <c r="DZ15" s="1"/>
  <c r="K15"/>
  <c r="L15"/>
  <c r="M15"/>
  <c r="T15" s="1" a="1"/>
  <c r="T15" s="1"/>
  <c r="Z15" s="1"/>
  <c r="AA14"/>
  <c r="BB14"/>
  <c r="CR14" a="1"/>
  <c r="CR14" s="1"/>
  <c r="DK14" s="1"/>
  <c r="CS14" a="1"/>
  <c r="CS14" s="1"/>
  <c r="DL14" s="1"/>
  <c r="ED14"/>
  <c r="DZ14" s="1"/>
  <c r="AA13"/>
  <c r="BB13"/>
  <c r="K13"/>
  <c r="L13"/>
  <c r="M13"/>
  <c r="T13" s="1" a="1"/>
  <c r="T13" s="1"/>
  <c r="Z13" s="1"/>
  <c r="BB30" i="24"/>
  <c r="BB63"/>
  <c r="BC63" s="1"/>
  <c r="BB29"/>
  <c r="BB65"/>
  <c r="BC65" s="1"/>
  <c r="DO9" i="3"/>
  <c r="CU10" a="1"/>
  <c r="CU10" s="1"/>
  <c r="DN10" s="1" a="1"/>
  <c r="DN10" s="1"/>
  <c r="CS9" a="1"/>
  <c r="CS9" s="1"/>
  <c r="DL9" s="1"/>
  <c r="CS10" a="1"/>
  <c r="CS10" s="1"/>
  <c r="DL10" s="1"/>
  <c r="X9"/>
  <c r="BC8"/>
  <c r="BD8"/>
  <c r="M10"/>
  <c r="BW29" i="24"/>
  <c r="BW30"/>
  <c r="BW65"/>
  <c r="BW63"/>
  <c r="BC30"/>
  <c r="AY30"/>
  <c r="AX30"/>
  <c r="AX63"/>
  <c r="AY63"/>
  <c r="BC29"/>
  <c r="AY29"/>
  <c r="AX29"/>
  <c r="AX65"/>
  <c r="AY65"/>
  <c r="X26" i="3" a="1"/>
  <c r="AB15" a="1"/>
  <c r="AB16" a="1"/>
  <c r="X17" a="1"/>
  <c r="K23"/>
  <c r="X24" a="1"/>
  <c r="X23" a="1"/>
  <c r="CU9" a="1"/>
  <c r="K22"/>
  <c r="AB22" a="1"/>
  <c r="K19"/>
  <c r="AB20" a="1"/>
  <c r="AN29"/>
  <c r="Y16" a="1"/>
  <c r="AB24" a="1"/>
  <c r="Y14" a="1"/>
  <c r="X19" a="1"/>
  <c r="X15" a="1"/>
  <c r="Y26" a="1"/>
  <c r="X16" a="1"/>
  <c r="K24"/>
  <c r="AN27"/>
  <c r="K18"/>
  <c r="AN28"/>
  <c r="AB14" a="1"/>
  <c r="AN31"/>
  <c r="Y13" a="1"/>
  <c r="Y30" a="1"/>
  <c r="L22"/>
  <c r="X30" a="1"/>
  <c r="AB9" a="1"/>
  <c r="AN25"/>
  <c r="Y17" a="1"/>
  <c r="X20" a="1"/>
  <c r="Y19" a="1"/>
  <c r="Y9" a="1"/>
  <c r="X22" a="1"/>
  <c r="X18" a="1"/>
  <c r="AB26" a="1"/>
  <c r="M9"/>
  <c r="AB23" a="1"/>
  <c r="L19"/>
  <c r="AB30" a="1"/>
  <c r="Y22" a="1"/>
  <c r="X14" a="1"/>
  <c r="AB19" a="1"/>
  <c r="AB17" a="1"/>
  <c r="L14"/>
  <c r="K14"/>
  <c r="Y18" a="1"/>
  <c r="AB13" a="1"/>
  <c r="Y15" a="1"/>
  <c r="Y23" a="1"/>
  <c r="L23"/>
  <c r="L24"/>
  <c r="AB18" a="1"/>
  <c r="Y20" a="1"/>
  <c r="Y24" a="1"/>
  <c r="X13" a="1"/>
  <c r="L18"/>
  <c r="AU29" l="1"/>
  <c r="BK29" s="1"/>
  <c r="CT29" a="1"/>
  <c r="CT29" s="1"/>
  <c r="DM29" s="1"/>
  <c r="AT29"/>
  <c r="AX29" a="1"/>
  <c r="AX29" s="1"/>
  <c r="E29" s="1"/>
  <c r="BD29"/>
  <c r="BE29" s="1"/>
  <c r="BI29" s="1"/>
  <c r="BM29" s="1"/>
  <c r="BC29"/>
  <c r="AR29"/>
  <c r="AY29"/>
  <c r="AZ29" s="1" a="1"/>
  <c r="AZ29" s="1"/>
  <c r="AB26"/>
  <c r="AC26" s="1" a="1"/>
  <c r="AC26" s="1"/>
  <c r="AD26" s="1"/>
  <c r="AK26" s="1"/>
  <c r="Y26"/>
  <c r="X26"/>
  <c r="T31" a="1"/>
  <c r="T31" s="1"/>
  <c r="Z31" s="1"/>
  <c r="AW31" s="1"/>
  <c r="N31"/>
  <c r="AB30"/>
  <c r="AC30" s="1" a="1"/>
  <c r="AC30" s="1"/>
  <c r="AD30" s="1"/>
  <c r="AK30" s="1"/>
  <c r="Y30"/>
  <c r="X30"/>
  <c r="N26"/>
  <c r="AB20"/>
  <c r="AC20" s="1" a="1"/>
  <c r="AC20" s="1"/>
  <c r="AD20" s="1"/>
  <c r="AK20" s="1"/>
  <c r="N27"/>
  <c r="AX30" a="1"/>
  <c r="AX30" s="1"/>
  <c r="E30" s="1"/>
  <c r="AY30"/>
  <c r="AZ30" s="1" a="1"/>
  <c r="AZ30" s="1"/>
  <c r="AT30"/>
  <c r="AV30"/>
  <c r="AR30"/>
  <c r="CT30" s="1" a="1"/>
  <c r="CT30" s="1"/>
  <c r="DM30" s="1"/>
  <c r="AU30"/>
  <c r="BD30"/>
  <c r="BC30"/>
  <c r="T28" a="1"/>
  <c r="T28" s="1"/>
  <c r="Z28" s="1"/>
  <c r="AW28" s="1"/>
  <c r="N28"/>
  <c r="BF25"/>
  <c r="BE25"/>
  <c r="BK25"/>
  <c r="CX25" a="1"/>
  <c r="CX25" s="1"/>
  <c r="DQ25" s="1"/>
  <c r="BL25"/>
  <c r="EE25"/>
  <c r="EB25" s="1"/>
  <c r="Y9"/>
  <c r="X20"/>
  <c r="Y20"/>
  <c r="AB9"/>
  <c r="AC9" s="1" a="1"/>
  <c r="AC9" s="1"/>
  <c r="AD9" s="1"/>
  <c r="AK9" s="1"/>
  <c r="N17"/>
  <c r="AY17" s="1"/>
  <c r="AZ17" s="1" a="1"/>
  <c r="AZ17" s="1"/>
  <c r="N16"/>
  <c r="AY16" s="1"/>
  <c r="AZ16" s="1" a="1"/>
  <c r="AZ16" s="1"/>
  <c r="N15"/>
  <c r="AY15" s="1"/>
  <c r="AZ15" s="1" a="1"/>
  <c r="AZ15" s="1"/>
  <c r="N13"/>
  <c r="AY13" s="1"/>
  <c r="AZ13" s="1" a="1"/>
  <c r="AZ13" s="1"/>
  <c r="N20"/>
  <c r="BE20"/>
  <c r="BF20"/>
  <c r="BG20"/>
  <c r="CX21" a="1"/>
  <c r="CX21" s="1"/>
  <c r="DQ21" s="1"/>
  <c r="EE21"/>
  <c r="EB21" s="1"/>
  <c r="BK21"/>
  <c r="BL21"/>
  <c r="BO21"/>
  <c r="AM21"/>
  <c r="BE21"/>
  <c r="BF21"/>
  <c r="BG21"/>
  <c r="AB24"/>
  <c r="AC24" s="1" a="1"/>
  <c r="AC24" s="1"/>
  <c r="AD24" s="1"/>
  <c r="AK24" s="1"/>
  <c r="Y24"/>
  <c r="X24"/>
  <c r="CU9"/>
  <c r="DN9" s="1" a="1"/>
  <c r="DN9" s="1"/>
  <c r="AB13"/>
  <c r="AC13" s="1" a="1"/>
  <c r="AC13" s="1"/>
  <c r="AD13" s="1"/>
  <c r="AK13" s="1"/>
  <c r="Y13"/>
  <c r="X13"/>
  <c r="AB14"/>
  <c r="AC14" s="1" a="1"/>
  <c r="AC14" s="1"/>
  <c r="AD14" s="1"/>
  <c r="AK14" s="1"/>
  <c r="Y14"/>
  <c r="X14"/>
  <c r="AB15"/>
  <c r="AC15" s="1" a="1"/>
  <c r="AC15" s="1"/>
  <c r="AD15" s="1"/>
  <c r="AK15" s="1"/>
  <c r="Y15"/>
  <c r="X15"/>
  <c r="AB16"/>
  <c r="AC16" s="1" a="1"/>
  <c r="AC16" s="1"/>
  <c r="AD16" s="1"/>
  <c r="AK16" s="1"/>
  <c r="Y16"/>
  <c r="X16"/>
  <c r="AB17"/>
  <c r="AC17" s="1" a="1"/>
  <c r="AC17" s="1"/>
  <c r="AD17" s="1"/>
  <c r="AK17" s="1"/>
  <c r="Y17"/>
  <c r="X17"/>
  <c r="AB18"/>
  <c r="AC18" s="1" a="1"/>
  <c r="AC18" s="1"/>
  <c r="AD18" s="1"/>
  <c r="AK18" s="1"/>
  <c r="Y18"/>
  <c r="X18"/>
  <c r="AB19"/>
  <c r="AC19" s="1" a="1"/>
  <c r="AC19" s="1"/>
  <c r="AD19" s="1"/>
  <c r="AK19" s="1"/>
  <c r="Y19"/>
  <c r="X19"/>
  <c r="AB22"/>
  <c r="AC22" s="1" a="1"/>
  <c r="AC22" s="1"/>
  <c r="AD22" s="1"/>
  <c r="AK22" s="1"/>
  <c r="Y22"/>
  <c r="X22"/>
  <c r="AB23"/>
  <c r="AC23" s="1" a="1"/>
  <c r="AC23" s="1"/>
  <c r="AD23" s="1"/>
  <c r="AK23" s="1"/>
  <c r="Y23"/>
  <c r="X23"/>
  <c r="AW13"/>
  <c r="AW15"/>
  <c r="E16"/>
  <c r="AW16"/>
  <c r="AW17"/>
  <c r="BC13"/>
  <c r="BD13"/>
  <c r="BE13"/>
  <c r="BF13"/>
  <c r="BG13"/>
  <c r="BH13"/>
  <c r="BI13"/>
  <c r="BC15"/>
  <c r="BD15"/>
  <c r="BE15"/>
  <c r="BF15"/>
  <c r="BG15"/>
  <c r="BH15"/>
  <c r="BI15"/>
  <c r="BC16"/>
  <c r="BD16"/>
  <c r="BE16"/>
  <c r="BF16"/>
  <c r="BG16"/>
  <c r="BH16"/>
  <c r="BI16"/>
  <c r="BM16" s="1"/>
  <c r="BC17"/>
  <c r="BD17"/>
  <c r="BE17"/>
  <c r="BF17"/>
  <c r="BG17"/>
  <c r="BH17"/>
  <c r="BI17"/>
  <c r="BM17" s="1"/>
  <c r="T29" i="24"/>
  <c r="T30"/>
  <c r="T65"/>
  <c r="T63"/>
  <c r="EK2" i="3"/>
  <c r="BE8"/>
  <c r="N9"/>
  <c r="AY9" s="1"/>
  <c r="T10" a="1"/>
  <c r="T10" s="1"/>
  <c r="Z10" s="1"/>
  <c r="N10"/>
  <c r="AY10" s="1"/>
  <c r="BF8"/>
  <c r="T9" a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4" i="3" a="1"/>
  <c r="AN24"/>
  <c r="AN18"/>
  <c r="M18"/>
  <c r="AN20"/>
  <c r="M23"/>
  <c r="AN17"/>
  <c r="M19"/>
  <c r="AN19"/>
  <c r="AN13"/>
  <c r="M22"/>
  <c r="AN16"/>
  <c r="M14"/>
  <c r="AN23"/>
  <c r="AN30"/>
  <c r="AN22"/>
  <c r="M24"/>
  <c r="AN26"/>
  <c r="AN14"/>
  <c r="AN15"/>
  <c r="BL29" l="1"/>
  <c r="BF29"/>
  <c r="BG29" s="1"/>
  <c r="BH29" s="1"/>
  <c r="CX29" a="1"/>
  <c r="CX29" s="1"/>
  <c r="DQ29" s="1"/>
  <c r="EE29"/>
  <c r="EB29" s="1"/>
  <c r="EC29" s="1"/>
  <c r="AU31"/>
  <c r="AT31"/>
  <c r="BD31"/>
  <c r="BC31"/>
  <c r="AY31"/>
  <c r="AZ31" s="1" a="1"/>
  <c r="AZ31" s="1"/>
  <c r="AV31"/>
  <c r="AX31" a="1"/>
  <c r="AX31" s="1"/>
  <c r="E31" s="1"/>
  <c r="AR31"/>
  <c r="CT31" s="1" a="1"/>
  <c r="CT31" s="1"/>
  <c r="DM31" s="1"/>
  <c r="BO29"/>
  <c r="AM29"/>
  <c r="BD26"/>
  <c r="AX26" a="1"/>
  <c r="AX26" s="1"/>
  <c r="E26" s="1"/>
  <c r="AT26"/>
  <c r="AY26"/>
  <c r="AZ26" s="1" a="1"/>
  <c r="AZ26" s="1"/>
  <c r="BC26"/>
  <c r="AR26"/>
  <c r="CT26" s="1" a="1"/>
  <c r="CT26" s="1"/>
  <c r="DM26" s="1"/>
  <c r="AV26"/>
  <c r="BF30"/>
  <c r="AU26"/>
  <c r="AY28"/>
  <c r="AZ28" s="1" a="1"/>
  <c r="AZ28" s="1"/>
  <c r="AX28" a="1"/>
  <c r="AX28" s="1"/>
  <c r="E28" s="1"/>
  <c r="AR28"/>
  <c r="CT28" s="1" a="1"/>
  <c r="CT28" s="1"/>
  <c r="DM28" s="1"/>
  <c r="BC28"/>
  <c r="AT28"/>
  <c r="AV28"/>
  <c r="BD28"/>
  <c r="AU28"/>
  <c r="BE30"/>
  <c r="BI30" s="1"/>
  <c r="BM30" s="1"/>
  <c r="AM30" s="1"/>
  <c r="EE30"/>
  <c r="EB30" s="1"/>
  <c r="CX30" a="1"/>
  <c r="CX30" s="1"/>
  <c r="DQ30" s="1"/>
  <c r="BK30"/>
  <c r="BL30"/>
  <c r="AR27"/>
  <c r="CT27" s="1" a="1"/>
  <c r="CT27" s="1"/>
  <c r="DM27" s="1"/>
  <c r="BC27"/>
  <c r="AY27"/>
  <c r="AZ27" s="1" a="1"/>
  <c r="AZ27" s="1"/>
  <c r="BD27"/>
  <c r="AX27" a="1"/>
  <c r="AX27" s="1"/>
  <c r="E27" s="1"/>
  <c r="AT27"/>
  <c r="AU27"/>
  <c r="AV27"/>
  <c r="AX15" a="1"/>
  <c r="AX15" s="1"/>
  <c r="E15" s="1"/>
  <c r="AV15"/>
  <c r="EC25"/>
  <c r="EA25"/>
  <c r="AT17"/>
  <c r="BG25"/>
  <c r="BH25" s="1"/>
  <c r="BI25"/>
  <c r="BM25" s="1"/>
  <c r="AR15"/>
  <c r="CT15" s="1" a="1"/>
  <c r="CT15" s="1"/>
  <c r="DM15" s="1"/>
  <c r="AU13"/>
  <c r="BK13" s="1"/>
  <c r="BM13" s="1"/>
  <c r="AT15"/>
  <c r="AX17" a="1"/>
  <c r="AX17" s="1"/>
  <c r="E17" s="1"/>
  <c r="AU15"/>
  <c r="BK15" s="1"/>
  <c r="BM15" s="1"/>
  <c r="AR17"/>
  <c r="CT17" s="1" a="1"/>
  <c r="CT17" s="1"/>
  <c r="DM17" s="1"/>
  <c r="AX16" a="1"/>
  <c r="AX16" s="1"/>
  <c r="AV16"/>
  <c r="AU16"/>
  <c r="BL16" s="1"/>
  <c r="AT16"/>
  <c r="AU17"/>
  <c r="AV17"/>
  <c r="AR16"/>
  <c r="CT16" s="1" a="1"/>
  <c r="CT16" s="1"/>
  <c r="DM16" s="1"/>
  <c r="AX13" a="1"/>
  <c r="AX13" s="1"/>
  <c r="E13" s="1"/>
  <c r="AY20"/>
  <c r="AZ20" s="1" a="1"/>
  <c r="AZ20" s="1"/>
  <c r="AX20" a="1"/>
  <c r="AX20" s="1"/>
  <c r="E20" s="1"/>
  <c r="AT20"/>
  <c r="AV20"/>
  <c r="AR20"/>
  <c r="CT20" s="1" a="1"/>
  <c r="CT20" s="1"/>
  <c r="DM20" s="1"/>
  <c r="AU20"/>
  <c r="AV13"/>
  <c r="ED13" s="1"/>
  <c r="DZ13" s="1"/>
  <c r="AR13"/>
  <c r="CT13" s="1" a="1"/>
  <c r="CT13" s="1"/>
  <c r="DM13" s="1"/>
  <c r="AT13"/>
  <c r="CV24"/>
  <c r="DO24" s="1"/>
  <c r="BH20"/>
  <c r="BI20"/>
  <c r="BH21"/>
  <c r="EC21"/>
  <c r="EP21" s="1"/>
  <c r="EA21"/>
  <c r="N24"/>
  <c r="AY24" s="1"/>
  <c r="N23"/>
  <c r="AY23" s="1"/>
  <c r="T22" a="1"/>
  <c r="T22" s="1"/>
  <c r="Z22" s="1"/>
  <c r="AW22" s="1"/>
  <c r="N22"/>
  <c r="AY22" s="1"/>
  <c r="T19" a="1"/>
  <c r="T19" s="1"/>
  <c r="Z19" s="1"/>
  <c r="AW19" s="1"/>
  <c r="N19"/>
  <c r="AY19" s="1"/>
  <c r="T18" a="1"/>
  <c r="T18" s="1"/>
  <c r="Z18" s="1"/>
  <c r="AW18" s="1"/>
  <c r="N18"/>
  <c r="AY18" s="1"/>
  <c r="T14" a="1"/>
  <c r="T14" s="1"/>
  <c r="Z14" s="1"/>
  <c r="AW14" s="1"/>
  <c r="N14"/>
  <c r="AY14" s="1"/>
  <c r="AM17"/>
  <c r="AM16"/>
  <c r="BZ63" i="24"/>
  <c r="BH63"/>
  <c r="BZ65"/>
  <c r="BH65"/>
  <c r="BH30"/>
  <c r="BH29"/>
  <c r="T9" i="3"/>
  <c r="Z9" s="1"/>
  <c r="AW9" s="1"/>
  <c r="AR10"/>
  <c r="AT10"/>
  <c r="AU10"/>
  <c r="AV10"/>
  <c r="AX10" a="1"/>
  <c r="AX10" s="1"/>
  <c r="E10" s="1"/>
  <c r="AW10"/>
  <c r="AR9"/>
  <c r="AT9"/>
  <c r="AU9"/>
  <c r="AV9"/>
  <c r="AX9" a="1"/>
  <c r="AX9" s="1"/>
  <c r="BG8"/>
  <c r="BH8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0" i="3" a="1"/>
  <c r="I6"/>
  <c r="AF8"/>
  <c r="AI8"/>
  <c r="C17" i="25"/>
  <c r="AK57" i="24"/>
  <c r="AP55"/>
  <c r="CB59"/>
  <c r="CB40"/>
  <c r="AW46"/>
  <c r="C19" i="25"/>
  <c r="AW42" i="24"/>
  <c r="CB63"/>
  <c r="C23" i="25"/>
  <c r="AW35" i="24"/>
  <c r="C39" i="25"/>
  <c r="CB42" i="24"/>
  <c r="BC34"/>
  <c r="AW26"/>
  <c r="AW37"/>
  <c r="CB45"/>
  <c r="I2" i="3"/>
  <c r="AW23" i="24"/>
  <c r="AK56"/>
  <c r="AW28"/>
  <c r="CB52"/>
  <c r="AN56"/>
  <c r="I11" i="3"/>
  <c r="BH4" i="24"/>
  <c r="CB39"/>
  <c r="AK55"/>
  <c r="AY34"/>
  <c r="CB44"/>
  <c r="AW39"/>
  <c r="CB17"/>
  <c r="CS13" i="3" a="1"/>
  <c r="AW16" i="24"/>
  <c r="AP56"/>
  <c r="AW18"/>
  <c r="AW21"/>
  <c r="AW44"/>
  <c r="CB54"/>
  <c r="CB13"/>
  <c r="CB60"/>
  <c r="C41" i="25"/>
  <c r="I8" i="3"/>
  <c r="CB18" i="24"/>
  <c r="CB28"/>
  <c r="CB23"/>
  <c r="C27" i="25"/>
  <c r="CB32" i="24"/>
  <c r="C29" i="25"/>
  <c r="CB29" i="24"/>
  <c r="AW52"/>
  <c r="AX34"/>
  <c r="CB68"/>
  <c r="CN2" i="3"/>
  <c r="C43" i="25"/>
  <c r="AW31" i="24"/>
  <c r="C31" i="25"/>
  <c r="D4" i="24"/>
  <c r="AW24"/>
  <c r="AW66"/>
  <c r="AN57"/>
  <c r="CB37"/>
  <c r="BS4"/>
  <c r="T24" i="3" a="1"/>
  <c r="CB27" i="24"/>
  <c r="AN9" i="3"/>
  <c r="AW49" i="24"/>
  <c r="C33" i="25"/>
  <c r="AW54" i="24"/>
  <c r="AW36"/>
  <c r="CB43"/>
  <c r="AW61"/>
  <c r="CB49"/>
  <c r="AW43"/>
  <c r="CB64"/>
  <c r="CB62"/>
  <c r="AW27"/>
  <c r="AW25"/>
  <c r="AW53"/>
  <c r="C25" i="25"/>
  <c r="C35"/>
  <c r="CB50" i="24"/>
  <c r="AW45"/>
  <c r="BT4"/>
  <c r="CR13" i="3" a="1"/>
  <c r="AW32" i="24"/>
  <c r="CY20" i="3" a="1"/>
  <c r="AW59" i="24"/>
  <c r="CB33"/>
  <c r="I12" i="3"/>
  <c r="AW71" i="24"/>
  <c r="AN55"/>
  <c r="I7" i="3"/>
  <c r="CB14" i="24"/>
  <c r="I3" i="3"/>
  <c r="CB58" i="24"/>
  <c r="C11" i="25"/>
  <c r="C21"/>
  <c r="CB71" i="24"/>
  <c r="AW62"/>
  <c r="CB65"/>
  <c r="AW38"/>
  <c r="CB51"/>
  <c r="AW19"/>
  <c r="AW13"/>
  <c r="AW14"/>
  <c r="CB36"/>
  <c r="C7" i="25"/>
  <c r="AP57" i="24"/>
  <c r="CB16"/>
  <c r="AW22"/>
  <c r="AW17"/>
  <c r="AW51"/>
  <c r="I5" i="3"/>
  <c r="BQ4" i="24"/>
  <c r="C37" i="25"/>
  <c r="CX16" i="3" a="1"/>
  <c r="AN10"/>
  <c r="C9" i="25"/>
  <c r="AW20" i="24"/>
  <c r="AW67"/>
  <c r="CB38"/>
  <c r="CB61"/>
  <c r="BK4"/>
  <c r="CB46"/>
  <c r="AW60"/>
  <c r="AW58"/>
  <c r="AW64"/>
  <c r="CB53"/>
  <c r="AW68"/>
  <c r="AW40"/>
  <c r="T23" i="3" a="1"/>
  <c r="CB30" i="24"/>
  <c r="AW50"/>
  <c r="AW33"/>
  <c r="T4"/>
  <c r="I4" i="3"/>
  <c r="CX17" a="1"/>
  <c r="EA29" l="1"/>
  <c r="BF31"/>
  <c r="BE31"/>
  <c r="BI31" s="1"/>
  <c r="BM31" s="1"/>
  <c r="AM31" s="1"/>
  <c r="BO31" s="1"/>
  <c r="BK31"/>
  <c r="BL31"/>
  <c r="EE31"/>
  <c r="EB31" s="1"/>
  <c r="CX31" a="1"/>
  <c r="CX31" s="1"/>
  <c r="DQ31" s="1"/>
  <c r="EE26"/>
  <c r="EB26" s="1"/>
  <c r="EA26" s="1"/>
  <c r="EP29"/>
  <c r="BG30"/>
  <c r="BH30" s="1"/>
  <c r="BO30"/>
  <c r="BK26"/>
  <c r="BE26"/>
  <c r="BG26" s="1"/>
  <c r="BH26" s="1"/>
  <c r="BF26"/>
  <c r="CX26" a="1"/>
  <c r="CX26" s="1"/>
  <c r="DQ26" s="1"/>
  <c r="BL26"/>
  <c r="BL15"/>
  <c r="BK28"/>
  <c r="CX28" a="1"/>
  <c r="CX28" s="1"/>
  <c r="DQ28" s="1"/>
  <c r="EE28"/>
  <c r="EB28" s="1"/>
  <c r="BL28"/>
  <c r="EA30"/>
  <c r="EC30"/>
  <c r="BK27"/>
  <c r="BL27"/>
  <c r="EE27"/>
  <c r="EB27" s="1"/>
  <c r="CX27" a="1"/>
  <c r="CX27" s="1"/>
  <c r="DQ27" s="1"/>
  <c r="BF27"/>
  <c r="BE27"/>
  <c r="BI27" s="1"/>
  <c r="BM27" s="1"/>
  <c r="AM27" s="1"/>
  <c r="BO27" s="1"/>
  <c r="BF28"/>
  <c r="BE28"/>
  <c r="BI28" s="1"/>
  <c r="BM28" s="1"/>
  <c r="BL13"/>
  <c r="AM25"/>
  <c r="BO25" s="1"/>
  <c r="EP25"/>
  <c r="EE15"/>
  <c r="EB15" s="1"/>
  <c r="EA15" s="1"/>
  <c r="BO17"/>
  <c r="EE17"/>
  <c r="EB17" s="1"/>
  <c r="EC17" s="1"/>
  <c r="EP17" s="1"/>
  <c r="BK16"/>
  <c r="E9"/>
  <c r="EE16"/>
  <c r="EB16" s="1"/>
  <c r="EC16" s="1"/>
  <c r="EP16" s="1"/>
  <c r="EE13"/>
  <c r="EB13" s="1"/>
  <c r="EC13" s="1"/>
  <c r="EP13" s="1"/>
  <c r="BK17"/>
  <c r="BL17"/>
  <c r="BO16"/>
  <c r="CY20"/>
  <c r="DR20" s="1"/>
  <c r="CR13"/>
  <c r="DK13" s="1"/>
  <c r="CS13"/>
  <c r="DL13" s="1"/>
  <c r="BL20"/>
  <c r="BK20"/>
  <c r="BM20" s="1"/>
  <c r="AM20" s="1"/>
  <c r="BO20" s="1"/>
  <c r="EE20"/>
  <c r="EB20" s="1"/>
  <c r="T24"/>
  <c r="Z24" s="1"/>
  <c r="AR24"/>
  <c r="CT24" s="1" a="1"/>
  <c r="CT24" s="1"/>
  <c r="DM24" s="1"/>
  <c r="AT24"/>
  <c r="AU24"/>
  <c r="AV24"/>
  <c r="AX24" a="1"/>
  <c r="AX24" s="1"/>
  <c r="AZ24" a="1"/>
  <c r="AZ24" s="1"/>
  <c r="BC24"/>
  <c r="BD24"/>
  <c r="CX16"/>
  <c r="DQ16" s="1"/>
  <c r="CX17"/>
  <c r="DQ17" s="1"/>
  <c r="AM13"/>
  <c r="BO13" s="1"/>
  <c r="AM15"/>
  <c r="BO15" s="1"/>
  <c r="T23"/>
  <c r="Z23" s="1"/>
  <c r="AR14"/>
  <c r="AT14"/>
  <c r="AU14"/>
  <c r="AV14"/>
  <c r="AX14" a="1"/>
  <c r="AX14" s="1"/>
  <c r="E14" s="1"/>
  <c r="AR18"/>
  <c r="AT18"/>
  <c r="AU18"/>
  <c r="AV18"/>
  <c r="AX18" a="1"/>
  <c r="AX18" s="1"/>
  <c r="E18" s="1"/>
  <c r="AR19"/>
  <c r="AT19"/>
  <c r="AU19"/>
  <c r="AV19"/>
  <c r="AX19" a="1"/>
  <c r="AX19" s="1"/>
  <c r="E19" s="1"/>
  <c r="AR22"/>
  <c r="CT22" s="1" a="1"/>
  <c r="AT22"/>
  <c r="AU22"/>
  <c r="AV22"/>
  <c r="AX22" a="1"/>
  <c r="AX22" s="1"/>
  <c r="E22" s="1"/>
  <c r="AR23"/>
  <c r="AT23"/>
  <c r="AU23"/>
  <c r="AV23"/>
  <c r="AX23" a="1"/>
  <c r="AX23" s="1"/>
  <c r="AZ23" a="1"/>
  <c r="AZ23" s="1"/>
  <c r="BC23"/>
  <c r="BD23"/>
  <c r="CT23" a="1"/>
  <c r="CT23" s="1"/>
  <c r="DM23" s="1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9" i="3"/>
  <c r="EB9" s="1"/>
  <c r="EE10"/>
  <c r="EB10" s="1"/>
  <c r="AZ10"/>
  <c r="BK9"/>
  <c r="BL9"/>
  <c r="BK10"/>
  <c r="BL10"/>
  <c r="BR65" i="24"/>
  <c r="BS65"/>
  <c r="BQ63"/>
  <c r="CT10" i="3" a="1"/>
  <c r="CX10" a="1"/>
  <c r="CX15" a="1"/>
  <c r="CX9" a="1"/>
  <c r="CX20" a="1"/>
  <c r="CT9" a="1"/>
  <c r="CT18" a="1"/>
  <c r="CX13" a="1"/>
  <c r="CT19" a="1"/>
  <c r="CT14" a="1"/>
  <c r="EC31" l="1"/>
  <c r="EP31" s="1"/>
  <c r="EA31"/>
  <c r="BG31"/>
  <c r="BH31" s="1"/>
  <c r="EC26"/>
  <c r="EP26" s="1"/>
  <c r="BI26"/>
  <c r="BM26" s="1"/>
  <c r="AM26" s="1"/>
  <c r="BO26" s="1"/>
  <c r="BG28"/>
  <c r="BH28" s="1"/>
  <c r="BG27"/>
  <c r="BH27" s="1"/>
  <c r="CX13"/>
  <c r="DQ13" s="1"/>
  <c r="CX15"/>
  <c r="DQ15" s="1"/>
  <c r="EC27"/>
  <c r="EP27" s="1"/>
  <c r="EA27"/>
  <c r="EA28"/>
  <c r="EC28"/>
  <c r="EP28" s="1"/>
  <c r="AM28"/>
  <c r="BO28" s="1"/>
  <c r="EP30"/>
  <c r="EC15"/>
  <c r="EP15" s="1"/>
  <c r="EA17"/>
  <c r="EA16"/>
  <c r="EA13"/>
  <c r="CX20"/>
  <c r="DQ20" s="1"/>
  <c r="EC20"/>
  <c r="EP20" s="1"/>
  <c r="EA20"/>
  <c r="BK24"/>
  <c r="BL24"/>
  <c r="CX24" a="1"/>
  <c r="CX24" s="1"/>
  <c r="DQ24" s="1"/>
  <c r="EE24"/>
  <c r="EB24" s="1"/>
  <c r="E24"/>
  <c r="AW24"/>
  <c r="BE24" s="1"/>
  <c r="CT22"/>
  <c r="DM22" s="1"/>
  <c r="CT19"/>
  <c r="DM19" s="1"/>
  <c r="CT18"/>
  <c r="DM18" s="1"/>
  <c r="CT14"/>
  <c r="DM14" s="1"/>
  <c r="BK23"/>
  <c r="BL23"/>
  <c r="CX23" a="1"/>
  <c r="CX23" s="1"/>
  <c r="DQ23" s="1"/>
  <c r="EE23"/>
  <c r="EB23" s="1"/>
  <c r="BK22"/>
  <c r="BL22"/>
  <c r="EE22"/>
  <c r="EB22" s="1"/>
  <c r="BK19"/>
  <c r="BL19"/>
  <c r="EE19"/>
  <c r="EB19" s="1"/>
  <c r="BK18"/>
  <c r="BL18"/>
  <c r="EE18"/>
  <c r="EB18" s="1"/>
  <c r="BK14"/>
  <c r="BL14"/>
  <c r="EE14"/>
  <c r="EB14" s="1"/>
  <c r="E23"/>
  <c r="AW23"/>
  <c r="BE23" s="1"/>
  <c r="CT10"/>
  <c r="DM10" s="1"/>
  <c r="CT9"/>
  <c r="DM9" s="1"/>
  <c r="EA10"/>
  <c r="EA9"/>
  <c r="EC10"/>
  <c r="EC9"/>
  <c r="CX10"/>
  <c r="DQ10" s="1"/>
  <c r="CX9"/>
  <c r="DQ9" s="1"/>
  <c r="BC10"/>
  <c r="BD10"/>
  <c r="BR63" i="24"/>
  <c r="BS63"/>
  <c r="U65"/>
  <c r="BT65"/>
  <c r="B65"/>
  <c r="J6" i="3" a="1"/>
  <c r="S6" a="1"/>
  <c r="U6" a="1"/>
  <c r="V6" a="1"/>
  <c r="W6" a="1"/>
  <c r="CW7" a="1"/>
  <c r="CW8" a="1"/>
  <c r="BI24" l="1"/>
  <c r="BM24" s="1"/>
  <c r="EA24"/>
  <c r="EC24"/>
  <c r="EP24" s="1"/>
  <c r="BF24"/>
  <c r="BG24" s="1"/>
  <c r="BI23"/>
  <c r="BM23" s="1"/>
  <c r="EA14"/>
  <c r="EC14"/>
  <c r="EP14" s="1"/>
  <c r="EA18"/>
  <c r="EC18"/>
  <c r="EP18" s="1"/>
  <c r="EA19"/>
  <c r="EC19"/>
  <c r="EP19" s="1"/>
  <c r="EA22"/>
  <c r="EC22"/>
  <c r="EP22" s="1"/>
  <c r="EA23"/>
  <c r="EC23"/>
  <c r="EP23" s="1"/>
  <c r="BF23"/>
  <c r="BG23" s="1"/>
  <c r="CW8"/>
  <c r="DP8" s="1"/>
  <c r="CW7"/>
  <c r="DP7" s="1"/>
  <c r="W6"/>
  <c r="Y6" s="1" a="1"/>
  <c r="Y6" s="1"/>
  <c r="V6"/>
  <c r="CU6" s="1" a="1"/>
  <c r="CU6" s="1"/>
  <c r="DN6" s="1" a="1"/>
  <c r="DN6" s="1"/>
  <c r="U6"/>
  <c r="S6"/>
  <c r="J6"/>
  <c r="BB3"/>
  <c r="BB4"/>
  <c r="BB5"/>
  <c r="K6"/>
  <c r="L6"/>
  <c r="M6"/>
  <c r="T6" s="1" a="1"/>
  <c r="T6" s="1"/>
  <c r="N6"/>
  <c r="Z6"/>
  <c r="E6" s="1"/>
  <c r="AA6"/>
  <c r="BB6"/>
  <c r="CS6" a="1"/>
  <c r="CS6" s="1"/>
  <c r="DL6" s="1"/>
  <c r="ED6"/>
  <c r="DZ6" s="1"/>
  <c r="CR6" a="1"/>
  <c r="CR6" s="1"/>
  <c r="DK6" s="1"/>
  <c r="AB6" a="1"/>
  <c r="AB6" s="1"/>
  <c r="AC6" a="1"/>
  <c r="AC6" s="1"/>
  <c r="AD6" s="1"/>
  <c r="AK6" s="1"/>
  <c r="AW6"/>
  <c r="BB11"/>
  <c r="BB12"/>
  <c r="EP9"/>
  <c r="EP10"/>
  <c r="BE10"/>
  <c r="BG10" s="1"/>
  <c r="BH10" s="1"/>
  <c r="BF10"/>
  <c r="BT63" i="24"/>
  <c r="B63"/>
  <c r="U63"/>
  <c r="CO21" i="3" a="1"/>
  <c r="CV8" a="1"/>
  <c r="CV7" a="1"/>
  <c r="CV11" a="1"/>
  <c r="X6" l="1" a="1"/>
  <c r="X6" s="1"/>
  <c r="CO21"/>
  <c r="DH21" s="1"/>
  <c r="AM24"/>
  <c r="BO24" s="1"/>
  <c r="BH24"/>
  <c r="AM23"/>
  <c r="BO23" s="1"/>
  <c r="BH23"/>
  <c r="CV11"/>
  <c r="DO11" s="1"/>
  <c r="CV7"/>
  <c r="DO7" s="1"/>
  <c r="CV8"/>
  <c r="DO8" s="1"/>
  <c r="AR6"/>
  <c r="CT6" s="1" a="1"/>
  <c r="CT6" s="1"/>
  <c r="DM6" s="1"/>
  <c r="AT6"/>
  <c r="AU6"/>
  <c r="AV6"/>
  <c r="AX6" a="1"/>
  <c r="AX6" s="1"/>
  <c r="AZ6" a="1"/>
  <c r="AZ6" s="1"/>
  <c r="BC6"/>
  <c r="BD6"/>
  <c r="CO6" a="1"/>
  <c r="CY8" a="1"/>
  <c r="CZ8" a="1"/>
  <c r="CO6" l="1"/>
  <c r="DH6" s="1"/>
  <c r="CZ8"/>
  <c r="DS8" s="1"/>
  <c r="CY8"/>
  <c r="DR8" s="1"/>
  <c r="BE6"/>
  <c r="BF6"/>
  <c r="EE6"/>
  <c r="EB6" s="1"/>
  <c r="BK6"/>
  <c r="BL6"/>
  <c r="CX6" a="1"/>
  <c r="CX6" s="1"/>
  <c r="DQ6" s="1"/>
  <c r="AM10"/>
  <c r="BO10" s="1"/>
  <c r="DR16" i="24"/>
  <c r="BC4" i="3" l="1"/>
  <c r="BD4"/>
  <c r="BC3"/>
  <c r="BD3"/>
  <c r="EA6"/>
  <c r="EC6"/>
  <c r="BG6"/>
  <c r="BI6" s="1"/>
  <c r="BM6" s="1"/>
  <c r="BH6"/>
  <c r="DF16" i="24"/>
  <c r="CV16"/>
  <c r="BH68" a="1"/>
  <c r="AY32"/>
  <c r="Q748" i="1"/>
  <c r="BW38" i="24"/>
  <c r="U8" i="3" a="1"/>
  <c r="AY62" i="24"/>
  <c r="Q763" i="1"/>
  <c r="BW32" i="24"/>
  <c r="AX32"/>
  <c r="AX38"/>
  <c r="Q705" i="1"/>
  <c r="AY21" i="24"/>
  <c r="AY44"/>
  <c r="Q765" i="1"/>
  <c r="Q676"/>
  <c r="BW45" i="24"/>
  <c r="Q665" i="1"/>
  <c r="BC36" i="24"/>
  <c r="BW18"/>
  <c r="AX14"/>
  <c r="BH40" a="1"/>
  <c r="BW52"/>
  <c r="AX22"/>
  <c r="AY52"/>
  <c r="Q693" i="1"/>
  <c r="BW13" i="24"/>
  <c r="Q656" i="1"/>
  <c r="BH49" i="24" a="1"/>
  <c r="Q777" i="1"/>
  <c r="BF16" i="24"/>
  <c r="AY64"/>
  <c r="BC35"/>
  <c r="E646" i="1"/>
  <c r="Q711"/>
  <c r="V8" i="3" a="1"/>
  <c r="Q696" i="1"/>
  <c r="DO62" i="24"/>
  <c r="Q646" i="1"/>
  <c r="BC24" i="24"/>
  <c r="Q726" i="1"/>
  <c r="BW56" i="24"/>
  <c r="BW21"/>
  <c r="AX36"/>
  <c r="BW36"/>
  <c r="Q654" i="1"/>
  <c r="P646"/>
  <c r="AY38" i="24"/>
  <c r="BH45" a="1"/>
  <c r="Q685" i="1"/>
  <c r="S7" i="3" a="1"/>
  <c r="Q700" i="1"/>
  <c r="BC39" i="24"/>
  <c r="AX50"/>
  <c r="S12" i="3" a="1"/>
  <c r="Q690" i="1"/>
  <c r="BW48" i="24"/>
  <c r="U7" i="3" a="1"/>
  <c r="BW42" i="24"/>
  <c r="Q707" i="1"/>
  <c r="Q781"/>
  <c r="J8" i="3" a="1"/>
  <c r="AX18" i="24"/>
  <c r="Q783" i="1"/>
  <c r="AY39" i="24"/>
  <c r="AY17"/>
  <c r="BC19"/>
  <c r="BW59"/>
  <c r="BW54"/>
  <c r="Q764" i="1"/>
  <c r="Q780"/>
  <c r="BC13" i="24"/>
  <c r="BH50" a="1"/>
  <c r="Q719" i="1"/>
  <c r="AX19" i="24"/>
  <c r="AX28"/>
  <c r="AY66"/>
  <c r="BC20"/>
  <c r="AY68"/>
  <c r="Q738" i="1"/>
  <c r="BC26" i="24"/>
  <c r="AY71"/>
  <c r="BC38"/>
  <c r="AY67"/>
  <c r="Q740" i="1"/>
  <c r="Q699"/>
  <c r="BW51" i="24"/>
  <c r="BH62" a="1"/>
  <c r="Q663" i="1"/>
  <c r="I646"/>
  <c r="DO64" i="24"/>
  <c r="AY46"/>
  <c r="Q773" i="1"/>
  <c r="Q684"/>
  <c r="Q655"/>
  <c r="Q713"/>
  <c r="BW58" i="24"/>
  <c r="Q721" i="1"/>
  <c r="AX24" i="24"/>
  <c r="BW49"/>
  <c r="Q661" i="1"/>
  <c r="AX52" i="24"/>
  <c r="N646" i="1"/>
  <c r="AY51" i="24"/>
  <c r="Q701" i="1"/>
  <c r="BW67" i="24"/>
  <c r="Q688" i="1"/>
  <c r="AN6" i="3"/>
  <c r="Q762" i="1"/>
  <c r="AY18" i="24"/>
  <c r="BC25"/>
  <c r="Q708" i="1"/>
  <c r="U4" i="3" a="1"/>
  <c r="Q664" i="1"/>
  <c r="Q742"/>
  <c r="BW43" i="24"/>
  <c r="Q695" i="1"/>
  <c r="Q761"/>
  <c r="AY36" i="24"/>
  <c r="Q754" i="1"/>
  <c r="BW20" i="24"/>
  <c r="Q674" i="1"/>
  <c r="Q730"/>
  <c r="BC28" i="24"/>
  <c r="Q731" i="1"/>
  <c r="S5" i="3" a="1"/>
  <c r="AX44" i="24"/>
  <c r="BW70"/>
  <c r="Q666" i="1"/>
  <c r="BH46" i="24" a="1"/>
  <c r="Q662" i="1"/>
  <c r="AY20" i="24"/>
  <c r="Q648" i="1"/>
  <c r="AX54" i="24"/>
  <c r="AX45"/>
  <c r="DO65"/>
  <c r="Q733" i="1"/>
  <c r="Q774"/>
  <c r="Q766"/>
  <c r="AX58" i="24"/>
  <c r="CX19" i="3" a="1"/>
  <c r="BC33" i="24"/>
  <c r="BH71" a="1"/>
  <c r="Q694" i="1"/>
  <c r="BW71" i="24"/>
  <c r="Q680" i="1"/>
  <c r="BW19" i="24"/>
  <c r="Q779" i="1"/>
  <c r="W11" i="3" a="1"/>
  <c r="Q658" i="1"/>
  <c r="W12" i="3" a="1"/>
  <c r="BF62" i="24"/>
  <c r="AY22"/>
  <c r="Q734" i="1"/>
  <c r="AX46" i="24"/>
  <c r="Q650" i="1"/>
  <c r="AX17" i="24"/>
  <c r="BW53"/>
  <c r="BW23"/>
  <c r="Q687" i="1"/>
  <c r="J11" i="3" a="1"/>
  <c r="Q679" i="1"/>
  <c r="S8" i="3" a="1"/>
  <c r="Q692" i="1"/>
  <c r="BF17" i="24"/>
  <c r="Q715" i="1"/>
  <c r="J7" i="3" a="1"/>
  <c r="BW31" i="24"/>
  <c r="AY23"/>
  <c r="K646" i="1"/>
  <c r="BW62" i="24"/>
  <c r="Q670" i="1"/>
  <c r="AY42" i="24"/>
  <c r="V3" i="3" a="1"/>
  <c r="M646" i="1"/>
  <c r="Q772"/>
  <c r="AX39" i="24"/>
  <c r="Q723" i="1"/>
  <c r="Q746"/>
  <c r="BW28" i="24"/>
  <c r="BW41"/>
  <c r="AX43"/>
  <c r="BH42" a="1"/>
  <c r="AY25"/>
  <c r="Q737" i="1"/>
  <c r="BW55" i="24"/>
  <c r="U3" i="3" a="1"/>
  <c r="Q741" i="1"/>
  <c r="AX62" i="24"/>
  <c r="BF71"/>
  <c r="AX27"/>
  <c r="Q768" i="1"/>
  <c r="AY43" i="24"/>
  <c r="U11" i="3" a="1"/>
  <c r="CX18" a="1"/>
  <c r="S4" a="1"/>
  <c r="Q757" i="1"/>
  <c r="BF46" i="24"/>
  <c r="AY58"/>
  <c r="Q702" i="1"/>
  <c r="Q720"/>
  <c r="AY37" i="24"/>
  <c r="Q677" i="1"/>
  <c r="Q747"/>
  <c r="Q718"/>
  <c r="Q759"/>
  <c r="AX20" i="24"/>
  <c r="Q709" i="1"/>
  <c r="BW61" i="24"/>
  <c r="Q728" i="1"/>
  <c r="AX40" i="24"/>
  <c r="Q770" i="1"/>
  <c r="AX51" i="24"/>
  <c r="U2" i="3" a="1"/>
  <c r="Q752" i="1"/>
  <c r="Q657"/>
  <c r="Q722"/>
  <c r="Q667"/>
  <c r="Q750"/>
  <c r="BW64" i="24"/>
  <c r="Q735" i="1"/>
  <c r="AX64" i="24"/>
  <c r="BC14"/>
  <c r="Q698" i="1"/>
  <c r="BW69" i="24"/>
  <c r="Q729" i="1"/>
  <c r="W5" i="3" a="1"/>
  <c r="Q725" i="1"/>
  <c r="BW24" i="24"/>
  <c r="Q678" i="1"/>
  <c r="AY61" i="24"/>
  <c r="Q736" i="1"/>
  <c r="AY16" i="24"/>
  <c r="BC32"/>
  <c r="BW15"/>
  <c r="BH43" a="1"/>
  <c r="AX13"/>
  <c r="AY50"/>
  <c r="BW22"/>
  <c r="V12" i="3" a="1"/>
  <c r="AY60" i="24"/>
  <c r="Q749" i="1"/>
  <c r="AY59" i="24"/>
  <c r="W8" i="3" a="1"/>
  <c r="Q751" i="1"/>
  <c r="BW60" i="24"/>
  <c r="AY53"/>
  <c r="BW33"/>
  <c r="AX60"/>
  <c r="BH44" a="1"/>
  <c r="BW17"/>
  <c r="Q769" i="1"/>
  <c r="BW47" i="24"/>
  <c r="Q683" i="1"/>
  <c r="BW14" i="24"/>
  <c r="AX53"/>
  <c r="BC23"/>
  <c r="AX25"/>
  <c r="Q716" i="1"/>
  <c r="AX23" i="24"/>
  <c r="Q647" i="1"/>
  <c r="V11" i="3" a="1"/>
  <c r="Q710" i="1"/>
  <c r="Q778"/>
  <c r="J12" i="3" a="1"/>
  <c r="G646" i="1"/>
  <c r="BF64" i="24"/>
  <c r="BW40"/>
  <c r="AX35"/>
  <c r="J2" i="3" a="1"/>
  <c r="Q703" i="1"/>
  <c r="BW16" i="24"/>
  <c r="BH52" a="1"/>
  <c r="Q675" i="1"/>
  <c r="BW50" i="24"/>
  <c r="AX66"/>
  <c r="D646" i="1"/>
  <c r="CX22" i="3" a="1"/>
  <c r="BC27" i="24"/>
  <c r="S3" i="3" a="1"/>
  <c r="AY28" i="24"/>
  <c r="BC37"/>
  <c r="BW25"/>
  <c r="Q671" i="1"/>
  <c r="U12" i="3" a="1"/>
  <c r="AY14" i="24"/>
  <c r="AX68"/>
  <c r="Q651" i="1"/>
  <c r="Q744"/>
  <c r="Q775"/>
  <c r="W7" i="3" a="1"/>
  <c r="U5" a="1"/>
  <c r="Q649" i="1"/>
  <c r="BW44" i="24"/>
  <c r="BC31"/>
  <c r="Q652" i="1"/>
  <c r="Q782"/>
  <c r="AY26" i="24"/>
  <c r="AY33"/>
  <c r="Q717" i="1"/>
  <c r="AX49" i="24"/>
  <c r="AY19"/>
  <c r="Q755" i="1"/>
  <c r="AX59" i="24"/>
  <c r="DO63"/>
  <c r="BH64" a="1"/>
  <c r="BC21"/>
  <c r="CX14" i="3" a="1"/>
  <c r="Q653" i="1"/>
  <c r="Q758"/>
  <c r="BW27" i="24"/>
  <c r="J646" i="1"/>
  <c r="AY31" i="24"/>
  <c r="J3" i="3" a="1"/>
  <c r="Q706" i="1"/>
  <c r="Q712"/>
  <c r="Q681"/>
  <c r="Q689"/>
  <c r="BW46" i="24"/>
  <c r="BW39"/>
  <c r="AX16"/>
  <c r="Q686" i="1"/>
  <c r="V2" i="3" a="1"/>
  <c r="C646" i="1"/>
  <c r="W2" i="3" a="1"/>
  <c r="BC22" i="24"/>
  <c r="BW26"/>
  <c r="S11" i="3" a="1"/>
  <c r="Q682" i="1"/>
  <c r="Q669"/>
  <c r="Q704"/>
  <c r="AX37" i="24"/>
  <c r="BW68"/>
  <c r="V5" i="3" a="1"/>
  <c r="Q697" i="1"/>
  <c r="W4" i="3" a="1"/>
  <c r="Q771" i="1"/>
  <c r="W3" i="3" a="1"/>
  <c r="AX31" i="24"/>
  <c r="Q691" i="1"/>
  <c r="AY49" i="24"/>
  <c r="B646" i="1"/>
  <c r="AY40" i="24"/>
  <c r="Q767" i="1"/>
  <c r="V7" i="3" a="1"/>
  <c r="AX71" i="24"/>
  <c r="AX21"/>
  <c r="BF68"/>
  <c r="BC18"/>
  <c r="AY45"/>
  <c r="Q745" i="1"/>
  <c r="BW57" i="24"/>
  <c r="AY54"/>
  <c r="AY35"/>
  <c r="Q743" i="1"/>
  <c r="DC6" i="3"/>
  <c r="L646" i="1"/>
  <c r="F646"/>
  <c r="Q672"/>
  <c r="AX42" i="24"/>
  <c r="BW66"/>
  <c r="Q753" i="1"/>
  <c r="O646"/>
  <c r="Q660"/>
  <c r="Q727"/>
  <c r="AX26" i="24"/>
  <c r="V4" i="3" a="1"/>
  <c r="AX33" i="24"/>
  <c r="Q756" i="1"/>
  <c r="Q714"/>
  <c r="AY24" i="24"/>
  <c r="Q739" i="1"/>
  <c r="Q732"/>
  <c r="BW37" i="24"/>
  <c r="Q724" i="1"/>
  <c r="Q776"/>
  <c r="J4" i="3" a="1"/>
  <c r="H646" i="1"/>
  <c r="Q673"/>
  <c r="Q659"/>
  <c r="Q760"/>
  <c r="AX61" i="24"/>
  <c r="S2" i="3" a="1"/>
  <c r="AY27" i="24"/>
  <c r="Q668" i="1"/>
  <c r="AX67" i="24"/>
  <c r="AY13"/>
  <c r="BH51" a="1"/>
  <c r="J5" i="3" a="1"/>
  <c r="DD6" l="1"/>
  <c r="DE6" s="1"/>
  <c r="DF6" s="1"/>
  <c r="B6" s="1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2" i="3"/>
  <c r="V12"/>
  <c r="CU12" s="1" a="1"/>
  <c r="CU12" s="1"/>
  <c r="DN12" s="1" a="1"/>
  <c r="DN12" s="1"/>
  <c r="U12"/>
  <c r="S12"/>
  <c r="AA12" s="1"/>
  <c r="J12"/>
  <c r="M12" s="1"/>
  <c r="T12" s="1" a="1"/>
  <c r="T12" s="1"/>
  <c r="W11"/>
  <c r="ED11" s="1"/>
  <c r="DZ11" s="1"/>
  <c r="V11"/>
  <c r="CU11" s="1" a="1"/>
  <c r="CU11" s="1"/>
  <c r="DN11" s="1" a="1"/>
  <c r="DN11" s="1"/>
  <c r="U11"/>
  <c r="S11"/>
  <c r="J11"/>
  <c r="W8"/>
  <c r="V8"/>
  <c r="U8"/>
  <c r="S8"/>
  <c r="J8"/>
  <c r="M8" s="1"/>
  <c r="T8" s="1" a="1"/>
  <c r="T8" s="1"/>
  <c r="W7"/>
  <c r="ED7" s="1"/>
  <c r="DZ7" s="1"/>
  <c r="V7"/>
  <c r="U7"/>
  <c r="S7"/>
  <c r="AA7" s="1"/>
  <c r="J7"/>
  <c r="W5"/>
  <c r="CR5" s="1" a="1"/>
  <c r="CR5" s="1"/>
  <c r="DK5" s="1"/>
  <c r="V5"/>
  <c r="U5"/>
  <c r="S5"/>
  <c r="J5"/>
  <c r="L5" s="1"/>
  <c r="W4"/>
  <c r="V4"/>
  <c r="U4"/>
  <c r="S4"/>
  <c r="AA4" s="1"/>
  <c r="J4"/>
  <c r="W3"/>
  <c r="CS3" s="1" a="1"/>
  <c r="CS3" s="1"/>
  <c r="DL3" s="1"/>
  <c r="V3"/>
  <c r="CU3" s="1" a="1"/>
  <c r="CU3" s="1"/>
  <c r="DN3" s="1" a="1"/>
  <c r="DN3" s="1"/>
  <c r="U3"/>
  <c r="S3"/>
  <c r="J3"/>
  <c r="W2"/>
  <c r="AB2" s="1" a="1"/>
  <c r="AB2" s="1"/>
  <c r="AC2" s="1" a="1"/>
  <c r="AC2" s="1"/>
  <c r="AD2" s="1"/>
  <c r="AK2" s="1"/>
  <c r="S2"/>
  <c r="U2"/>
  <c r="V2"/>
  <c r="CU2" s="1" a="1"/>
  <c r="CU2" s="1"/>
  <c r="DN2" s="1" a="1"/>
  <c r="DN2" s="1"/>
  <c r="J2"/>
  <c r="K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S59" s="1"/>
  <c r="BQ52"/>
  <c r="BR52" s="1"/>
  <c r="BQ47"/>
  <c r="BS47" s="1"/>
  <c r="BQ42"/>
  <c r="BR42" s="1"/>
  <c r="BQ43"/>
  <c r="BQ51"/>
  <c r="BR51" s="1"/>
  <c r="BQ41"/>
  <c r="BS41" s="1"/>
  <c r="BQ40"/>
  <c r="BS40" s="1"/>
  <c r="BQ61"/>
  <c r="BS61" s="1"/>
  <c r="BQ45"/>
  <c r="BR45" s="1"/>
  <c r="BQ48"/>
  <c r="BS48" s="1"/>
  <c r="BQ70"/>
  <c r="BR70" s="1"/>
  <c r="BQ44"/>
  <c r="BR44" s="1"/>
  <c r="BQ53"/>
  <c r="BR53" s="1"/>
  <c r="BQ58"/>
  <c r="BS58" s="1"/>
  <c r="BQ50"/>
  <c r="BS50" s="1"/>
  <c r="BQ49"/>
  <c r="BR49" s="1"/>
  <c r="BQ60"/>
  <c r="BR60" s="1"/>
  <c r="BQ54"/>
  <c r="BS54" s="1"/>
  <c r="BQ69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4" i="3"/>
  <c r="DQ14" s="1"/>
  <c r="CX18"/>
  <c r="DQ18" s="1"/>
  <c r="CX19"/>
  <c r="DQ19" s="1"/>
  <c r="CX22"/>
  <c r="DQ22" s="1"/>
  <c r="BR69" i="24"/>
  <c r="BS69"/>
  <c r="BS44"/>
  <c r="BR43"/>
  <c r="BS43"/>
  <c r="BS42"/>
  <c r="L2" i="3"/>
  <c r="CS4" a="1"/>
  <c r="CS4" s="1"/>
  <c r="DL4" s="1"/>
  <c r="ED4"/>
  <c r="DZ4" s="1"/>
  <c r="CR4" a="1"/>
  <c r="CR4" s="1"/>
  <c r="DK4" s="1"/>
  <c r="M5"/>
  <c r="T5" s="1" a="1"/>
  <c r="T5" s="1"/>
  <c r="K5"/>
  <c r="M11"/>
  <c r="T11" s="1" a="1"/>
  <c r="T11" s="1"/>
  <c r="K11"/>
  <c r="L11"/>
  <c r="CS12" a="1"/>
  <c r="CS12" s="1"/>
  <c r="DL12" s="1"/>
  <c r="ED12"/>
  <c r="DZ12" s="1"/>
  <c r="CR12" a="1"/>
  <c r="CR12" s="1"/>
  <c r="DK12" s="1"/>
  <c r="BE3"/>
  <c r="BF3"/>
  <c r="BO6"/>
  <c r="AM6"/>
  <c r="EP6"/>
  <c r="DO30" i="24"/>
  <c r="DO29"/>
  <c r="AB12" i="3" a="1"/>
  <c r="BH27" i="24" a="1"/>
  <c r="BF32"/>
  <c r="AB7" i="3" a="1"/>
  <c r="BF27" i="24"/>
  <c r="CO31" i="3" a="1"/>
  <c r="Y12" a="1"/>
  <c r="BH32" i="24" a="1"/>
  <c r="BF28"/>
  <c r="BH13" a="1"/>
  <c r="CB24"/>
  <c r="BF23"/>
  <c r="K4" i="3"/>
  <c r="CB34" i="24"/>
  <c r="AB4" i="3" a="1"/>
  <c r="X12" a="1"/>
  <c r="BH39" i="24" a="1"/>
  <c r="CB21"/>
  <c r="CO28" i="3" a="1"/>
  <c r="BH23" i="24" a="1"/>
  <c r="CO29" i="3" a="1"/>
  <c r="CO30" a="1"/>
  <c r="BF33" i="24"/>
  <c r="CO24" i="3" a="1"/>
  <c r="BH28" i="24" a="1"/>
  <c r="X11" i="3" a="1"/>
  <c r="BH14" i="24" a="1"/>
  <c r="X7" i="3" a="1"/>
  <c r="BF14" i="24"/>
  <c r="BH36" a="1"/>
  <c r="CO20" i="3" a="1"/>
  <c r="CB22" i="24"/>
  <c r="BF24"/>
  <c r="BH37" a="1"/>
  <c r="BF13"/>
  <c r="Y4" i="3" a="1"/>
  <c r="BH24" i="24" a="1"/>
  <c r="BH38" a="1"/>
  <c r="BH33" a="1"/>
  <c r="L4" i="3"/>
  <c r="X4" a="1"/>
  <c r="CU7" a="1"/>
  <c r="Y7" a="1"/>
  <c r="CU5" a="1"/>
  <c r="L7"/>
  <c r="CU4" a="1"/>
  <c r="CU8" a="1"/>
  <c r="Y8" a="1"/>
  <c r="K3"/>
  <c r="CO29" l="1"/>
  <c r="DH29" s="1"/>
  <c r="CO30"/>
  <c r="DH30" s="1"/>
  <c r="CO31"/>
  <c r="DH31" s="1"/>
  <c r="CO28"/>
  <c r="DH28" s="1"/>
  <c r="BR61" i="24"/>
  <c r="Z11" i="3"/>
  <c r="E11" s="1"/>
  <c r="AW3"/>
  <c r="X3" a="1"/>
  <c r="X3" s="1"/>
  <c r="BS70" i="24"/>
  <c r="BT70" s="1"/>
  <c r="BR68"/>
  <c r="M2" i="3"/>
  <c r="T2" s="1" a="1"/>
  <c r="T2" s="1"/>
  <c r="Z2" s="1"/>
  <c r="CR3" a="1"/>
  <c r="CR3" s="1"/>
  <c r="DK3" s="1"/>
  <c r="BS52" i="24"/>
  <c r="U52" s="1"/>
  <c r="Y3" i="3" a="1"/>
  <c r="Y3" s="1"/>
  <c r="BR54" i="24"/>
  <c r="BR59"/>
  <c r="CR11" i="3" a="1"/>
  <c r="CR11" s="1"/>
  <c r="DK11" s="1"/>
  <c r="Z12"/>
  <c r="AW12" s="1"/>
  <c r="BS49" i="24"/>
  <c r="B49" s="1"/>
  <c r="Z5" i="3"/>
  <c r="AW5" s="1"/>
  <c r="ED3"/>
  <c r="DZ3" s="1"/>
  <c r="BS51" i="24"/>
  <c r="U51" s="1"/>
  <c r="AA2" i="3"/>
  <c r="BS53" i="24"/>
  <c r="U53" s="1"/>
  <c r="N12" i="3"/>
  <c r="AU12" s="1"/>
  <c r="AA8"/>
  <c r="K12"/>
  <c r="L8"/>
  <c r="BB2"/>
  <c r="BB7"/>
  <c r="K8"/>
  <c r="AB3" a="1"/>
  <c r="AB3" s="1"/>
  <c r="AC3" s="1" a="1"/>
  <c r="AC3" s="1"/>
  <c r="AD3" s="1"/>
  <c r="AK3" s="1"/>
  <c r="BR48" i="24"/>
  <c r="BS60"/>
  <c r="U60" s="1"/>
  <c r="ED2" i="3"/>
  <c r="DZ2" s="1"/>
  <c r="BR47" i="24"/>
  <c r="BS45"/>
  <c r="BT45" s="1"/>
  <c r="AW2" i="3"/>
  <c r="BR40" i="24"/>
  <c r="BR50"/>
  <c r="EM6" i="3"/>
  <c r="EN6" s="1"/>
  <c r="BR46" i="24"/>
  <c r="Y2" i="3" a="1"/>
  <c r="Y2" s="1"/>
  <c r="ED8"/>
  <c r="DZ8" s="1"/>
  <c r="EQ6"/>
  <c r="N11"/>
  <c r="AU11" s="1"/>
  <c r="N8"/>
  <c r="AX8" s="1" a="1"/>
  <c r="AX8" s="1"/>
  <c r="CS5" a="1"/>
  <c r="CS5" s="1"/>
  <c r="DL5" s="1"/>
  <c r="X2" a="1"/>
  <c r="X2" s="1"/>
  <c r="BR41" i="24"/>
  <c r="BR58"/>
  <c r="AA5" i="3"/>
  <c r="CR2" a="1"/>
  <c r="CR2" s="1"/>
  <c r="DK2" s="1"/>
  <c r="L12"/>
  <c r="N5"/>
  <c r="AX5" s="1" a="1"/>
  <c r="AX5" s="1"/>
  <c r="BJ6"/>
  <c r="BN6" s="1"/>
  <c r="CS11" a="1"/>
  <c r="CS11" s="1"/>
  <c r="DL11" s="1"/>
  <c r="Z8"/>
  <c r="ED5"/>
  <c r="DZ5" s="1"/>
  <c r="AA11"/>
  <c r="AA3"/>
  <c r="BQ64" i="24"/>
  <c r="BR64" s="1"/>
  <c r="BS64" s="1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5"/>
  <c r="DN5" s="1" a="1"/>
  <c r="DN5" s="1"/>
  <c r="CU7"/>
  <c r="DN7" s="1" a="1"/>
  <c r="DN7" s="1"/>
  <c r="CU8"/>
  <c r="DN8" s="1" a="1"/>
  <c r="DN8" s="1"/>
  <c r="CS2" a="1"/>
  <c r="CS2" s="1"/>
  <c r="DL2" s="1"/>
  <c r="CS7" a="1"/>
  <c r="CS7" s="1"/>
  <c r="DL7" s="1"/>
  <c r="CR7" a="1"/>
  <c r="CR7" s="1"/>
  <c r="DK7" s="1"/>
  <c r="CR8" a="1"/>
  <c r="CR8" s="1"/>
  <c r="DK8" s="1"/>
  <c r="CS8" a="1"/>
  <c r="CS8" s="1"/>
  <c r="DL8" s="1"/>
  <c r="AB12"/>
  <c r="AC12" s="1" a="1"/>
  <c r="AC12" s="1"/>
  <c r="AD12" s="1"/>
  <c r="AK12" s="1"/>
  <c r="Y12"/>
  <c r="X12"/>
  <c r="X11"/>
  <c r="Y8"/>
  <c r="AB7"/>
  <c r="AC7" s="1" a="1"/>
  <c r="AC7" s="1"/>
  <c r="AD7" s="1"/>
  <c r="AK7" s="1"/>
  <c r="Y7"/>
  <c r="X7"/>
  <c r="AB4"/>
  <c r="AC4" s="1" a="1"/>
  <c r="AC4" s="1"/>
  <c r="AD4" s="1"/>
  <c r="AK4" s="1"/>
  <c r="Y4"/>
  <c r="X4"/>
  <c r="CO24"/>
  <c r="DH24" s="1"/>
  <c r="CO20"/>
  <c r="DH20" s="1"/>
  <c r="B46" i="24"/>
  <c r="BT46"/>
  <c r="U46"/>
  <c r="U68"/>
  <c r="BT68"/>
  <c r="B68"/>
  <c r="BT59"/>
  <c r="U59"/>
  <c r="B59"/>
  <c r="BT47"/>
  <c r="B47"/>
  <c r="U47"/>
  <c r="B42"/>
  <c r="U42"/>
  <c r="BT42"/>
  <c r="BT43"/>
  <c r="B43"/>
  <c r="U43"/>
  <c r="B41"/>
  <c r="BT41"/>
  <c r="U41"/>
  <c r="BT40"/>
  <c r="U40"/>
  <c r="B40"/>
  <c r="U61"/>
  <c r="BT61"/>
  <c r="B61"/>
  <c r="U48"/>
  <c r="B48"/>
  <c r="BT48"/>
  <c r="U44"/>
  <c r="BT44"/>
  <c r="B44"/>
  <c r="U58"/>
  <c r="BT58"/>
  <c r="B58"/>
  <c r="BT50"/>
  <c r="B50"/>
  <c r="U50"/>
  <c r="U54"/>
  <c r="BT54"/>
  <c r="B54"/>
  <c r="BT69"/>
  <c r="B69"/>
  <c r="U69"/>
  <c r="BF4" i="3"/>
  <c r="BG4" s="1"/>
  <c r="BI4" s="1"/>
  <c r="BG3"/>
  <c r="CS29" i="24"/>
  <c r="DC29"/>
  <c r="CS30"/>
  <c r="DC30"/>
  <c r="K7" i="3"/>
  <c r="CB31" i="24"/>
  <c r="CO27" i="3" a="1"/>
  <c r="AB8" a="1"/>
  <c r="CO25" a="1"/>
  <c r="CO22" a="1"/>
  <c r="CO16" a="1"/>
  <c r="AN7"/>
  <c r="CO15" a="1"/>
  <c r="CO4" a="1"/>
  <c r="CB20" i="24"/>
  <c r="BF31"/>
  <c r="CO17" i="3" a="1"/>
  <c r="BF22" i="24"/>
  <c r="L3" i="3"/>
  <c r="BF21" i="24" s="1"/>
  <c r="Y11" i="3" a="1"/>
  <c r="CB25" i="24"/>
  <c r="CO2" i="3" a="1"/>
  <c r="CB26" i="24"/>
  <c r="CO13" i="3" a="1"/>
  <c r="M3"/>
  <c r="AN3"/>
  <c r="CO5" a="1"/>
  <c r="CO23" a="1"/>
  <c r="AB5" a="1"/>
  <c r="X5" a="1"/>
  <c r="BH31" i="24" a="1"/>
  <c r="CO14" i="3" a="1"/>
  <c r="BH21" i="24" a="1"/>
  <c r="M4" i="3"/>
  <c r="AN4"/>
  <c r="DO71" i="24"/>
  <c r="CO26" i="3" a="1"/>
  <c r="X8" a="1"/>
  <c r="CO11" a="1"/>
  <c r="CO9" a="1"/>
  <c r="CO10" a="1"/>
  <c r="BH22" i="24" a="1"/>
  <c r="CO19" i="3" a="1"/>
  <c r="CO7" a="1"/>
  <c r="CO8" a="1"/>
  <c r="CO12" a="1"/>
  <c r="CO3" a="1"/>
  <c r="Y5" a="1"/>
  <c r="AN2"/>
  <c r="CB35" i="24" s="1"/>
  <c r="AN12" i="3"/>
  <c r="AB11" a="1"/>
  <c r="CO18" a="1"/>
  <c r="AB11" l="1"/>
  <c r="AC11" s="1" a="1"/>
  <c r="AC11" s="1"/>
  <c r="AD11" s="1"/>
  <c r="AK11" s="1"/>
  <c r="Y5"/>
  <c r="X5"/>
  <c r="Y11"/>
  <c r="AX12" a="1"/>
  <c r="AX12" s="1"/>
  <c r="BT53" i="24"/>
  <c r="CO27" i="3"/>
  <c r="DH27" s="1"/>
  <c r="CO25"/>
  <c r="DH25" s="1"/>
  <c r="CO26"/>
  <c r="DH26" s="1"/>
  <c r="BT52" i="24"/>
  <c r="DC71"/>
  <c r="DB71" s="1"/>
  <c r="CE71" s="1"/>
  <c r="CS71"/>
  <c r="AW11" i="3"/>
  <c r="B70" i="24"/>
  <c r="U70"/>
  <c r="B53"/>
  <c r="N2" i="3"/>
  <c r="AU2" s="1"/>
  <c r="BK2" s="1"/>
  <c r="U49" i="24"/>
  <c r="BT60"/>
  <c r="E12" i="3"/>
  <c r="B60" i="24"/>
  <c r="E5" i="3"/>
  <c r="B52" i="24"/>
  <c r="B51"/>
  <c r="AX11" i="3" a="1"/>
  <c r="AX11" s="1"/>
  <c r="AU5"/>
  <c r="AR8"/>
  <c r="CT8" s="1" a="1"/>
  <c r="CT8" s="1"/>
  <c r="DM8" s="1"/>
  <c r="EO6"/>
  <c r="AY8"/>
  <c r="AZ8" s="1" a="1"/>
  <c r="AZ8" s="1"/>
  <c r="AY5"/>
  <c r="BT49" i="24"/>
  <c r="AR5" i="3"/>
  <c r="CT5" s="1" a="1"/>
  <c r="CT5" s="1"/>
  <c r="DM5" s="1"/>
  <c r="AT5"/>
  <c r="AV12"/>
  <c r="U45" i="24"/>
  <c r="AY12" i="3"/>
  <c r="BT51" i="24"/>
  <c r="AV5" i="3"/>
  <c r="AY11"/>
  <c r="AU8"/>
  <c r="AT8"/>
  <c r="AR11"/>
  <c r="CT11" s="1" a="1"/>
  <c r="CT11" s="1"/>
  <c r="DM11" s="1"/>
  <c r="AR12"/>
  <c r="CT12" s="1" a="1"/>
  <c r="CT12" s="1"/>
  <c r="DM12" s="1"/>
  <c r="B45" i="24"/>
  <c r="AV8" i="3"/>
  <c r="AT11"/>
  <c r="AT12"/>
  <c r="AV11"/>
  <c r="BH22" i="24"/>
  <c r="BZ22"/>
  <c r="BH21"/>
  <c r="BZ21"/>
  <c r="AB5" i="3"/>
  <c r="AC5" s="1" a="1"/>
  <c r="AC5" s="1"/>
  <c r="BH31" i="24"/>
  <c r="BZ31"/>
  <c r="X8" i="3"/>
  <c r="AB8"/>
  <c r="AC8" s="1" a="1"/>
  <c r="AC8" s="1"/>
  <c r="AD8" s="1"/>
  <c r="AK8" s="1"/>
  <c r="E8"/>
  <c r="AW8"/>
  <c r="CO2"/>
  <c r="DH2" s="1"/>
  <c r="CO12"/>
  <c r="DH12" s="1"/>
  <c r="CO11"/>
  <c r="DH11" s="1"/>
  <c r="CO8"/>
  <c r="DH8" s="1"/>
  <c r="CO7"/>
  <c r="DH7" s="1"/>
  <c r="CO5"/>
  <c r="DH5" s="1"/>
  <c r="CO4"/>
  <c r="DH4" s="1"/>
  <c r="CO3"/>
  <c r="DH3" s="1"/>
  <c r="CO10"/>
  <c r="DH10" s="1"/>
  <c r="CO9"/>
  <c r="DH9" s="1"/>
  <c r="CO23"/>
  <c r="DH23" s="1"/>
  <c r="CO22"/>
  <c r="DH22" s="1"/>
  <c r="CO19"/>
  <c r="DH19" s="1"/>
  <c r="CO18"/>
  <c r="DH18" s="1"/>
  <c r="CO17"/>
  <c r="DH17" s="1"/>
  <c r="CO16"/>
  <c r="DH16" s="1"/>
  <c r="CO15"/>
  <c r="DH15" s="1"/>
  <c r="CO14"/>
  <c r="DH14" s="1"/>
  <c r="CO13"/>
  <c r="DH13" s="1"/>
  <c r="U62" i="24"/>
  <c r="BT62"/>
  <c r="B62" s="1"/>
  <c r="BT64"/>
  <c r="B64" s="1"/>
  <c r="U64"/>
  <c r="N3" i="3"/>
  <c r="N4"/>
  <c r="BK12"/>
  <c r="BL12"/>
  <c r="BH3"/>
  <c r="BI3"/>
  <c r="BM3" s="1"/>
  <c r="AM3" s="1"/>
  <c r="BH4"/>
  <c r="AN8"/>
  <c r="BF25" i="24"/>
  <c r="AN5" i="3"/>
  <c r="T3" a="1"/>
  <c r="BH25" i="24" a="1"/>
  <c r="BH26" a="1"/>
  <c r="T4" i="3" a="1"/>
  <c r="DC9"/>
  <c r="CB19" i="24"/>
  <c r="AN11" i="3"/>
  <c r="BF26" i="24"/>
  <c r="M7" i="3"/>
  <c r="DC10"/>
  <c r="CX8" a="1"/>
  <c r="CX11" a="1"/>
  <c r="CX5" a="1"/>
  <c r="CX12" a="1"/>
  <c r="BH35" i="24" a="1"/>
  <c r="BF35"/>
  <c r="BF20"/>
  <c r="BK11" i="3" l="1"/>
  <c r="BL11"/>
  <c r="BH26" i="24"/>
  <c r="BZ26"/>
  <c r="BQ71"/>
  <c r="BR71" s="1"/>
  <c r="BS71" s="1"/>
  <c r="EE11" i="3"/>
  <c r="EB11" s="1"/>
  <c r="EC11" s="1"/>
  <c r="EP11" s="1"/>
  <c r="EE5"/>
  <c r="EB5" s="1"/>
  <c r="EC5" s="1"/>
  <c r="EP5" s="1"/>
  <c r="AX2" a="1"/>
  <c r="AX2" s="1"/>
  <c r="BC2"/>
  <c r="BD2"/>
  <c r="AR2"/>
  <c r="CT2" s="1" a="1"/>
  <c r="CT2" s="1"/>
  <c r="DM2" s="1"/>
  <c r="AY2"/>
  <c r="AZ2" s="1" a="1"/>
  <c r="AZ2" s="1"/>
  <c r="AT2"/>
  <c r="AV2"/>
  <c r="BL5"/>
  <c r="BL2"/>
  <c r="EE8"/>
  <c r="EB8" s="1"/>
  <c r="EC8" s="1"/>
  <c r="EP8" s="1"/>
  <c r="BK5"/>
  <c r="EE12"/>
  <c r="EB12" s="1"/>
  <c r="EC12" s="1"/>
  <c r="EP12" s="1"/>
  <c r="BZ35" i="24"/>
  <c r="BH35"/>
  <c r="BZ20"/>
  <c r="BH25"/>
  <c r="BZ25"/>
  <c r="N7" i="3"/>
  <c r="AV7" s="1"/>
  <c r="AD5"/>
  <c r="AK5" s="1"/>
  <c r="BK8"/>
  <c r="BM8" s="1"/>
  <c r="AM8" s="1"/>
  <c r="BL8"/>
  <c r="DD9"/>
  <c r="DE9" s="1"/>
  <c r="DF9" s="1"/>
  <c r="DD10"/>
  <c r="DE10" s="1"/>
  <c r="DF10" s="1"/>
  <c r="CX12"/>
  <c r="DQ12" s="1"/>
  <c r="CX11"/>
  <c r="DQ11" s="1"/>
  <c r="CX8"/>
  <c r="DQ8" s="1"/>
  <c r="CX5"/>
  <c r="DQ5" s="1"/>
  <c r="T4"/>
  <c r="Z4" s="1"/>
  <c r="T3"/>
  <c r="Z3" s="1"/>
  <c r="AY4"/>
  <c r="AZ4" s="1" a="1"/>
  <c r="AZ4" s="1"/>
  <c r="AR4"/>
  <c r="CT4" s="1" a="1"/>
  <c r="CT4" s="1"/>
  <c r="DM4" s="1"/>
  <c r="AT4"/>
  <c r="AU4"/>
  <c r="AV4"/>
  <c r="AX4" a="1"/>
  <c r="AX4" s="1"/>
  <c r="AY3"/>
  <c r="AZ3" s="1" a="1"/>
  <c r="AZ3" s="1"/>
  <c r="AR3"/>
  <c r="CT3" s="1" a="1"/>
  <c r="CT3" s="1"/>
  <c r="DM3" s="1"/>
  <c r="AT3"/>
  <c r="AU3"/>
  <c r="AV3"/>
  <c r="AX3" a="1"/>
  <c r="AX3" s="1"/>
  <c r="BF34" i="24"/>
  <c r="BH34" a="1"/>
  <c r="DC8" i="3"/>
  <c r="T7" a="1"/>
  <c r="BH20" i="24" a="1"/>
  <c r="DC11" i="3"/>
  <c r="DC12"/>
  <c r="BH19" i="24" a="1"/>
  <c r="BF19"/>
  <c r="DC5" i="3"/>
  <c r="BH20" i="24" l="1"/>
  <c r="EE2" i="3"/>
  <c r="EB2" s="1"/>
  <c r="EC2" s="1"/>
  <c r="EP2" s="1"/>
  <c r="CX2" a="1"/>
  <c r="CX2" s="1"/>
  <c r="DQ2" s="1"/>
  <c r="EJ2" s="1"/>
  <c r="EA11"/>
  <c r="EA5"/>
  <c r="BF2"/>
  <c r="BE2"/>
  <c r="AY7"/>
  <c r="BO3"/>
  <c r="EA8"/>
  <c r="AT7"/>
  <c r="AU7"/>
  <c r="BK7" s="1"/>
  <c r="EA12"/>
  <c r="AX7" a="1"/>
  <c r="AX7" s="1"/>
  <c r="AR7"/>
  <c r="T7"/>
  <c r="Z7" s="1"/>
  <c r="AW7" s="1"/>
  <c r="BH34" i="24"/>
  <c r="BZ34"/>
  <c r="BZ19"/>
  <c r="BH19"/>
  <c r="BO8" i="3"/>
  <c r="E3"/>
  <c r="EM10"/>
  <c r="EQ10"/>
  <c r="BJ10"/>
  <c r="BN10" s="1"/>
  <c r="B10"/>
  <c r="EM9"/>
  <c r="EQ9"/>
  <c r="BJ9"/>
  <c r="BN9" s="1"/>
  <c r="B9"/>
  <c r="DD5"/>
  <c r="DE5" s="1"/>
  <c r="DF5" s="1"/>
  <c r="DD8"/>
  <c r="DE8" s="1"/>
  <c r="DF8" s="1"/>
  <c r="DD11"/>
  <c r="DE11" s="1"/>
  <c r="DF11" s="1"/>
  <c r="DD12"/>
  <c r="DE12" s="1"/>
  <c r="DF12" s="1"/>
  <c r="EE3"/>
  <c r="EB3" s="1"/>
  <c r="BK3"/>
  <c r="BL3"/>
  <c r="CX3" a="1"/>
  <c r="CX3" s="1"/>
  <c r="DQ3" s="1"/>
  <c r="EE4"/>
  <c r="EB4" s="1"/>
  <c r="BK4"/>
  <c r="BM4" s="1"/>
  <c r="AM4" s="1"/>
  <c r="BO4" s="1"/>
  <c r="BL4"/>
  <c r="U71" i="24"/>
  <c r="BT71"/>
  <c r="B71" s="1"/>
  <c r="E4" i="3"/>
  <c r="AW4"/>
  <c r="BE4" s="1"/>
  <c r="AL11"/>
  <c r="AZ12" a="1"/>
  <c r="AZ11" a="1"/>
  <c r="AZ5" a="1"/>
  <c r="DC2"/>
  <c r="BH17" i="24" a="1"/>
  <c r="CT7" i="3" a="1"/>
  <c r="CX4" a="1"/>
  <c r="DC3"/>
  <c r="EA2" l="1"/>
  <c r="BG2"/>
  <c r="BI2" s="1"/>
  <c r="BM2" s="1"/>
  <c r="AM2" s="1"/>
  <c r="BO2" s="1"/>
  <c r="EE7"/>
  <c r="EB7" s="1"/>
  <c r="EA7" s="1"/>
  <c r="CT7"/>
  <c r="DM7" s="1"/>
  <c r="BL7"/>
  <c r="E7"/>
  <c r="EN9"/>
  <c r="EO9"/>
  <c r="EN10"/>
  <c r="EO10"/>
  <c r="CX4"/>
  <c r="DQ4" s="1"/>
  <c r="DD3"/>
  <c r="DE3" s="1"/>
  <c r="DF3" s="1"/>
  <c r="EA4"/>
  <c r="EC4"/>
  <c r="EA3"/>
  <c r="EC3"/>
  <c r="EM12"/>
  <c r="EQ12"/>
  <c r="BJ12"/>
  <c r="B12"/>
  <c r="EM11"/>
  <c r="EQ11"/>
  <c r="BJ11"/>
  <c r="B11"/>
  <c r="EM8"/>
  <c r="EQ8"/>
  <c r="BJ8"/>
  <c r="BN8" s="1"/>
  <c r="B8"/>
  <c r="EM5"/>
  <c r="EQ5"/>
  <c r="BJ5"/>
  <c r="B5"/>
  <c r="AZ5"/>
  <c r="AZ11"/>
  <c r="AZ12"/>
  <c r="BH17" i="24"/>
  <c r="DD2" i="3"/>
  <c r="DE2" s="1"/>
  <c r="DF2" s="1"/>
  <c r="BH18" i="24" a="1"/>
  <c r="DC4" i="3"/>
  <c r="BH16" i="24" a="1"/>
  <c r="CX7" i="3" a="1"/>
  <c r="CX7" l="1"/>
  <c r="DQ7" s="1"/>
  <c r="BH2"/>
  <c r="EC7"/>
  <c r="EP7" s="1"/>
  <c r="BH18" i="24"/>
  <c r="DD4" i="3"/>
  <c r="DE4" s="1"/>
  <c r="DF4" s="1"/>
  <c r="EM4" s="1"/>
  <c r="EN5"/>
  <c r="EO5"/>
  <c r="EN8"/>
  <c r="EO8"/>
  <c r="EN11"/>
  <c r="EO11"/>
  <c r="EN12"/>
  <c r="EO12"/>
  <c r="EM3"/>
  <c r="EP3"/>
  <c r="EP4"/>
  <c r="EQ3"/>
  <c r="BJ3"/>
  <c r="BN3" s="1"/>
  <c r="B3"/>
  <c r="EQ2"/>
  <c r="EM2"/>
  <c r="BJ2"/>
  <c r="BN2" s="1"/>
  <c r="B2"/>
  <c r="BC12"/>
  <c r="BD12"/>
  <c r="BC11"/>
  <c r="BD11"/>
  <c r="BC5"/>
  <c r="BD5"/>
  <c r="BH16" i="24"/>
  <c r="DC7" i="3"/>
  <c r="DD7" l="1"/>
  <c r="DE7" s="1"/>
  <c r="DF7" s="1"/>
  <c r="BJ7" s="1"/>
  <c r="BN7" s="1"/>
  <c r="EN4"/>
  <c r="EO4"/>
  <c r="EN3"/>
  <c r="EO3"/>
  <c r="EQ4"/>
  <c r="BJ4"/>
  <c r="BN4" s="1"/>
  <c r="B4"/>
  <c r="BE5"/>
  <c r="BI5" s="1"/>
  <c r="BF5"/>
  <c r="BG5"/>
  <c r="BH5"/>
  <c r="BE11"/>
  <c r="BF11"/>
  <c r="BG11"/>
  <c r="BH11"/>
  <c r="BE12"/>
  <c r="BI12" s="1"/>
  <c r="BF12"/>
  <c r="BG12"/>
  <c r="BH12"/>
  <c r="EO2"/>
  <c r="EN2"/>
  <c r="DQ16" i="24"/>
  <c r="B7" i="3" l="1"/>
  <c r="EM7"/>
  <c r="EO7" s="1"/>
  <c r="EQ7"/>
  <c r="BI11"/>
  <c r="BM12"/>
  <c r="BN12"/>
  <c r="BM5"/>
  <c r="BN5"/>
  <c r="DE16" i="24"/>
  <c r="CU16"/>
  <c r="DP16"/>
  <c r="EN7" i="3" l="1"/>
  <c r="BM11"/>
  <c r="BN11"/>
  <c r="AM5"/>
  <c r="BO5" s="1"/>
  <c r="AM12"/>
  <c r="BO12" s="1"/>
  <c r="CT16" i="24"/>
  <c r="DD16"/>
  <c r="DB16" s="1"/>
  <c r="CE16" s="1"/>
  <c r="BQ16" l="1"/>
  <c r="BS16" s="1"/>
  <c r="AM11" i="3"/>
  <c r="BO11" s="1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37"/>
  <c r="DO32"/>
  <c r="DO28"/>
  <c r="DO23"/>
  <c r="DO22"/>
  <c r="DO26"/>
  <c r="DO13"/>
  <c r="DO34"/>
  <c r="DO20"/>
  <c r="DO38"/>
  <c r="DO36"/>
  <c r="DO33"/>
  <c r="DO24"/>
  <c r="DO27"/>
  <c r="DO14"/>
  <c r="DO18"/>
  <c r="DO19"/>
  <c r="DO39"/>
  <c r="DO31"/>
  <c r="DO25"/>
  <c r="DO35"/>
  <c r="DO21"/>
  <c r="BR16" l="1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DB21" s="1"/>
  <c r="CE21" s="1"/>
  <c r="CS39"/>
  <c r="DC39"/>
  <c r="DB39" s="1"/>
  <c r="CE39" s="1"/>
  <c r="CU22"/>
  <c r="DE22"/>
  <c r="DB22" s="1"/>
  <c r="CE22" s="1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CU19"/>
  <c r="DE19"/>
  <c r="DB19" s="1"/>
  <c r="CE19" s="1"/>
  <c r="CS38"/>
  <c r="DC38"/>
  <c r="DB38" s="1"/>
  <c r="CE38" s="1"/>
  <c r="CU27"/>
  <c r="DE27"/>
  <c r="DB27" s="1"/>
  <c r="CE27" s="1"/>
  <c r="CU20"/>
  <c r="DE20"/>
  <c r="CU36"/>
  <c r="DE36"/>
  <c r="DB36" s="1"/>
  <c r="CE36" s="1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DB24" s="1"/>
  <c r="CE24" s="1"/>
  <c r="CU28"/>
  <c r="DE28"/>
  <c r="DB28" s="1"/>
  <c r="CE28" s="1"/>
  <c r="CS17"/>
  <c r="DC17"/>
  <c r="DB17" s="1"/>
  <c r="CE17" s="1"/>
  <c r="CS13"/>
  <c r="DC13"/>
  <c r="DB13" s="1"/>
  <c r="CE13" s="1"/>
  <c r="U16"/>
  <c r="B16"/>
  <c r="BT16"/>
  <c r="DB31" l="1"/>
  <c r="CE31" s="1"/>
  <c r="BQ31" s="1"/>
  <c r="BR31" s="1"/>
  <c r="BS31" s="1"/>
  <c r="BQ13"/>
  <c r="BQ17"/>
  <c r="BR17" s="1"/>
  <c r="BQ36"/>
  <c r="BR36" s="1"/>
  <c r="BS36" s="1"/>
  <c r="BQ14"/>
  <c r="BR14" s="1"/>
  <c r="BS14" s="1"/>
  <c r="DB32"/>
  <c r="CE32" s="1"/>
  <c r="BQ32" s="1"/>
  <c r="BQ21"/>
  <c r="BR21" s="1"/>
  <c r="BS21" s="1"/>
  <c r="BQ38"/>
  <c r="BS38" s="1"/>
  <c r="DB25"/>
  <c r="CE25" s="1"/>
  <c r="BQ25" s="1"/>
  <c r="BR25" s="1"/>
  <c r="BS25" s="1"/>
  <c r="BQ19"/>
  <c r="BR19" s="1"/>
  <c r="BS19" s="1"/>
  <c r="BQ24"/>
  <c r="BR24" s="1"/>
  <c r="BS24" s="1"/>
  <c r="BQ37"/>
  <c r="BR37" s="1"/>
  <c r="BQ27"/>
  <c r="BR27" s="1"/>
  <c r="BS27" s="1"/>
  <c r="BQ22"/>
  <c r="BQ34"/>
  <c r="BQ39"/>
  <c r="BS39" s="1"/>
  <c r="BQ28"/>
  <c r="BR28" s="1"/>
  <c r="BS28" s="1"/>
  <c r="BQ35"/>
  <c r="BR35" s="1"/>
  <c r="BS35" s="1"/>
  <c r="BQ18"/>
  <c r="BS18" s="1"/>
  <c r="DB20"/>
  <c r="CE20" s="1"/>
  <c r="BQ20" s="1"/>
  <c r="BR20" s="1"/>
  <c r="BS20" s="1"/>
  <c r="DB33"/>
  <c r="CE33" s="1"/>
  <c r="BQ33" s="1"/>
  <c r="BR33" s="1"/>
  <c r="BS33" s="1"/>
  <c r="DB23"/>
  <c r="CE23" s="1"/>
  <c r="BQ23" s="1"/>
  <c r="BR23" s="1"/>
  <c r="BS23" s="1"/>
  <c r="DB26"/>
  <c r="CE26" s="1"/>
  <c r="BQ26" s="1"/>
  <c r="BR26" s="1"/>
  <c r="BS26" s="1"/>
  <c r="BR30"/>
  <c r="BS30" s="1"/>
  <c r="BR38"/>
  <c r="BR32"/>
  <c r="BS32" s="1"/>
  <c r="BR34"/>
  <c r="BS34" s="1"/>
  <c r="BR29"/>
  <c r="BS29" s="1"/>
  <c r="BR22"/>
  <c r="BS22" s="1"/>
  <c r="BR39"/>
  <c r="BS13" l="1"/>
  <c r="U13" s="1"/>
  <c r="BS17"/>
  <c r="B17" s="1"/>
  <c r="BR13"/>
  <c r="BR18"/>
  <c r="BS37"/>
  <c r="U37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39"/>
  <c r="B39"/>
  <c r="BT39"/>
  <c r="B38"/>
  <c r="BT38"/>
  <c r="U38"/>
  <c r="U14"/>
  <c r="BT14"/>
  <c r="B14" s="1"/>
  <c r="U18"/>
  <c r="B18"/>
  <c r="BT18"/>
  <c r="DO15"/>
  <c r="BT13" l="1"/>
  <c r="B13" s="1"/>
  <c r="DC15"/>
  <c r="DB15" s="1"/>
  <c r="CE15" s="1"/>
  <c r="BQ15" s="1"/>
  <c r="BR15" s="1"/>
  <c r="CS15"/>
  <c r="U17"/>
  <c r="BT17"/>
  <c r="BT37"/>
  <c r="B37"/>
  <c r="BQ5"/>
  <c r="BR7" l="1"/>
  <c r="W2" s="1"/>
  <c r="BQ7"/>
  <c r="BQ11"/>
  <c r="BQ9"/>
  <c r="V2"/>
  <c r="AV51" s="1"/>
  <c r="BS15"/>
  <c r="U15" s="1"/>
  <c r="DC13" i="3"/>
  <c r="DC17"/>
  <c r="DC18"/>
  <c r="DC16"/>
  <c r="DC22"/>
  <c r="DC23"/>
  <c r="DC14"/>
  <c r="DC24"/>
  <c r="DC19"/>
  <c r="DC15"/>
  <c r="AV39" i="24" l="1"/>
  <c r="AV22"/>
  <c r="AV63"/>
  <c r="AV20"/>
  <c r="AV31"/>
  <c r="AV44"/>
  <c r="AV61"/>
  <c r="AV19"/>
  <c r="AV16"/>
  <c r="AV33"/>
  <c r="AV68"/>
  <c r="AV37"/>
  <c r="AV25"/>
  <c r="AV66"/>
  <c r="AV30"/>
  <c r="AV36"/>
  <c r="AV54"/>
  <c r="AV28"/>
  <c r="AV23"/>
  <c r="AV60"/>
  <c r="AV50"/>
  <c r="AV43"/>
  <c r="AV62"/>
  <c r="AV49"/>
  <c r="AV42"/>
  <c r="AV65"/>
  <c r="AV45"/>
  <c r="AV58"/>
  <c r="AV64"/>
  <c r="AV46"/>
  <c r="AV18"/>
  <c r="AV53"/>
  <c r="AV29"/>
  <c r="AV52"/>
  <c r="AV38"/>
  <c r="AV17"/>
  <c r="AV24"/>
  <c r="AV34"/>
  <c r="AV59"/>
  <c r="AV26"/>
  <c r="AV71"/>
  <c r="AV27"/>
  <c r="BT15"/>
  <c r="B15" s="1"/>
  <c r="AV35"/>
  <c r="AV67"/>
  <c r="AV21"/>
  <c r="AV32"/>
  <c r="DD24" i="3"/>
  <c r="DE24" s="1"/>
  <c r="DF24" s="1"/>
  <c r="DD23"/>
  <c r="DE23" s="1"/>
  <c r="DF23" s="1"/>
  <c r="DD22"/>
  <c r="DE22" s="1"/>
  <c r="DF22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DD14"/>
  <c r="DE14" s="1"/>
  <c r="DF14" s="1"/>
  <c r="DD13"/>
  <c r="DE13" s="1"/>
  <c r="DF13" s="1"/>
  <c r="BJ13" l="1"/>
  <c r="BN13" s="1"/>
  <c r="B13"/>
  <c r="EQ13"/>
  <c r="EM13"/>
  <c r="BJ14"/>
  <c r="BN14" s="1"/>
  <c r="B14"/>
  <c r="EQ14"/>
  <c r="EM14"/>
  <c r="BJ15"/>
  <c r="BN15" s="1"/>
  <c r="B15"/>
  <c r="EQ15"/>
  <c r="EM15"/>
  <c r="BJ16"/>
  <c r="BN16" s="1"/>
  <c r="B16"/>
  <c r="EQ16"/>
  <c r="EM16"/>
  <c r="BJ17"/>
  <c r="BN17" s="1"/>
  <c r="B17"/>
  <c r="EQ17"/>
  <c r="EM17"/>
  <c r="BJ18"/>
  <c r="B18"/>
  <c r="EQ18"/>
  <c r="EM18"/>
  <c r="BJ19"/>
  <c r="B19"/>
  <c r="EQ19"/>
  <c r="EM19"/>
  <c r="BJ22"/>
  <c r="B22"/>
  <c r="EQ22"/>
  <c r="EM22"/>
  <c r="BJ23"/>
  <c r="BN23" s="1"/>
  <c r="B23"/>
  <c r="EQ23"/>
  <c r="EM23"/>
  <c r="BJ24"/>
  <c r="BN24" s="1"/>
  <c r="B24"/>
  <c r="EQ24"/>
  <c r="EM24"/>
  <c r="EO24" l="1"/>
  <c r="EN24"/>
  <c r="EO23"/>
  <c r="EN23"/>
  <c r="EO22"/>
  <c r="EN22"/>
  <c r="EO19"/>
  <c r="EN19"/>
  <c r="EO18"/>
  <c r="EN18"/>
  <c r="EO17"/>
  <c r="EN17"/>
  <c r="EO16"/>
  <c r="EN16"/>
  <c r="EO15"/>
  <c r="EN15"/>
  <c r="EO14"/>
  <c r="EN14"/>
  <c r="EO13"/>
  <c r="EN13"/>
  <c r="DC20"/>
  <c r="DC21"/>
  <c r="AZ7" a="1"/>
  <c r="AZ22" a="1"/>
  <c r="AZ19" a="1"/>
  <c r="AZ9" a="1"/>
  <c r="AZ18" a="1"/>
  <c r="AZ14" a="1"/>
  <c r="AZ9" l="1"/>
  <c r="AZ14"/>
  <c r="AZ18"/>
  <c r="AZ19"/>
  <c r="AZ22"/>
  <c r="AZ7"/>
  <c r="DD21"/>
  <c r="DE21" s="1"/>
  <c r="DF21" s="1"/>
  <c r="DD20"/>
  <c r="DE20" s="1"/>
  <c r="DF20" s="1"/>
  <c r="BC14" l="1"/>
  <c r="BD14"/>
  <c r="BC18"/>
  <c r="BD18"/>
  <c r="BC19"/>
  <c r="BD19"/>
  <c r="BD9"/>
  <c r="BC9"/>
  <c r="BC22"/>
  <c r="BD22"/>
  <c r="BC7"/>
  <c r="BD7"/>
  <c r="EM21"/>
  <c r="B21"/>
  <c r="BJ21"/>
  <c r="BN21" s="1"/>
  <c r="EQ21"/>
  <c r="EM20"/>
  <c r="B20"/>
  <c r="BJ20"/>
  <c r="BN20" s="1"/>
  <c r="EQ20"/>
  <c r="EO20" l="1"/>
  <c r="EN20"/>
  <c r="BG7"/>
  <c r="BH7" s="1"/>
  <c r="BF7"/>
  <c r="BE7"/>
  <c r="BI7"/>
  <c r="BM7" s="1"/>
  <c r="EO21"/>
  <c r="EN21"/>
  <c r="BG22"/>
  <c r="BF22"/>
  <c r="BE22"/>
  <c r="BI22"/>
  <c r="BI14"/>
  <c r="BM14" s="1"/>
  <c r="BF14"/>
  <c r="BE14"/>
  <c r="BF18"/>
  <c r="BE18"/>
  <c r="BI18"/>
  <c r="BF19"/>
  <c r="BE19"/>
  <c r="BI19"/>
  <c r="BI9"/>
  <c r="BM9" s="1"/>
  <c r="BF9"/>
  <c r="BE9"/>
  <c r="BH18" l="1"/>
  <c r="BH9"/>
  <c r="BG9"/>
  <c r="BG18"/>
  <c r="BM18"/>
  <c r="AL18" s="1"/>
  <c r="AM18" s="1"/>
  <c r="BN18"/>
  <c r="BM19"/>
  <c r="AL19" s="1"/>
  <c r="AM19" s="1"/>
  <c r="BN19"/>
  <c r="BG19"/>
  <c r="BH19" s="1"/>
  <c r="BG14"/>
  <c r="BH14" s="1"/>
  <c r="BM22"/>
  <c r="AL22" s="1"/>
  <c r="AM22" s="1"/>
  <c r="BO22" s="1"/>
  <c r="BN22"/>
  <c r="BH22"/>
  <c r="BO9"/>
  <c r="AL9"/>
  <c r="AM9" s="1"/>
  <c r="AL14"/>
  <c r="AM14" s="1"/>
  <c r="AL7"/>
  <c r="BO14" l="1"/>
  <c r="AM7"/>
  <c r="BO18"/>
  <c r="BO19"/>
  <c r="BO7"/>
  <c r="DC25"/>
  <c r="DC26"/>
  <c r="DD25" l="1"/>
  <c r="DE25" s="1"/>
  <c r="DF25" s="1"/>
  <c r="EQ25" s="1"/>
  <c r="DD26"/>
  <c r="DE26" s="1"/>
  <c r="DF26" s="1"/>
  <c r="DC27"/>
  <c r="B25" l="1"/>
  <c r="BJ25"/>
  <c r="BN25" s="1"/>
  <c r="BJ26"/>
  <c r="BN26" s="1"/>
  <c r="EQ26"/>
  <c r="B26"/>
  <c r="DD27"/>
  <c r="DE27" s="1"/>
  <c r="DF27" s="1"/>
  <c r="DC28"/>
  <c r="BJ27" l="1"/>
  <c r="BN27" s="1"/>
  <c r="EQ27"/>
  <c r="B27"/>
  <c r="DD28"/>
  <c r="DE28" s="1"/>
  <c r="DF28" s="1"/>
  <c r="DC31"/>
  <c r="BJ28" l="1"/>
  <c r="BN28" s="1"/>
  <c r="EQ28"/>
  <c r="EM28"/>
  <c r="B28"/>
  <c r="DD31"/>
  <c r="DE31" s="1"/>
  <c r="DF31" s="1"/>
  <c r="EM26"/>
  <c r="EO26" s="1"/>
  <c r="EM27"/>
  <c r="EO27" s="1"/>
  <c r="EM25"/>
  <c r="EO25" s="1"/>
  <c r="EQ31" l="1"/>
  <c r="EM31"/>
  <c r="BJ31"/>
  <c r="BN31" s="1"/>
  <c r="B31"/>
  <c r="EO28"/>
  <c r="EN28"/>
  <c r="EN27"/>
  <c r="EN25"/>
  <c r="EN26"/>
  <c r="EN31" l="1"/>
  <c r="EO31"/>
  <c r="DC30"/>
  <c r="DD30" l="1"/>
  <c r="DE30" s="1"/>
  <c r="DF30" s="1"/>
  <c r="BJ30" s="1"/>
  <c r="EM30" l="1"/>
  <c r="EO30" s="1"/>
  <c r="B30"/>
  <c r="EQ30"/>
  <c r="BN30"/>
  <c r="DC29"/>
  <c r="DD29" l="1"/>
  <c r="DE29" s="1"/>
  <c r="DF29" s="1"/>
  <c r="EQ29" s="1"/>
  <c r="EN30"/>
  <c r="EM29" l="1"/>
  <c r="EO29" s="1"/>
  <c r="B29"/>
  <c r="BJ29"/>
  <c r="BN29" s="1"/>
  <c r="EN29" l="1"/>
  <c r="D16" i="7"/>
  <c r="C16" l="1"/>
  <c r="E34" i="9" s="1"/>
  <c r="BF67" i="24"/>
  <c r="BH67" a="1"/>
  <c r="CB67"/>
  <c r="D50" i="9" l="1"/>
  <c r="F32"/>
  <c r="E31"/>
  <c r="E37"/>
  <c r="F28"/>
  <c r="D28"/>
  <c r="F41"/>
  <c r="F44"/>
  <c r="D34"/>
  <c r="BH67" i="24"/>
  <c r="BZ67"/>
  <c r="BQ67" s="1"/>
  <c r="BS67" s="1"/>
  <c r="E32" i="9"/>
  <c r="E43"/>
  <c r="D41"/>
  <c r="F51"/>
  <c r="D39"/>
  <c r="F31"/>
  <c r="F52"/>
  <c r="F34"/>
  <c r="E38"/>
  <c r="F49"/>
  <c r="E52"/>
  <c r="K60" i="24"/>
  <c r="BA60" s="1"/>
  <c r="K58"/>
  <c r="BA58" s="1"/>
  <c r="E27" i="9"/>
  <c r="E47"/>
  <c r="D48"/>
  <c r="D45"/>
  <c r="D32"/>
  <c r="F40"/>
  <c r="K53" i="24"/>
  <c r="BA53" s="1"/>
  <c r="F50" i="9"/>
  <c r="D31"/>
  <c r="K61" i="24"/>
  <c r="BA61" s="1"/>
  <c r="F30" i="9"/>
  <c r="F46"/>
  <c r="E46"/>
  <c r="F47"/>
  <c r="D51"/>
  <c r="F39"/>
  <c r="F27"/>
  <c r="E42"/>
  <c r="D37"/>
  <c r="D36"/>
  <c r="K54" i="24"/>
  <c r="BA54" s="1"/>
  <c r="D47" i="9"/>
  <c r="D29"/>
  <c r="D35"/>
  <c r="F36"/>
  <c r="E45"/>
  <c r="D49"/>
  <c r="F45"/>
  <c r="F43"/>
  <c r="D42"/>
  <c r="F33"/>
  <c r="D46"/>
  <c r="D30"/>
  <c r="D43"/>
  <c r="E49"/>
  <c r="D44"/>
  <c r="E51"/>
  <c r="E48"/>
  <c r="F37"/>
  <c r="E36"/>
  <c r="E53"/>
  <c r="D40"/>
  <c r="F38"/>
  <c r="D27"/>
  <c r="E40"/>
  <c r="F29"/>
  <c r="E30"/>
  <c r="E29"/>
  <c r="F53"/>
  <c r="F48"/>
  <c r="D52"/>
  <c r="E39"/>
  <c r="E33"/>
  <c r="E28"/>
  <c r="E44"/>
  <c r="F35"/>
  <c r="K59" i="24"/>
  <c r="BA59" s="1"/>
  <c r="BD59" s="1"/>
  <c r="F42" i="9"/>
  <c r="D53"/>
  <c r="E35"/>
  <c r="D38"/>
  <c r="D33"/>
  <c r="E41"/>
  <c r="E50"/>
  <c r="BD58" i="24"/>
  <c r="D15" i="9"/>
  <c r="D17"/>
  <c r="F21"/>
  <c r="F8"/>
  <c r="D23"/>
  <c r="F25"/>
  <c r="D11"/>
  <c r="E10"/>
  <c r="E15"/>
  <c r="F5"/>
  <c r="F14"/>
  <c r="D4"/>
  <c r="BC59" i="24"/>
  <c r="D26" i="9"/>
  <c r="F22"/>
  <c r="E17"/>
  <c r="E18"/>
  <c r="F20"/>
  <c r="F10"/>
  <c r="D6"/>
  <c r="E5"/>
  <c r="F11"/>
  <c r="E19"/>
  <c r="E21"/>
  <c r="E24"/>
  <c r="E12"/>
  <c r="F23"/>
  <c r="F17"/>
  <c r="BC61" i="24"/>
  <c r="E7" i="9"/>
  <c r="D13"/>
  <c r="E4"/>
  <c r="F12"/>
  <c r="E26"/>
  <c r="F18"/>
  <c r="D14"/>
  <c r="D20"/>
  <c r="E13"/>
  <c r="E23"/>
  <c r="D12"/>
  <c r="D7"/>
  <c r="E20"/>
  <c r="E16"/>
  <c r="D16"/>
  <c r="D25"/>
  <c r="D9"/>
  <c r="D19"/>
  <c r="D5"/>
  <c r="F19"/>
  <c r="F24"/>
  <c r="E22"/>
  <c r="F6"/>
  <c r="F26"/>
  <c r="F16"/>
  <c r="BC58" i="24"/>
  <c r="F15" i="9"/>
  <c r="E9"/>
  <c r="BC60" i="24"/>
  <c r="F9" i="9"/>
  <c r="E11"/>
  <c r="E25"/>
  <c r="E8"/>
  <c r="F13"/>
  <c r="D24"/>
  <c r="D22"/>
  <c r="D10"/>
  <c r="E14"/>
  <c r="E6"/>
  <c r="D21"/>
  <c r="F7"/>
  <c r="D18"/>
  <c r="D8"/>
  <c r="F4"/>
  <c r="B16" i="7" s="1"/>
  <c r="BC54" i="24"/>
  <c r="BH66" a="1"/>
  <c r="CB66"/>
  <c r="BF66"/>
  <c r="BZ66" l="1"/>
  <c r="BQ66" s="1"/>
  <c r="BR66" s="1"/>
  <c r="BH66"/>
  <c r="T54"/>
  <c r="T60"/>
  <c r="T58"/>
  <c r="T61"/>
  <c r="T59"/>
  <c r="L53"/>
  <c r="AZ53" s="1"/>
  <c r="BD54"/>
  <c r="BR67"/>
  <c r="BD60"/>
  <c r="BD61"/>
  <c r="U67"/>
  <c r="BT67"/>
  <c r="B67"/>
  <c r="BH58" a="1"/>
  <c r="BH60" a="1"/>
  <c r="BH54" a="1"/>
  <c r="BH59" a="1"/>
  <c r="BH61" a="1"/>
  <c r="BH61" l="1"/>
  <c r="BH59"/>
  <c r="BH54"/>
  <c r="BH60"/>
  <c r="BH58"/>
  <c r="BD53"/>
  <c r="BS66"/>
  <c r="B66" s="1"/>
  <c r="BC53"/>
  <c r="U66" l="1"/>
  <c r="BT66"/>
  <c r="T53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<sst xmlns="http://schemas.openxmlformats.org/spreadsheetml/2006/main" count="778" uniqueCount="556">
  <si>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</si>
  <si>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</si>
  <si>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</si>
  <si>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</si>
  <si>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</si>
  <si>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</si>
  <si>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</si>
  <si>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</si>
  <si>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</si>
  <si>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</si>
  <si>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</si>
  <si>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</si>
  <si>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</si>
  <si>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</si>
  <si>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</si>
  <si>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</si>
  <si>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</si>
  <si>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</si>
  <si>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</si>
  <si>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</si>
  <si>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</si>
  <si>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</si>
  <si>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</si>
  <si>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</si>
  <si>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</si>
  <si>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</si>
  <si>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</si>
  <si>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</si>
  <si>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</si>
  <si>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</si>
  <si>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</si>
  <si>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</si>
  <si>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</si>
  <si>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</si>
  <si>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</si>
  <si>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</si>
  <si>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</si>
  <si>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</si>
  <si>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</si>
  <si>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</si>
  <si>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</si>
  <si>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</si>
  <si>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</si>
  <si>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</si>
  <si>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</si>
  <si>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</si>
  <si>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</si>
  <si>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</si>
  <si>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</si>
  <si>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</si>
  <si>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</si>
  <si>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</si>
  <si>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</si>
  <si>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</si>
  <si>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</si>
  <si>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</si>
  <si>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</si>
  <si>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</si>
  <si>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</si>
  <si>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</si>
  <si>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</si>
  <si>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</si>
  <si>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</si>
  <si>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</si>
  <si>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</si>
  <si>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</si>
  <si>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</si>
  <si>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</si>
  <si>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</si>
  <si>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</si>
  <si>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</si>
  <si>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</si>
  <si>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</si>
  <si>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</si>
  <si>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</si>
  <si>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</si>
  <si>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</si>
  <si>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</si>
  <si>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</si>
  <si>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</si>
  <si>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</si>
  <si>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</si>
  <si>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</si>
  <si>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</si>
  <si>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</si>
  <si>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</si>
  <si>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</si>
  <si>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</si>
  <si>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</si>
  <si>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</si>
  <si>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</si>
  <si>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</si>
  <si>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</si>
  <si>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</si>
  <si>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</si>
  <si>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</si>
  <si>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</si>
  <si>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</si>
  <si>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</si>
  <si>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</si>
  <si>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</si>
  <si>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</si>
  <si>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</si>
  <si>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</si>
  <si>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</si>
  <si>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</si>
  <si>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</si>
  <si>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</si>
  <si>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</si>
  <si>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</si>
  <si>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</si>
  <si>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</si>
  <si>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</si>
  <si>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</si>
  <si>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</si>
  <si>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</si>
  <si>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</si>
  <si>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</si>
  <si>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</si>
  <si>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</si>
  <si>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</si>
  <si>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</si>
  <si>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</si>
  <si>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</si>
  <si>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</si>
  <si>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</si>
  <si>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</si>
  <si>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</si>
  <si>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</si>
  <si>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</si>
  <si>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</si>
  <si>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</si>
  <si>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</si>
  <si>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</si>
  <si>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</si>
  <si>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</si>
  <si>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</si>
  <si>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</si>
  <si>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</si>
  <si>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</si>
  <si>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</si>
  <si>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</si>
  <si>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</si>
  <si>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</si>
  <si>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</si>
  <si>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</si>
  <si>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</si>
  <si>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</si>
  <si>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</si>
  <si>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</si>
  <si>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</si>
  <si>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</si>
  <si>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</si>
  <si>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</si>
  <si>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</si>
  <si>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</si>
  <si>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</si>
  <si>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</si>
  <si>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</si>
  <si>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</si>
  <si>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</si>
  <si>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</si>
  <si>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</si>
  <si>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</si>
  <si>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</si>
  <si>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</si>
  <si>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</si>
  <si>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</si>
  <si>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</si>
  <si>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</si>
  <si>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</si>
  <si>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</si>
  <si>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</si>
  <si>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</si>
  <si>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</si>
  <si>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</si>
  <si>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</si>
  <si>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</si>
  <si>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</si>
  <si>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</si>
  <si>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</si>
  <si>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</si>
  <si>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</si>
  <si>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</si>
  <si>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</si>
  <si>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</si>
  <si>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</si>
  <si>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</si>
  <si>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</si>
  <si>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</si>
  <si>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</si>
  <si>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</si>
  <si>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</si>
  <si>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</si>
  <si>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</si>
  <si>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</si>
  <si>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</si>
  <si>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</si>
  <si>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</si>
  <si>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</si>
  <si>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</si>
  <si>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</si>
  <si>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</si>
  <si>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</si>
  <si>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</si>
  <si>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</si>
  <si>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</si>
  <si>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</si>
  <si>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</si>
  <si>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</si>
  <si>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</si>
  <si>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</si>
  <si>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</si>
  <si>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</si>
  <si>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</si>
  <si>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</si>
  <si>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</si>
  <si>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</si>
  <si>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</si>
  <si>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</si>
  <si>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</si>
  <si>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</si>
  <si>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</si>
  <si>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</si>
  <si>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</si>
  <si>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</si>
  <si>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</si>
  <si>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</si>
  <si>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</si>
  <si>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</si>
  <si>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</si>
  <si>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</si>
  <si>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</si>
  <si>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</si>
  <si>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</si>
  <si>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</si>
  <si>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</si>
  <si>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</si>
  <si>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</si>
  <si>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</si>
  <si>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</si>
  <si>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</si>
  <si>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</si>
  <si>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</si>
  <si>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</si>
  <si>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</si>
  <si>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</si>
  <si>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</si>
  <si>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</si>
  <si>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</si>
  <si>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</si>
  <si>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</si>
  <si>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</si>
  <si>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</si>
  <si>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</si>
  <si>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</si>
  <si>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</si>
  <si>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</si>
  <si>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</si>
  <si>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</si>
  <si>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</si>
  <si>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</si>
  <si>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</si>
  <si>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</si>
  <si>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</si>
  <si>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</si>
  <si>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</si>
  <si>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</si>
  <si>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</si>
  <si>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</si>
  <si>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</si>
  <si>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</si>
  <si>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</si>
  <si>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</si>
  <si>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</si>
  <si>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</si>
  <si>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</si>
  <si>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</si>
  <si>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</si>
  <si>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</si>
  <si>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</si>
  <si>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</si>
  <si>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</si>
  <si>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</si>
  <si>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</si>
  <si>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</si>
  <si>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</si>
  <si>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</si>
  <si>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</si>
  <si>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</si>
  <si>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</si>
  <si>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</si>
  <si>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</si>
  <si>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</si>
  <si>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</si>
  <si>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</si>
  <si>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</si>
  <si>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</si>
  <si>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</si>
  <si>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</si>
  <si>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</si>
  <si>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</si>
  <si>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</si>
  <si>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</si>
  <si>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</si>
  <si>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</si>
  <si>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</si>
  <si>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</si>
  <si>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</si>
  <si>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</si>
  <si>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</si>
  <si>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</si>
  <si>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</si>
  <si>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</si>
  <si>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</si>
  <si>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</si>
  <si>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</si>
  <si>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</si>
  <si>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</si>
  <si>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</si>
  <si>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</si>
  <si>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</si>
  <si>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</si>
  <si>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</si>
  <si>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</si>
  <si>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</si>
  <si>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</si>
  <si>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</si>
  <si>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</si>
  <si>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</si>
  <si>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</si>
  <si>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</si>
  <si>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</si>
  <si>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</si>
  <si>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</si>
  <si>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</si>
  <si>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</si>
  <si>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</si>
  <si>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</si>
  <si>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</si>
  <si>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</si>
  <si>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</si>
  <si>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</si>
  <si>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</si>
  <si>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</si>
  <si>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</si>
  <si>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</si>
  <si>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</si>
  <si>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</si>
  <si>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</si>
  <si>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</si>
  <si>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</si>
  <si>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</si>
  <si>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</si>
  <si>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</si>
  <si>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</si>
  <si>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</si>
  <si>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</si>
  <si>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</si>
  <si>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</si>
  <si>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</si>
  <si>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</si>
  <si>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</si>
  <si>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</si>
  <si>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x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</si>
  <si>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</si>
  <si>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</si>
  <si>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</si>
  <si>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</si>
  <si>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</si>
  <si>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</si>
  <si>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</si>
  <si>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</si>
  <si>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</si>
  <si>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</si>
  <si>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</si>
  <si>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</si>
  <si>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</si>
  <si>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</si>
  <si>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</si>
  <si>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</si>
  <si>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</si>
  <si>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</si>
  <si>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</si>
  <si>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</si>
  <si>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</si>
  <si>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</si>
  <si>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</si>
  <si>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</si>
  <si>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</si>
  <si>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</si>
  <si>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</si>
  <si>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</si>
  <si>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</si>
  <si>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</si>
  <si>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</si>
  <si>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</si>
  <si>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</si>
  <si>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</si>
  <si>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</si>
  <si>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</si>
  <si>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</si>
  <si>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</si>
  <si>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</si>
  <si>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</si>
  <si>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</si>
  <si>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</si>
  <si>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</si>
  <si>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</si>
  <si>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</si>
  <si>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</si>
  <si>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</si>
  <si>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</si>
  <si>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</si>
  <si>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</si>
  <si>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</si>
  <si>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</si>
  <si>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</si>
  <si>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</si>
  <si>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</si>
  <si>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</si>
  <si>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</si>
  <si>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</si>
  <si>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</si>
  <si>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</si>
  <si>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</si>
  <si>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</si>
  <si>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</si>
  <si>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</si>
  <si>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</si>
  <si>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</si>
  <si>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</si>
  <si>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</si>
  <si>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</si>
  <si>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</si>
  <si>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</si>
  <si>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</si>
  <si>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</si>
  <si>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</si>
  <si>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</si>
  <si>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</si>
  <si>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</si>
  <si>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</si>
  <si>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</si>
  <si>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</si>
  <si>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</si>
  <si>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</si>
  <si>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</si>
  <si>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</si>
  <si>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</si>
  <si>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</si>
  <si>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</si>
  <si>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</si>
  <si>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</si>
  <si>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Zmienna tekstowa</t>
  </si>
  <si>
    <t>Zmienna liczbowa z brakami</t>
  </si>
  <si>
    <t>Zmienna liczbowa bez braków</t>
  </si>
  <si>
    <t>Faktor z brakami</t>
  </si>
  <si>
    <t>Zmienna chyba numeric</t>
  </si>
  <si>
    <t>Faktor bez braków</t>
  </si>
  <si>
    <t>powtórzona nazwa</t>
  </si>
  <si>
    <t>Zmienna z max i min teor</t>
  </si>
  <si>
    <t>Faktor bez braków, ale z wartościami spoza zakresu</t>
  </si>
  <si>
    <t>Zmienna ciągła, ale dyskretna</t>
  </si>
  <si>
    <t>Taka moja data</t>
  </si>
  <si>
    <t>dwupoziomowa</t>
  </si>
  <si>
    <t>dwupoziomowa2</t>
  </si>
  <si>
    <t>Zmienna liczbowa bez braków ale z NA</t>
  </si>
  <si>
    <t>lp</t>
  </si>
  <si>
    <t>txt</t>
  </si>
  <si>
    <t>num1</t>
  </si>
  <si>
    <t>num2</t>
  </si>
  <si>
    <t>fac1</t>
  </si>
  <si>
    <t>fac2</t>
  </si>
  <si>
    <t>fac3</t>
  </si>
  <si>
    <t>num1_fix</t>
  </si>
  <si>
    <t>num1_fix2</t>
  </si>
  <si>
    <t>num_maxmin</t>
  </si>
  <si>
    <t>numdiscr</t>
  </si>
  <si>
    <t>dat1</t>
  </si>
  <si>
    <t>dat2</t>
  </si>
  <si>
    <t>dobule</t>
  </si>
  <si>
    <t>dobule2</t>
  </si>
  <si>
    <t>num4</t>
  </si>
  <si>
    <t>WAW1</t>
  </si>
  <si>
    <t>ala</t>
  </si>
  <si>
    <t>WAW2</t>
  </si>
  <si>
    <t>mama</t>
  </si>
  <si>
    <t>WAW3</t>
  </si>
  <si>
    <t>gosia</t>
  </si>
  <si>
    <t>nas</t>
  </si>
  <si>
    <t>JAN1</t>
  </si>
  <si>
    <t>kasia</t>
  </si>
  <si>
    <t>JAN2</t>
  </si>
  <si>
    <t>puste1</t>
  </si>
  <si>
    <t>ND</t>
  </si>
  <si>
    <t xml:space="preserve"> ND</t>
  </si>
  <si>
    <t>VIE1</t>
  </si>
  <si>
    <t>mikolaj</t>
  </si>
  <si>
    <t>LAB1</t>
  </si>
  <si>
    <t>tata</t>
  </si>
  <si>
    <t>LAB2</t>
  </si>
  <si>
    <t>LAB3</t>
  </si>
  <si>
    <t>brak</t>
  </si>
  <si>
    <t>Brak NA</t>
  </si>
  <si>
    <t>Poziom 1</t>
  </si>
  <si>
    <t>Brak NF</t>
  </si>
  <si>
    <t>Poziom 2</t>
  </si>
  <si>
    <t>Poziom 3</t>
  </si>
  <si>
    <t>Poziom 4</t>
  </si>
  <si>
    <t>Brak ND</t>
  </si>
  <si>
    <t>Poziom z dziurą</t>
  </si>
  <si>
    <t/>
  </si>
  <si>
    <t>Zmienna required</t>
  </si>
  <si>
    <t>required1</t>
  </si>
  <si>
    <t>My new variable</t>
  </si>
  <si>
    <t>new_var</t>
  </si>
  <si>
    <t>Zmienna z walidacją</t>
  </si>
  <si>
    <t>validacja1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</si>
  <si>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</si>
  <si>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</si>
  <si>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</si>
  <si>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</si>
  <si>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</si>
  <si>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</si>
  <si>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syntax error soft</t>
  </si>
  <si>
    <t>Unpaired(((</t>
  </si>
  <si>
    <t>unknownvar&gt;0</t>
  </si>
  <si>
    <t>unknownvar&gt;unkn3</t>
  </si>
  <si>
    <t>double*2 + double2 + 1</t>
  </si>
  <si>
    <t>form1</t>
  </si>
  <si>
    <t>form2</t>
  </si>
  <si>
    <t>form3</t>
  </si>
  <si>
    <t>Zmienna z wartością losową 1</t>
  </si>
  <si>
    <t>Zmienna z wartością losową 2</t>
  </si>
  <si>
    <t>Zmienna z wartością losową 3</t>
  </si>
  <si>
    <t>form4</t>
  </si>
  <si>
    <t>Zmienna z wartością losową 4</t>
  </si>
  <si>
    <t>form1 * 2</t>
  </si>
  <si>
    <t>form3 + sin(form4)</t>
  </si>
  <si>
    <t>form4 * 2</t>
  </si>
  <si>
    <t>form1 + 1</t>
  </si>
  <si>
    <t>form5</t>
  </si>
  <si>
    <t>Suma</t>
  </si>
  <si>
    <t>form1+form2+form3+form4</t>
  </si>
  <si>
    <t>c(2,3,4)</t>
  </si>
  <si>
    <t>form_err_ret1</t>
  </si>
  <si>
    <t>form_err_ret2</t>
  </si>
  <si>
    <t>Zmienna wyliczana zwracajaca cos dziwnego1</t>
  </si>
  <si>
    <t>Zmienna wyliczana zwracajaca cos dziwnego2</t>
  </si>
  <si>
    <t>as.Date("1999-09-09")</t>
  </si>
  <si>
    <t>double*2+pi</t>
  </si>
  <si>
    <t>fac4</t>
  </si>
  <si>
    <t>fac5</t>
  </si>
  <si>
    <t>validacja1/2!=round(validacja1/2)</t>
  </si>
  <si>
    <t>Must be even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</si>
</sst>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2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</cellXfs>
  <cellStyles count="5">
    <cellStyle name="Dziesiętny" xfId="1" builtinId="3"/>
    <cellStyle name="Normalny" xfId="0" builtinId="0"/>
    <cellStyle name="Normalny 3" xfId="3"/>
    <cellStyle name="Normalny_Arkusz1" xfId="2"/>
    <cellStyle name="Procentowy 2" xfId="4"/>
  </cellStyles>
  <dxfs count="125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workbookViewId="0">
      <selection activeCell="K34" sqref="K34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surowe2d_2.xlsm</v>
      </c>
      <c r="I2" s="14">
        <f ca="1">FIND("[",O2)</f>
        <v>2</v>
      </c>
      <c r="J2" s="20">
        <f ca="1">FIND("]",O2)</f>
        <v>23</v>
      </c>
      <c r="K2" s="14" t="b">
        <f ca="1">MID(O2,1,1)="'"</f>
        <v>1</v>
      </c>
      <c r="L2" s="15" t="s">
        <v>266</v>
      </c>
      <c r="M2" s="15"/>
      <c r="O2" s="14" t="str">
        <f ca="1">CELL(_CELL_ADDRESS_NAME,INDIRECT(L2))</f>
        <v>'[dane surowe2d_2.xlsm]ster'!$A$1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surowe2d_2.xlsm]</v>
      </c>
      <c r="U2" s="15" t="str">
        <f ca="1">MID(O2,1,J2)</f>
        <v>'[dane surowe2d_2.xlsm]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surowe2d_2.xlsm]NewZal'!D13:D71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surowe2d_2.xlsm]NewZal'!T13:T71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'[dane surowe2d_2.xlsm]NewZal'!BH13:BH71</v>
      </c>
      <c r="BK4" s="15" t="str">
        <f ca="1">ADDRESS(ROW(BK12)+1,COLUMN(BK12),4,,$T$2 &amp; $G$2) &amp; ":" &amp; ADDRESS(ROW(BK12)+$C$2,COLUMN(BK12),4)</f>
        <v>'[dane surowe2d_2.xlsm]NewZal'!BK13:BK71</v>
      </c>
      <c r="BQ4" s="15" t="str">
        <f ca="1">ADDRESS(ROW(BQ12)+1,COLUMN(BQ12),4,,$T$2 &amp; $G$2) &amp; ":" &amp; ADDRESS(ROW(BQ12)+$C$2,COLUMN(BQ12),4)</f>
        <v>'[dane surowe2d_2.xlsm]NewZal'!BQ13:BQ71</v>
      </c>
      <c r="BS4" s="15" t="str">
        <f ca="1">ADDRESS(ROW(BS12)+1,COLUMN(BS12),4,,$T$2 &amp; $G$2) &amp; ":" &amp; ADDRESS(ROW(BS12)+$C$2,COLUMN(BS12),4)</f>
        <v>'[dane surowe2d_2.xlsm]NewZal'!BS13:BS71</v>
      </c>
      <c r="BT4" s="15" t="str">
        <f ca="1">ADDRESS(ROW(BT12)+1,COLUMN(BT12),4,,$T$2 &amp; $G$2) &amp; ":" &amp; ADDRESS(ROW(BT12)+$C$2,COLUMN(BT12),4)</f>
        <v>'[dane surowe2d_2.xlsm]NewZal'!BT13:BT71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15" t="s">
        <v>79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0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'[dane surowe2d_2.xlsm]variables'!$F$2</v>
      </c>
      <c r="K13" s="15">
        <f>VariableCount</f>
        <v>30</v>
      </c>
      <c r="M13" s="19"/>
      <c r="T13" s="15" t="str">
        <f t="shared" ref="T13:T22" ca="1" si="1">BC13</f>
        <v>'[dane surowe2d_2.xlsm]variables'!$F$2:$F$31</v>
      </c>
      <c r="U13" s="15">
        <f t="shared" ref="U13:U22" ca="1" si="2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3">IF(AE13,"[" &amp; H13 &amp; "]" &amp; $B$2,"")</f>
        <v/>
      </c>
      <c r="AG13" s="15" t="str">
        <f t="shared" ref="AG13:AG68" ca="1" si="4">IF(AND(AE13,NOT(BX13)),INDIRECT(ADDRESS(ROW($D$4),COLUMN($D$4),,,AF13)),"")</f>
        <v/>
      </c>
      <c r="AH13" s="15" t="str">
        <f t="shared" ref="AH13:AH68" ca="1" si="5">IF(AND(AE13,NOT(BX13)),MATCH(I13,INDIRECT(AG13),0),"")</f>
        <v/>
      </c>
      <c r="AI13" s="15" t="b">
        <f t="shared" ref="AI13:AI68" ca="1" si="6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7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8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23</v>
      </c>
      <c r="AV13" s="16" t="b">
        <f ca="1">IF(AS13,MID(J13,1,AU13)&lt;&gt;$U$2,FALSE)</f>
        <v>0</v>
      </c>
      <c r="AW13" s="15" t="str">
        <f t="shared" ref="AW13:AW44" ca="1" si="9">IF(AR13,CELL(_CELL_ADDRESS_NAME,INDIRECT(J13)),"")</f>
        <v>'[dane surowe2d_2.xlsm]variables'!$F$2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30</v>
      </c>
      <c r="BB13" s="15" t="str">
        <f ca="1">IF(AD13,CHOOSE(AQ13,AW13,AK13,"?"),"")</f>
        <v>'[dane surowe2d_2.xlsm]variables'!$F$2</v>
      </c>
      <c r="BC13" s="15" t="str">
        <f ca="1">IFERROR(IF(MIN(AZ13:BA13)&lt;=0,"",  BB13 &amp; IF(AND(OR(AZ13&gt;1,BA13&gt;1),AQ13=1), ":" &amp; ADDRESS(ROW(INDIRECT(BB13)) +BA13-1,COLUMN(INDIRECT(BB13))+AZ13-1),"")),"")</f>
        <v>'[dane surowe2d_2.xlsm]variables'!$F$2:$F$31</v>
      </c>
      <c r="BD13" s="15" t="b">
        <f ca="1">AZ13*BA13&gt;1</f>
        <v>1</v>
      </c>
      <c r="BE13" s="15" t="b">
        <f t="shared" ref="BE13:BE68" ca="1" si="10">IF(AND(AD13,AQ13=1),IF(Q13="",BI13, IF(Q13,TRUE,FALSE)),FALSE)</f>
        <v>1</v>
      </c>
      <c r="BF13" s="15">
        <f t="shared" ref="BF13:BF68" ca="1" si="11">IF(BE13,COUNTA(INDIRECT(BC13)),"")</f>
        <v>30</v>
      </c>
      <c r="BG13" s="15">
        <f t="shared" ref="BG13:BG68" ca="1" si="12">IF(BE13,AZ13*BA13,"")</f>
        <v>30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15">
        <f t="shared" ref="BK13:BK68" ca="1" si="13">IF(AR13,IF(AND(BI13,NOT(BJ13)),1,IF(AND(BJ13,NOT(BI13)),2,3)),"")</f>
        <v>1</v>
      </c>
      <c r="BL13" s="15">
        <f t="shared" ref="BL13:BL68" ca="1" si="14">CHOOSE(AQ13,BK13,AN13,3,4)</f>
        <v>1</v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0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'[dane surowe2d_2.xlsm]variables'!$G$2</v>
      </c>
      <c r="K14" s="15">
        <f>VariableCount</f>
        <v>30</v>
      </c>
      <c r="M14" s="19"/>
      <c r="T14" s="15" t="str">
        <f t="shared" ca="1" si="1"/>
        <v>'[dane surowe2d_2.xlsm]variables'!$G$2:$G$31</v>
      </c>
      <c r="U14" s="15">
        <f t="shared" ca="1" si="2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3"/>
        <v/>
      </c>
      <c r="AG14" s="15" t="str">
        <f t="shared" ca="1" si="4"/>
        <v/>
      </c>
      <c r="AH14" s="15" t="str">
        <f t="shared" ca="1" si="5"/>
        <v/>
      </c>
      <c r="AI14" s="15" t="b">
        <f t="shared" ca="1" si="6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7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8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23</v>
      </c>
      <c r="AV14" s="16" t="b">
        <f ca="1">IF(AS14,MID(J14,1,AU14)&lt;&gt;$U$2,FALSE)</f>
        <v>0</v>
      </c>
      <c r="AW14" s="15" t="str">
        <f t="shared" ca="1" si="9"/>
        <v>'[dane surowe2d_2.xlsm]variables'!$G$2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30</v>
      </c>
      <c r="BB14" s="15" t="str">
        <f ca="1">IF(AD14,CHOOSE(AQ14,AW14,AK14,"?"),"")</f>
        <v>'[dane surowe2d_2.xlsm]variables'!$G$2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'[dane surowe2d_2.xlsm]variables'!$G$2:$G$31</v>
      </c>
      <c r="BD14" s="15" t="b">
        <f ca="1">AZ14*BA14&gt;1</f>
        <v>1</v>
      </c>
      <c r="BE14" s="15" t="b">
        <f t="shared" ca="1" si="10"/>
        <v>1</v>
      </c>
      <c r="BF14" s="15">
        <f t="shared" ca="1" si="11"/>
        <v>30</v>
      </c>
      <c r="BG14" s="15">
        <f t="shared" ca="1" si="12"/>
        <v>30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15">
        <f t="shared" ca="1" si="13"/>
        <v>1</v>
      </c>
      <c r="BL14" s="15">
        <f t="shared" ca="1" si="14"/>
        <v>1</v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0"/>
        <v>ok.</v>
      </c>
      <c r="C15" s="15" t="s">
        <v>443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'[dane surowe2d_2.xlsm]data_frame'!$A$3</v>
      </c>
      <c r="K15" s="15">
        <f ca="1">CaseCnt</f>
        <v>10</v>
      </c>
      <c r="M15" s="19"/>
      <c r="T15" s="15" t="str">
        <f t="shared" ca="1" si="1"/>
        <v>'[dane surowe2d_2.xlsm]data_frame'!$A$3:$A$12</v>
      </c>
      <c r="U15" s="15">
        <f t="shared" ca="1" si="2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3"/>
        <v/>
      </c>
      <c r="AG15" s="15" t="str">
        <f t="shared" ca="1" si="4"/>
        <v/>
      </c>
      <c r="AH15" s="15" t="str">
        <f t="shared" ca="1" si="5"/>
        <v/>
      </c>
      <c r="AI15" s="15" t="b">
        <f t="shared" ca="1" si="6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7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8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1</v>
      </c>
      <c r="AU15" s="27">
        <f ca="1">IF(AS15,FIND("]",J15),"")</f>
        <v>23</v>
      </c>
      <c r="AV15" s="16" t="b">
        <f ca="1">IF(AS15,MID(J15,1,AU15)&lt;&gt;$U$2,FALSE)</f>
        <v>0</v>
      </c>
      <c r="AW15" s="15" t="str">
        <f t="shared" ca="1" si="9"/>
        <v>'[dane surowe2d_2.xlsm]data_frame'!$A$3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10</v>
      </c>
      <c r="BB15" s="15" t="str">
        <f ca="1">IF(AD15,CHOOSE(AQ15,AW15,AK15,"?"),"")</f>
        <v>'[dane surowe2d_2.xlsm]data_frame'!$A$3</v>
      </c>
      <c r="BC15" s="15" t="str">
        <f t="shared" ca="1" si="29"/>
        <v>'[dane surowe2d_2.xlsm]data_frame'!$A$3:$A$12</v>
      </c>
      <c r="BD15" s="15" t="b">
        <f ca="1">AZ15*BA15&gt;1</f>
        <v>1</v>
      </c>
      <c r="BE15" s="15" t="b">
        <f t="shared" ca="1" si="10"/>
        <v>0</v>
      </c>
      <c r="BF15" s="15" t="str">
        <f t="shared" ca="1" si="11"/>
        <v/>
      </c>
      <c r="BG15" s="15" t="str">
        <f t="shared" ca="1" si="12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15">
        <f t="shared" ca="1" si="13"/>
        <v>2</v>
      </c>
      <c r="BL15" s="15">
        <f t="shared" ca="1" si="14"/>
        <v>2</v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0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'[dane surowe2d_2.xlsm]ster'!$C$12</v>
      </c>
      <c r="M16" s="19"/>
      <c r="T16" s="15" t="str">
        <f t="shared" ca="1" si="1"/>
        <v>'[dane surowe2d_2.xlsm]ster'!$C$12</v>
      </c>
      <c r="U16" s="15">
        <f t="shared" ca="1" si="2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3"/>
        <v/>
      </c>
      <c r="AG16" s="15" t="str">
        <f t="shared" ca="1" si="4"/>
        <v/>
      </c>
      <c r="AH16" s="15" t="str">
        <f t="shared" ca="1" si="5"/>
        <v/>
      </c>
      <c r="AI16" s="15" t="b">
        <f t="shared" ca="1" si="6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7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8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23</v>
      </c>
      <c r="AV16" s="16" t="e">
        <f t="shared" ref="AV16:AV39" ca="1" si="51">IF(AS16,MID(J16,1,AU16)&lt;&gt;$V$2,FALSE)</f>
        <v>#REF!</v>
      </c>
      <c r="AW16" s="15" t="str">
        <f t="shared" ca="1" si="9"/>
        <v>'[dane surowe2d_2.xlsm]ster'!$C$12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'[dane surowe2d_2.xlsm]ster'!$C$12</v>
      </c>
      <c r="BC16" s="15" t="str">
        <f t="shared" ca="1" si="29"/>
        <v>'[dane surowe2d_2.xlsm]ster'!$C$12</v>
      </c>
      <c r="BD16" s="15" t="b">
        <f t="shared" ref="BD16:BD39" ca="1" si="56">AZ16*BA16&gt;1</f>
        <v>0</v>
      </c>
      <c r="BE16" s="15" t="b">
        <f t="shared" ca="1" si="10"/>
        <v>1</v>
      </c>
      <c r="BF16" s="15">
        <f t="shared" ca="1" si="11"/>
        <v>1</v>
      </c>
      <c r="BG16" s="15">
        <f t="shared" ca="1" si="12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13"/>
        <v>1</v>
      </c>
      <c r="BL16" s="15">
        <f t="shared" ca="1" si="14"/>
        <v>1</v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0"/>
        <v>ok.</v>
      </c>
      <c r="C17" s="15" t="s">
        <v>117</v>
      </c>
      <c r="D17" s="15" t="str">
        <f t="shared" si="25"/>
        <v>Dane MaxNrRespondentaBezFiltra</v>
      </c>
      <c r="E17" s="15" t="s">
        <v>445</v>
      </c>
      <c r="F17" s="15" t="s">
        <v>255</v>
      </c>
      <c r="G17" s="15" t="s">
        <v>88</v>
      </c>
      <c r="J17" s="19" t="str">
        <f ca="1">CELL(_CELL_ADDRESS_NAME,CaseCnt)</f>
        <v>'[dane surowe2d_2.xlsm]ster'!$C$14</v>
      </c>
      <c r="M17" s="19"/>
      <c r="T17" s="15" t="str">
        <f t="shared" ca="1" si="1"/>
        <v>'[dane surowe2d_2.xlsm]ster'!$C$14</v>
      </c>
      <c r="U17" s="15">
        <f t="shared" ca="1" si="2"/>
        <v>0</v>
      </c>
      <c r="AD17" s="16" t="b">
        <f t="shared" si="41"/>
        <v>1</v>
      </c>
      <c r="AE17" s="16" t="b">
        <f t="shared" si="42"/>
        <v>0</v>
      </c>
      <c r="AF17" s="15" t="str">
        <f t="shared" si="3"/>
        <v/>
      </c>
      <c r="AG17" s="15" t="str">
        <f t="shared" ca="1" si="4"/>
        <v/>
      </c>
      <c r="AH17" s="15" t="str">
        <f t="shared" ca="1" si="5"/>
        <v/>
      </c>
      <c r="AI17" s="15" t="b">
        <f t="shared" ca="1" si="6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7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8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23</v>
      </c>
      <c r="AV17" s="16" t="e">
        <f t="shared" ca="1" si="51"/>
        <v>#REF!</v>
      </c>
      <c r="AW17" s="15" t="str">
        <f t="shared" ca="1" si="9"/>
        <v>'[dane surowe2d_2.xlsm]ster'!$C$14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'[dane surowe2d_2.xlsm]ster'!$C$14</v>
      </c>
      <c r="BC17" s="15" t="str">
        <f t="shared" ca="1" si="29"/>
        <v>'[dane surowe2d_2.xlsm]ster'!$C$14</v>
      </c>
      <c r="BD17" s="15" t="b">
        <f t="shared" ca="1" si="56"/>
        <v>0</v>
      </c>
      <c r="BE17" s="15" t="b">
        <f t="shared" ca="1" si="10"/>
        <v>1</v>
      </c>
      <c r="BF17" s="15">
        <f t="shared" ca="1" si="11"/>
        <v>1</v>
      </c>
      <c r="BG17" s="15">
        <f t="shared" ca="1" si="12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15">
        <f t="shared" ca="1" si="13"/>
        <v>1</v>
      </c>
      <c r="BL17" s="15">
        <f t="shared" ca="1" si="14"/>
        <v>1</v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0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'[dane surowe2d_2.xlsm]variables'!$E$2</v>
      </c>
      <c r="K18" s="16">
        <f t="shared" ref="K18:K28" si="65">VariableCount</f>
        <v>30</v>
      </c>
      <c r="M18" s="19"/>
      <c r="T18" s="15" t="str">
        <f t="shared" ca="1" si="1"/>
        <v>'[dane surowe2d_2.xlsm]variables'!$E$2:$E$31</v>
      </c>
      <c r="U18" s="15">
        <f t="shared" ca="1" si="2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3"/>
        <v/>
      </c>
      <c r="AG18" s="15" t="str">
        <f t="shared" ca="1" si="4"/>
        <v/>
      </c>
      <c r="AH18" s="15" t="str">
        <f t="shared" ca="1" si="5"/>
        <v/>
      </c>
      <c r="AI18" s="15" t="b">
        <f t="shared" ca="1" si="6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7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8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23</v>
      </c>
      <c r="AV18" s="16" t="e">
        <f t="shared" ca="1" si="51"/>
        <v>#REF!</v>
      </c>
      <c r="AW18" s="15" t="str">
        <f t="shared" ca="1" si="9"/>
        <v>'[dane surowe2d_2.xlsm]variables'!$E$2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30</v>
      </c>
      <c r="BB18" s="15" t="str">
        <f t="shared" ca="1" si="55"/>
        <v>'[dane surowe2d_2.xlsm]variables'!$E$2</v>
      </c>
      <c r="BC18" s="15" t="str">
        <f t="shared" ca="1" si="29"/>
        <v>'[dane surowe2d_2.xlsm]variables'!$E$2:$E$31</v>
      </c>
      <c r="BD18" s="15" t="b">
        <f t="shared" ca="1" si="56"/>
        <v>1</v>
      </c>
      <c r="BE18" s="15" t="b">
        <f t="shared" ca="1" si="10"/>
        <v>0</v>
      </c>
      <c r="BF18" s="15" t="str">
        <f t="shared" ca="1" si="11"/>
        <v/>
      </c>
      <c r="BG18" s="15" t="str">
        <f t="shared" ca="1" si="12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13"/>
        <v>2</v>
      </c>
      <c r="BL18" s="15">
        <f t="shared" ca="1" si="14"/>
        <v>2</v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0"/>
        <v>ok.</v>
      </c>
      <c r="C19" s="15" t="s">
        <v>93</v>
      </c>
      <c r="D19" s="15" t="str">
        <f t="shared" si="25"/>
        <v>Zmienne IleEtykiet</v>
      </c>
      <c r="E19" s="15" t="s">
        <v>446</v>
      </c>
      <c r="G19" s="16" t="s">
        <v>88</v>
      </c>
      <c r="J19" s="19" t="str">
        <f ca="1">CELL(_CELL_ADDRESS_NAME,LabelCount)</f>
        <v>'[dane surowe2d_2.xlsm]variables'!$N$2</v>
      </c>
      <c r="K19" s="16">
        <f t="shared" si="65"/>
        <v>30</v>
      </c>
      <c r="M19" s="19"/>
      <c r="N19" s="16"/>
      <c r="Q19" s="16"/>
      <c r="T19" s="15" t="str">
        <f t="shared" ca="1" si="1"/>
        <v>'[dane surowe2d_2.xlsm]variables'!$N$2:$N$31</v>
      </c>
      <c r="U19" s="15">
        <f t="shared" ca="1" si="2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4"/>
        <v/>
      </c>
      <c r="AH19" s="15" t="str">
        <f t="shared" ca="1" si="5"/>
        <v/>
      </c>
      <c r="AI19" s="15" t="b">
        <f t="shared" ca="1" si="6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7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8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23</v>
      </c>
      <c r="AV19" s="16" t="e">
        <f t="shared" ca="1" si="51"/>
        <v>#REF!</v>
      </c>
      <c r="AW19" s="15" t="str">
        <f t="shared" ca="1" si="9"/>
        <v>'[dane surowe2d_2.xlsm]variables'!$N$2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30</v>
      </c>
      <c r="BB19" s="15" t="str">
        <f t="shared" ca="1" si="55"/>
        <v>'[dane surowe2d_2.xlsm]variables'!$N$2</v>
      </c>
      <c r="BC19" s="15" t="str">
        <f t="shared" ca="1" si="29"/>
        <v>'[dane surowe2d_2.xlsm]variables'!$N$2:$N$31</v>
      </c>
      <c r="BD19" s="15" t="b">
        <f t="shared" ca="1" si="56"/>
        <v>1</v>
      </c>
      <c r="BE19" s="15" t="b">
        <f t="shared" ca="1" si="10"/>
        <v>1</v>
      </c>
      <c r="BF19" s="15">
        <f t="shared" ca="1" si="11"/>
        <v>30</v>
      </c>
      <c r="BG19" s="15">
        <f t="shared" ca="1" si="12"/>
        <v>30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13"/>
        <v>1</v>
      </c>
      <c r="BL19" s="15">
        <f t="shared" ca="1" si="14"/>
        <v>1</v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0"/>
        <v>ok.</v>
      </c>
      <c r="C20" s="15" t="s">
        <v>447</v>
      </c>
      <c r="D20" s="15" t="str">
        <f t="shared" si="25"/>
        <v>Zmienne IleLabelledMissings</v>
      </c>
      <c r="E20" s="15" t="s">
        <v>448</v>
      </c>
      <c r="G20" s="15" t="s">
        <v>88</v>
      </c>
      <c r="J20" s="19" t="str">
        <f ca="1">CELL(_CELL_ADDRESS_NAME,variables!M2)</f>
        <v>'[dane surowe2d_2.xlsm]variables'!$M$2</v>
      </c>
      <c r="K20" s="16">
        <f t="shared" si="65"/>
        <v>30</v>
      </c>
      <c r="M20" s="19"/>
      <c r="Q20" s="16"/>
      <c r="T20" s="15" t="str">
        <f t="shared" ca="1" si="1"/>
        <v>'[dane surowe2d_2.xlsm]variables'!$M$2:$M$31</v>
      </c>
      <c r="U20" s="15">
        <f t="shared" ca="1" si="2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4"/>
        <v/>
      </c>
      <c r="AH20" s="15" t="str">
        <f t="shared" ca="1" si="5"/>
        <v/>
      </c>
      <c r="AI20" s="15" t="b">
        <f t="shared" ca="1" si="6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7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23</v>
      </c>
      <c r="AV20" s="16" t="e">
        <f t="shared" ca="1" si="51"/>
        <v>#REF!</v>
      </c>
      <c r="AW20" s="15" t="str">
        <f t="shared" ca="1" si="9"/>
        <v>'[dane surowe2d_2.xlsm]variables'!$M$2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30</v>
      </c>
      <c r="BB20" s="15" t="str">
        <f t="shared" ca="1" si="55"/>
        <v>'[dane surowe2d_2.xlsm]variables'!$M$2</v>
      </c>
      <c r="BC20" s="15" t="str">
        <f t="shared" ca="1" si="29"/>
        <v>'[dane surowe2d_2.xlsm]variables'!$M$2:$M$31</v>
      </c>
      <c r="BD20" s="15" t="b">
        <f t="shared" ca="1" si="56"/>
        <v>1</v>
      </c>
      <c r="BE20" s="15" t="b">
        <f t="shared" ca="1" si="10"/>
        <v>1</v>
      </c>
      <c r="BF20" s="15">
        <f t="shared" ca="1" si="11"/>
        <v>30</v>
      </c>
      <c r="BG20" s="15">
        <f t="shared" ca="1" si="12"/>
        <v>30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13"/>
        <v>1</v>
      </c>
      <c r="BL20" s="15">
        <f t="shared" ca="1" si="14"/>
        <v>1</v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0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'[dane surowe2d_2.xlsm]variables'!$L$2</v>
      </c>
      <c r="K21" s="16">
        <f t="shared" si="65"/>
        <v>30</v>
      </c>
      <c r="M21" s="19"/>
      <c r="Q21" s="16"/>
      <c r="T21" s="15" t="str">
        <f t="shared" ca="1" si="1"/>
        <v>'[dane surowe2d_2.xlsm]variables'!$L$2:$L$31</v>
      </c>
      <c r="U21" s="15">
        <f t="shared" ca="1" si="2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4"/>
        <v/>
      </c>
      <c r="AH21" s="15" t="str">
        <f t="shared" ca="1" si="5"/>
        <v/>
      </c>
      <c r="AI21" s="15" t="b">
        <f t="shared" ca="1" si="6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7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23</v>
      </c>
      <c r="AV21" s="16" t="e">
        <f t="shared" ca="1" si="51"/>
        <v>#REF!</v>
      </c>
      <c r="AW21" s="15" t="str">
        <f t="shared" ca="1" si="9"/>
        <v>'[dane surowe2d_2.xlsm]variables'!$L$2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30</v>
      </c>
      <c r="BB21" s="15" t="str">
        <f t="shared" ca="1" si="55"/>
        <v>'[dane surowe2d_2.xlsm]variables'!$L$2</v>
      </c>
      <c r="BC21" s="15" t="str">
        <f t="shared" ca="1" si="29"/>
        <v>'[dane surowe2d_2.xlsm]variables'!$L$2:$L$31</v>
      </c>
      <c r="BD21" s="15" t="b">
        <f t="shared" ca="1" si="56"/>
        <v>1</v>
      </c>
      <c r="BE21" s="15" t="b">
        <f t="shared" ca="1" si="10"/>
        <v>1</v>
      </c>
      <c r="BF21" s="15">
        <f t="shared" ca="1" si="11"/>
        <v>30</v>
      </c>
      <c r="BG21" s="15">
        <f t="shared" ca="1" si="12"/>
        <v>30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13"/>
        <v>1</v>
      </c>
      <c r="BL21" s="15">
        <f t="shared" ca="1" si="14"/>
        <v>1</v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0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'[dane surowe2d_2.xlsm]variables'!$K$2</v>
      </c>
      <c r="K22" s="16">
        <f t="shared" si="65"/>
        <v>30</v>
      </c>
      <c r="M22" s="19"/>
      <c r="Q22" s="16"/>
      <c r="T22" s="15" t="str">
        <f t="shared" ca="1" si="1"/>
        <v>'[dane surowe2d_2.xlsm]variables'!$K$2:$K$31</v>
      </c>
      <c r="U22" s="15">
        <f t="shared" ca="1" si="2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4"/>
        <v/>
      </c>
      <c r="AH22" s="15" t="str">
        <f t="shared" ca="1" si="5"/>
        <v/>
      </c>
      <c r="AI22" s="15" t="b">
        <f t="shared" ca="1" si="6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7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23</v>
      </c>
      <c r="AV22" s="16" t="e">
        <f t="shared" ca="1" si="51"/>
        <v>#REF!</v>
      </c>
      <c r="AW22" s="15" t="str">
        <f t="shared" ca="1" si="9"/>
        <v>'[dane surowe2d_2.xlsm]variables'!$K$2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30</v>
      </c>
      <c r="BB22" s="15" t="str">
        <f t="shared" ca="1" si="55"/>
        <v>'[dane surowe2d_2.xlsm]variables'!$K$2</v>
      </c>
      <c r="BC22" s="15" t="str">
        <f t="shared" ca="1" si="29"/>
        <v>'[dane surowe2d_2.xlsm]variables'!$K$2:$K$31</v>
      </c>
      <c r="BD22" s="15" t="b">
        <f t="shared" ca="1" si="56"/>
        <v>1</v>
      </c>
      <c r="BE22" s="15" t="b">
        <f t="shared" ca="1" si="10"/>
        <v>1</v>
      </c>
      <c r="BF22" s="15">
        <f t="shared" ca="1" si="11"/>
        <v>30</v>
      </c>
      <c r="BG22" s="15">
        <f t="shared" ca="1" si="12"/>
        <v>30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13"/>
        <v>1</v>
      </c>
      <c r="BL22" s="15">
        <f t="shared" ca="1" si="14"/>
        <v>1</v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'[dane surowe2d_2.xlsm]variables'!$Q$2</v>
      </c>
      <c r="K23" s="16">
        <f t="shared" si="65"/>
        <v>30</v>
      </c>
      <c r="M23" s="19"/>
      <c r="Q23" s="16"/>
      <c r="T23" s="15" t="str">
        <f t="shared" ref="T23:T59" ca="1" si="69">BC23</f>
        <v>'[dane surowe2d_2.xlsm]variables'!$Q$2:$Q$31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4"/>
        <v/>
      </c>
      <c r="AH23" s="15" t="str">
        <f t="shared" ca="1" si="5"/>
        <v/>
      </c>
      <c r="AI23" s="15" t="b">
        <f t="shared" ca="1" si="6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7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23</v>
      </c>
      <c r="AV23" s="16" t="e">
        <f t="shared" ca="1" si="51"/>
        <v>#REF!</v>
      </c>
      <c r="AW23" s="15" t="str">
        <f t="shared" ca="1" si="9"/>
        <v>'[dane surowe2d_2.xlsm]variables'!$Q$2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30</v>
      </c>
      <c r="BB23" s="15" t="str">
        <f t="shared" ca="1" si="55"/>
        <v>'[dane surowe2d_2.xlsm]variables'!$Q$2</v>
      </c>
      <c r="BC23" s="15" t="str">
        <f t="shared" ca="1" si="29"/>
        <v>'[dane surowe2d_2.xlsm]variables'!$Q$2:$Q$31</v>
      </c>
      <c r="BD23" s="15" t="b">
        <f t="shared" ca="1" si="56"/>
        <v>1</v>
      </c>
      <c r="BE23" s="15" t="b">
        <f t="shared" ca="1" si="10"/>
        <v>1</v>
      </c>
      <c r="BF23" s="15">
        <f t="shared" ca="1" si="11"/>
        <v>30</v>
      </c>
      <c r="BG23" s="15">
        <f t="shared" ca="1" si="12"/>
        <v>30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13"/>
        <v>1</v>
      </c>
      <c r="BL23" s="15">
        <f t="shared" ca="1" si="14"/>
        <v>1</v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'[dane surowe2d_2.xlsm]variables'!$W$2</v>
      </c>
      <c r="K24" s="16">
        <f t="shared" si="65"/>
        <v>30</v>
      </c>
      <c r="M24" s="19"/>
      <c r="Q24" s="16"/>
      <c r="T24" s="15" t="str">
        <f t="shared" ca="1" si="69"/>
        <v>'[dane surowe2d_2.xlsm]variables'!$W$2:$W$31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4"/>
        <v/>
      </c>
      <c r="AH24" s="15" t="str">
        <f t="shared" ca="1" si="5"/>
        <v/>
      </c>
      <c r="AI24" s="15" t="b">
        <f t="shared" ca="1" si="6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7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23</v>
      </c>
      <c r="AV24" s="16" t="e">
        <f t="shared" ca="1" si="51"/>
        <v>#REF!</v>
      </c>
      <c r="AW24" s="15" t="str">
        <f t="shared" ca="1" si="9"/>
        <v>'[dane surowe2d_2.xlsm]variables'!$W$2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30</v>
      </c>
      <c r="BB24" s="15" t="str">
        <f t="shared" ca="1" si="55"/>
        <v>'[dane surowe2d_2.xlsm]variables'!$W$2</v>
      </c>
      <c r="BC24" s="15" t="str">
        <f t="shared" ca="1" si="29"/>
        <v>'[dane surowe2d_2.xlsm]variables'!$W$2:$W$31</v>
      </c>
      <c r="BD24" s="15" t="b">
        <f t="shared" ca="1" si="56"/>
        <v>1</v>
      </c>
      <c r="BE24" s="15" t="b">
        <f t="shared" ca="1" si="10"/>
        <v>1</v>
      </c>
      <c r="BF24" s="15">
        <f t="shared" ca="1" si="11"/>
        <v>30</v>
      </c>
      <c r="BG24" s="15">
        <f t="shared" ca="1" si="12"/>
        <v>30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13"/>
        <v>1</v>
      </c>
      <c r="BL24" s="15">
        <f t="shared" ca="1" si="14"/>
        <v>1</v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'[dane surowe2d_2.xlsm]variables'!$X$2</v>
      </c>
      <c r="K25" s="16">
        <f t="shared" si="65"/>
        <v>30</v>
      </c>
      <c r="M25" s="19"/>
      <c r="Q25" s="16"/>
      <c r="T25" s="15" t="str">
        <f t="shared" ca="1" si="69"/>
        <v>'[dane surowe2d_2.xlsm]variables'!$X$2:$X$31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4"/>
        <v/>
      </c>
      <c r="AH25" s="15" t="str">
        <f t="shared" ca="1" si="5"/>
        <v/>
      </c>
      <c r="AI25" s="15" t="b">
        <f t="shared" ca="1" si="6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7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23</v>
      </c>
      <c r="AV25" s="16" t="e">
        <f t="shared" ca="1" si="51"/>
        <v>#REF!</v>
      </c>
      <c r="AW25" s="15" t="str">
        <f t="shared" ca="1" si="9"/>
        <v>'[dane surowe2d_2.xlsm]variables'!$X$2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30</v>
      </c>
      <c r="BB25" s="15" t="str">
        <f t="shared" ca="1" si="55"/>
        <v>'[dane surowe2d_2.xlsm]variables'!$X$2</v>
      </c>
      <c r="BC25" s="15" t="str">
        <f t="shared" ca="1" si="29"/>
        <v>'[dane surowe2d_2.xlsm]variables'!$X$2:$X$31</v>
      </c>
      <c r="BD25" s="15" t="b">
        <f t="shared" ca="1" si="56"/>
        <v>1</v>
      </c>
      <c r="BE25" s="15" t="b">
        <f t="shared" ca="1" si="10"/>
        <v>1</v>
      </c>
      <c r="BF25" s="15">
        <f t="shared" ca="1" si="11"/>
        <v>30</v>
      </c>
      <c r="BG25" s="15">
        <f t="shared" ca="1" si="12"/>
        <v>30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13"/>
        <v>1</v>
      </c>
      <c r="BL25" s="15">
        <f t="shared" ca="1" si="14"/>
        <v>1</v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'[dane surowe2d_2.xlsm]variables'!$Y$2</v>
      </c>
      <c r="K26" s="16">
        <f t="shared" si="65"/>
        <v>30</v>
      </c>
      <c r="M26" s="19"/>
      <c r="Q26" s="16"/>
      <c r="T26" s="15" t="str">
        <f t="shared" ca="1" si="69"/>
        <v>'[dane surowe2d_2.xlsm]variables'!$Y$2:$Y$31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4"/>
        <v/>
      </c>
      <c r="AH26" s="15" t="str">
        <f t="shared" ca="1" si="5"/>
        <v/>
      </c>
      <c r="AI26" s="15" t="b">
        <f t="shared" ca="1" si="6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7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23</v>
      </c>
      <c r="AV26" s="16" t="e">
        <f t="shared" ca="1" si="51"/>
        <v>#REF!</v>
      </c>
      <c r="AW26" s="15" t="str">
        <f t="shared" ca="1" si="9"/>
        <v>'[dane surowe2d_2.xlsm]variables'!$Y$2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30</v>
      </c>
      <c r="BB26" s="15" t="str">
        <f t="shared" ca="1" si="55"/>
        <v>'[dane surowe2d_2.xlsm]variables'!$Y$2</v>
      </c>
      <c r="BC26" s="15" t="str">
        <f t="shared" ca="1" si="29"/>
        <v>'[dane surowe2d_2.xlsm]variables'!$Y$2:$Y$31</v>
      </c>
      <c r="BD26" s="15" t="b">
        <f t="shared" ca="1" si="56"/>
        <v>1</v>
      </c>
      <c r="BE26" s="15" t="b">
        <f t="shared" ca="1" si="10"/>
        <v>1</v>
      </c>
      <c r="BF26" s="15">
        <f t="shared" ca="1" si="11"/>
        <v>30</v>
      </c>
      <c r="BG26" s="15">
        <f t="shared" ca="1" si="12"/>
        <v>30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13"/>
        <v>1</v>
      </c>
      <c r="BL26" s="15">
        <f t="shared" ca="1" si="14"/>
        <v>1</v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'[dane surowe2d_2.xlsm]variables'!$AO$2</v>
      </c>
      <c r="K27" s="16">
        <f t="shared" si="65"/>
        <v>30</v>
      </c>
      <c r="M27" s="19"/>
      <c r="Q27" s="16"/>
      <c r="T27" s="15" t="str">
        <f t="shared" ca="1" si="69"/>
        <v>'[dane surowe2d_2.xlsm]variables'!$AO$2:$AO$31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4"/>
        <v/>
      </c>
      <c r="AH27" s="15" t="str">
        <f t="shared" ca="1" si="5"/>
        <v/>
      </c>
      <c r="AI27" s="15" t="b">
        <f t="shared" ca="1" si="6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7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23</v>
      </c>
      <c r="AV27" s="16" t="e">
        <f t="shared" ca="1" si="51"/>
        <v>#REF!</v>
      </c>
      <c r="AW27" s="15" t="str">
        <f t="shared" ca="1" si="9"/>
        <v>'[dane surowe2d_2.xlsm]variables'!$AO$2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30</v>
      </c>
      <c r="BB27" s="15" t="str">
        <f t="shared" ca="1" si="55"/>
        <v>'[dane surowe2d_2.xlsm]variables'!$AO$2</v>
      </c>
      <c r="BC27" s="15" t="str">
        <f t="shared" ca="1" si="29"/>
        <v>'[dane surowe2d_2.xlsm]variables'!$AO$2:$AO$31</v>
      </c>
      <c r="BD27" s="15" t="b">
        <f t="shared" ca="1" si="56"/>
        <v>1</v>
      </c>
      <c r="BE27" s="15" t="b">
        <f t="shared" ca="1" si="10"/>
        <v>1</v>
      </c>
      <c r="BF27" s="15">
        <f t="shared" ca="1" si="11"/>
        <v>30</v>
      </c>
      <c r="BG27" s="15">
        <f t="shared" ca="1" si="12"/>
        <v>30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13"/>
        <v>1</v>
      </c>
      <c r="BL27" s="15">
        <f t="shared" ca="1" si="14"/>
        <v>1</v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'[dane surowe2d_2.xlsm]variables'!$AP$2</v>
      </c>
      <c r="K28" s="16">
        <f t="shared" si="65"/>
        <v>30</v>
      </c>
      <c r="M28" s="19"/>
      <c r="Q28" s="16"/>
      <c r="T28" s="15" t="str">
        <f t="shared" ca="1" si="69"/>
        <v>'[dane surowe2d_2.xlsm]variables'!$AP$2:$AP$31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4"/>
        <v/>
      </c>
      <c r="AH28" s="15" t="str">
        <f t="shared" ca="1" si="5"/>
        <v/>
      </c>
      <c r="AI28" s="15" t="b">
        <f t="shared" ca="1" si="6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7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23</v>
      </c>
      <c r="AV28" s="16" t="e">
        <f t="shared" ca="1" si="51"/>
        <v>#REF!</v>
      </c>
      <c r="AW28" s="15" t="str">
        <f t="shared" ca="1" si="9"/>
        <v>'[dane surowe2d_2.xlsm]variables'!$AP$2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30</v>
      </c>
      <c r="BB28" s="15" t="str">
        <f t="shared" ca="1" si="55"/>
        <v>'[dane surowe2d_2.xlsm]variables'!$AP$2</v>
      </c>
      <c r="BC28" s="15" t="str">
        <f t="shared" ca="1" si="29"/>
        <v>'[dane surowe2d_2.xlsm]variables'!$AP$2:$AP$31</v>
      </c>
      <c r="BD28" s="15" t="b">
        <f t="shared" ca="1" si="56"/>
        <v>1</v>
      </c>
      <c r="BE28" s="15" t="b">
        <f t="shared" ca="1" si="10"/>
        <v>1</v>
      </c>
      <c r="BF28" s="15">
        <f t="shared" ca="1" si="11"/>
        <v>30</v>
      </c>
      <c r="BG28" s="15">
        <f t="shared" ca="1" si="12"/>
        <v>30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13"/>
        <v>1</v>
      </c>
      <c r="BL28" s="15">
        <f t="shared" ca="1" si="14"/>
        <v>1</v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'[dane surowe2d_2.xlsm]variables'!$BY$2</v>
      </c>
      <c r="K29" s="15">
        <f>ster!$C$12</f>
        <v>30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1</v>
      </c>
      <c r="AU29" s="27">
        <f ca="1">IF(AS29,FIND("]",J29),"")</f>
        <v>23</v>
      </c>
      <c r="AV29" s="16" t="e">
        <f ca="1">IF(AS29,MID(J29,1,AU29)&lt;&gt;$V$2,FALSE)</f>
        <v>#REF!</v>
      </c>
      <c r="AW29" s="15" t="str">
        <f t="shared" ca="1" si="9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15" t="str">
        <f ca="1">IF(AR29,IF(AND(BI29,NOT(BJ29)),1,IF(AND(BJ29,NOT(BI29)),2,3)),"")</f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'[dane surowe2d_2.xlsm]variables'!$BZ$2</v>
      </c>
      <c r="K30" s="15">
        <f>ster!$C$12</f>
        <v>30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1</v>
      </c>
      <c r="AU30" s="27">
        <f ca="1">IF(AS30,FIND("]",J30),"")</f>
        <v>23</v>
      </c>
      <c r="AV30" s="16" t="e">
        <f ca="1">IF(AS30,MID(J30,1,AU30)&lt;&gt;$V$2,FALSE)</f>
        <v>#REF!</v>
      </c>
      <c r="AW30" s="15" t="str">
        <f t="shared" ca="1" si="9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15" t="str">
        <f ca="1">IF(AR30,IF(AND(BI30,NOT(BJ30)),1,IF(AND(BJ30,NOT(BI30)),2,3)),"")</f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'[dane surowe2d_2.xlsm]variables'!$AA$2</v>
      </c>
      <c r="K31" s="16">
        <f>VariableCount</f>
        <v>30</v>
      </c>
      <c r="M31" s="19"/>
      <c r="Q31" s="16"/>
      <c r="T31" s="15" t="str">
        <f t="shared" ca="1" si="69"/>
        <v>'[dane surowe2d_2.xlsm]variables'!$AA$2:$AA$31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4"/>
        <v/>
      </c>
      <c r="AH31" s="15" t="str">
        <f t="shared" ca="1" si="5"/>
        <v/>
      </c>
      <c r="AI31" s="15" t="b">
        <f t="shared" ca="1" si="6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7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23</v>
      </c>
      <c r="AV31" s="16" t="e">
        <f t="shared" ca="1" si="51"/>
        <v>#REF!</v>
      </c>
      <c r="AW31" s="15" t="str">
        <f t="shared" ca="1" si="9"/>
        <v>'[dane surowe2d_2.xlsm]variables'!$AA$2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30</v>
      </c>
      <c r="BB31" s="15" t="str">
        <f t="shared" ca="1" si="55"/>
        <v>'[dane surowe2d_2.xlsm]variables'!$AA$2</v>
      </c>
      <c r="BC31" s="15" t="str">
        <f t="shared" ca="1" si="29"/>
        <v>'[dane surowe2d_2.xlsm]variables'!$AA$2:$AA$31</v>
      </c>
      <c r="BD31" s="15" t="b">
        <f t="shared" ca="1" si="56"/>
        <v>1</v>
      </c>
      <c r="BE31" s="15" t="b">
        <f t="shared" ca="1" si="10"/>
        <v>1</v>
      </c>
      <c r="BF31" s="15">
        <f t="shared" ca="1" si="11"/>
        <v>30</v>
      </c>
      <c r="BG31" s="15">
        <f t="shared" ca="1" si="12"/>
        <v>30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13"/>
        <v>1</v>
      </c>
      <c r="BL31" s="15">
        <f t="shared" ca="1" si="14"/>
        <v>1</v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'[dane surowe2d_2.xlsm]variables'!$H$2</v>
      </c>
      <c r="K32" s="16">
        <f>VariableCount</f>
        <v>30</v>
      </c>
      <c r="M32" s="19"/>
      <c r="Q32" s="16"/>
      <c r="T32" s="15" t="str">
        <f t="shared" ca="1" si="69"/>
        <v>'[dane surowe2d_2.xlsm]variables'!$H$2:$H$31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4"/>
        <v/>
      </c>
      <c r="AH32" s="15" t="str">
        <f t="shared" ca="1" si="5"/>
        <v/>
      </c>
      <c r="AI32" s="15" t="b">
        <f t="shared" ca="1" si="6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7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23</v>
      </c>
      <c r="AV32" s="16" t="e">
        <f t="shared" ca="1" si="51"/>
        <v>#REF!</v>
      </c>
      <c r="AW32" s="15" t="str">
        <f t="shared" ca="1" si="9"/>
        <v>'[dane surowe2d_2.xlsm]variables'!$H$2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30</v>
      </c>
      <c r="BB32" s="15" t="str">
        <f t="shared" ca="1" si="55"/>
        <v>'[dane surowe2d_2.xlsm]variables'!$H$2</v>
      </c>
      <c r="BC32" s="15" t="str">
        <f t="shared" ca="1" si="29"/>
        <v>'[dane surowe2d_2.xlsm]variables'!$H$2:$H$31</v>
      </c>
      <c r="BD32" s="15" t="b">
        <f t="shared" ca="1" si="56"/>
        <v>1</v>
      </c>
      <c r="BE32" s="15" t="b">
        <f t="shared" ca="1" si="10"/>
        <v>1</v>
      </c>
      <c r="BF32" s="15">
        <f t="shared" ca="1" si="11"/>
        <v>30</v>
      </c>
      <c r="BG32" s="15">
        <f t="shared" ca="1" si="12"/>
        <v>30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13"/>
        <v>1</v>
      </c>
      <c r="BL32" s="15">
        <f t="shared" ca="1" si="14"/>
        <v>1</v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'[dane surowe2d_2.xlsm]variables'!$AQ$2</v>
      </c>
      <c r="K33" s="16">
        <f>VariableCount</f>
        <v>30</v>
      </c>
      <c r="M33" s="19"/>
      <c r="Q33" s="16"/>
      <c r="T33" s="15" t="str">
        <f ca="1">BC33</f>
        <v>'[dane surowe2d_2.xlsm]variables'!$AQ$2:$AQ$31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1</v>
      </c>
      <c r="AU33" s="27">
        <f ca="1">IF(AS33,FIND("]",J33),"")</f>
        <v>23</v>
      </c>
      <c r="AV33" s="16" t="e">
        <f ca="1">IF(AS33,MID(J33,1,AU33)&lt;&gt;$V$2,FALSE)</f>
        <v>#REF!</v>
      </c>
      <c r="AW33" s="15" t="str">
        <f t="shared" ca="1" si="9"/>
        <v>'[dane surowe2d_2.xlsm]variables'!$AQ$2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30</v>
      </c>
      <c r="BB33" s="15" t="str">
        <f ca="1">IF(AD33,CHOOSE(AQ33,AW33,AK33,"?"),"")</f>
        <v>'[dane surowe2d_2.xlsm]variables'!$AQ$2</v>
      </c>
      <c r="BC33" s="15" t="str">
        <f ca="1">IFERROR(IF(MIN(AZ33:BA33)&lt;=0,"",  BB33 &amp; IF(AND(OR(AZ33&gt;1,BA33&gt;1),AQ33=1), ":" &amp; ADDRESS(ROW(INDIRECT(BB33)) +BA33-1,COLUMN(INDIRECT(BB33))+AZ33-1),"")),"")</f>
        <v>'[dane surowe2d_2.xlsm]variables'!$AQ$2:$AQ$31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30</v>
      </c>
      <c r="BG33" s="15">
        <f ca="1">IF(BE33,AZ33*BA33,"")</f>
        <v>30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15">
        <f ca="1">IF(AR33,IF(AND(BI33,NOT(BJ33)),1,IF(AND(BJ33,NOT(BI33)),2,3)),"")</f>
        <v>1</v>
      </c>
      <c r="BL33" s="15">
        <f ca="1">CHOOSE(AQ33,BK33,AN33,3,4)</f>
        <v>1</v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'[dane surowe2d_2.xlsm]variables'!$AK$2</v>
      </c>
      <c r="K34" s="16">
        <f>VariableCount</f>
        <v>30</v>
      </c>
      <c r="M34" s="19"/>
      <c r="Q34" s="16"/>
      <c r="T34" s="15" t="str">
        <f ca="1">BC34</f>
        <v>'[dane surowe2d_2.xlsm]variables'!$AK$2:$AK$31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1</v>
      </c>
      <c r="AU34" s="27">
        <f ca="1">IF(AS34,FIND("]",J34),"")</f>
        <v>23</v>
      </c>
      <c r="AV34" s="16" t="e">
        <f ca="1">IF(AS34,MID(J34,1,AU34)&lt;&gt;$V$2,FALSE)</f>
        <v>#REF!</v>
      </c>
      <c r="AW34" s="15" t="str">
        <f t="shared" ca="1" si="9"/>
        <v>'[dane surowe2d_2.xlsm]variables'!$AK$2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30</v>
      </c>
      <c r="BB34" s="15" t="str">
        <f ca="1">IF(AD34,CHOOSE(AQ34,AW34,AK34,"?"),"")</f>
        <v>'[dane surowe2d_2.xlsm]variables'!$AK$2</v>
      </c>
      <c r="BC34" s="15" t="str">
        <f ca="1">IFERROR(IF(MIN(AZ34:BA34)&lt;=0,"",  BB34 &amp; IF(AND(OR(AZ34&gt;1,BA34&gt;1),AQ34=1), ":" &amp; ADDRESS(ROW(INDIRECT(BB34)) +BA34-1,COLUMN(INDIRECT(BB34))+AZ34-1),"")),"")</f>
        <v>'[dane surowe2d_2.xlsm]variables'!$AK$2:$AK$31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30</v>
      </c>
      <c r="BG34" s="15">
        <f ca="1">IF(BE34,AZ34*BA34,"")</f>
        <v>30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15">
        <f ca="1">IF(AR34,IF(AND(BI34,NOT(BJ34)),1,IF(AND(BJ34,NOT(BI34)),2,3)),"")</f>
        <v>1</v>
      </c>
      <c r="BL34" s="15">
        <f ca="1">CHOOSE(AQ34,BK34,AN34,3,4)</f>
        <v>1</v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'[dane surowe2d_2.xlsm]variables'!$AN$2</v>
      </c>
      <c r="K35" s="15">
        <f>ster!$C$12</f>
        <v>30</v>
      </c>
      <c r="M35" s="19"/>
      <c r="Q35" s="16"/>
      <c r="T35" s="15" t="str">
        <f ca="1">BC35</f>
        <v>'[dane surowe2d_2.xlsm]variables'!$AN$2:$AN$31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1</v>
      </c>
      <c r="AU35" s="27">
        <f ca="1">IF(AS35,FIND("]",J35),"")</f>
        <v>23</v>
      </c>
      <c r="AV35" s="16" t="e">
        <f ca="1">IF(AS35,MID(J35,1,AU35)&lt;&gt;$V$2,FALSE)</f>
        <v>#REF!</v>
      </c>
      <c r="AW35" s="15" t="str">
        <f t="shared" ca="1" si="9"/>
        <v>'[dane surowe2d_2.xlsm]variables'!$AN$2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30</v>
      </c>
      <c r="BB35" s="15" t="str">
        <f ca="1">IF(AD35,CHOOSE(AQ35,AW35,AK35,"?"),"")</f>
        <v>'[dane surowe2d_2.xlsm]variables'!$AN$2</v>
      </c>
      <c r="BC35" s="15" t="str">
        <f ca="1">IFERROR(IF(MIN(AZ35:BA35)&lt;=0,"",  BB35 &amp; IF(AND(OR(AZ35&gt;1,BA35&gt;1),AQ35=1), ":" &amp; ADDRESS(ROW(INDIRECT(BB35)) +BA35-1,COLUMN(INDIRECT(BB35))+AZ35-1),"")),"")</f>
        <v>'[dane surowe2d_2.xlsm]variables'!$AN$2:$AN$31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30</v>
      </c>
      <c r="BG35" s="15">
        <f ca="1">IF(BE35,AZ35*BA35,"")</f>
        <v>30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15">
        <f ca="1">IF(AR35,IF(AND(BI35,NOT(BJ35)),1,IF(AND(BJ35,NOT(BI35)),2,3)),"")</f>
        <v>1</v>
      </c>
      <c r="BL35" s="15">
        <f ca="1">CHOOSE(AQ35,BK35,AN35,3,4)</f>
        <v>1</v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'[dane surowe2d_2.xlsm]variables'!$CA$2</v>
      </c>
      <c r="K36" s="15">
        <f>ster!$C$12</f>
        <v>30</v>
      </c>
      <c r="M36" s="19"/>
      <c r="Q36" s="16"/>
      <c r="T36" s="15" t="str">
        <f ca="1">BC36</f>
        <v>'[dane surowe2d_2.xlsm]variables'!$CA$2:$CA$31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1</v>
      </c>
      <c r="AU36" s="27">
        <f ca="1">IF(AS36,FIND("]",J36),"")</f>
        <v>23</v>
      </c>
      <c r="AV36" s="16" t="e">
        <f ca="1">IF(AS36,MID(J36,1,AU36)&lt;&gt;$V$2,FALSE)</f>
        <v>#REF!</v>
      </c>
      <c r="AW36" s="15" t="str">
        <f t="shared" ca="1" si="9"/>
        <v>'[dane surowe2d_2.xlsm]variables'!$CA$2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30</v>
      </c>
      <c r="BB36" s="15" t="str">
        <f ca="1">IF(AD36,CHOOSE(AQ36,AW36,AK36,"?"),"")</f>
        <v>'[dane surowe2d_2.xlsm]variables'!$CA$2</v>
      </c>
      <c r="BC36" s="15" t="str">
        <f ca="1">IFERROR(IF(MIN(AZ36:BA36)&lt;=0,"",  BB36 &amp; IF(AND(OR(AZ36&gt;1,BA36&gt;1),AQ36=1), ":" &amp; ADDRESS(ROW(INDIRECT(BB36)) +BA36-1,COLUMN(INDIRECT(BB36))+AZ36-1),"")),"")</f>
        <v>'[dane surowe2d_2.xlsm]variables'!$CA$2:$CA$31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15">
        <f ca="1">IF(AR36,IF(AND(BI36,NOT(BJ36)),1,IF(AND(BJ36,NOT(BI36)),2,3)),"")</f>
        <v>2</v>
      </c>
      <c r="BL36" s="15">
        <f ca="1">CHOOSE(AQ36,BK36,AN36,3,4)</f>
        <v>2</v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'[dane surowe2d_2.xlsm]variables'!$BQ$2</v>
      </c>
      <c r="K37" s="15">
        <f>ster!$C$12</f>
        <v>30</v>
      </c>
      <c r="M37" s="19"/>
      <c r="Q37" s="16"/>
      <c r="T37" s="15" t="str">
        <f t="shared" ca="1" si="69"/>
        <v>'[dane surowe2d_2.xlsm]variables'!$BQ$2:$BQ$31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4"/>
        <v/>
      </c>
      <c r="AH37" s="15" t="str">
        <f t="shared" ca="1" si="5"/>
        <v/>
      </c>
      <c r="AI37" s="15" t="b">
        <f t="shared" ca="1" si="6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7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23</v>
      </c>
      <c r="AV37" s="16" t="e">
        <f t="shared" ca="1" si="51"/>
        <v>#REF!</v>
      </c>
      <c r="AW37" s="15" t="str">
        <f t="shared" ca="1" si="9"/>
        <v>'[dane surowe2d_2.xlsm]variables'!$BQ$2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30</v>
      </c>
      <c r="BB37" s="15" t="str">
        <f t="shared" ca="1" si="55"/>
        <v>'[dane surowe2d_2.xlsm]variables'!$BQ$2</v>
      </c>
      <c r="BC37" s="15" t="str">
        <f t="shared" ca="1" si="29"/>
        <v>'[dane surowe2d_2.xlsm]variables'!$BQ$2:$BQ$31</v>
      </c>
      <c r="BD37" s="15" t="b">
        <f t="shared" ca="1" si="56"/>
        <v>1</v>
      </c>
      <c r="BE37" s="15" t="b">
        <f t="shared" ca="1" si="10"/>
        <v>0</v>
      </c>
      <c r="BF37" s="15" t="str">
        <f t="shared" ca="1" si="11"/>
        <v/>
      </c>
      <c r="BG37" s="15" t="str">
        <f t="shared" ca="1" si="12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13"/>
        <v>2</v>
      </c>
      <c r="BL37" s="15">
        <f t="shared" ca="1" si="14"/>
        <v>2</v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'[dane surowe2d_2.xlsm]variables'!$BX$2</v>
      </c>
      <c r="K38" s="15">
        <f>ster!$C$12</f>
        <v>30</v>
      </c>
      <c r="M38" s="19"/>
      <c r="Q38" s="16"/>
      <c r="T38" s="15" t="str">
        <f t="shared" ca="1" si="69"/>
        <v>'[dane surowe2d_2.xlsm]variables'!$BX$2:$BX$31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4"/>
        <v/>
      </c>
      <c r="AH38" s="15" t="str">
        <f t="shared" ca="1" si="5"/>
        <v/>
      </c>
      <c r="AI38" s="15" t="b">
        <f t="shared" ca="1" si="6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7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23</v>
      </c>
      <c r="AV38" s="16" t="e">
        <f t="shared" ca="1" si="51"/>
        <v>#REF!</v>
      </c>
      <c r="AW38" s="15" t="str">
        <f t="shared" ca="1" si="9"/>
        <v>'[dane surowe2d_2.xlsm]variables'!$BX$2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30</v>
      </c>
      <c r="BB38" s="15" t="str">
        <f t="shared" ca="1" si="55"/>
        <v>'[dane surowe2d_2.xlsm]variables'!$BX$2</v>
      </c>
      <c r="BC38" s="15" t="str">
        <f t="shared" ca="1" si="29"/>
        <v>'[dane surowe2d_2.xlsm]variables'!$BX$2:$BX$31</v>
      </c>
      <c r="BD38" s="15" t="b">
        <f t="shared" ca="1" si="56"/>
        <v>1</v>
      </c>
      <c r="BE38" s="15" t="b">
        <f t="shared" ca="1" si="10"/>
        <v>0</v>
      </c>
      <c r="BF38" s="15" t="str">
        <f t="shared" ca="1" si="11"/>
        <v/>
      </c>
      <c r="BG38" s="15" t="str">
        <f t="shared" ca="1" si="12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13"/>
        <v>2</v>
      </c>
      <c r="BL38" s="15">
        <f t="shared" ca="1" si="14"/>
        <v>2</v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'[dane surowe2d_2.xlsm]variables'!$CB$2</v>
      </c>
      <c r="K39" s="15">
        <f>ster!$C$12</f>
        <v>30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'[dane surowe2d_2.xlsm]variables'!$CB$2:$CB$31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4"/>
        <v/>
      </c>
      <c r="AH39" s="15" t="str">
        <f t="shared" ca="1" si="5"/>
        <v/>
      </c>
      <c r="AI39" s="15" t="b">
        <f t="shared" ca="1" si="6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7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23</v>
      </c>
      <c r="AV39" s="16" t="e">
        <f t="shared" ca="1" si="51"/>
        <v>#REF!</v>
      </c>
      <c r="AW39" s="15" t="str">
        <f t="shared" ca="1" si="9"/>
        <v>'[dane surowe2d_2.xlsm]variables'!$CB$2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30</v>
      </c>
      <c r="BB39" s="15" t="str">
        <f t="shared" ca="1" si="55"/>
        <v>'[dane surowe2d_2.xlsm]variables'!$CB$2</v>
      </c>
      <c r="BC39" s="15" t="str">
        <f t="shared" ca="1" si="29"/>
        <v>'[dane surowe2d_2.xlsm]variables'!$CB$2:$CB$31</v>
      </c>
      <c r="BD39" s="15" t="b">
        <f t="shared" ca="1" si="56"/>
        <v>1</v>
      </c>
      <c r="BE39" s="15" t="b">
        <f t="shared" ca="1" si="10"/>
        <v>0</v>
      </c>
      <c r="BF39" s="15" t="str">
        <f t="shared" ca="1" si="11"/>
        <v/>
      </c>
      <c r="BG39" s="15" t="str">
        <f t="shared" ca="1" si="12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13"/>
        <v>2</v>
      </c>
      <c r="BL39" s="15">
        <f t="shared" ca="1" si="14"/>
        <v>2</v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'[dane surowe2d_2.xlsm]ster'!$B$3</v>
      </c>
      <c r="M40" s="19"/>
      <c r="T40" s="15" t="str">
        <f t="shared" ca="1" si="69"/>
        <v>'[dane surowe2d_2.xlsm]ster'!$B$3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4"/>
        <v/>
      </c>
      <c r="AH40" s="15" t="str">
        <f t="shared" ca="1" si="5"/>
        <v/>
      </c>
      <c r="AI40" s="15" t="b">
        <f t="shared" ca="1" si="6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7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23</v>
      </c>
      <c r="AV40" s="16" t="b">
        <f ca="1">IF(AS40,MID(J40,1,AU40)&lt;&gt;$U$2,FALSE)</f>
        <v>0</v>
      </c>
      <c r="AW40" s="15" t="str">
        <f t="shared" ca="1" si="9"/>
        <v>'[dane surowe2d_2.xlsm]ster'!$B$3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'[dane surowe2d_2.xlsm]ster'!$B$3</v>
      </c>
      <c r="BC40" s="15" t="str">
        <f t="shared" ca="1" si="29"/>
        <v>'[dane surowe2d_2.xlsm]ster'!$B$3</v>
      </c>
      <c r="BD40" s="15" t="b">
        <f ca="1">AZ40*BA40&gt;1</f>
        <v>0</v>
      </c>
      <c r="BE40" s="15" t="b">
        <f t="shared" ca="1" si="10"/>
        <v>0</v>
      </c>
      <c r="BF40" s="15" t="str">
        <f t="shared" ca="1" si="11"/>
        <v/>
      </c>
      <c r="BG40" s="15" t="str">
        <f t="shared" ca="1" si="12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13"/>
        <v>2</v>
      </c>
      <c r="BL40" s="15">
        <f t="shared" ca="1" si="14"/>
        <v>2</v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4"/>
        <v/>
      </c>
      <c r="AH41" s="15" t="str">
        <f t="shared" ca="1" si="5"/>
        <v/>
      </c>
      <c r="AI41" s="15" t="b">
        <f t="shared" ca="1" si="6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7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9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0"/>
        <v>#REF!</v>
      </c>
      <c r="BF41" s="15" t="e">
        <f t="shared" ca="1" si="11"/>
        <v>#REF!</v>
      </c>
      <c r="BG41" s="15" t="e">
        <f t="shared" ca="1" si="12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15" t="e">
        <f t="shared" ca="1" si="13"/>
        <v>#REF!</v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'[dane surowe2d_2.xlsm]ster'!$C$5</v>
      </c>
      <c r="M42" s="19"/>
      <c r="T42" s="15" t="str">
        <f t="shared" ca="1" si="69"/>
        <v>'[dane surowe2d_2.xlsm]ster'!$C$5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4"/>
        <v/>
      </c>
      <c r="AH42" s="15" t="str">
        <f t="shared" ca="1" si="5"/>
        <v/>
      </c>
      <c r="AI42" s="15" t="b">
        <f t="shared" ca="1" si="6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7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1</v>
      </c>
      <c r="AU42" s="27">
        <f t="shared" ca="1" si="101"/>
        <v>23</v>
      </c>
      <c r="AV42" s="16" t="e">
        <f t="shared" ca="1" si="102"/>
        <v>#REF!</v>
      </c>
      <c r="AW42" s="15" t="str">
        <f t="shared" ca="1" si="9"/>
        <v>'[dane surowe2d_2.xlsm]ster'!$C$5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'[dane surowe2d_2.xlsm]ster'!$C$5</v>
      </c>
      <c r="BC42" s="15" t="str">
        <f t="shared" ca="1" si="29"/>
        <v>'[dane surowe2d_2.xlsm]ster'!$C$5</v>
      </c>
      <c r="BD42" s="15" t="b">
        <f t="shared" ca="1" si="107"/>
        <v>0</v>
      </c>
      <c r="BE42" s="15" t="b">
        <f t="shared" ca="1" si="10"/>
        <v>0</v>
      </c>
      <c r="BF42" s="15" t="str">
        <f t="shared" ca="1" si="11"/>
        <v/>
      </c>
      <c r="BG42" s="15" t="str">
        <f t="shared" ca="1" si="12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15">
        <f t="shared" ca="1" si="13"/>
        <v>2</v>
      </c>
      <c r="BL42" s="15">
        <f t="shared" ca="1" si="14"/>
        <v>2</v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'[dane surowe2d_2.xlsm]ster'!$B$5</v>
      </c>
      <c r="M43" s="19"/>
      <c r="T43" s="15" t="str">
        <f t="shared" ca="1" si="69"/>
        <v>'[dane surowe2d_2.xlsm]ster'!$B$5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4"/>
        <v/>
      </c>
      <c r="AH43" s="15" t="str">
        <f t="shared" ca="1" si="5"/>
        <v/>
      </c>
      <c r="AI43" s="15" t="b">
        <f t="shared" ca="1" si="6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7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1</v>
      </c>
      <c r="AU43" s="27">
        <f t="shared" ca="1" si="101"/>
        <v>23</v>
      </c>
      <c r="AV43" s="16" t="e">
        <f t="shared" ca="1" si="102"/>
        <v>#REF!</v>
      </c>
      <c r="AW43" s="15" t="str">
        <f t="shared" ca="1" si="9"/>
        <v>'[dane surowe2d_2.xlsm]ster'!$B$5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'[dane surowe2d_2.xlsm]ster'!$B$5</v>
      </c>
      <c r="BC43" s="15" t="str">
        <f t="shared" ca="1" si="29"/>
        <v>'[dane surowe2d_2.xlsm]ster'!$B$5</v>
      </c>
      <c r="BD43" s="15" t="b">
        <f t="shared" ca="1" si="107"/>
        <v>0</v>
      </c>
      <c r="BE43" s="15" t="b">
        <f t="shared" ca="1" si="10"/>
        <v>0</v>
      </c>
      <c r="BF43" s="15" t="str">
        <f t="shared" ca="1" si="11"/>
        <v/>
      </c>
      <c r="BG43" s="15" t="str">
        <f t="shared" ca="1" si="12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15">
        <f t="shared" ca="1" si="13"/>
        <v>2</v>
      </c>
      <c r="BL43" s="15">
        <f t="shared" ca="1" si="14"/>
        <v>2</v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'[dane surowe2d_2.xlsm]ster'!$O$22</v>
      </c>
      <c r="M44" s="19"/>
      <c r="T44" s="15" t="str">
        <f t="shared" ca="1" si="69"/>
        <v>'[dane surowe2d_2.xlsm]ster'!$O$22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4"/>
        <v/>
      </c>
      <c r="AH44" s="15" t="str">
        <f t="shared" ca="1" si="5"/>
        <v/>
      </c>
      <c r="AI44" s="15" t="b">
        <f t="shared" ca="1" si="6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7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1</v>
      </c>
      <c r="AU44" s="27">
        <f t="shared" ca="1" si="101"/>
        <v>23</v>
      </c>
      <c r="AV44" s="16" t="e">
        <f t="shared" ca="1" si="102"/>
        <v>#REF!</v>
      </c>
      <c r="AW44" s="15" t="str">
        <f t="shared" ca="1" si="9"/>
        <v>'[dane surowe2d_2.xlsm]ster'!$O$22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'[dane surowe2d_2.xlsm]ster'!$O$22</v>
      </c>
      <c r="BC44" s="15" t="str">
        <f t="shared" ca="1" si="29"/>
        <v>'[dane surowe2d_2.xlsm]ster'!$O$22</v>
      </c>
      <c r="BD44" s="15" t="b">
        <f t="shared" ca="1" si="107"/>
        <v>0</v>
      </c>
      <c r="BE44" s="15" t="b">
        <f t="shared" ca="1" si="10"/>
        <v>0</v>
      </c>
      <c r="BF44" s="15" t="str">
        <f t="shared" ca="1" si="11"/>
        <v/>
      </c>
      <c r="BG44" s="15" t="str">
        <f t="shared" ca="1" si="12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15">
        <f t="shared" ca="1" si="13"/>
        <v>2</v>
      </c>
      <c r="BL44" s="15">
        <f t="shared" ca="1" si="14"/>
        <v>2</v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'[dane surowe2d_2.xlsm]ster'!$O$24</v>
      </c>
      <c r="M45" s="19"/>
      <c r="T45" s="15" t="str">
        <f t="shared" ca="1" si="69"/>
        <v>'[dane surowe2d_2.xlsm]ster'!$O$24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4"/>
        <v/>
      </c>
      <c r="AH45" s="15" t="str">
        <f t="shared" ca="1" si="5"/>
        <v/>
      </c>
      <c r="AI45" s="15" t="b">
        <f t="shared" ca="1" si="6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7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1</v>
      </c>
      <c r="AU45" s="27">
        <f t="shared" ca="1" si="101"/>
        <v>23</v>
      </c>
      <c r="AV45" s="16" t="e">
        <f t="shared" ca="1" si="102"/>
        <v>#REF!</v>
      </c>
      <c r="AW45" s="15" t="str">
        <f t="shared" ref="AW45:AW76" ca="1" si="115">IF(AR45,CELL(_CELL_ADDRESS_NAME,INDIRECT(J45)),"")</f>
        <v>'[dane surowe2d_2.xlsm]ster'!$O$24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'[dane surowe2d_2.xlsm]ster'!$O$24</v>
      </c>
      <c r="BC45" s="15" t="str">
        <f t="shared" ca="1" si="29"/>
        <v>'[dane surowe2d_2.xlsm]ster'!$O$24</v>
      </c>
      <c r="BD45" s="15" t="b">
        <f t="shared" ca="1" si="107"/>
        <v>0</v>
      </c>
      <c r="BE45" s="15" t="b">
        <f t="shared" ca="1" si="10"/>
        <v>0</v>
      </c>
      <c r="BF45" s="15" t="str">
        <f t="shared" ca="1" si="11"/>
        <v/>
      </c>
      <c r="BG45" s="15" t="str">
        <f t="shared" ca="1" si="12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15">
        <f t="shared" ca="1" si="13"/>
        <v>2</v>
      </c>
      <c r="BL45" s="15">
        <f t="shared" ca="1" si="14"/>
        <v>2</v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'[dane surowe2d_2.xlsm]wew'!$A$3</v>
      </c>
      <c r="M46" s="19"/>
      <c r="T46" s="15" t="str">
        <f t="shared" ca="1" si="69"/>
        <v>'[dane surowe2d_2.xlsm]wew'!$A$3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4"/>
        <v/>
      </c>
      <c r="AH46" s="15" t="str">
        <f t="shared" ca="1" si="5"/>
        <v/>
      </c>
      <c r="AI46" s="15" t="b">
        <f t="shared" ca="1" si="6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7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1</v>
      </c>
      <c r="AU46" s="27">
        <f t="shared" ca="1" si="101"/>
        <v>23</v>
      </c>
      <c r="AV46" s="16" t="e">
        <f t="shared" ca="1" si="102"/>
        <v>#REF!</v>
      </c>
      <c r="AW46" s="15" t="str">
        <f t="shared" ca="1" si="115"/>
        <v>'[dane surowe2d_2.xlsm]wew'!$A$3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'[dane surowe2d_2.xlsm]wew'!$A$3</v>
      </c>
      <c r="BC46" s="15" t="str">
        <f t="shared" ca="1" si="29"/>
        <v>'[dane surowe2d_2.xlsm]wew'!$A$3</v>
      </c>
      <c r="BD46" s="15" t="b">
        <f t="shared" ca="1" si="107"/>
        <v>0</v>
      </c>
      <c r="BE46" s="15" t="b">
        <f t="shared" ca="1" si="10"/>
        <v>1</v>
      </c>
      <c r="BF46" s="15">
        <f t="shared" ca="1" si="11"/>
        <v>1</v>
      </c>
      <c r="BG46" s="15">
        <f t="shared" ca="1" si="12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15">
        <f t="shared" ca="1" si="13"/>
        <v>1</v>
      </c>
      <c r="BL46" s="15">
        <f t="shared" ca="1" si="14"/>
        <v>1</v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4"/>
        <v/>
      </c>
      <c r="AH47" s="15" t="str">
        <f t="shared" ca="1" si="5"/>
        <v/>
      </c>
      <c r="AI47" s="15" t="b">
        <f t="shared" ca="1" si="6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7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0"/>
        <v>#REF!</v>
      </c>
      <c r="BF47" s="15" t="e">
        <f t="shared" ca="1" si="11"/>
        <v>#REF!</v>
      </c>
      <c r="BG47" s="15" t="e">
        <f t="shared" ca="1" si="12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15" t="e">
        <f t="shared" ca="1" si="13"/>
        <v>#REF!</v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4"/>
        <v/>
      </c>
      <c r="AH48" s="15" t="str">
        <f t="shared" ca="1" si="5"/>
        <v/>
      </c>
      <c r="AI48" s="15" t="b">
        <f t="shared" ca="1" si="6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7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0"/>
        <v>#REF!</v>
      </c>
      <c r="BF48" s="15" t="e">
        <f t="shared" ca="1" si="11"/>
        <v>#REF!</v>
      </c>
      <c r="BG48" s="15" t="e">
        <f t="shared" ca="1" si="12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15" t="e">
        <f t="shared" ca="1" si="13"/>
        <v>#REF!</v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'[dane surowe2d_2.xlsm]wew'!$R$8</v>
      </c>
      <c r="M49" s="19"/>
      <c r="T49" s="15" t="str">
        <f t="shared" ca="1" si="69"/>
        <v>'[dane surowe2d_2.xlsm]wew'!$R$8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4"/>
        <v/>
      </c>
      <c r="AH49" s="15" t="str">
        <f t="shared" ca="1" si="5"/>
        <v/>
      </c>
      <c r="AI49" s="15" t="b">
        <f t="shared" ca="1" si="6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7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1</v>
      </c>
      <c r="AU49" s="27">
        <f t="shared" ca="1" si="101"/>
        <v>23</v>
      </c>
      <c r="AV49" s="16" t="e">
        <f t="shared" ca="1" si="102"/>
        <v>#REF!</v>
      </c>
      <c r="AW49" s="15" t="str">
        <f t="shared" ca="1" si="115"/>
        <v>'[dane surowe2d_2.xlsm]wew'!$R$8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'[dane surowe2d_2.xlsm]wew'!$R$8</v>
      </c>
      <c r="BC49" s="15" t="str">
        <f t="shared" ca="1" si="29"/>
        <v>'[dane surowe2d_2.xlsm]wew'!$R$8</v>
      </c>
      <c r="BD49" s="15" t="b">
        <f t="shared" ca="1" si="107"/>
        <v>0</v>
      </c>
      <c r="BE49" s="15" t="b">
        <f t="shared" ca="1" si="10"/>
        <v>0</v>
      </c>
      <c r="BF49" s="15" t="str">
        <f t="shared" ca="1" si="11"/>
        <v/>
      </c>
      <c r="BG49" s="15" t="str">
        <f t="shared" ca="1" si="12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15">
        <f t="shared" ca="1" si="13"/>
        <v>2</v>
      </c>
      <c r="BL49" s="15">
        <f t="shared" ca="1" si="14"/>
        <v>2</v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'[dane surowe2d_2.xlsm]wew'!$R$9</v>
      </c>
      <c r="M50" s="19"/>
      <c r="T50" s="15" t="str">
        <f t="shared" ca="1" si="69"/>
        <v>'[dane surowe2d_2.xlsm]wew'!$R$9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4"/>
        <v/>
      </c>
      <c r="AH50" s="15" t="str">
        <f t="shared" ca="1" si="5"/>
        <v/>
      </c>
      <c r="AI50" s="15" t="b">
        <f t="shared" ca="1" si="6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7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1</v>
      </c>
      <c r="AU50" s="27">
        <f t="shared" ca="1" si="101"/>
        <v>23</v>
      </c>
      <c r="AV50" s="16" t="e">
        <f t="shared" ca="1" si="102"/>
        <v>#REF!</v>
      </c>
      <c r="AW50" s="15" t="str">
        <f t="shared" ca="1" si="115"/>
        <v>'[dane surowe2d_2.xlsm]wew'!$R$9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'[dane surowe2d_2.xlsm]wew'!$R$9</v>
      </c>
      <c r="BC50" s="15" t="str">
        <f t="shared" ca="1" si="29"/>
        <v>'[dane surowe2d_2.xlsm]wew'!$R$9</v>
      </c>
      <c r="BD50" s="15" t="b">
        <f t="shared" ca="1" si="107"/>
        <v>0</v>
      </c>
      <c r="BE50" s="15" t="b">
        <f t="shared" ca="1" si="10"/>
        <v>0</v>
      </c>
      <c r="BF50" s="15" t="str">
        <f t="shared" ca="1" si="11"/>
        <v/>
      </c>
      <c r="BG50" s="15" t="str">
        <f t="shared" ca="1" si="12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15">
        <f t="shared" ca="1" si="13"/>
        <v>2</v>
      </c>
      <c r="BL50" s="15">
        <f t="shared" ca="1" si="14"/>
        <v>2</v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'[dane surowe2d_2.xlsm]ster'!$C$3</v>
      </c>
      <c r="M51" s="19"/>
      <c r="T51" s="15" t="str">
        <f t="shared" ca="1" si="69"/>
        <v>'[dane surowe2d_2.xlsm]ster'!$C$3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4"/>
        <v/>
      </c>
      <c r="AH51" s="15" t="str">
        <f t="shared" ca="1" si="5"/>
        <v/>
      </c>
      <c r="AI51" s="15" t="b">
        <f t="shared" ca="1" si="6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7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1</v>
      </c>
      <c r="AU51" s="27">
        <f t="shared" ca="1" si="101"/>
        <v>23</v>
      </c>
      <c r="AV51" s="16" t="e">
        <f t="shared" ca="1" si="102"/>
        <v>#REF!</v>
      </c>
      <c r="AW51" s="15" t="str">
        <f t="shared" ca="1" si="115"/>
        <v>'[dane surowe2d_2.xlsm]ster'!$C$3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'[dane surowe2d_2.xlsm]ster'!$C$3</v>
      </c>
      <c r="BC51" s="15" t="str">
        <f t="shared" ca="1" si="29"/>
        <v>'[dane surowe2d_2.xlsm]ster'!$C$3</v>
      </c>
      <c r="BD51" s="15" t="b">
        <f t="shared" ca="1" si="107"/>
        <v>0</v>
      </c>
      <c r="BE51" s="15" t="b">
        <f t="shared" ca="1" si="10"/>
        <v>0</v>
      </c>
      <c r="BF51" s="15" t="str">
        <f t="shared" ca="1" si="11"/>
        <v/>
      </c>
      <c r="BG51" s="15" t="str">
        <f t="shared" ca="1" si="12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15">
        <f t="shared" ca="1" si="13"/>
        <v>2</v>
      </c>
      <c r="BL51" s="15">
        <f t="shared" ca="1" si="14"/>
        <v>2</v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'[dane surowe2d_2.xlsm]ster'!$D$3</v>
      </c>
      <c r="M52" s="19"/>
      <c r="T52" s="15" t="str">
        <f t="shared" ca="1" si="69"/>
        <v>'[dane surowe2d_2.xlsm]ster'!$D$3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4"/>
        <v/>
      </c>
      <c r="AH52" s="15" t="str">
        <f t="shared" ca="1" si="5"/>
        <v/>
      </c>
      <c r="AI52" s="15" t="b">
        <f t="shared" ca="1" si="6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7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1</v>
      </c>
      <c r="AU52" s="27">
        <f t="shared" ca="1" si="101"/>
        <v>23</v>
      </c>
      <c r="AV52" s="16" t="e">
        <f t="shared" ca="1" si="102"/>
        <v>#REF!</v>
      </c>
      <c r="AW52" s="15" t="str">
        <f t="shared" ca="1" si="115"/>
        <v>'[dane surowe2d_2.xlsm]ster'!$D$3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'[dane surowe2d_2.xlsm]ster'!$D$3</v>
      </c>
      <c r="BC52" s="15" t="str">
        <f t="shared" ca="1" si="29"/>
        <v>'[dane surowe2d_2.xlsm]ster'!$D$3</v>
      </c>
      <c r="BD52" s="15" t="b">
        <f t="shared" ca="1" si="107"/>
        <v>0</v>
      </c>
      <c r="BE52" s="15" t="b">
        <f t="shared" ca="1" si="10"/>
        <v>0</v>
      </c>
      <c r="BF52" s="15" t="str">
        <f t="shared" ca="1" si="11"/>
        <v/>
      </c>
      <c r="BG52" s="15" t="str">
        <f t="shared" ca="1" si="12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15">
        <f t="shared" ca="1" si="13"/>
        <v>2</v>
      </c>
      <c r="BL52" s="15">
        <f t="shared" ca="1" si="14"/>
        <v>2</v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'[dane surowe2d_2.xlsm]grupy'!$B$4</v>
      </c>
      <c r="K53" s="15">
        <f ca="1">ster!$C$16</f>
        <v>23</v>
      </c>
      <c r="L53" s="15">
        <f ca="1">COUNTA(grupy!$B$4:$F$4)</f>
        <v>4</v>
      </c>
      <c r="M53" s="19"/>
      <c r="P53" s="15">
        <v>1</v>
      </c>
      <c r="T53" s="15" t="str">
        <f t="shared" ca="1" si="69"/>
        <v>'[dane surowe2d_2.xlsm]grupy'!$B$4:$E$26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4"/>
        <v/>
      </c>
      <c r="AH53" s="15" t="str">
        <f t="shared" ca="1" si="5"/>
        <v/>
      </c>
      <c r="AI53" s="15" t="b">
        <f t="shared" ca="1" si="6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7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1</v>
      </c>
      <c r="AU53" s="27">
        <f t="shared" ca="1" si="101"/>
        <v>23</v>
      </c>
      <c r="AV53" s="16" t="e">
        <f t="shared" ca="1" si="102"/>
        <v>#REF!</v>
      </c>
      <c r="AW53" s="15" t="str">
        <f t="shared" ca="1" si="115"/>
        <v>'[dane surowe2d_2.xlsm]grupy'!$B$4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23</v>
      </c>
      <c r="BB53" s="15" t="str">
        <f t="shared" ca="1" si="106"/>
        <v>'[dane surowe2d_2.xlsm]grupy'!$B$4</v>
      </c>
      <c r="BC53" s="15" t="str">
        <f t="shared" ca="1" si="29"/>
        <v>'[dane surowe2d_2.xlsm]grupy'!$B$4:$E$26</v>
      </c>
      <c r="BD53" s="15" t="b">
        <f t="shared" ca="1" si="107"/>
        <v>1</v>
      </c>
      <c r="BE53" s="15" t="b">
        <f t="shared" ca="1" si="10"/>
        <v>0</v>
      </c>
      <c r="BF53" s="15" t="str">
        <f t="shared" ca="1" si="11"/>
        <v/>
      </c>
      <c r="BG53" s="15" t="str">
        <f t="shared" ca="1" si="12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15">
        <f t="shared" ca="1" si="13"/>
        <v>2</v>
      </c>
      <c r="BL53" s="15">
        <f t="shared" ca="1" si="14"/>
        <v>2</v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'[dane surowe2d_2.xlsm]grupy'!$C$4</v>
      </c>
      <c r="K54" s="15">
        <f ca="1">ster!$C$16</f>
        <v>23</v>
      </c>
      <c r="M54" s="19"/>
      <c r="T54" s="15" t="str">
        <f t="shared" ca="1" si="69"/>
        <v>'[dane surowe2d_2.xlsm]grupy'!$C$4:$C$26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4"/>
        <v/>
      </c>
      <c r="AH54" s="15" t="str">
        <f t="shared" ca="1" si="5"/>
        <v/>
      </c>
      <c r="AI54" s="15" t="b">
        <f t="shared" ca="1" si="6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7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1</v>
      </c>
      <c r="AU54" s="27">
        <f t="shared" ca="1" si="101"/>
        <v>23</v>
      </c>
      <c r="AV54" s="16" t="e">
        <f t="shared" ca="1" si="102"/>
        <v>#REF!</v>
      </c>
      <c r="AW54" s="15" t="str">
        <f t="shared" ca="1" si="115"/>
        <v>'[dane surowe2d_2.xlsm]grupy'!$C$4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23</v>
      </c>
      <c r="BB54" s="15" t="str">
        <f t="shared" ca="1" si="106"/>
        <v>'[dane surowe2d_2.xlsm]grupy'!$C$4</v>
      </c>
      <c r="BC54" s="15" t="str">
        <f t="shared" ca="1" si="29"/>
        <v>'[dane surowe2d_2.xlsm]grupy'!$C$4:$C$26</v>
      </c>
      <c r="BD54" s="15" t="b">
        <f t="shared" ca="1" si="107"/>
        <v>1</v>
      </c>
      <c r="BE54" s="15" t="b">
        <f t="shared" ca="1" si="10"/>
        <v>0</v>
      </c>
      <c r="BF54" s="15" t="str">
        <f t="shared" ca="1" si="11"/>
        <v/>
      </c>
      <c r="BG54" s="15" t="str">
        <f t="shared" ca="1" si="12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15">
        <f t="shared" ca="1" si="13"/>
        <v>2</v>
      </c>
      <c r="BL54" s="15">
        <f t="shared" ca="1" si="14"/>
        <v>2</v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4"/>
        <v/>
      </c>
      <c r="AH55" s="15" t="str">
        <f t="shared" ca="1" si="5"/>
        <v/>
      </c>
      <c r="AI55" s="15" t="b">
        <f t="shared" ca="1" si="6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7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0"/>
        <v>0</v>
      </c>
      <c r="BF55" s="15" t="str">
        <f t="shared" ca="1" si="11"/>
        <v/>
      </c>
      <c r="BG55" s="15" t="str">
        <f t="shared" si="12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15" t="str">
        <f t="shared" si="13"/>
        <v/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b">
        <f t="shared" si="18"/>
        <v>0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4"/>
        <v/>
      </c>
      <c r="AH56" s="15" t="str">
        <f t="shared" ca="1" si="5"/>
        <v/>
      </c>
      <c r="AI56" s="15" t="b">
        <f t="shared" ca="1" si="6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7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0"/>
        <v>0</v>
      </c>
      <c r="BF56" s="15" t="str">
        <f t="shared" ca="1" si="11"/>
        <v/>
      </c>
      <c r="BG56" s="15" t="str">
        <f t="shared" si="12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15" t="str">
        <f t="shared" si="13"/>
        <v/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b">
        <f t="shared" si="18"/>
        <v>0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4"/>
        <v/>
      </c>
      <c r="AH57" s="15" t="str">
        <f t="shared" ca="1" si="5"/>
        <v/>
      </c>
      <c r="AI57" s="15" t="b">
        <f t="shared" ca="1" si="6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7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0"/>
        <v>0</v>
      </c>
      <c r="BF57" s="15" t="str">
        <f t="shared" ca="1" si="11"/>
        <v/>
      </c>
      <c r="BG57" s="15" t="str">
        <f t="shared" si="12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15" t="str">
        <f t="shared" si="13"/>
        <v/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b">
        <f t="shared" si="18"/>
        <v>0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'[dane surowe2d_2.xlsm]grupy'!$G$4</v>
      </c>
      <c r="K58" s="15">
        <f ca="1">ster!$C$16</f>
        <v>23</v>
      </c>
      <c r="M58" s="19"/>
      <c r="T58" s="15" t="str">
        <f t="shared" ca="1" si="69"/>
        <v>'[dane surowe2d_2.xlsm]grupy'!$G$4:$G$26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4"/>
        <v/>
      </c>
      <c r="AH58" s="15" t="str">
        <f t="shared" ca="1" si="5"/>
        <v/>
      </c>
      <c r="AI58" s="15" t="b">
        <f t="shared" ca="1" si="6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7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1</v>
      </c>
      <c r="AU58" s="27">
        <f t="shared" ca="1" si="101"/>
        <v>23</v>
      </c>
      <c r="AV58" s="16" t="e">
        <f t="shared" ca="1" si="102"/>
        <v>#REF!</v>
      </c>
      <c r="AW58" s="15" t="str">
        <f t="shared" ca="1" si="115"/>
        <v>'[dane surowe2d_2.xlsm]grupy'!$G$4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23</v>
      </c>
      <c r="BB58" s="15" t="str">
        <f t="shared" ca="1" si="106"/>
        <v>'[dane surowe2d_2.xlsm]grupy'!$G$4</v>
      </c>
      <c r="BC58" s="15" t="str">
        <f t="shared" ca="1" si="29"/>
        <v>'[dane surowe2d_2.xlsm]grupy'!$G$4:$G$26</v>
      </c>
      <c r="BD58" s="15" t="b">
        <f t="shared" ca="1" si="107"/>
        <v>1</v>
      </c>
      <c r="BE58" s="15" t="b">
        <f t="shared" ca="1" si="10"/>
        <v>0</v>
      </c>
      <c r="BF58" s="15" t="str">
        <f t="shared" ca="1" si="11"/>
        <v/>
      </c>
      <c r="BG58" s="15" t="str">
        <f t="shared" ca="1" si="12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15">
        <f t="shared" ca="1" si="13"/>
        <v>2</v>
      </c>
      <c r="BL58" s="15">
        <f t="shared" ca="1" si="14"/>
        <v>2</v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'[dane surowe2d_2.xlsm]grupy'!$H$4</v>
      </c>
      <c r="K59" s="15">
        <f ca="1">ster!$C$16</f>
        <v>23</v>
      </c>
      <c r="M59" s="19"/>
      <c r="T59" s="15" t="str">
        <f t="shared" ca="1" si="69"/>
        <v>'[dane surowe2d_2.xlsm]grupy'!$H$4:$H$26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4"/>
        <v/>
      </c>
      <c r="AH59" s="15" t="str">
        <f t="shared" ca="1" si="5"/>
        <v/>
      </c>
      <c r="AI59" s="15" t="b">
        <f t="shared" ca="1" si="6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7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1</v>
      </c>
      <c r="AU59" s="27">
        <f t="shared" ca="1" si="101"/>
        <v>23</v>
      </c>
      <c r="AV59" s="16" t="e">
        <f t="shared" ca="1" si="102"/>
        <v>#REF!</v>
      </c>
      <c r="AW59" s="15" t="str">
        <f t="shared" ca="1" si="115"/>
        <v>'[dane surowe2d_2.xlsm]grupy'!$H$4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23</v>
      </c>
      <c r="BB59" s="15" t="str">
        <f t="shared" ca="1" si="106"/>
        <v>'[dane surowe2d_2.xlsm]grupy'!$H$4</v>
      </c>
      <c r="BC59" s="15" t="str">
        <f t="shared" ca="1" si="29"/>
        <v>'[dane surowe2d_2.xlsm]grupy'!$H$4:$H$26</v>
      </c>
      <c r="BD59" s="15" t="b">
        <f t="shared" ca="1" si="107"/>
        <v>1</v>
      </c>
      <c r="BE59" s="15" t="b">
        <f t="shared" ca="1" si="10"/>
        <v>0</v>
      </c>
      <c r="BF59" s="15" t="str">
        <f t="shared" ca="1" si="11"/>
        <v/>
      </c>
      <c r="BG59" s="15" t="str">
        <f t="shared" ca="1" si="12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15">
        <f t="shared" ca="1" si="13"/>
        <v>2</v>
      </c>
      <c r="BL59" s="15">
        <f t="shared" ca="1" si="14"/>
        <v>2</v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'[dane surowe2d_2.xlsm]grupy'!$I$4</v>
      </c>
      <c r="K60" s="15">
        <f ca="1">ster!$C$16</f>
        <v>23</v>
      </c>
      <c r="M60" s="19"/>
      <c r="T60" s="15" t="str">
        <f ca="1">BC60</f>
        <v>'[dane surowe2d_2.xlsm]grupy'!$I$4:$I$26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4"/>
        <v/>
      </c>
      <c r="AH60" s="15" t="str">
        <f t="shared" ca="1" si="5"/>
        <v/>
      </c>
      <c r="AI60" s="15" t="b">
        <f t="shared" ca="1" si="6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7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1</v>
      </c>
      <c r="AU60" s="27">
        <f t="shared" ca="1" si="101"/>
        <v>23</v>
      </c>
      <c r="AV60" s="16" t="e">
        <f t="shared" ca="1" si="102"/>
        <v>#REF!</v>
      </c>
      <c r="AW60" s="15" t="str">
        <f t="shared" ca="1" si="115"/>
        <v>'[dane surowe2d_2.xlsm]grupy'!$I$4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23</v>
      </c>
      <c r="BB60" s="15" t="str">
        <f t="shared" ca="1" si="106"/>
        <v>'[dane surowe2d_2.xlsm]grupy'!$I$4</v>
      </c>
      <c r="BC60" s="15" t="str">
        <f t="shared" ca="1" si="29"/>
        <v>'[dane surowe2d_2.xlsm]grupy'!$I$4:$I$26</v>
      </c>
      <c r="BD60" s="15" t="b">
        <f t="shared" ca="1" si="107"/>
        <v>1</v>
      </c>
      <c r="BE60" s="15" t="b">
        <f t="shared" ca="1" si="10"/>
        <v>0</v>
      </c>
      <c r="BF60" s="15" t="str">
        <f t="shared" ca="1" si="11"/>
        <v/>
      </c>
      <c r="BG60" s="15" t="str">
        <f t="shared" ca="1" si="12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15">
        <f t="shared" ca="1" si="13"/>
        <v>2</v>
      </c>
      <c r="BL60" s="15">
        <f t="shared" ca="1" si="14"/>
        <v>2</v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'[dane surowe2d_2.xlsm]grupy'!$J$4</v>
      </c>
      <c r="K61" s="15">
        <f ca="1">ster!$C$16</f>
        <v>23</v>
      </c>
      <c r="M61" s="19"/>
      <c r="T61" s="15" t="str">
        <f ca="1">BC61</f>
        <v>'[dane surowe2d_2.xlsm]grupy'!$J$4:$J$26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4"/>
        <v/>
      </c>
      <c r="AH61" s="15" t="str">
        <f t="shared" ca="1" si="5"/>
        <v/>
      </c>
      <c r="AI61" s="15" t="b">
        <f t="shared" ca="1" si="6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7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1</v>
      </c>
      <c r="AU61" s="27">
        <f t="shared" ca="1" si="101"/>
        <v>23</v>
      </c>
      <c r="AV61" s="16" t="e">
        <f t="shared" ca="1" si="102"/>
        <v>#REF!</v>
      </c>
      <c r="AW61" s="15" t="str">
        <f t="shared" ca="1" si="115"/>
        <v>'[dane surowe2d_2.xlsm]grupy'!$J$4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23</v>
      </c>
      <c r="BB61" s="15" t="str">
        <f t="shared" ca="1" si="106"/>
        <v>'[dane surowe2d_2.xlsm]grupy'!$J$4</v>
      </c>
      <c r="BC61" s="15" t="str">
        <f t="shared" ca="1" si="29"/>
        <v>'[dane surowe2d_2.xlsm]grupy'!$J$4:$J$26</v>
      </c>
      <c r="BD61" s="15" t="b">
        <f t="shared" ca="1" si="107"/>
        <v>1</v>
      </c>
      <c r="BE61" s="15" t="b">
        <f t="shared" ca="1" si="10"/>
        <v>0</v>
      </c>
      <c r="BF61" s="15" t="str">
        <f t="shared" ca="1" si="11"/>
        <v/>
      </c>
      <c r="BG61" s="15" t="str">
        <f t="shared" ca="1" si="12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15">
        <f t="shared" ca="1" si="13"/>
        <v>2</v>
      </c>
      <c r="BL61" s="15">
        <f t="shared" ca="1" si="14"/>
        <v>2</v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'[dane surowe2d_2.xlsm]ster'!$B$12</v>
      </c>
      <c r="M62" s="19"/>
      <c r="T62" s="15" t="str">
        <f t="shared" ref="T62:T68" ca="1" si="125">BC62</f>
        <v>'[dane surowe2d_2.xlsm]ster'!$B$12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4"/>
        <v/>
      </c>
      <c r="AH62" s="15" t="str">
        <f t="shared" ca="1" si="5"/>
        <v/>
      </c>
      <c r="AI62" s="15" t="b">
        <f t="shared" ca="1" si="6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7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1</v>
      </c>
      <c r="AU62" s="27">
        <f t="shared" ca="1" si="101"/>
        <v>23</v>
      </c>
      <c r="AV62" s="16" t="e">
        <f t="shared" ca="1" si="102"/>
        <v>#REF!</v>
      </c>
      <c r="AW62" s="15" t="str">
        <f t="shared" ca="1" si="115"/>
        <v>'[dane surowe2d_2.xlsm]ster'!$B$12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'[dane surowe2d_2.xlsm]ster'!$B$12</v>
      </c>
      <c r="BC62" s="15" t="str">
        <f t="shared" ca="1" si="29"/>
        <v>'[dane surowe2d_2.xlsm]ster'!$B$12</v>
      </c>
      <c r="BD62" s="15" t="b">
        <f t="shared" ca="1" si="107"/>
        <v>0</v>
      </c>
      <c r="BE62" s="15" t="b">
        <f t="shared" ca="1" si="10"/>
        <v>1</v>
      </c>
      <c r="BF62" s="15">
        <f t="shared" ca="1" si="11"/>
        <v>1</v>
      </c>
      <c r="BG62" s="15">
        <f t="shared" ca="1" si="12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15">
        <f t="shared" ca="1" si="13"/>
        <v>1</v>
      </c>
      <c r="BL62" s="15">
        <f t="shared" ca="1" si="14"/>
        <v>1</v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'[dane surowe2d_2.xlsm]ster'!$C$12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4"/>
        <v/>
      </c>
      <c r="AH63" s="15" t="str">
        <f t="shared" ca="1" si="5"/>
        <v/>
      </c>
      <c r="AI63" s="15" t="b">
        <f t="shared" ca="1" si="6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7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1</v>
      </c>
      <c r="AU63" s="27">
        <f t="shared" ca="1" si="101"/>
        <v>23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0"/>
        <v>0</v>
      </c>
      <c r="BF63" s="15" t="str">
        <f t="shared" ca="1" si="11"/>
        <v/>
      </c>
      <c r="BG63" s="15" t="str">
        <f t="shared" ca="1" si="12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15" t="str">
        <f t="shared" ca="1" si="13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'[dane surowe2d_2.xlsm]ster'!$B$14</v>
      </c>
      <c r="M64" s="19"/>
      <c r="T64" s="15" t="str">
        <f t="shared" ca="1" si="125"/>
        <v>'[dane surowe2d_2.xlsm]ster'!$B$14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4"/>
        <v/>
      </c>
      <c r="AH64" s="15" t="str">
        <f t="shared" ca="1" si="5"/>
        <v/>
      </c>
      <c r="AI64" s="15" t="b">
        <f t="shared" ca="1" si="6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7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1</v>
      </c>
      <c r="AU64" s="27">
        <f t="shared" ca="1" si="101"/>
        <v>23</v>
      </c>
      <c r="AV64" s="16" t="e">
        <f t="shared" ca="1" si="102"/>
        <v>#REF!</v>
      </c>
      <c r="AW64" s="15" t="str">
        <f t="shared" ca="1" si="115"/>
        <v>'[dane surowe2d_2.xlsm]ster'!$B$14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'[dane surowe2d_2.xlsm]ster'!$B$14</v>
      </c>
      <c r="BC64" s="15" t="str">
        <f t="shared" ca="1" si="29"/>
        <v>'[dane surowe2d_2.xlsm]ster'!$B$14</v>
      </c>
      <c r="BD64" s="15" t="b">
        <f t="shared" ca="1" si="107"/>
        <v>0</v>
      </c>
      <c r="BE64" s="15" t="b">
        <f t="shared" ca="1" si="10"/>
        <v>1</v>
      </c>
      <c r="BF64" s="15">
        <f t="shared" ca="1" si="11"/>
        <v>1</v>
      </c>
      <c r="BG64" s="15">
        <f t="shared" ca="1" si="12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15">
        <f t="shared" ca="1" si="13"/>
        <v>1</v>
      </c>
      <c r="BL64" s="15">
        <f t="shared" ca="1" si="14"/>
        <v>1</v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'[dane surowe2d_2.xlsm]ster'!$C$14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4"/>
        <v/>
      </c>
      <c r="AH65" s="15" t="str">
        <f t="shared" ca="1" si="5"/>
        <v/>
      </c>
      <c r="AI65" s="15" t="b">
        <f t="shared" ca="1" si="6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7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1</v>
      </c>
      <c r="AU65" s="27">
        <f t="shared" ca="1" si="101"/>
        <v>23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0"/>
        <v>0</v>
      </c>
      <c r="BF65" s="15" t="str">
        <f t="shared" ca="1" si="11"/>
        <v/>
      </c>
      <c r="BG65" s="15" t="str">
        <f t="shared" ca="1" si="12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15" t="str">
        <f t="shared" ca="1" si="13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'[dane surowe2d_2.xlsm]ster'!$B$16</v>
      </c>
      <c r="M66" s="19"/>
      <c r="T66" s="15" t="str">
        <f t="shared" ca="1" si="125"/>
        <v>'[dane surowe2d_2.xlsm]ster'!$B$16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4"/>
        <v/>
      </c>
      <c r="AH66" s="15" t="str">
        <f t="shared" ca="1" si="5"/>
        <v/>
      </c>
      <c r="AI66" s="15" t="b">
        <f t="shared" ca="1" si="6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7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1</v>
      </c>
      <c r="AU66" s="27">
        <f t="shared" ca="1" si="101"/>
        <v>23</v>
      </c>
      <c r="AV66" s="16" t="e">
        <f t="shared" ca="1" si="102"/>
        <v>#REF!</v>
      </c>
      <c r="AW66" s="15" t="str">
        <f t="shared" ca="1" si="115"/>
        <v>'[dane surowe2d_2.xlsm]ster'!$B$16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'[dane surowe2d_2.xlsm]ster'!$B$16</v>
      </c>
      <c r="BC66" s="15" t="str">
        <f t="shared" ca="1" si="29"/>
        <v>'[dane surowe2d_2.xlsm]ster'!$B$16</v>
      </c>
      <c r="BD66" s="15" t="b">
        <f t="shared" ca="1" si="107"/>
        <v>0</v>
      </c>
      <c r="BE66" s="15" t="b">
        <f t="shared" ca="1" si="10"/>
        <v>1</v>
      </c>
      <c r="BF66" s="15">
        <f t="shared" ca="1" si="11"/>
        <v>1</v>
      </c>
      <c r="BG66" s="15">
        <f t="shared" ca="1" si="12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15">
        <f t="shared" ca="1" si="13"/>
        <v>1</v>
      </c>
      <c r="BL66" s="15">
        <f t="shared" ca="1" si="14"/>
        <v>1</v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'[dane surowe2d_2.xlsm]ster'!$C$16</v>
      </c>
      <c r="M67" s="19"/>
      <c r="T67" s="15" t="str">
        <f t="shared" ca="1" si="125"/>
        <v>'[dane surowe2d_2.xlsm]ster'!$C$16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4"/>
        <v/>
      </c>
      <c r="AH67" s="15" t="str">
        <f t="shared" ca="1" si="5"/>
        <v/>
      </c>
      <c r="AI67" s="15" t="b">
        <f t="shared" ca="1" si="6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7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1</v>
      </c>
      <c r="AU67" s="27">
        <f t="shared" ca="1" si="101"/>
        <v>23</v>
      </c>
      <c r="AV67" s="16" t="e">
        <f t="shared" ca="1" si="102"/>
        <v>#REF!</v>
      </c>
      <c r="AW67" s="15" t="str">
        <f t="shared" ca="1" si="115"/>
        <v>'[dane surowe2d_2.xlsm]ster'!$C$16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'[dane surowe2d_2.xlsm]ster'!$C$16</v>
      </c>
      <c r="BC67" s="15" t="str">
        <f t="shared" ca="1" si="29"/>
        <v>'[dane surowe2d_2.xlsm]ster'!$C$16</v>
      </c>
      <c r="BD67" s="15" t="b">
        <f t="shared" ca="1" si="107"/>
        <v>0</v>
      </c>
      <c r="BE67" s="15" t="b">
        <f t="shared" ca="1" si="10"/>
        <v>1</v>
      </c>
      <c r="BF67" s="15">
        <f t="shared" ca="1" si="11"/>
        <v>1</v>
      </c>
      <c r="BG67" s="15">
        <f t="shared" ca="1" si="12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15">
        <f t="shared" ca="1" si="13"/>
        <v>1</v>
      </c>
      <c r="BL67" s="15">
        <f t="shared" ca="1" si="14"/>
        <v>1</v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'[dane surowe2d_2.xlsm]wew'!$G$11</v>
      </c>
      <c r="M68" s="19"/>
      <c r="T68" s="15" t="str">
        <f t="shared" ca="1" si="125"/>
        <v>'[dane surowe2d_2.xlsm]wew'!$G$11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4"/>
        <v/>
      </c>
      <c r="AH68" s="15" t="str">
        <f t="shared" ca="1" si="5"/>
        <v/>
      </c>
      <c r="AI68" s="15" t="b">
        <f t="shared" ca="1" si="6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7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1</v>
      </c>
      <c r="AU68" s="27">
        <f t="shared" ca="1" si="101"/>
        <v>23</v>
      </c>
      <c r="AV68" s="16" t="e">
        <f t="shared" ca="1" si="102"/>
        <v>#REF!</v>
      </c>
      <c r="AW68" s="15" t="str">
        <f t="shared" ca="1" si="115"/>
        <v>'[dane surowe2d_2.xlsm]wew'!$G$11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'[dane surowe2d_2.xlsm]wew'!$G$11</v>
      </c>
      <c r="BC68" s="15" t="str">
        <f t="shared" ca="1" si="29"/>
        <v>'[dane surowe2d_2.xlsm]wew'!$G$11</v>
      </c>
      <c r="BD68" s="15" t="b">
        <f t="shared" ca="1" si="107"/>
        <v>0</v>
      </c>
      <c r="BE68" s="15" t="b">
        <f t="shared" ca="1" si="10"/>
        <v>1</v>
      </c>
      <c r="BF68" s="15">
        <f t="shared" ca="1" si="11"/>
        <v>1</v>
      </c>
      <c r="BG68" s="15">
        <f t="shared" ca="1" si="12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15">
        <f t="shared" ca="1" si="13"/>
        <v>1</v>
      </c>
      <c r="BL68" s="15">
        <f t="shared" ca="1" si="14"/>
        <v>1</v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7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8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60</v>
      </c>
      <c r="M69" s="19"/>
      <c r="P69" s="15">
        <v>2</v>
      </c>
      <c r="Q69" s="15">
        <v>1</v>
      </c>
      <c r="T69" s="15" t="str">
        <f t="shared" ref="T69:T90" ca="1" si="129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0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1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60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2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133">IF(AD69,IF(M69="",TRUE,NOT(M69)),FALSE)</f>
        <v>1</v>
      </c>
      <c r="BQ69" s="15" t="e">
        <f t="shared" ref="BQ69:BQ85" ca="1" si="134">IF(BP69,OR(BU69:CZ69),FALSE)</f>
        <v>#REF!</v>
      </c>
      <c r="BR69" s="15" t="e">
        <f ca="1">IF(BQ69,MATCH(TRUE,BU69:CZ69,0),"")</f>
        <v>#REF!</v>
      </c>
      <c r="BS69" s="15" t="e">
        <f t="shared" ref="BS69:BS85" ca="1" si="135">IF(BP69,IF(BQ69,BR69,IF(AQ69=2,AP69,0)),0)</f>
        <v>#REF!</v>
      </c>
      <c r="BT69" s="15" t="e">
        <f t="shared" ref="BT69:BT84" ca="1" si="136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7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8">IF(V69&lt;&gt;"",IFERROR(INDEX(INDIRECT($BS$4),MATCH(V69,INDIRECT($C$4),0)),100),"")</f>
        <v/>
      </c>
      <c r="DP69" s="15" t="str">
        <f t="shared" ca="1" si="138"/>
        <v/>
      </c>
      <c r="DQ69" s="15" t="str">
        <f t="shared" ca="1" si="138"/>
        <v/>
      </c>
      <c r="DR69" s="15" t="str">
        <f t="shared" ca="1" si="138"/>
        <v/>
      </c>
      <c r="DS69" s="15" t="str">
        <f t="shared" ca="1" si="138"/>
        <v/>
      </c>
      <c r="DT69" s="15" t="str">
        <f t="shared" ca="1" si="138"/>
        <v/>
      </c>
      <c r="DU69" s="15" t="str">
        <f t="shared" ca="1" si="138"/>
        <v/>
      </c>
      <c r="DV69" s="15" t="str">
        <f t="shared" ca="1" si="127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8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60</v>
      </c>
      <c r="M70" s="19"/>
      <c r="T70" s="15" t="str">
        <f t="shared" ca="1" si="129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0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1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60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132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133"/>
        <v>1</v>
      </c>
      <c r="BQ70" s="15" t="e">
        <f t="shared" ca="1" si="134"/>
        <v>#REF!</v>
      </c>
      <c r="BR70" s="15" t="e">
        <f ca="1">IF(BQ70,MATCH(TRUE,BU70:CZ70,0),"")</f>
        <v>#REF!</v>
      </c>
      <c r="BS70" s="15" t="e">
        <f t="shared" ca="1" si="135"/>
        <v>#REF!</v>
      </c>
      <c r="BT70" s="15" t="e">
        <f t="shared" ca="1" si="136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7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8"/>
        <v/>
      </c>
      <c r="DP70" s="15" t="str">
        <f t="shared" ca="1" si="138"/>
        <v/>
      </c>
      <c r="DQ70" s="15" t="str">
        <f t="shared" ca="1" si="138"/>
        <v/>
      </c>
      <c r="DR70" s="15" t="str">
        <f t="shared" ca="1" si="138"/>
        <v/>
      </c>
      <c r="DS70" s="15" t="str">
        <f t="shared" ca="1" si="138"/>
        <v/>
      </c>
      <c r="DT70" s="15" t="str">
        <f t="shared" ca="1" si="138"/>
        <v/>
      </c>
      <c r="DU70" s="15" t="str">
        <f t="shared" ca="1" si="138"/>
        <v/>
      </c>
      <c r="DV70" s="15" t="str">
        <f t="shared" ca="1" si="127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8"/>
        <v>MaxWierszEtykiet</v>
      </c>
      <c r="G71" s="15" t="s">
        <v>88</v>
      </c>
      <c r="J71" s="19" t="str">
        <f ca="1">CELL(_CELL_ADDRESS_NAME,ster!$B$20)</f>
        <v>'[dane surowe2d_2.xlsm]ster'!$B$20</v>
      </c>
      <c r="M71" s="19"/>
      <c r="T71" s="15" t="str">
        <f t="shared" ca="1" si="129"/>
        <v>'[dane surowe2d_2.xlsm]ster'!$B$20</v>
      </c>
      <c r="U71" s="15">
        <f t="shared" ca="1" si="126"/>
        <v>25</v>
      </c>
      <c r="V71" s="15" t="s">
        <v>222</v>
      </c>
      <c r="AD71" s="16" t="b">
        <f t="shared" ref="AD71:AD90" si="139">C71&lt;&gt;""</f>
        <v>1</v>
      </c>
      <c r="AE71" s="16" t="b">
        <f t="shared" ref="AE71:AE90" si="140">AND(I71&lt;&gt;"",H71&lt;&gt;"")</f>
        <v>0</v>
      </c>
      <c r="AF71" s="15" t="str">
        <f t="shared" ref="AF71:AF90" si="141">IF(AE71,"[" &amp; H71 &amp; "]" &amp; $B$2,"")</f>
        <v/>
      </c>
      <c r="AG71" s="15" t="str">
        <f t="shared" ref="AG71:AG90" ca="1" si="142">IF(AND(AE71,NOT(BX71)),INDIRECT(ADDRESS(ROW($D$4),COLUMN($D$4),,,AF71)),"")</f>
        <v/>
      </c>
      <c r="AH71" s="15" t="str">
        <f t="shared" ref="AH71:AH90" ca="1" si="143">IF(AND(AE71,NOT(BX71)),MATCH(I71,INDIRECT(AG71),0),"")</f>
        <v/>
      </c>
      <c r="AI71" s="15" t="b">
        <f t="shared" ref="AI71:AI90" ca="1" si="144">AND(AE71,NOT(BX71),NOT(BY71))</f>
        <v>0</v>
      </c>
      <c r="AJ71" s="15" t="str">
        <f t="shared" ca="1" si="130"/>
        <v/>
      </c>
      <c r="AK71" s="27" t="str">
        <f t="shared" ref="AK71:AK90" ca="1" si="145">IF(AE71,INDEX(INDIRECT(AJ71),AH71),"")</f>
        <v/>
      </c>
      <c r="AL71" s="15" t="b">
        <f t="shared" ref="AL71:AL90" ca="1" si="146">AND(AE71,NOT(OR(BX71,BY71)))</f>
        <v>0</v>
      </c>
      <c r="AM71" s="15" t="str">
        <f t="shared" ref="AM71:AM90" ca="1" si="147">IF(AE71,INDIRECT(ADDRESS(ROW($BK$4),COLUMN($BK$4),,,AF71)),"")</f>
        <v/>
      </c>
      <c r="AN71" s="15">
        <f t="shared" ref="AN71:AN90" ca="1" si="148">IFERROR(IF(AE71,INDEX(INDIRECT(AM71),AH71),3),3)</f>
        <v>3</v>
      </c>
      <c r="AO71" s="15" t="str">
        <f t="shared" ca="1" si="131"/>
        <v/>
      </c>
      <c r="AP71" s="15" t="str">
        <f t="shared" ref="AP71:AP90" ca="1" si="149">IF(AQ71=2,INDEX(INDIRECT(AO71),AH71),"")</f>
        <v/>
      </c>
      <c r="AQ71" s="27">
        <f t="shared" ref="AQ71:AQ90" ca="1" si="150">IF(AND(AE71,NOT(AR71)),2,IF(AND(AR71,NOT(AE71)),1,IF(AND(NOT(AE71),NOT(AR71)),4,3)))</f>
        <v>1</v>
      </c>
      <c r="AR71" s="15" t="b">
        <f t="shared" ref="AR71:AR90" ca="1" si="151">AND(J71&lt;&gt;"",AD71)</f>
        <v>1</v>
      </c>
      <c r="AS71" s="27" t="b">
        <f t="shared" ref="AS71:AS90" ca="1" si="152">NOT(ISERROR(FIND("[",J71)))</f>
        <v>1</v>
      </c>
      <c r="AT71" s="27" t="b">
        <f t="shared" ref="AT71:AT90" ca="1" si="153">MID(J71,1,1)="'"</f>
        <v>1</v>
      </c>
      <c r="AU71" s="27">
        <f t="shared" ref="AU71:AU90" ca="1" si="154">IF(AS71,FIND("]",J71),"")</f>
        <v>23</v>
      </c>
      <c r="AV71" s="16" t="e">
        <f t="shared" ref="AV71:AV90" ca="1" si="155">IF(AS71,MID(J71,1,AU71)&lt;&gt;$V$2,FALSE)</f>
        <v>#REF!</v>
      </c>
      <c r="AW71" s="15" t="str">
        <f t="shared" ca="1" si="115"/>
        <v>'[dane surowe2d_2.xlsm]ster'!$B$20</v>
      </c>
      <c r="AX71" s="27" t="b">
        <f t="shared" ref="AX71:AX90" ca="1" si="156">IF(AR71,ROWS(INDIRECT(AW71))&gt;1)</f>
        <v>0</v>
      </c>
      <c r="AY71" s="27" t="b">
        <f t="shared" ref="AY71:AY90" ca="1" si="157">IF(AR71,COLUMNS(INDIRECT(AW71))&gt;1)</f>
        <v>0</v>
      </c>
      <c r="AZ71" s="15">
        <f t="shared" ref="AZ71:AZ90" ca="1" si="158">IF($AE71,IF(NOT(AI71),"?",COLUMNS(INDIRECT($AK71))),IF($AD71,IF(L71="",1,L71)))</f>
        <v>1</v>
      </c>
      <c r="BA71" s="15">
        <f t="shared" ref="BA71:BA90" ca="1" si="159">IF($AE71,IF(NOT(AI71),"?",ROWS(INDIRECT($AK71))),IF($AD71,IF(K71="",1,K71)))</f>
        <v>1</v>
      </c>
      <c r="BB71" s="15" t="str">
        <f t="shared" ref="BB71:BB90" ca="1" si="160">IF(AD71,CHOOSE(AQ71,AW71,AK71,"?"),"")</f>
        <v>'[dane surowe2d_2.xlsm]ster'!$B$20</v>
      </c>
      <c r="BC71" s="15" t="str">
        <f t="shared" ca="1" si="132"/>
        <v>'[dane surowe2d_2.xlsm]ster'!$B$20</v>
      </c>
      <c r="BD71" s="15" t="b">
        <f t="shared" ref="BD71:BD90" ca="1" si="161">AZ71*BA71&gt;1</f>
        <v>0</v>
      </c>
      <c r="BE71" s="15" t="b">
        <f t="shared" ref="BE71:BE90" ca="1" si="162">IF(AND(AD71,AQ71=1),IF(Q71="",BI71, IF(Q71,TRUE,FALSE)),FALSE)</f>
        <v>1</v>
      </c>
      <c r="BF71" s="15">
        <f t="shared" ref="BF71:BF90" ca="1" si="163">IF(BE71,COUNTA(INDIRECT(BC71)),"")</f>
        <v>1</v>
      </c>
      <c r="BG71" s="15">
        <f t="shared" ref="BG71:BG90" ca="1" si="164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5">G71="r"</f>
        <v>1</v>
      </c>
      <c r="BJ71" s="15" t="b">
        <f t="shared" ref="BJ71:BJ90" si="166">G71="W"</f>
        <v>0</v>
      </c>
      <c r="BK71" s="15">
        <f t="shared" ref="BK71:BK90" ca="1" si="167">IF(AR71,IF(AND(BI71,NOT(BJ71)),1,IF(AND(BJ71,NOT(BI71)),2,3)),"")</f>
        <v>1</v>
      </c>
      <c r="BL71" s="15">
        <f t="shared" ref="BL71:BL90" ca="1" si="168">CHOOSE(AQ71,BK71,AN71,3,4)</f>
        <v>1</v>
      </c>
      <c r="BP71" s="15" t="b">
        <f t="shared" si="133"/>
        <v>1</v>
      </c>
      <c r="BQ71" s="15" t="b">
        <f t="shared" ca="1" si="134"/>
        <v>1</v>
      </c>
      <c r="BR71" s="15">
        <f t="shared" ref="BR71:BR90" ca="1" si="169">IF(BQ71,MATCH(TRUE,BU71:CZ71,0),"")</f>
        <v>25</v>
      </c>
      <c r="BS71" s="15">
        <f t="shared" ca="1" si="135"/>
        <v>25</v>
      </c>
      <c r="BT71" s="15" t="str">
        <f t="shared" ca="1" si="136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7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7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8"/>
        <v/>
      </c>
      <c r="M72" s="19"/>
      <c r="T72" s="15" t="str">
        <f t="shared" ca="1" si="129"/>
        <v/>
      </c>
      <c r="U72" s="15" t="str">
        <f t="shared" si="126"/>
        <v/>
      </c>
      <c r="AD72" s="16" t="b">
        <f t="shared" si="139"/>
        <v>0</v>
      </c>
      <c r="AE72" s="16" t="b">
        <f t="shared" si="140"/>
        <v>0</v>
      </c>
      <c r="AF72" s="15" t="str">
        <f t="shared" si="141"/>
        <v/>
      </c>
      <c r="AG72" s="15" t="str">
        <f t="shared" ca="1" si="142"/>
        <v/>
      </c>
      <c r="AH72" s="15" t="str">
        <f t="shared" ca="1" si="143"/>
        <v/>
      </c>
      <c r="AI72" s="15" t="b">
        <f t="shared" ca="1" si="144"/>
        <v>0</v>
      </c>
      <c r="AJ72" s="15" t="str">
        <f t="shared" ca="1" si="130"/>
        <v/>
      </c>
      <c r="AK72" s="27" t="str">
        <f t="shared" ca="1" si="145"/>
        <v/>
      </c>
      <c r="AL72" s="15" t="b">
        <f t="shared" ca="1" si="146"/>
        <v>0</v>
      </c>
      <c r="AM72" s="15" t="str">
        <f t="shared" ca="1" si="147"/>
        <v/>
      </c>
      <c r="AN72" s="15">
        <f t="shared" ca="1" si="148"/>
        <v>3</v>
      </c>
      <c r="AO72" s="15" t="str">
        <f t="shared" ca="1" si="131"/>
        <v/>
      </c>
      <c r="AP72" s="15" t="str">
        <f t="shared" ca="1" si="149"/>
        <v/>
      </c>
      <c r="AQ72" s="27">
        <f t="shared" si="150"/>
        <v>4</v>
      </c>
      <c r="AR72" s="15" t="b">
        <f t="shared" si="151"/>
        <v>0</v>
      </c>
      <c r="AS72" s="27" t="b">
        <f t="shared" si="152"/>
        <v>0</v>
      </c>
      <c r="AT72" s="27" t="b">
        <f t="shared" si="153"/>
        <v>0</v>
      </c>
      <c r="AU72" s="27" t="str">
        <f t="shared" si="154"/>
        <v/>
      </c>
      <c r="AV72" s="16" t="b">
        <f t="shared" si="155"/>
        <v>0</v>
      </c>
      <c r="AW72" s="15" t="str">
        <f t="shared" ca="1" si="115"/>
        <v/>
      </c>
      <c r="AX72" s="27" t="b">
        <f t="shared" ca="1" si="156"/>
        <v>0</v>
      </c>
      <c r="AY72" s="27" t="b">
        <f t="shared" ca="1" si="157"/>
        <v>0</v>
      </c>
      <c r="AZ72" s="15" t="b">
        <f t="shared" ca="1" si="158"/>
        <v>0</v>
      </c>
      <c r="BA72" s="15" t="b">
        <f t="shared" ca="1" si="159"/>
        <v>0</v>
      </c>
      <c r="BB72" s="15" t="str">
        <f t="shared" si="160"/>
        <v/>
      </c>
      <c r="BC72" s="15" t="str">
        <f t="shared" ca="1" si="132"/>
        <v/>
      </c>
      <c r="BD72" s="15" t="b">
        <f t="shared" ca="1" si="161"/>
        <v>0</v>
      </c>
      <c r="BE72" s="15" t="b">
        <f t="shared" si="162"/>
        <v>0</v>
      </c>
      <c r="BF72" s="15" t="str">
        <f t="shared" ca="1" si="163"/>
        <v/>
      </c>
      <c r="BG72" s="15" t="str">
        <f t="shared" si="164"/>
        <v/>
      </c>
      <c r="BH72" s="15" t="str">
        <f t="array" aca="1" ref="BH72" ca="1">IF(IFERROR( S72,1),1,IF(BC72="","", SUM(IF(ISERROR(INDIRECT(BC72)),1,0))))</f>
        <v/>
      </c>
      <c r="BI72" s="15" t="b">
        <f t="shared" si="165"/>
        <v>0</v>
      </c>
      <c r="BJ72" s="15" t="b">
        <f t="shared" si="166"/>
        <v>0</v>
      </c>
      <c r="BK72" s="15" t="str">
        <f t="shared" si="167"/>
        <v/>
      </c>
      <c r="BL72" s="15">
        <f t="shared" si="168"/>
        <v>4</v>
      </c>
      <c r="BP72" s="15" t="b">
        <f t="shared" si="133"/>
        <v>0</v>
      </c>
      <c r="BQ72" s="15" t="b">
        <f t="shared" si="134"/>
        <v>0</v>
      </c>
      <c r="BR72" s="15" t="str">
        <f t="shared" si="169"/>
        <v/>
      </c>
      <c r="BS72" s="15">
        <f t="shared" si="135"/>
        <v>0</v>
      </c>
      <c r="BT72" s="15" t="str">
        <f t="shared" si="136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7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7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8"/>
        <v/>
      </c>
      <c r="M73" s="19"/>
      <c r="T73" s="15" t="str">
        <f t="shared" ca="1" si="129"/>
        <v/>
      </c>
      <c r="U73" s="15" t="str">
        <f t="shared" si="126"/>
        <v/>
      </c>
      <c r="AD73" s="16" t="b">
        <f t="shared" si="139"/>
        <v>0</v>
      </c>
      <c r="AE73" s="16" t="b">
        <f t="shared" si="140"/>
        <v>0</v>
      </c>
      <c r="AF73" s="15" t="str">
        <f t="shared" si="141"/>
        <v/>
      </c>
      <c r="AG73" s="15" t="str">
        <f t="shared" ca="1" si="142"/>
        <v/>
      </c>
      <c r="AH73" s="15" t="str">
        <f t="shared" ca="1" si="143"/>
        <v/>
      </c>
      <c r="AI73" s="15" t="b">
        <f t="shared" ca="1" si="144"/>
        <v>0</v>
      </c>
      <c r="AJ73" s="15" t="str">
        <f t="shared" ca="1" si="130"/>
        <v/>
      </c>
      <c r="AK73" s="27" t="str">
        <f t="shared" ca="1" si="145"/>
        <v/>
      </c>
      <c r="AL73" s="15" t="b">
        <f t="shared" ca="1" si="146"/>
        <v>0</v>
      </c>
      <c r="AM73" s="15" t="str">
        <f t="shared" ca="1" si="147"/>
        <v/>
      </c>
      <c r="AN73" s="15">
        <f t="shared" ca="1" si="148"/>
        <v>3</v>
      </c>
      <c r="AO73" s="15" t="str">
        <f t="shared" ca="1" si="131"/>
        <v/>
      </c>
      <c r="AP73" s="15" t="str">
        <f t="shared" ca="1" si="149"/>
        <v/>
      </c>
      <c r="AQ73" s="27">
        <f t="shared" si="150"/>
        <v>4</v>
      </c>
      <c r="AR73" s="15" t="b">
        <f t="shared" si="151"/>
        <v>0</v>
      </c>
      <c r="AS73" s="27" t="b">
        <f t="shared" si="152"/>
        <v>0</v>
      </c>
      <c r="AT73" s="27" t="b">
        <f t="shared" si="153"/>
        <v>0</v>
      </c>
      <c r="AU73" s="27" t="str">
        <f t="shared" si="154"/>
        <v/>
      </c>
      <c r="AV73" s="16" t="b">
        <f t="shared" si="155"/>
        <v>0</v>
      </c>
      <c r="AW73" s="15" t="str">
        <f t="shared" ca="1" si="115"/>
        <v/>
      </c>
      <c r="AX73" s="27" t="b">
        <f t="shared" ca="1" si="156"/>
        <v>0</v>
      </c>
      <c r="AY73" s="27" t="b">
        <f t="shared" ca="1" si="157"/>
        <v>0</v>
      </c>
      <c r="AZ73" s="15" t="b">
        <f t="shared" ca="1" si="158"/>
        <v>0</v>
      </c>
      <c r="BA73" s="15" t="b">
        <f t="shared" ca="1" si="159"/>
        <v>0</v>
      </c>
      <c r="BB73" s="15" t="str">
        <f t="shared" si="160"/>
        <v/>
      </c>
      <c r="BC73" s="15" t="str">
        <f t="shared" ca="1" si="132"/>
        <v/>
      </c>
      <c r="BD73" s="15" t="b">
        <f t="shared" ca="1" si="161"/>
        <v>0</v>
      </c>
      <c r="BE73" s="15" t="b">
        <f t="shared" si="162"/>
        <v>0</v>
      </c>
      <c r="BF73" s="15" t="str">
        <f t="shared" ca="1" si="163"/>
        <v/>
      </c>
      <c r="BG73" s="15" t="str">
        <f t="shared" si="164"/>
        <v/>
      </c>
      <c r="BH73" s="15" t="str">
        <f t="array" aca="1" ref="BH73" ca="1">IF(IFERROR( S73,1),1,IF(BC73="","", SUM(IF(ISERROR(INDIRECT(BC73)),1,0))))</f>
        <v/>
      </c>
      <c r="BI73" s="15" t="b">
        <f t="shared" si="165"/>
        <v>0</v>
      </c>
      <c r="BJ73" s="15" t="b">
        <f t="shared" si="166"/>
        <v>0</v>
      </c>
      <c r="BK73" s="15" t="str">
        <f t="shared" si="167"/>
        <v/>
      </c>
      <c r="BL73" s="15">
        <f t="shared" si="168"/>
        <v>4</v>
      </c>
      <c r="BP73" s="15" t="b">
        <f t="shared" si="133"/>
        <v>0</v>
      </c>
      <c r="BQ73" s="15" t="b">
        <f t="shared" si="134"/>
        <v>0</v>
      </c>
      <c r="BR73" s="15" t="str">
        <f t="shared" si="169"/>
        <v/>
      </c>
      <c r="BS73" s="15">
        <f t="shared" si="135"/>
        <v>0</v>
      </c>
      <c r="BT73" s="15" t="str">
        <f t="shared" si="136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7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7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8"/>
        <v/>
      </c>
      <c r="M74" s="19"/>
      <c r="T74" s="15" t="str">
        <f t="shared" ca="1" si="129"/>
        <v/>
      </c>
      <c r="U74" s="15" t="str">
        <f t="shared" si="126"/>
        <v/>
      </c>
      <c r="AD74" s="16" t="b">
        <f t="shared" si="139"/>
        <v>0</v>
      </c>
      <c r="AE74" s="16" t="b">
        <f t="shared" si="140"/>
        <v>0</v>
      </c>
      <c r="AF74" s="15" t="str">
        <f t="shared" si="141"/>
        <v/>
      </c>
      <c r="AG74" s="15" t="str">
        <f t="shared" ca="1" si="142"/>
        <v/>
      </c>
      <c r="AH74" s="15" t="str">
        <f t="shared" ca="1" si="143"/>
        <v/>
      </c>
      <c r="AI74" s="15" t="b">
        <f t="shared" ca="1" si="144"/>
        <v>0</v>
      </c>
      <c r="AJ74" s="15" t="str">
        <f t="shared" ca="1" si="130"/>
        <v/>
      </c>
      <c r="AK74" s="27" t="str">
        <f t="shared" ca="1" si="145"/>
        <v/>
      </c>
      <c r="AL74" s="15" t="b">
        <f t="shared" ca="1" si="146"/>
        <v>0</v>
      </c>
      <c r="AM74" s="15" t="str">
        <f t="shared" ca="1" si="147"/>
        <v/>
      </c>
      <c r="AN74" s="15">
        <f t="shared" ca="1" si="148"/>
        <v>3</v>
      </c>
      <c r="AO74" s="15" t="str">
        <f t="shared" ca="1" si="131"/>
        <v/>
      </c>
      <c r="AP74" s="15" t="str">
        <f t="shared" ca="1" si="149"/>
        <v/>
      </c>
      <c r="AQ74" s="27">
        <f t="shared" si="150"/>
        <v>4</v>
      </c>
      <c r="AR74" s="15" t="b">
        <f t="shared" si="151"/>
        <v>0</v>
      </c>
      <c r="AS74" s="27" t="b">
        <f t="shared" si="152"/>
        <v>0</v>
      </c>
      <c r="AT74" s="27" t="b">
        <f t="shared" si="153"/>
        <v>0</v>
      </c>
      <c r="AU74" s="27" t="str">
        <f t="shared" si="154"/>
        <v/>
      </c>
      <c r="AV74" s="16" t="b">
        <f t="shared" si="155"/>
        <v>0</v>
      </c>
      <c r="AW74" s="15" t="str">
        <f t="shared" ca="1" si="115"/>
        <v/>
      </c>
      <c r="AX74" s="27" t="b">
        <f t="shared" ca="1" si="156"/>
        <v>0</v>
      </c>
      <c r="AY74" s="27" t="b">
        <f t="shared" ca="1" si="157"/>
        <v>0</v>
      </c>
      <c r="AZ74" s="15" t="b">
        <f t="shared" ca="1" si="158"/>
        <v>0</v>
      </c>
      <c r="BA74" s="15" t="b">
        <f t="shared" ca="1" si="159"/>
        <v>0</v>
      </c>
      <c r="BB74" s="15" t="str">
        <f t="shared" si="160"/>
        <v/>
      </c>
      <c r="BC74" s="15" t="str">
        <f t="shared" ca="1" si="132"/>
        <v/>
      </c>
      <c r="BD74" s="15" t="b">
        <f t="shared" ca="1" si="161"/>
        <v>0</v>
      </c>
      <c r="BE74" s="15" t="b">
        <f t="shared" si="162"/>
        <v>0</v>
      </c>
      <c r="BF74" s="15" t="str">
        <f t="shared" ca="1" si="163"/>
        <v/>
      </c>
      <c r="BG74" s="15" t="str">
        <f t="shared" si="164"/>
        <v/>
      </c>
      <c r="BH74" s="15" t="str">
        <f t="array" aca="1" ref="BH74" ca="1">IF(IFERROR( S74,1),1,IF(BC74="","", SUM(IF(ISERROR(INDIRECT(BC74)),1,0))))</f>
        <v/>
      </c>
      <c r="BI74" s="15" t="b">
        <f t="shared" si="165"/>
        <v>0</v>
      </c>
      <c r="BJ74" s="15" t="b">
        <f t="shared" si="166"/>
        <v>0</v>
      </c>
      <c r="BK74" s="15" t="str">
        <f t="shared" si="167"/>
        <v/>
      </c>
      <c r="BL74" s="15">
        <f t="shared" si="168"/>
        <v>4</v>
      </c>
      <c r="BP74" s="15" t="b">
        <f t="shared" si="133"/>
        <v>0</v>
      </c>
      <c r="BQ74" s="15" t="b">
        <f t="shared" si="134"/>
        <v>0</v>
      </c>
      <c r="BR74" s="15" t="str">
        <f t="shared" si="169"/>
        <v/>
      </c>
      <c r="BS74" s="15">
        <f t="shared" si="135"/>
        <v>0</v>
      </c>
      <c r="BT74" s="15" t="str">
        <f t="shared" si="136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7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7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8"/>
        <v/>
      </c>
      <c r="M75" s="19"/>
      <c r="T75" s="15" t="str">
        <f t="shared" ca="1" si="129"/>
        <v/>
      </c>
      <c r="U75" s="15" t="str">
        <f t="shared" si="126"/>
        <v/>
      </c>
      <c r="AD75" s="16" t="b">
        <f t="shared" si="139"/>
        <v>0</v>
      </c>
      <c r="AE75" s="16" t="b">
        <f t="shared" si="140"/>
        <v>0</v>
      </c>
      <c r="AF75" s="15" t="str">
        <f t="shared" si="141"/>
        <v/>
      </c>
      <c r="AG75" s="15" t="str">
        <f t="shared" ca="1" si="142"/>
        <v/>
      </c>
      <c r="AH75" s="15" t="str">
        <f t="shared" ca="1" si="143"/>
        <v/>
      </c>
      <c r="AI75" s="15" t="b">
        <f t="shared" ca="1" si="144"/>
        <v>0</v>
      </c>
      <c r="AJ75" s="15" t="str">
        <f t="shared" ca="1" si="130"/>
        <v/>
      </c>
      <c r="AK75" s="27" t="str">
        <f t="shared" ca="1" si="145"/>
        <v/>
      </c>
      <c r="AL75" s="15" t="b">
        <f t="shared" ca="1" si="146"/>
        <v>0</v>
      </c>
      <c r="AM75" s="15" t="str">
        <f t="shared" ca="1" si="147"/>
        <v/>
      </c>
      <c r="AN75" s="15">
        <f t="shared" ca="1" si="148"/>
        <v>3</v>
      </c>
      <c r="AO75" s="15" t="str">
        <f t="shared" ca="1" si="131"/>
        <v/>
      </c>
      <c r="AP75" s="15" t="str">
        <f t="shared" ca="1" si="149"/>
        <v/>
      </c>
      <c r="AQ75" s="27">
        <f t="shared" si="150"/>
        <v>4</v>
      </c>
      <c r="AR75" s="15" t="b">
        <f t="shared" si="151"/>
        <v>0</v>
      </c>
      <c r="AS75" s="27" t="b">
        <f t="shared" si="152"/>
        <v>0</v>
      </c>
      <c r="AT75" s="27" t="b">
        <f t="shared" si="153"/>
        <v>0</v>
      </c>
      <c r="AU75" s="27" t="str">
        <f t="shared" si="154"/>
        <v/>
      </c>
      <c r="AV75" s="16" t="b">
        <f t="shared" si="155"/>
        <v>0</v>
      </c>
      <c r="AW75" s="15" t="str">
        <f t="shared" ca="1" si="115"/>
        <v/>
      </c>
      <c r="AX75" s="27" t="b">
        <f t="shared" ca="1" si="156"/>
        <v>0</v>
      </c>
      <c r="AY75" s="27" t="b">
        <f t="shared" ca="1" si="157"/>
        <v>0</v>
      </c>
      <c r="AZ75" s="15" t="b">
        <f t="shared" ca="1" si="158"/>
        <v>0</v>
      </c>
      <c r="BA75" s="15" t="b">
        <f t="shared" ca="1" si="159"/>
        <v>0</v>
      </c>
      <c r="BB75" s="15" t="str">
        <f t="shared" si="160"/>
        <v/>
      </c>
      <c r="BC75" s="15" t="str">
        <f t="shared" ca="1" si="132"/>
        <v/>
      </c>
      <c r="BD75" s="15" t="b">
        <f t="shared" ca="1" si="161"/>
        <v>0</v>
      </c>
      <c r="BE75" s="15" t="b">
        <f t="shared" si="162"/>
        <v>0</v>
      </c>
      <c r="BF75" s="15" t="str">
        <f t="shared" ca="1" si="163"/>
        <v/>
      </c>
      <c r="BG75" s="15" t="str">
        <f t="shared" si="164"/>
        <v/>
      </c>
      <c r="BH75" s="15" t="str">
        <f t="array" aca="1" ref="BH75" ca="1">IF(IFERROR( S75,1),1,IF(BC75="","", SUM(IF(ISERROR(INDIRECT(BC75)),1,0))))</f>
        <v/>
      </c>
      <c r="BI75" s="15" t="b">
        <f t="shared" si="165"/>
        <v>0</v>
      </c>
      <c r="BJ75" s="15" t="b">
        <f t="shared" si="166"/>
        <v>0</v>
      </c>
      <c r="BK75" s="15" t="str">
        <f t="shared" si="167"/>
        <v/>
      </c>
      <c r="BL75" s="15">
        <f t="shared" si="168"/>
        <v>4</v>
      </c>
      <c r="BP75" s="15" t="b">
        <f t="shared" si="133"/>
        <v>0</v>
      </c>
      <c r="BQ75" s="15" t="b">
        <f t="shared" si="134"/>
        <v>0</v>
      </c>
      <c r="BR75" s="15" t="str">
        <f t="shared" si="169"/>
        <v/>
      </c>
      <c r="BS75" s="15">
        <f t="shared" si="135"/>
        <v>0</v>
      </c>
      <c r="BT75" s="15" t="str">
        <f t="shared" si="136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7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7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8"/>
        <v/>
      </c>
      <c r="M76" s="19"/>
      <c r="T76" s="15" t="str">
        <f t="shared" ca="1" si="129"/>
        <v/>
      </c>
      <c r="U76" s="15" t="str">
        <f t="shared" si="126"/>
        <v/>
      </c>
      <c r="AD76" s="16" t="b">
        <f t="shared" si="139"/>
        <v>0</v>
      </c>
      <c r="AE76" s="16" t="b">
        <f t="shared" si="140"/>
        <v>0</v>
      </c>
      <c r="AF76" s="15" t="str">
        <f t="shared" si="141"/>
        <v/>
      </c>
      <c r="AG76" s="15" t="str">
        <f t="shared" ca="1" si="142"/>
        <v/>
      </c>
      <c r="AH76" s="15" t="str">
        <f t="shared" ca="1" si="143"/>
        <v/>
      </c>
      <c r="AI76" s="15" t="b">
        <f t="shared" ca="1" si="144"/>
        <v>0</v>
      </c>
      <c r="AJ76" s="15" t="str">
        <f t="shared" ca="1" si="130"/>
        <v/>
      </c>
      <c r="AK76" s="27" t="str">
        <f t="shared" ca="1" si="145"/>
        <v/>
      </c>
      <c r="AL76" s="15" t="b">
        <f t="shared" ca="1" si="146"/>
        <v>0</v>
      </c>
      <c r="AM76" s="15" t="str">
        <f t="shared" ca="1" si="147"/>
        <v/>
      </c>
      <c r="AN76" s="15">
        <f t="shared" ca="1" si="148"/>
        <v>3</v>
      </c>
      <c r="AO76" s="15" t="str">
        <f t="shared" ca="1" si="131"/>
        <v/>
      </c>
      <c r="AP76" s="15" t="str">
        <f t="shared" ca="1" si="149"/>
        <v/>
      </c>
      <c r="AQ76" s="27">
        <f t="shared" si="150"/>
        <v>4</v>
      </c>
      <c r="AR76" s="15" t="b">
        <f t="shared" si="151"/>
        <v>0</v>
      </c>
      <c r="AS76" s="27" t="b">
        <f t="shared" si="152"/>
        <v>0</v>
      </c>
      <c r="AT76" s="27" t="b">
        <f t="shared" si="153"/>
        <v>0</v>
      </c>
      <c r="AU76" s="27" t="str">
        <f t="shared" si="154"/>
        <v/>
      </c>
      <c r="AV76" s="16" t="b">
        <f t="shared" si="155"/>
        <v>0</v>
      </c>
      <c r="AW76" s="15" t="str">
        <f t="shared" ca="1" si="115"/>
        <v/>
      </c>
      <c r="AX76" s="27" t="b">
        <f t="shared" ca="1" si="156"/>
        <v>0</v>
      </c>
      <c r="AY76" s="27" t="b">
        <f t="shared" ca="1" si="157"/>
        <v>0</v>
      </c>
      <c r="AZ76" s="15" t="b">
        <f t="shared" ca="1" si="158"/>
        <v>0</v>
      </c>
      <c r="BA76" s="15" t="b">
        <f t="shared" ca="1" si="159"/>
        <v>0</v>
      </c>
      <c r="BB76" s="15" t="str">
        <f t="shared" si="160"/>
        <v/>
      </c>
      <c r="BC76" s="15" t="str">
        <f t="shared" ca="1" si="132"/>
        <v/>
      </c>
      <c r="BD76" s="15" t="b">
        <f t="shared" ca="1" si="161"/>
        <v>0</v>
      </c>
      <c r="BE76" s="15" t="b">
        <f t="shared" si="162"/>
        <v>0</v>
      </c>
      <c r="BF76" s="15" t="str">
        <f t="shared" ca="1" si="163"/>
        <v/>
      </c>
      <c r="BG76" s="15" t="str">
        <f t="shared" si="164"/>
        <v/>
      </c>
      <c r="BH76" s="15" t="str">
        <f t="array" aca="1" ref="BH76" ca="1">IF(IFERROR( S76,1),1,IF(BC76="","", SUM(IF(ISERROR(INDIRECT(BC76)),1,0))))</f>
        <v/>
      </c>
      <c r="BI76" s="15" t="b">
        <f t="shared" si="165"/>
        <v>0</v>
      </c>
      <c r="BJ76" s="15" t="b">
        <f t="shared" si="166"/>
        <v>0</v>
      </c>
      <c r="BK76" s="15" t="str">
        <f t="shared" si="167"/>
        <v/>
      </c>
      <c r="BL76" s="15">
        <f t="shared" si="168"/>
        <v>4</v>
      </c>
      <c r="BP76" s="15" t="b">
        <f t="shared" si="133"/>
        <v>0</v>
      </c>
      <c r="BQ76" s="15" t="b">
        <f t="shared" si="134"/>
        <v>0</v>
      </c>
      <c r="BR76" s="15" t="str">
        <f t="shared" si="169"/>
        <v/>
      </c>
      <c r="BS76" s="15">
        <f t="shared" si="135"/>
        <v>0</v>
      </c>
      <c r="BT76" s="15" t="str">
        <f t="shared" si="136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7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7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8"/>
        <v/>
      </c>
      <c r="M77" s="19"/>
      <c r="T77" s="15" t="str">
        <f t="shared" ca="1" si="129"/>
        <v/>
      </c>
      <c r="U77" s="15" t="str">
        <f t="shared" si="126"/>
        <v/>
      </c>
      <c r="AD77" s="16" t="b">
        <f t="shared" si="139"/>
        <v>0</v>
      </c>
      <c r="AE77" s="16" t="b">
        <f t="shared" si="140"/>
        <v>0</v>
      </c>
      <c r="AF77" s="15" t="str">
        <f t="shared" si="141"/>
        <v/>
      </c>
      <c r="AG77" s="15" t="str">
        <f t="shared" ca="1" si="142"/>
        <v/>
      </c>
      <c r="AH77" s="15" t="str">
        <f t="shared" ca="1" si="143"/>
        <v/>
      </c>
      <c r="AI77" s="15" t="b">
        <f t="shared" ca="1" si="144"/>
        <v>0</v>
      </c>
      <c r="AJ77" s="15" t="str">
        <f t="shared" ca="1" si="130"/>
        <v/>
      </c>
      <c r="AK77" s="27" t="str">
        <f t="shared" ca="1" si="145"/>
        <v/>
      </c>
      <c r="AL77" s="15" t="b">
        <f t="shared" ca="1" si="146"/>
        <v>0</v>
      </c>
      <c r="AM77" s="15" t="str">
        <f t="shared" ca="1" si="147"/>
        <v/>
      </c>
      <c r="AN77" s="15">
        <f t="shared" ca="1" si="148"/>
        <v>3</v>
      </c>
      <c r="AO77" s="15" t="str">
        <f t="shared" ca="1" si="131"/>
        <v/>
      </c>
      <c r="AP77" s="15" t="str">
        <f t="shared" ca="1" si="149"/>
        <v/>
      </c>
      <c r="AQ77" s="27">
        <f t="shared" si="150"/>
        <v>4</v>
      </c>
      <c r="AR77" s="15" t="b">
        <f t="shared" si="151"/>
        <v>0</v>
      </c>
      <c r="AS77" s="27" t="b">
        <f t="shared" si="152"/>
        <v>0</v>
      </c>
      <c r="AT77" s="27" t="b">
        <f t="shared" si="153"/>
        <v>0</v>
      </c>
      <c r="AU77" s="27" t="str">
        <f t="shared" si="154"/>
        <v/>
      </c>
      <c r="AV77" s="16" t="b">
        <f t="shared" si="155"/>
        <v>0</v>
      </c>
      <c r="AW77" s="15" t="str">
        <f t="shared" ref="AW77:AW97" ca="1" si="193">IF(AR77,CELL(_CELL_ADDRESS_NAME,INDIRECT(J77)),"")</f>
        <v/>
      </c>
      <c r="AX77" s="27" t="b">
        <f t="shared" ca="1" si="156"/>
        <v>0</v>
      </c>
      <c r="AY77" s="27" t="b">
        <f t="shared" ca="1" si="157"/>
        <v>0</v>
      </c>
      <c r="AZ77" s="15" t="b">
        <f t="shared" ca="1" si="158"/>
        <v>0</v>
      </c>
      <c r="BA77" s="15" t="b">
        <f t="shared" ca="1" si="159"/>
        <v>0</v>
      </c>
      <c r="BB77" s="15" t="str">
        <f t="shared" si="160"/>
        <v/>
      </c>
      <c r="BC77" s="15" t="str">
        <f t="shared" ca="1" si="132"/>
        <v/>
      </c>
      <c r="BD77" s="15" t="b">
        <f t="shared" ca="1" si="161"/>
        <v>0</v>
      </c>
      <c r="BE77" s="15" t="b">
        <f t="shared" si="162"/>
        <v>0</v>
      </c>
      <c r="BF77" s="15" t="str">
        <f t="shared" ca="1" si="163"/>
        <v/>
      </c>
      <c r="BG77" s="15" t="str">
        <f t="shared" si="164"/>
        <v/>
      </c>
      <c r="BH77" s="15" t="str">
        <f t="array" aca="1" ref="BH77" ca="1">IF(IFERROR( S77,1),1,IF(BC77="","", SUM(IF(ISERROR(INDIRECT(BC77)),1,0))))</f>
        <v/>
      </c>
      <c r="BI77" s="15" t="b">
        <f t="shared" si="165"/>
        <v>0</v>
      </c>
      <c r="BJ77" s="15" t="b">
        <f t="shared" si="166"/>
        <v>0</v>
      </c>
      <c r="BK77" s="15" t="str">
        <f t="shared" si="167"/>
        <v/>
      </c>
      <c r="BL77" s="15">
        <f t="shared" si="168"/>
        <v>4</v>
      </c>
      <c r="BP77" s="15" t="b">
        <f t="shared" si="133"/>
        <v>0</v>
      </c>
      <c r="BQ77" s="15" t="b">
        <f t="shared" si="134"/>
        <v>0</v>
      </c>
      <c r="BR77" s="15" t="str">
        <f t="shared" si="169"/>
        <v/>
      </c>
      <c r="BS77" s="15">
        <f t="shared" si="135"/>
        <v>0</v>
      </c>
      <c r="BT77" s="15" t="str">
        <f t="shared" si="136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7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7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8"/>
        <v/>
      </c>
      <c r="M78" s="19"/>
      <c r="T78" s="15" t="str">
        <f t="shared" ca="1" si="129"/>
        <v/>
      </c>
      <c r="U78" s="15" t="str">
        <f t="shared" si="126"/>
        <v/>
      </c>
      <c r="AD78" s="16" t="b">
        <f t="shared" si="139"/>
        <v>0</v>
      </c>
      <c r="AE78" s="16" t="b">
        <f t="shared" si="140"/>
        <v>0</v>
      </c>
      <c r="AF78" s="15" t="str">
        <f t="shared" si="141"/>
        <v/>
      </c>
      <c r="AG78" s="15" t="str">
        <f t="shared" ca="1" si="142"/>
        <v/>
      </c>
      <c r="AH78" s="15" t="str">
        <f t="shared" ca="1" si="143"/>
        <v/>
      </c>
      <c r="AI78" s="15" t="b">
        <f t="shared" ca="1" si="144"/>
        <v>0</v>
      </c>
      <c r="AJ78" s="15" t="str">
        <f t="shared" ca="1" si="130"/>
        <v/>
      </c>
      <c r="AK78" s="27" t="str">
        <f t="shared" ca="1" si="145"/>
        <v/>
      </c>
      <c r="AL78" s="15" t="b">
        <f t="shared" ca="1" si="146"/>
        <v>0</v>
      </c>
      <c r="AM78" s="15" t="str">
        <f t="shared" ca="1" si="147"/>
        <v/>
      </c>
      <c r="AN78" s="15">
        <f t="shared" ca="1" si="148"/>
        <v>3</v>
      </c>
      <c r="AO78" s="15" t="str">
        <f t="shared" ca="1" si="131"/>
        <v/>
      </c>
      <c r="AP78" s="15" t="str">
        <f t="shared" ca="1" si="149"/>
        <v/>
      </c>
      <c r="AQ78" s="27">
        <f t="shared" si="150"/>
        <v>4</v>
      </c>
      <c r="AR78" s="15" t="b">
        <f t="shared" si="151"/>
        <v>0</v>
      </c>
      <c r="AS78" s="27" t="b">
        <f t="shared" si="152"/>
        <v>0</v>
      </c>
      <c r="AT78" s="27" t="b">
        <f t="shared" si="153"/>
        <v>0</v>
      </c>
      <c r="AU78" s="27" t="str">
        <f t="shared" si="154"/>
        <v/>
      </c>
      <c r="AV78" s="16" t="b">
        <f t="shared" si="155"/>
        <v>0</v>
      </c>
      <c r="AW78" s="15" t="str">
        <f t="shared" ca="1" si="193"/>
        <v/>
      </c>
      <c r="AX78" s="27" t="b">
        <f t="shared" ca="1" si="156"/>
        <v>0</v>
      </c>
      <c r="AY78" s="27" t="b">
        <f t="shared" ca="1" si="157"/>
        <v>0</v>
      </c>
      <c r="AZ78" s="15" t="b">
        <f t="shared" ca="1" si="158"/>
        <v>0</v>
      </c>
      <c r="BA78" s="15" t="b">
        <f t="shared" ca="1" si="159"/>
        <v>0</v>
      </c>
      <c r="BB78" s="15" t="str">
        <f t="shared" si="160"/>
        <v/>
      </c>
      <c r="BC78" s="15" t="str">
        <f t="shared" ca="1" si="132"/>
        <v/>
      </c>
      <c r="BD78" s="15" t="b">
        <f t="shared" ca="1" si="161"/>
        <v>0</v>
      </c>
      <c r="BE78" s="15" t="b">
        <f t="shared" si="162"/>
        <v>0</v>
      </c>
      <c r="BF78" s="15" t="str">
        <f t="shared" ca="1" si="163"/>
        <v/>
      </c>
      <c r="BG78" s="15" t="str">
        <f t="shared" si="164"/>
        <v/>
      </c>
      <c r="BH78" s="15" t="str">
        <f t="array" aca="1" ref="BH78" ca="1">IF(IFERROR( S78,1),1,IF(BC78="","", SUM(IF(ISERROR(INDIRECT(BC78)),1,0))))</f>
        <v/>
      </c>
      <c r="BI78" s="15" t="b">
        <f t="shared" si="165"/>
        <v>0</v>
      </c>
      <c r="BJ78" s="15" t="b">
        <f t="shared" si="166"/>
        <v>0</v>
      </c>
      <c r="BK78" s="15" t="str">
        <f t="shared" si="167"/>
        <v/>
      </c>
      <c r="BL78" s="15">
        <f t="shared" si="168"/>
        <v>4</v>
      </c>
      <c r="BP78" s="15" t="b">
        <f t="shared" si="133"/>
        <v>0</v>
      </c>
      <c r="BQ78" s="15" t="b">
        <f t="shared" si="134"/>
        <v>0</v>
      </c>
      <c r="BR78" s="15" t="str">
        <f t="shared" si="169"/>
        <v/>
      </c>
      <c r="BS78" s="15">
        <f t="shared" si="135"/>
        <v>0</v>
      </c>
      <c r="BT78" s="15" t="str">
        <f t="shared" si="136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7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7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8"/>
        <v/>
      </c>
      <c r="M79" s="19"/>
      <c r="T79" s="15" t="str">
        <f t="shared" ca="1" si="129"/>
        <v/>
      </c>
      <c r="U79" s="15" t="str">
        <f t="shared" ref="U79:U97" si="195">IF(AD79,BS79,"")</f>
        <v/>
      </c>
      <c r="AD79" s="16" t="b">
        <f t="shared" si="139"/>
        <v>0</v>
      </c>
      <c r="AE79" s="16" t="b">
        <f t="shared" si="140"/>
        <v>0</v>
      </c>
      <c r="AF79" s="15" t="str">
        <f t="shared" si="141"/>
        <v/>
      </c>
      <c r="AG79" s="15" t="str">
        <f t="shared" ca="1" si="142"/>
        <v/>
      </c>
      <c r="AH79" s="15" t="str">
        <f t="shared" ca="1" si="143"/>
        <v/>
      </c>
      <c r="AI79" s="15" t="b">
        <f t="shared" ca="1" si="144"/>
        <v>0</v>
      </c>
      <c r="AJ79" s="15" t="str">
        <f t="shared" ca="1" si="130"/>
        <v/>
      </c>
      <c r="AK79" s="27" t="str">
        <f t="shared" ca="1" si="145"/>
        <v/>
      </c>
      <c r="AL79" s="15" t="b">
        <f t="shared" ca="1" si="146"/>
        <v>0</v>
      </c>
      <c r="AM79" s="15" t="str">
        <f t="shared" ca="1" si="147"/>
        <v/>
      </c>
      <c r="AN79" s="15">
        <f t="shared" ca="1" si="148"/>
        <v>3</v>
      </c>
      <c r="AO79" s="15" t="str">
        <f t="shared" ca="1" si="131"/>
        <v/>
      </c>
      <c r="AP79" s="15" t="str">
        <f t="shared" ca="1" si="149"/>
        <v/>
      </c>
      <c r="AQ79" s="27">
        <f t="shared" si="150"/>
        <v>4</v>
      </c>
      <c r="AR79" s="15" t="b">
        <f t="shared" si="151"/>
        <v>0</v>
      </c>
      <c r="AS79" s="27" t="b">
        <f t="shared" si="152"/>
        <v>0</v>
      </c>
      <c r="AT79" s="27" t="b">
        <f t="shared" si="153"/>
        <v>0</v>
      </c>
      <c r="AU79" s="27" t="str">
        <f t="shared" si="154"/>
        <v/>
      </c>
      <c r="AV79" s="16" t="b">
        <f t="shared" si="155"/>
        <v>0</v>
      </c>
      <c r="AW79" s="15" t="str">
        <f t="shared" ca="1" si="193"/>
        <v/>
      </c>
      <c r="AX79" s="27" t="b">
        <f t="shared" ca="1" si="156"/>
        <v>0</v>
      </c>
      <c r="AY79" s="27" t="b">
        <f t="shared" ca="1" si="157"/>
        <v>0</v>
      </c>
      <c r="AZ79" s="15" t="b">
        <f t="shared" ca="1" si="158"/>
        <v>0</v>
      </c>
      <c r="BA79" s="15" t="b">
        <f t="shared" ca="1" si="159"/>
        <v>0</v>
      </c>
      <c r="BB79" s="15" t="str">
        <f t="shared" si="160"/>
        <v/>
      </c>
      <c r="BC79" s="15" t="str">
        <f t="shared" ca="1" si="132"/>
        <v/>
      </c>
      <c r="BD79" s="15" t="b">
        <f t="shared" ca="1" si="161"/>
        <v>0</v>
      </c>
      <c r="BE79" s="15" t="b">
        <f t="shared" si="162"/>
        <v>0</v>
      </c>
      <c r="BF79" s="15" t="str">
        <f t="shared" ca="1" si="163"/>
        <v/>
      </c>
      <c r="BG79" s="15" t="str">
        <f t="shared" si="164"/>
        <v/>
      </c>
      <c r="BH79" s="15" t="str">
        <f t="array" aca="1" ref="BH79" ca="1">IF(IFERROR( S79,1),1,IF(BC79="","", SUM(IF(ISERROR(INDIRECT(BC79)),1,0))))</f>
        <v/>
      </c>
      <c r="BI79" s="15" t="b">
        <f t="shared" si="165"/>
        <v>0</v>
      </c>
      <c r="BJ79" s="15" t="b">
        <f t="shared" si="166"/>
        <v>0</v>
      </c>
      <c r="BK79" s="15" t="str">
        <f t="shared" si="167"/>
        <v/>
      </c>
      <c r="BL79" s="15">
        <f t="shared" si="168"/>
        <v>4</v>
      </c>
      <c r="BP79" s="15" t="b">
        <f t="shared" si="133"/>
        <v>0</v>
      </c>
      <c r="BQ79" s="15" t="b">
        <f t="shared" si="134"/>
        <v>0</v>
      </c>
      <c r="BR79" s="15" t="str">
        <f t="shared" si="169"/>
        <v/>
      </c>
      <c r="BS79" s="15">
        <f t="shared" si="135"/>
        <v>0</v>
      </c>
      <c r="BT79" s="15" t="str">
        <f t="shared" si="136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7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7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8"/>
        <v/>
      </c>
      <c r="M80" s="19"/>
      <c r="T80" s="15" t="str">
        <f t="shared" ca="1" si="129"/>
        <v/>
      </c>
      <c r="U80" s="15" t="str">
        <f t="shared" si="195"/>
        <v/>
      </c>
      <c r="AD80" s="16" t="b">
        <f t="shared" si="139"/>
        <v>0</v>
      </c>
      <c r="AE80" s="16" t="b">
        <f t="shared" si="140"/>
        <v>0</v>
      </c>
      <c r="AF80" s="15" t="str">
        <f t="shared" si="141"/>
        <v/>
      </c>
      <c r="AG80" s="15" t="str">
        <f t="shared" ca="1" si="142"/>
        <v/>
      </c>
      <c r="AH80" s="15" t="str">
        <f t="shared" ca="1" si="143"/>
        <v/>
      </c>
      <c r="AI80" s="15" t="b">
        <f t="shared" ca="1" si="144"/>
        <v>0</v>
      </c>
      <c r="AJ80" s="15" t="str">
        <f t="shared" ca="1" si="130"/>
        <v/>
      </c>
      <c r="AK80" s="27" t="str">
        <f t="shared" ca="1" si="145"/>
        <v/>
      </c>
      <c r="AL80" s="15" t="b">
        <f t="shared" ca="1" si="146"/>
        <v>0</v>
      </c>
      <c r="AM80" s="15" t="str">
        <f t="shared" ca="1" si="147"/>
        <v/>
      </c>
      <c r="AN80" s="15">
        <f t="shared" ca="1" si="148"/>
        <v>3</v>
      </c>
      <c r="AO80" s="15" t="str">
        <f t="shared" ca="1" si="131"/>
        <v/>
      </c>
      <c r="AP80" s="15" t="str">
        <f t="shared" ca="1" si="149"/>
        <v/>
      </c>
      <c r="AQ80" s="27">
        <f t="shared" si="150"/>
        <v>4</v>
      </c>
      <c r="AR80" s="15" t="b">
        <f t="shared" si="151"/>
        <v>0</v>
      </c>
      <c r="AS80" s="27" t="b">
        <f t="shared" si="152"/>
        <v>0</v>
      </c>
      <c r="AT80" s="27" t="b">
        <f t="shared" si="153"/>
        <v>0</v>
      </c>
      <c r="AU80" s="27" t="str">
        <f t="shared" si="154"/>
        <v/>
      </c>
      <c r="AV80" s="16" t="b">
        <f t="shared" si="155"/>
        <v>0</v>
      </c>
      <c r="AW80" s="15" t="str">
        <f t="shared" ca="1" si="193"/>
        <v/>
      </c>
      <c r="AX80" s="27" t="b">
        <f t="shared" ca="1" si="156"/>
        <v>0</v>
      </c>
      <c r="AY80" s="27" t="b">
        <f t="shared" ca="1" si="157"/>
        <v>0</v>
      </c>
      <c r="AZ80" s="15" t="b">
        <f t="shared" ca="1" si="158"/>
        <v>0</v>
      </c>
      <c r="BA80" s="15" t="b">
        <f t="shared" ca="1" si="159"/>
        <v>0</v>
      </c>
      <c r="BB80" s="15" t="str">
        <f t="shared" si="160"/>
        <v/>
      </c>
      <c r="BC80" s="15" t="str">
        <f t="shared" ca="1" si="132"/>
        <v/>
      </c>
      <c r="BD80" s="15" t="b">
        <f t="shared" ca="1" si="161"/>
        <v>0</v>
      </c>
      <c r="BE80" s="15" t="b">
        <f t="shared" si="162"/>
        <v>0</v>
      </c>
      <c r="BF80" s="15" t="str">
        <f t="shared" ca="1" si="163"/>
        <v/>
      </c>
      <c r="BG80" s="15" t="str">
        <f t="shared" si="164"/>
        <v/>
      </c>
      <c r="BH80" s="15" t="str">
        <f t="array" aca="1" ref="BH80" ca="1">IF(IFERROR( S80,1),1,IF(BC80="","", SUM(IF(ISERROR(INDIRECT(BC80)),1,0))))</f>
        <v/>
      </c>
      <c r="BI80" s="15" t="b">
        <f t="shared" si="165"/>
        <v>0</v>
      </c>
      <c r="BJ80" s="15" t="b">
        <f t="shared" si="166"/>
        <v>0</v>
      </c>
      <c r="BK80" s="15" t="str">
        <f t="shared" si="167"/>
        <v/>
      </c>
      <c r="BL80" s="15">
        <f t="shared" si="168"/>
        <v>4</v>
      </c>
      <c r="BP80" s="15" t="b">
        <f t="shared" si="133"/>
        <v>0</v>
      </c>
      <c r="BQ80" s="15" t="b">
        <f t="shared" si="134"/>
        <v>0</v>
      </c>
      <c r="BR80" s="15" t="str">
        <f t="shared" si="169"/>
        <v/>
      </c>
      <c r="BS80" s="15">
        <f t="shared" si="135"/>
        <v>0</v>
      </c>
      <c r="BT80" s="15" t="str">
        <f t="shared" si="136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7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7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8"/>
        <v/>
      </c>
      <c r="M81" s="19"/>
      <c r="T81" s="15" t="str">
        <f t="shared" ca="1" si="129"/>
        <v/>
      </c>
      <c r="U81" s="15" t="str">
        <f t="shared" si="195"/>
        <v/>
      </c>
      <c r="AD81" s="16" t="b">
        <f t="shared" si="139"/>
        <v>0</v>
      </c>
      <c r="AE81" s="16" t="b">
        <f t="shared" si="140"/>
        <v>0</v>
      </c>
      <c r="AF81" s="15" t="str">
        <f t="shared" si="141"/>
        <v/>
      </c>
      <c r="AG81" s="15" t="str">
        <f t="shared" ca="1" si="142"/>
        <v/>
      </c>
      <c r="AH81" s="15" t="str">
        <f t="shared" ca="1" si="143"/>
        <v/>
      </c>
      <c r="AI81" s="15" t="b">
        <f t="shared" ca="1" si="144"/>
        <v>0</v>
      </c>
      <c r="AJ81" s="15" t="str">
        <f t="shared" ca="1" si="130"/>
        <v/>
      </c>
      <c r="AK81" s="27" t="str">
        <f t="shared" ca="1" si="145"/>
        <v/>
      </c>
      <c r="AL81" s="15" t="b">
        <f t="shared" ca="1" si="146"/>
        <v>0</v>
      </c>
      <c r="AM81" s="15" t="str">
        <f t="shared" ca="1" si="147"/>
        <v/>
      </c>
      <c r="AN81" s="15">
        <f t="shared" ca="1" si="148"/>
        <v>3</v>
      </c>
      <c r="AO81" s="15" t="str">
        <f t="shared" ca="1" si="131"/>
        <v/>
      </c>
      <c r="AP81" s="15" t="str">
        <f t="shared" ca="1" si="149"/>
        <v/>
      </c>
      <c r="AQ81" s="27">
        <f t="shared" si="150"/>
        <v>4</v>
      </c>
      <c r="AR81" s="15" t="b">
        <f t="shared" si="151"/>
        <v>0</v>
      </c>
      <c r="AS81" s="27" t="b">
        <f t="shared" si="152"/>
        <v>0</v>
      </c>
      <c r="AT81" s="27" t="b">
        <f t="shared" si="153"/>
        <v>0</v>
      </c>
      <c r="AU81" s="27" t="str">
        <f t="shared" si="154"/>
        <v/>
      </c>
      <c r="AV81" s="16" t="b">
        <f t="shared" si="155"/>
        <v>0</v>
      </c>
      <c r="AW81" s="15" t="str">
        <f t="shared" ca="1" si="193"/>
        <v/>
      </c>
      <c r="AX81" s="27" t="b">
        <f t="shared" ca="1" si="156"/>
        <v>0</v>
      </c>
      <c r="AY81" s="27" t="b">
        <f t="shared" ca="1" si="157"/>
        <v>0</v>
      </c>
      <c r="AZ81" s="15" t="b">
        <f t="shared" ca="1" si="158"/>
        <v>0</v>
      </c>
      <c r="BA81" s="15" t="b">
        <f t="shared" ca="1" si="159"/>
        <v>0</v>
      </c>
      <c r="BB81" s="15" t="str">
        <f t="shared" si="160"/>
        <v/>
      </c>
      <c r="BC81" s="15" t="str">
        <f t="shared" ca="1" si="132"/>
        <v/>
      </c>
      <c r="BD81" s="15" t="b">
        <f t="shared" ca="1" si="161"/>
        <v>0</v>
      </c>
      <c r="BE81" s="15" t="b">
        <f t="shared" si="162"/>
        <v>0</v>
      </c>
      <c r="BF81" s="15" t="str">
        <f t="shared" ca="1" si="163"/>
        <v/>
      </c>
      <c r="BG81" s="15" t="str">
        <f t="shared" si="164"/>
        <v/>
      </c>
      <c r="BH81" s="15" t="str">
        <f t="array" aca="1" ref="BH81" ca="1">IF(IFERROR( S81,1),1,IF(BC81="","", SUM(IF(ISERROR(INDIRECT(BC81)),1,0))))</f>
        <v/>
      </c>
      <c r="BI81" s="15" t="b">
        <f t="shared" si="165"/>
        <v>0</v>
      </c>
      <c r="BJ81" s="15" t="b">
        <f t="shared" si="166"/>
        <v>0</v>
      </c>
      <c r="BK81" s="15" t="str">
        <f t="shared" si="167"/>
        <v/>
      </c>
      <c r="BL81" s="15">
        <f t="shared" si="168"/>
        <v>4</v>
      </c>
      <c r="BP81" s="15" t="b">
        <f t="shared" si="133"/>
        <v>0</v>
      </c>
      <c r="BQ81" s="15" t="b">
        <f t="shared" si="134"/>
        <v>0</v>
      </c>
      <c r="BR81" s="15" t="str">
        <f t="shared" si="169"/>
        <v/>
      </c>
      <c r="BS81" s="15">
        <f t="shared" si="135"/>
        <v>0</v>
      </c>
      <c r="BT81" s="15" t="str">
        <f t="shared" si="136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7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7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8"/>
        <v/>
      </c>
      <c r="M82" s="19"/>
      <c r="T82" s="15" t="str">
        <f t="shared" ca="1" si="129"/>
        <v/>
      </c>
      <c r="U82" s="15" t="str">
        <f t="shared" si="195"/>
        <v/>
      </c>
      <c r="AD82" s="16" t="b">
        <f t="shared" si="139"/>
        <v>0</v>
      </c>
      <c r="AE82" s="16" t="b">
        <f t="shared" si="140"/>
        <v>0</v>
      </c>
      <c r="AF82" s="15" t="str">
        <f t="shared" si="141"/>
        <v/>
      </c>
      <c r="AG82" s="15" t="str">
        <f t="shared" ca="1" si="142"/>
        <v/>
      </c>
      <c r="AH82" s="15" t="str">
        <f t="shared" ca="1" si="143"/>
        <v/>
      </c>
      <c r="AI82" s="15" t="b">
        <f t="shared" ca="1" si="144"/>
        <v>0</v>
      </c>
      <c r="AJ82" s="15" t="str">
        <f t="shared" ca="1" si="130"/>
        <v/>
      </c>
      <c r="AK82" s="27" t="str">
        <f t="shared" ca="1" si="145"/>
        <v/>
      </c>
      <c r="AL82" s="15" t="b">
        <f t="shared" ca="1" si="146"/>
        <v>0</v>
      </c>
      <c r="AM82" s="15" t="str">
        <f t="shared" ca="1" si="147"/>
        <v/>
      </c>
      <c r="AN82" s="15">
        <f t="shared" ca="1" si="148"/>
        <v>3</v>
      </c>
      <c r="AO82" s="15" t="str">
        <f t="shared" ca="1" si="131"/>
        <v/>
      </c>
      <c r="AP82" s="15" t="str">
        <f t="shared" ca="1" si="149"/>
        <v/>
      </c>
      <c r="AQ82" s="27">
        <f t="shared" si="150"/>
        <v>4</v>
      </c>
      <c r="AR82" s="15" t="b">
        <f t="shared" si="151"/>
        <v>0</v>
      </c>
      <c r="AS82" s="27" t="b">
        <f t="shared" si="152"/>
        <v>0</v>
      </c>
      <c r="AT82" s="27" t="b">
        <f t="shared" si="153"/>
        <v>0</v>
      </c>
      <c r="AU82" s="27" t="str">
        <f t="shared" si="154"/>
        <v/>
      </c>
      <c r="AV82" s="16" t="b">
        <f t="shared" si="155"/>
        <v>0</v>
      </c>
      <c r="AW82" s="15" t="str">
        <f t="shared" ca="1" si="193"/>
        <v/>
      </c>
      <c r="AX82" s="27" t="b">
        <f t="shared" ca="1" si="156"/>
        <v>0</v>
      </c>
      <c r="AY82" s="27" t="b">
        <f t="shared" ca="1" si="157"/>
        <v>0</v>
      </c>
      <c r="AZ82" s="15" t="b">
        <f t="shared" ca="1" si="158"/>
        <v>0</v>
      </c>
      <c r="BA82" s="15" t="b">
        <f t="shared" ca="1" si="159"/>
        <v>0</v>
      </c>
      <c r="BB82" s="15" t="str">
        <f t="shared" si="160"/>
        <v/>
      </c>
      <c r="BC82" s="15" t="str">
        <f t="shared" ca="1" si="132"/>
        <v/>
      </c>
      <c r="BD82" s="15" t="b">
        <f t="shared" ca="1" si="161"/>
        <v>0</v>
      </c>
      <c r="BE82" s="15" t="b">
        <f t="shared" si="162"/>
        <v>0</v>
      </c>
      <c r="BF82" s="15" t="str">
        <f t="shared" ca="1" si="163"/>
        <v/>
      </c>
      <c r="BG82" s="15" t="str">
        <f t="shared" si="164"/>
        <v/>
      </c>
      <c r="BH82" s="15" t="str">
        <f t="array" aca="1" ref="BH82" ca="1">IF(IFERROR( S82,1),1,IF(BC82="","", SUM(IF(ISERROR(INDIRECT(BC82)),1,0))))</f>
        <v/>
      </c>
      <c r="BI82" s="15" t="b">
        <f t="shared" si="165"/>
        <v>0</v>
      </c>
      <c r="BJ82" s="15" t="b">
        <f t="shared" si="166"/>
        <v>0</v>
      </c>
      <c r="BK82" s="15" t="str">
        <f t="shared" si="167"/>
        <v/>
      </c>
      <c r="BL82" s="15">
        <f t="shared" si="168"/>
        <v>4</v>
      </c>
      <c r="BP82" s="15" t="b">
        <f t="shared" si="133"/>
        <v>0</v>
      </c>
      <c r="BQ82" s="15" t="b">
        <f t="shared" si="134"/>
        <v>0</v>
      </c>
      <c r="BR82" s="15" t="str">
        <f t="shared" si="169"/>
        <v/>
      </c>
      <c r="BS82" s="15">
        <f t="shared" si="135"/>
        <v>0</v>
      </c>
      <c r="BT82" s="15" t="str">
        <f t="shared" si="136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7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7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8"/>
        <v/>
      </c>
      <c r="M83" s="19"/>
      <c r="T83" s="15" t="str">
        <f t="shared" ca="1" si="129"/>
        <v/>
      </c>
      <c r="U83" s="15" t="str">
        <f t="shared" si="195"/>
        <v/>
      </c>
      <c r="AD83" s="16" t="b">
        <f t="shared" si="139"/>
        <v>0</v>
      </c>
      <c r="AE83" s="16" t="b">
        <f t="shared" si="140"/>
        <v>0</v>
      </c>
      <c r="AF83" s="15" t="str">
        <f t="shared" si="141"/>
        <v/>
      </c>
      <c r="AG83" s="15" t="str">
        <f t="shared" ca="1" si="142"/>
        <v/>
      </c>
      <c r="AH83" s="15" t="str">
        <f t="shared" ca="1" si="143"/>
        <v/>
      </c>
      <c r="AI83" s="15" t="b">
        <f t="shared" ca="1" si="144"/>
        <v>0</v>
      </c>
      <c r="AJ83" s="15" t="str">
        <f t="shared" ca="1" si="130"/>
        <v/>
      </c>
      <c r="AK83" s="27" t="str">
        <f t="shared" ca="1" si="145"/>
        <v/>
      </c>
      <c r="AL83" s="15" t="b">
        <f t="shared" ca="1" si="146"/>
        <v>0</v>
      </c>
      <c r="AM83" s="15" t="str">
        <f t="shared" ca="1" si="147"/>
        <v/>
      </c>
      <c r="AN83" s="15">
        <f t="shared" ca="1" si="148"/>
        <v>3</v>
      </c>
      <c r="AO83" s="15" t="str">
        <f t="shared" ca="1" si="131"/>
        <v/>
      </c>
      <c r="AP83" s="15" t="str">
        <f t="shared" ca="1" si="149"/>
        <v/>
      </c>
      <c r="AQ83" s="27">
        <f t="shared" si="150"/>
        <v>4</v>
      </c>
      <c r="AR83" s="15" t="b">
        <f t="shared" si="151"/>
        <v>0</v>
      </c>
      <c r="AS83" s="27" t="b">
        <f t="shared" si="152"/>
        <v>0</v>
      </c>
      <c r="AT83" s="27" t="b">
        <f t="shared" si="153"/>
        <v>0</v>
      </c>
      <c r="AU83" s="27" t="str">
        <f t="shared" si="154"/>
        <v/>
      </c>
      <c r="AV83" s="16" t="b">
        <f t="shared" si="155"/>
        <v>0</v>
      </c>
      <c r="AW83" s="15" t="str">
        <f t="shared" ca="1" si="193"/>
        <v/>
      </c>
      <c r="AX83" s="27" t="b">
        <f t="shared" ca="1" si="156"/>
        <v>0</v>
      </c>
      <c r="AY83" s="27" t="b">
        <f t="shared" ca="1" si="157"/>
        <v>0</v>
      </c>
      <c r="AZ83" s="15" t="b">
        <f t="shared" ca="1" si="158"/>
        <v>0</v>
      </c>
      <c r="BA83" s="15" t="b">
        <f t="shared" ca="1" si="159"/>
        <v>0</v>
      </c>
      <c r="BB83" s="15" t="str">
        <f t="shared" si="160"/>
        <v/>
      </c>
      <c r="BC83" s="15" t="str">
        <f t="shared" ca="1" si="132"/>
        <v/>
      </c>
      <c r="BD83" s="15" t="b">
        <f t="shared" ca="1" si="161"/>
        <v>0</v>
      </c>
      <c r="BE83" s="15" t="b">
        <f t="shared" si="162"/>
        <v>0</v>
      </c>
      <c r="BF83" s="15" t="str">
        <f t="shared" ca="1" si="163"/>
        <v/>
      </c>
      <c r="BG83" s="15" t="str">
        <f t="shared" si="164"/>
        <v/>
      </c>
      <c r="BH83" s="15" t="str">
        <f t="array" aca="1" ref="BH83" ca="1">IF(IFERROR( S83,1),1,IF(BC83="","", SUM(IF(ISERROR(INDIRECT(BC83)),1,0))))</f>
        <v/>
      </c>
      <c r="BI83" s="15" t="b">
        <f t="shared" si="165"/>
        <v>0</v>
      </c>
      <c r="BJ83" s="15" t="b">
        <f t="shared" si="166"/>
        <v>0</v>
      </c>
      <c r="BK83" s="15" t="str">
        <f t="shared" si="167"/>
        <v/>
      </c>
      <c r="BL83" s="15">
        <f t="shared" si="168"/>
        <v>4</v>
      </c>
      <c r="BP83" s="15" t="b">
        <f t="shared" si="133"/>
        <v>0</v>
      </c>
      <c r="BQ83" s="15" t="b">
        <f t="shared" si="134"/>
        <v>0</v>
      </c>
      <c r="BR83" s="15" t="str">
        <f t="shared" si="169"/>
        <v/>
      </c>
      <c r="BS83" s="15">
        <f t="shared" si="135"/>
        <v>0</v>
      </c>
      <c r="BT83" s="15" t="str">
        <f t="shared" si="136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7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8"/>
        <v/>
      </c>
      <c r="M84" s="19"/>
      <c r="T84" s="15" t="str">
        <f t="shared" ca="1" si="129"/>
        <v/>
      </c>
      <c r="U84" s="15" t="str">
        <f t="shared" si="195"/>
        <v/>
      </c>
      <c r="AD84" s="16" t="b">
        <f t="shared" si="139"/>
        <v>0</v>
      </c>
      <c r="AE84" s="16" t="b">
        <f t="shared" si="140"/>
        <v>0</v>
      </c>
      <c r="AF84" s="15" t="str">
        <f t="shared" si="141"/>
        <v/>
      </c>
      <c r="AG84" s="15" t="str">
        <f t="shared" ca="1" si="142"/>
        <v/>
      </c>
      <c r="AH84" s="15" t="str">
        <f t="shared" ca="1" si="143"/>
        <v/>
      </c>
      <c r="AI84" s="15" t="b">
        <f t="shared" ca="1" si="144"/>
        <v>0</v>
      </c>
      <c r="AJ84" s="15" t="str">
        <f t="shared" ca="1" si="130"/>
        <v/>
      </c>
      <c r="AK84" s="27" t="str">
        <f t="shared" ca="1" si="145"/>
        <v/>
      </c>
      <c r="AL84" s="15" t="b">
        <f t="shared" ca="1" si="146"/>
        <v>0</v>
      </c>
      <c r="AM84" s="15" t="str">
        <f t="shared" ca="1" si="147"/>
        <v/>
      </c>
      <c r="AN84" s="15">
        <f t="shared" ca="1" si="148"/>
        <v>3</v>
      </c>
      <c r="AO84" s="15" t="str">
        <f t="shared" ca="1" si="131"/>
        <v/>
      </c>
      <c r="AP84" s="15" t="str">
        <f t="shared" ca="1" si="149"/>
        <v/>
      </c>
      <c r="AQ84" s="27">
        <f t="shared" si="150"/>
        <v>4</v>
      </c>
      <c r="AR84" s="15" t="b">
        <f t="shared" si="151"/>
        <v>0</v>
      </c>
      <c r="AS84" s="27" t="b">
        <f t="shared" si="152"/>
        <v>0</v>
      </c>
      <c r="AT84" s="27" t="b">
        <f t="shared" si="153"/>
        <v>0</v>
      </c>
      <c r="AU84" s="27" t="str">
        <f t="shared" si="154"/>
        <v/>
      </c>
      <c r="AV84" s="16" t="b">
        <f t="shared" si="155"/>
        <v>0</v>
      </c>
      <c r="AW84" s="15" t="str">
        <f t="shared" ca="1" si="193"/>
        <v/>
      </c>
      <c r="AX84" s="27" t="b">
        <f t="shared" ca="1" si="156"/>
        <v>0</v>
      </c>
      <c r="AY84" s="27" t="b">
        <f t="shared" ca="1" si="157"/>
        <v>0</v>
      </c>
      <c r="AZ84" s="15" t="b">
        <f t="shared" ca="1" si="158"/>
        <v>0</v>
      </c>
      <c r="BA84" s="15" t="b">
        <f t="shared" ca="1" si="159"/>
        <v>0</v>
      </c>
      <c r="BB84" s="15" t="str">
        <f t="shared" si="160"/>
        <v/>
      </c>
      <c r="BC84" s="15" t="str">
        <f t="shared" ca="1" si="132"/>
        <v/>
      </c>
      <c r="BD84" s="15" t="b">
        <f t="shared" ca="1" si="161"/>
        <v>0</v>
      </c>
      <c r="BE84" s="15" t="b">
        <f t="shared" si="162"/>
        <v>0</v>
      </c>
      <c r="BF84" s="15" t="str">
        <f t="shared" ca="1" si="163"/>
        <v/>
      </c>
      <c r="BG84" s="15" t="str">
        <f t="shared" si="164"/>
        <v/>
      </c>
      <c r="BH84" s="15" t="str">
        <f t="array" aca="1" ref="BH84" ca="1">IF(IFERROR( S84,1),1,IF(BC84="","", SUM(IF(ISERROR(INDIRECT(BC84)),1,0))))</f>
        <v/>
      </c>
      <c r="BI84" s="15" t="b">
        <f t="shared" si="165"/>
        <v>0</v>
      </c>
      <c r="BJ84" s="15" t="b">
        <f t="shared" si="166"/>
        <v>0</v>
      </c>
      <c r="BK84" s="15" t="str">
        <f t="shared" si="167"/>
        <v/>
      </c>
      <c r="BL84" s="15">
        <f t="shared" si="168"/>
        <v>4</v>
      </c>
      <c r="BP84" s="15" t="b">
        <f t="shared" si="133"/>
        <v>0</v>
      </c>
      <c r="BQ84" s="15" t="b">
        <f t="shared" si="134"/>
        <v>0</v>
      </c>
      <c r="BR84" s="15" t="str">
        <f t="shared" si="169"/>
        <v/>
      </c>
      <c r="BS84" s="15">
        <f t="shared" si="135"/>
        <v>0</v>
      </c>
      <c r="BT84" s="15" t="str">
        <f t="shared" si="136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7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8"/>
        <v/>
      </c>
      <c r="M85" s="19"/>
      <c r="T85" s="15" t="str">
        <f t="shared" ca="1" si="129"/>
        <v/>
      </c>
      <c r="U85" s="15" t="str">
        <f t="shared" si="195"/>
        <v/>
      </c>
      <c r="AD85" s="16" t="b">
        <f t="shared" si="139"/>
        <v>0</v>
      </c>
      <c r="AE85" s="16" t="b">
        <f t="shared" si="140"/>
        <v>0</v>
      </c>
      <c r="AF85" s="15" t="str">
        <f t="shared" si="141"/>
        <v/>
      </c>
      <c r="AG85" s="15" t="str">
        <f t="shared" ca="1" si="142"/>
        <v/>
      </c>
      <c r="AH85" s="15" t="str">
        <f t="shared" ca="1" si="143"/>
        <v/>
      </c>
      <c r="AI85" s="15" t="b">
        <f t="shared" ca="1" si="144"/>
        <v>0</v>
      </c>
      <c r="AJ85" s="15" t="str">
        <f t="shared" ca="1" si="130"/>
        <v/>
      </c>
      <c r="AK85" s="27" t="str">
        <f t="shared" ca="1" si="145"/>
        <v/>
      </c>
      <c r="AL85" s="15" t="b">
        <f t="shared" ca="1" si="146"/>
        <v>0</v>
      </c>
      <c r="AM85" s="15" t="str">
        <f t="shared" ca="1" si="147"/>
        <v/>
      </c>
      <c r="AN85" s="15">
        <f t="shared" ca="1" si="148"/>
        <v>3</v>
      </c>
      <c r="AO85" s="15" t="str">
        <f t="shared" ca="1" si="131"/>
        <v/>
      </c>
      <c r="AP85" s="15" t="str">
        <f t="shared" ca="1" si="149"/>
        <v/>
      </c>
      <c r="AQ85" s="27">
        <f t="shared" si="150"/>
        <v>4</v>
      </c>
      <c r="AR85" s="15" t="b">
        <f t="shared" si="151"/>
        <v>0</v>
      </c>
      <c r="AS85" s="27" t="b">
        <f t="shared" si="152"/>
        <v>0</v>
      </c>
      <c r="AT85" s="27" t="b">
        <f t="shared" si="153"/>
        <v>0</v>
      </c>
      <c r="AU85" s="27" t="str">
        <f t="shared" si="154"/>
        <v/>
      </c>
      <c r="AV85" s="16" t="b">
        <f t="shared" si="155"/>
        <v>0</v>
      </c>
      <c r="AW85" s="15" t="str">
        <f t="shared" ca="1" si="193"/>
        <v/>
      </c>
      <c r="AX85" s="27" t="b">
        <f t="shared" ca="1" si="156"/>
        <v>0</v>
      </c>
      <c r="AY85" s="27" t="b">
        <f t="shared" ca="1" si="157"/>
        <v>0</v>
      </c>
      <c r="AZ85" s="15" t="b">
        <f t="shared" ca="1" si="158"/>
        <v>0</v>
      </c>
      <c r="BA85" s="15" t="b">
        <f t="shared" ca="1" si="159"/>
        <v>0</v>
      </c>
      <c r="BB85" s="15" t="str">
        <f t="shared" si="160"/>
        <v/>
      </c>
      <c r="BC85" s="15" t="str">
        <f t="shared" ca="1" si="132"/>
        <v/>
      </c>
      <c r="BD85" s="15" t="b">
        <f t="shared" ca="1" si="161"/>
        <v>0</v>
      </c>
      <c r="BE85" s="15" t="b">
        <f t="shared" si="162"/>
        <v>0</v>
      </c>
      <c r="BF85" s="15" t="str">
        <f t="shared" ca="1" si="163"/>
        <v/>
      </c>
      <c r="BG85" s="15" t="str">
        <f t="shared" si="164"/>
        <v/>
      </c>
      <c r="BH85" s="15" t="str">
        <f t="array" aca="1" ref="BH85" ca="1">IF(IFERROR( S85,1),1,IF(BC85="","", SUM(IF(ISERROR(INDIRECT(BC85)),1,0))))</f>
        <v/>
      </c>
      <c r="BI85" s="15" t="b">
        <f t="shared" si="165"/>
        <v>0</v>
      </c>
      <c r="BJ85" s="15" t="b">
        <f t="shared" si="166"/>
        <v>0</v>
      </c>
      <c r="BK85" s="15" t="str">
        <f t="shared" si="167"/>
        <v/>
      </c>
      <c r="BL85" s="15">
        <f t="shared" si="168"/>
        <v>4</v>
      </c>
      <c r="BP85" s="15" t="b">
        <f t="shared" si="133"/>
        <v>0</v>
      </c>
      <c r="BQ85" s="15" t="b">
        <f t="shared" si="134"/>
        <v>0</v>
      </c>
      <c r="BR85" s="15" t="str">
        <f t="shared" si="169"/>
        <v/>
      </c>
      <c r="BS85" s="15">
        <f t="shared" si="135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7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29"/>
        <v/>
      </c>
      <c r="U86" s="15" t="str">
        <f t="shared" si="195"/>
        <v/>
      </c>
      <c r="AD86" s="16" t="b">
        <f t="shared" si="139"/>
        <v>0</v>
      </c>
      <c r="AE86" s="16" t="b">
        <f t="shared" si="140"/>
        <v>0</v>
      </c>
      <c r="AF86" s="15" t="str">
        <f t="shared" si="141"/>
        <v/>
      </c>
      <c r="AG86" s="15" t="str">
        <f t="shared" ca="1" si="142"/>
        <v/>
      </c>
      <c r="AH86" s="15" t="str">
        <f t="shared" ca="1" si="143"/>
        <v/>
      </c>
      <c r="AI86" s="15" t="b">
        <f t="shared" ca="1" si="144"/>
        <v>0</v>
      </c>
      <c r="AJ86" s="15" t="str">
        <f t="shared" ref="AJ86:AJ97" ca="1" si="199">IF(AE86,INDIRECT(ADDRESS(ROW($T$4),COLUMN($T$4),,,AF86)),"")</f>
        <v/>
      </c>
      <c r="AK86" s="27" t="str">
        <f t="shared" ca="1" si="145"/>
        <v/>
      </c>
      <c r="AL86" s="15" t="b">
        <f t="shared" ca="1" si="146"/>
        <v>0</v>
      </c>
      <c r="AM86" s="15" t="str">
        <f t="shared" ca="1" si="147"/>
        <v/>
      </c>
      <c r="AN86" s="15">
        <f t="shared" ca="1" si="148"/>
        <v>3</v>
      </c>
      <c r="AO86" s="15" t="str">
        <f t="shared" ref="AO86:AO97" ca="1" si="200">IF(AE86,INDIRECT(ADDRESS(ROW($BS$4),COLUMN($BS$4),,,AF86)),"")</f>
        <v/>
      </c>
      <c r="AP86" s="15" t="str">
        <f t="shared" ca="1" si="149"/>
        <v/>
      </c>
      <c r="AQ86" s="27">
        <f t="shared" si="150"/>
        <v>4</v>
      </c>
      <c r="AR86" s="15" t="b">
        <f t="shared" si="151"/>
        <v>0</v>
      </c>
      <c r="AS86" s="27" t="b">
        <f t="shared" si="152"/>
        <v>0</v>
      </c>
      <c r="AT86" s="27" t="b">
        <f t="shared" si="153"/>
        <v>0</v>
      </c>
      <c r="AU86" s="27" t="str">
        <f t="shared" si="154"/>
        <v/>
      </c>
      <c r="AV86" s="16" t="b">
        <f t="shared" si="155"/>
        <v>0</v>
      </c>
      <c r="AW86" s="15" t="str">
        <f t="shared" ca="1" si="193"/>
        <v/>
      </c>
      <c r="AX86" s="27" t="b">
        <f t="shared" ca="1" si="156"/>
        <v>0</v>
      </c>
      <c r="AY86" s="27" t="b">
        <f t="shared" ca="1" si="157"/>
        <v>0</v>
      </c>
      <c r="AZ86" s="15" t="b">
        <f t="shared" ca="1" si="158"/>
        <v>0</v>
      </c>
      <c r="BA86" s="15" t="b">
        <f t="shared" ca="1" si="159"/>
        <v>0</v>
      </c>
      <c r="BB86" s="15" t="str">
        <f t="shared" si="160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1"/>
        <v>0</v>
      </c>
      <c r="BE86" s="15" t="b">
        <f t="shared" si="162"/>
        <v>0</v>
      </c>
      <c r="BF86" s="15" t="str">
        <f t="shared" ca="1" si="163"/>
        <v/>
      </c>
      <c r="BG86" s="15" t="str">
        <f t="shared" si="164"/>
        <v/>
      </c>
      <c r="BH86" s="15" t="str">
        <f t="array" aca="1" ref="BH86" ca="1">IF(IFERROR( S86,1),1,IF(BC86="","", SUM(IF(ISERROR(INDIRECT(BC86)),1,0))))</f>
        <v/>
      </c>
      <c r="BI86" s="15" t="b">
        <f t="shared" si="165"/>
        <v>0</v>
      </c>
      <c r="BJ86" s="15" t="b">
        <f t="shared" si="166"/>
        <v>0</v>
      </c>
      <c r="BK86" s="15" t="str">
        <f t="shared" si="16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29"/>
        <v/>
      </c>
      <c r="U87" s="15" t="str">
        <f t="shared" si="195"/>
        <v/>
      </c>
      <c r="AD87" s="16" t="b">
        <f t="shared" si="139"/>
        <v>0</v>
      </c>
      <c r="AE87" s="16" t="b">
        <f t="shared" si="140"/>
        <v>0</v>
      </c>
      <c r="AF87" s="15" t="str">
        <f t="shared" si="141"/>
        <v/>
      </c>
      <c r="AG87" s="15" t="str">
        <f t="shared" ca="1" si="142"/>
        <v/>
      </c>
      <c r="AH87" s="15" t="str">
        <f t="shared" ca="1" si="143"/>
        <v/>
      </c>
      <c r="AI87" s="15" t="b">
        <f t="shared" ca="1" si="144"/>
        <v>0</v>
      </c>
      <c r="AJ87" s="15" t="str">
        <f t="shared" ca="1" si="199"/>
        <v/>
      </c>
      <c r="AK87" s="27" t="str">
        <f t="shared" ca="1" si="145"/>
        <v/>
      </c>
      <c r="AL87" s="15" t="b">
        <f t="shared" ca="1" si="146"/>
        <v>0</v>
      </c>
      <c r="AM87" s="15" t="str">
        <f t="shared" ca="1" si="147"/>
        <v/>
      </c>
      <c r="AN87" s="15">
        <f t="shared" ca="1" si="148"/>
        <v>3</v>
      </c>
      <c r="AO87" s="15" t="str">
        <f t="shared" ca="1" si="200"/>
        <v/>
      </c>
      <c r="AP87" s="15" t="str">
        <f t="shared" ca="1" si="149"/>
        <v/>
      </c>
      <c r="AQ87" s="27">
        <f t="shared" si="150"/>
        <v>4</v>
      </c>
      <c r="AR87" s="15" t="b">
        <f t="shared" si="151"/>
        <v>0</v>
      </c>
      <c r="AS87" s="27" t="b">
        <f t="shared" si="152"/>
        <v>0</v>
      </c>
      <c r="AT87" s="27" t="b">
        <f t="shared" si="153"/>
        <v>0</v>
      </c>
      <c r="AU87" s="27" t="str">
        <f t="shared" si="154"/>
        <v/>
      </c>
      <c r="AV87" s="16" t="b">
        <f t="shared" si="155"/>
        <v>0</v>
      </c>
      <c r="AW87" s="15" t="str">
        <f t="shared" ca="1" si="193"/>
        <v/>
      </c>
      <c r="AX87" s="27" t="b">
        <f t="shared" ca="1" si="156"/>
        <v>0</v>
      </c>
      <c r="AY87" s="27" t="b">
        <f t="shared" ca="1" si="157"/>
        <v>0</v>
      </c>
      <c r="AZ87" s="15" t="b">
        <f t="shared" ca="1" si="158"/>
        <v>0</v>
      </c>
      <c r="BA87" s="15" t="b">
        <f t="shared" ca="1" si="159"/>
        <v>0</v>
      </c>
      <c r="BB87" s="15" t="str">
        <f t="shared" si="160"/>
        <v/>
      </c>
      <c r="BC87" s="15" t="str">
        <f t="shared" ca="1" si="201"/>
        <v/>
      </c>
      <c r="BD87" s="15" t="b">
        <f t="shared" ca="1" si="161"/>
        <v>0</v>
      </c>
      <c r="BE87" s="15" t="b">
        <f t="shared" si="162"/>
        <v>0</v>
      </c>
      <c r="BF87" s="15" t="str">
        <f t="shared" ca="1" si="163"/>
        <v/>
      </c>
      <c r="BG87" s="15" t="str">
        <f t="shared" si="164"/>
        <v/>
      </c>
      <c r="BH87" s="15" t="str">
        <f t="array" aca="1" ref="BH87" ca="1">IF(IFERROR( S87,1),1,IF(BC87="","", SUM(IF(ISERROR(INDIRECT(BC87)),1,0))))</f>
        <v/>
      </c>
      <c r="BI87" s="15" t="b">
        <f t="shared" si="165"/>
        <v>0</v>
      </c>
      <c r="BJ87" s="15" t="b">
        <f t="shared" si="166"/>
        <v>0</v>
      </c>
      <c r="BK87" s="15" t="str">
        <f t="shared" si="16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29"/>
        <v/>
      </c>
      <c r="U88" s="15" t="str">
        <f t="shared" si="195"/>
        <v/>
      </c>
      <c r="AD88" s="16" t="b">
        <f t="shared" si="139"/>
        <v>0</v>
      </c>
      <c r="AE88" s="16" t="b">
        <f t="shared" si="140"/>
        <v>0</v>
      </c>
      <c r="AF88" s="15" t="str">
        <f t="shared" si="141"/>
        <v/>
      </c>
      <c r="AG88" s="15" t="str">
        <f t="shared" ca="1" si="142"/>
        <v/>
      </c>
      <c r="AH88" s="15" t="str">
        <f t="shared" ca="1" si="143"/>
        <v/>
      </c>
      <c r="AI88" s="15" t="b">
        <f t="shared" ca="1" si="144"/>
        <v>0</v>
      </c>
      <c r="AJ88" s="15" t="str">
        <f t="shared" ca="1" si="199"/>
        <v/>
      </c>
      <c r="AK88" s="27" t="str">
        <f t="shared" ca="1" si="145"/>
        <v/>
      </c>
      <c r="AL88" s="15" t="b">
        <f t="shared" ca="1" si="146"/>
        <v>0</v>
      </c>
      <c r="AM88" s="15" t="str">
        <f t="shared" ca="1" si="147"/>
        <v/>
      </c>
      <c r="AN88" s="15">
        <f t="shared" ca="1" si="148"/>
        <v>3</v>
      </c>
      <c r="AO88" s="15" t="str">
        <f t="shared" ca="1" si="200"/>
        <v/>
      </c>
      <c r="AP88" s="15" t="str">
        <f t="shared" ca="1" si="149"/>
        <v/>
      </c>
      <c r="AQ88" s="27">
        <f t="shared" si="150"/>
        <v>4</v>
      </c>
      <c r="AR88" s="15" t="b">
        <f t="shared" si="151"/>
        <v>0</v>
      </c>
      <c r="AS88" s="27" t="b">
        <f t="shared" si="152"/>
        <v>0</v>
      </c>
      <c r="AT88" s="27" t="b">
        <f t="shared" si="153"/>
        <v>0</v>
      </c>
      <c r="AU88" s="27" t="str">
        <f t="shared" si="154"/>
        <v/>
      </c>
      <c r="AV88" s="16" t="b">
        <f t="shared" si="155"/>
        <v>0</v>
      </c>
      <c r="AW88" s="15" t="str">
        <f t="shared" ca="1" si="193"/>
        <v/>
      </c>
      <c r="AX88" s="27" t="b">
        <f t="shared" ca="1" si="156"/>
        <v>0</v>
      </c>
      <c r="AY88" s="27" t="b">
        <f t="shared" ca="1" si="157"/>
        <v>0</v>
      </c>
      <c r="AZ88" s="15" t="b">
        <f t="shared" ca="1" si="158"/>
        <v>0</v>
      </c>
      <c r="BA88" s="15" t="b">
        <f t="shared" ca="1" si="159"/>
        <v>0</v>
      </c>
      <c r="BB88" s="15" t="str">
        <f t="shared" si="160"/>
        <v/>
      </c>
      <c r="BC88" s="15" t="str">
        <f t="shared" ca="1" si="201"/>
        <v/>
      </c>
      <c r="BD88" s="15" t="b">
        <f t="shared" ca="1" si="161"/>
        <v>0</v>
      </c>
      <c r="BE88" s="15" t="b">
        <f t="shared" si="162"/>
        <v>0</v>
      </c>
      <c r="BF88" s="15" t="str">
        <f t="shared" ca="1" si="163"/>
        <v/>
      </c>
      <c r="BG88" s="15" t="str">
        <f t="shared" si="164"/>
        <v/>
      </c>
      <c r="BH88" s="15" t="str">
        <f t="array" aca="1" ref="BH88" ca="1">IF(IFERROR( S88,1),1,IF(BC88="","", SUM(IF(ISERROR(INDIRECT(BC88)),1,0))))</f>
        <v/>
      </c>
      <c r="BI88" s="15" t="b">
        <f t="shared" si="165"/>
        <v>0</v>
      </c>
      <c r="BJ88" s="15" t="b">
        <f t="shared" si="166"/>
        <v>0</v>
      </c>
      <c r="BK88" s="15" t="str">
        <f t="shared" si="16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29"/>
        <v/>
      </c>
      <c r="U89" s="15" t="str">
        <f t="shared" si="195"/>
        <v/>
      </c>
      <c r="AD89" s="16" t="b">
        <f t="shared" si="139"/>
        <v>0</v>
      </c>
      <c r="AE89" s="16" t="b">
        <f t="shared" si="140"/>
        <v>0</v>
      </c>
      <c r="AF89" s="15" t="str">
        <f t="shared" si="141"/>
        <v/>
      </c>
      <c r="AG89" s="15" t="str">
        <f t="shared" ca="1" si="142"/>
        <v/>
      </c>
      <c r="AH89" s="15" t="str">
        <f t="shared" ca="1" si="143"/>
        <v/>
      </c>
      <c r="AI89" s="15" t="b">
        <f t="shared" ca="1" si="144"/>
        <v>0</v>
      </c>
      <c r="AJ89" s="15" t="str">
        <f t="shared" ca="1" si="199"/>
        <v/>
      </c>
      <c r="AK89" s="27" t="str">
        <f t="shared" ca="1" si="145"/>
        <v/>
      </c>
      <c r="AL89" s="15" t="b">
        <f t="shared" ca="1" si="146"/>
        <v>0</v>
      </c>
      <c r="AM89" s="15" t="str">
        <f t="shared" ca="1" si="147"/>
        <v/>
      </c>
      <c r="AN89" s="15">
        <f t="shared" ca="1" si="148"/>
        <v>3</v>
      </c>
      <c r="AO89" s="15" t="str">
        <f t="shared" ca="1" si="200"/>
        <v/>
      </c>
      <c r="AP89" s="15" t="str">
        <f t="shared" ca="1" si="149"/>
        <v/>
      </c>
      <c r="AQ89" s="27">
        <f t="shared" si="150"/>
        <v>4</v>
      </c>
      <c r="AR89" s="15" t="b">
        <f t="shared" si="151"/>
        <v>0</v>
      </c>
      <c r="AS89" s="27" t="b">
        <f t="shared" si="152"/>
        <v>0</v>
      </c>
      <c r="AT89" s="27" t="b">
        <f t="shared" si="153"/>
        <v>0</v>
      </c>
      <c r="AU89" s="27" t="str">
        <f t="shared" si="154"/>
        <v/>
      </c>
      <c r="AV89" s="16" t="b">
        <f t="shared" si="155"/>
        <v>0</v>
      </c>
      <c r="AW89" s="15" t="str">
        <f t="shared" ca="1" si="193"/>
        <v/>
      </c>
      <c r="AX89" s="27" t="b">
        <f t="shared" ca="1" si="156"/>
        <v>0</v>
      </c>
      <c r="AY89" s="27" t="b">
        <f t="shared" ca="1" si="157"/>
        <v>0</v>
      </c>
      <c r="AZ89" s="15" t="b">
        <f t="shared" ca="1" si="158"/>
        <v>0</v>
      </c>
      <c r="BA89" s="15" t="b">
        <f t="shared" ca="1" si="159"/>
        <v>0</v>
      </c>
      <c r="BB89" s="15" t="str">
        <f t="shared" si="160"/>
        <v/>
      </c>
      <c r="BC89" s="15" t="str">
        <f t="shared" ca="1" si="201"/>
        <v/>
      </c>
      <c r="BD89" s="15" t="b">
        <f t="shared" ca="1" si="161"/>
        <v>0</v>
      </c>
      <c r="BE89" s="15" t="b">
        <f t="shared" si="162"/>
        <v>0</v>
      </c>
      <c r="BF89" s="15" t="str">
        <f t="shared" ca="1" si="163"/>
        <v/>
      </c>
      <c r="BG89" s="15" t="str">
        <f t="shared" si="164"/>
        <v/>
      </c>
      <c r="BH89" s="15" t="str">
        <f t="array" aca="1" ref="BH89" ca="1">IF(IFERROR( S89,1),1,IF(BC89="","", SUM(IF(ISERROR(INDIRECT(BC89)),1,0))))</f>
        <v/>
      </c>
      <c r="BI89" s="15" t="b">
        <f t="shared" si="165"/>
        <v>0</v>
      </c>
      <c r="BJ89" s="15" t="b">
        <f t="shared" si="166"/>
        <v>0</v>
      </c>
      <c r="BK89" s="15" t="str">
        <f t="shared" si="16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29"/>
        <v/>
      </c>
      <c r="U90" s="15" t="str">
        <f t="shared" si="195"/>
        <v/>
      </c>
      <c r="AD90" s="16" t="b">
        <f t="shared" si="139"/>
        <v>0</v>
      </c>
      <c r="AE90" s="16" t="b">
        <f t="shared" si="140"/>
        <v>0</v>
      </c>
      <c r="AF90" s="15" t="str">
        <f t="shared" si="141"/>
        <v/>
      </c>
      <c r="AG90" s="15" t="str">
        <f t="shared" ca="1" si="142"/>
        <v/>
      </c>
      <c r="AH90" s="15" t="str">
        <f t="shared" ca="1" si="143"/>
        <v/>
      </c>
      <c r="AI90" s="15" t="b">
        <f t="shared" ca="1" si="144"/>
        <v>0</v>
      </c>
      <c r="AJ90" s="15" t="str">
        <f t="shared" ca="1" si="199"/>
        <v/>
      </c>
      <c r="AK90" s="27" t="str">
        <f t="shared" ca="1" si="145"/>
        <v/>
      </c>
      <c r="AL90" s="15" t="b">
        <f t="shared" ca="1" si="146"/>
        <v>0</v>
      </c>
      <c r="AM90" s="15" t="str">
        <f t="shared" ca="1" si="147"/>
        <v/>
      </c>
      <c r="AN90" s="15">
        <f t="shared" ca="1" si="148"/>
        <v>3</v>
      </c>
      <c r="AO90" s="15" t="str">
        <f t="shared" ca="1" si="200"/>
        <v/>
      </c>
      <c r="AP90" s="15" t="str">
        <f t="shared" ca="1" si="149"/>
        <v/>
      </c>
      <c r="AQ90" s="27">
        <f t="shared" si="150"/>
        <v>4</v>
      </c>
      <c r="AR90" s="15" t="b">
        <f t="shared" si="151"/>
        <v>0</v>
      </c>
      <c r="AS90" s="27" t="b">
        <f t="shared" si="152"/>
        <v>0</v>
      </c>
      <c r="AT90" s="27" t="b">
        <f t="shared" si="153"/>
        <v>0</v>
      </c>
      <c r="AU90" s="27" t="str">
        <f t="shared" si="154"/>
        <v/>
      </c>
      <c r="AV90" s="16" t="b">
        <f t="shared" si="155"/>
        <v>0</v>
      </c>
      <c r="AW90" s="15" t="str">
        <f t="shared" ca="1" si="193"/>
        <v/>
      </c>
      <c r="AX90" s="27" t="b">
        <f t="shared" ca="1" si="156"/>
        <v>0</v>
      </c>
      <c r="AY90" s="27" t="b">
        <f t="shared" ca="1" si="157"/>
        <v>0</v>
      </c>
      <c r="AZ90" s="15" t="b">
        <f t="shared" ca="1" si="158"/>
        <v>0</v>
      </c>
      <c r="BA90" s="15" t="b">
        <f t="shared" ca="1" si="159"/>
        <v>0</v>
      </c>
      <c r="BB90" s="15" t="str">
        <f t="shared" si="160"/>
        <v/>
      </c>
      <c r="BC90" s="15" t="str">
        <f t="shared" ca="1" si="201"/>
        <v/>
      </c>
      <c r="BD90" s="15" t="b">
        <f t="shared" ca="1" si="161"/>
        <v>0</v>
      </c>
      <c r="BE90" s="15" t="b">
        <f t="shared" si="162"/>
        <v>0</v>
      </c>
      <c r="BF90" s="15" t="str">
        <f t="shared" ca="1" si="163"/>
        <v/>
      </c>
      <c r="BG90" s="15" t="str">
        <f t="shared" si="164"/>
        <v/>
      </c>
      <c r="BH90" s="15" t="str">
        <f t="array" aca="1" ref="BH90" ca="1">IF(IFERROR( S90,1),1,IF(BC90="","", SUM(IF(ISERROR(INDIRECT(BC90)),1,0))))</f>
        <v/>
      </c>
      <c r="BI90" s="15" t="b">
        <f t="shared" si="165"/>
        <v>0</v>
      </c>
      <c r="BJ90" s="15" t="b">
        <f t="shared" si="166"/>
        <v>0</v>
      </c>
      <c r="BK90" s="15" t="str">
        <f t="shared" si="16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15" t="str">
        <f t="shared" ref="BK91:BK97" si="235">IF(AR91,IF(AND(BI91,NOT(BJ91)),1,IF(AND(BJ91,NOT(BI91)),2,3)),"")</f>
        <v/>
      </c>
      <c r="BL91" s="15">
        <f t="shared" ref="BL91:BL97" si="236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7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8">IFERROR(IF($AD91,COUNTIF(INDIRECT($C$4),C91)&gt;1,FALSE),FALSE)</f>
        <v>0</v>
      </c>
      <c r="BW91" s="15" t="b">
        <f t="shared" ref="BW91:BW97" ca="1" si="239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40">IFERROR(IF(AND(AE91,NOT(BX91)),IF(ISERROR(AH91),TRUE,FALSE)),FALSE)</f>
        <v>0</v>
      </c>
      <c r="BZ91" s="15" t="b">
        <f t="shared" ref="BZ91:BZ97" si="241">IFERROR(IF(BE91,BF91&lt;&gt;BG91,FALSE),FALSE)</f>
        <v>0</v>
      </c>
      <c r="CA91" s="15" t="b">
        <f t="shared" ref="CA91:CA97" si="242">AND(AR91,AE91,AD91)</f>
        <v>0</v>
      </c>
      <c r="CB91" s="15" t="b">
        <f t="shared" ref="CB91:CB97" ca="1" si="243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4">IF(AD91, IF(AQ91=1, IF(OR(R91,DB91,AK91="" ),FALSE,OR(ISERROR(INDIRECT(T91)))),FALSE),FALSE)</f>
        <v>0</v>
      </c>
      <c r="CF91" s="15" t="b">
        <f t="shared" ref="CF91:CF97" si="245">AND($AD91,$AQ91=2,COUNTA( S91)=1)</f>
        <v>0</v>
      </c>
      <c r="CG91" s="15" t="b">
        <f t="shared" ref="CG91:CG97" si="246">AND(AND(AQ91&lt;&gt;1,AQ91&lt;&gt;3),G91&lt;&gt;"")</f>
        <v>0</v>
      </c>
      <c r="CH91" s="15" t="b">
        <f t="shared" ref="CH91:CH97" si="247">AND(AQ91=1,BK91=3)</f>
        <v>0</v>
      </c>
      <c r="CI91" s="15" t="b">
        <f t="shared" ref="CI91:CI97" si="248">ISERROR(S91)</f>
        <v>0</v>
      </c>
      <c r="CJ91" s="15" t="b">
        <f t="shared" ref="CJ91:CJ97" si="249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50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15" t="str">
        <f t="shared" si="235"/>
        <v/>
      </c>
      <c r="BL92" s="15">
        <f t="shared" si="236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7"/>
        <v/>
      </c>
      <c r="BS92" s="15">
        <f t="shared" si="204"/>
        <v>0</v>
      </c>
      <c r="BT92" s="15" t="str">
        <f t="shared" si="197"/>
        <v/>
      </c>
      <c r="BV92" s="15" t="b">
        <f t="shared" ca="1" si="238"/>
        <v>0</v>
      </c>
      <c r="BW92" s="15" t="b">
        <f t="shared" ca="1" si="239"/>
        <v>0</v>
      </c>
      <c r="BX92" s="15" t="b">
        <f t="shared" ca="1" si="205"/>
        <v>0</v>
      </c>
      <c r="BY92" s="15" t="b">
        <f t="shared" ca="1" si="240"/>
        <v>0</v>
      </c>
      <c r="BZ92" s="15" t="b">
        <f t="shared" si="241"/>
        <v>0</v>
      </c>
      <c r="CA92" s="15" t="b">
        <f t="shared" si="242"/>
        <v>0</v>
      </c>
      <c r="CB92" s="15" t="b">
        <f t="shared" ca="1" si="243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4"/>
        <v>0</v>
      </c>
      <c r="CF92" s="15" t="b">
        <f t="shared" si="245"/>
        <v>0</v>
      </c>
      <c r="CG92" s="15" t="b">
        <f t="shared" si="246"/>
        <v>0</v>
      </c>
      <c r="CH92" s="15" t="b">
        <f t="shared" si="247"/>
        <v>0</v>
      </c>
      <c r="CI92" s="15" t="b">
        <f t="shared" si="248"/>
        <v>0</v>
      </c>
      <c r="CJ92" s="15" t="b">
        <f t="shared" si="249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50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15" t="str">
        <f t="shared" si="235"/>
        <v/>
      </c>
      <c r="BL93" s="15">
        <f t="shared" si="236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7"/>
        <v/>
      </c>
      <c r="BS93" s="15">
        <f t="shared" si="204"/>
        <v>0</v>
      </c>
      <c r="BT93" s="15" t="str">
        <f t="shared" si="197"/>
        <v/>
      </c>
      <c r="BV93" s="15" t="b">
        <f t="shared" ca="1" si="238"/>
        <v>0</v>
      </c>
      <c r="BW93" s="15" t="b">
        <f t="shared" ca="1" si="239"/>
        <v>0</v>
      </c>
      <c r="BX93" s="15" t="b">
        <f t="shared" ca="1" si="205"/>
        <v>0</v>
      </c>
      <c r="BY93" s="15" t="b">
        <f t="shared" ca="1" si="240"/>
        <v>0</v>
      </c>
      <c r="BZ93" s="15" t="b">
        <f t="shared" si="241"/>
        <v>0</v>
      </c>
      <c r="CA93" s="15" t="b">
        <f t="shared" si="242"/>
        <v>0</v>
      </c>
      <c r="CB93" s="15" t="b">
        <f t="shared" ca="1" si="243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4"/>
        <v>0</v>
      </c>
      <c r="CF93" s="15" t="b">
        <f t="shared" si="245"/>
        <v>0</v>
      </c>
      <c r="CG93" s="15" t="b">
        <f t="shared" si="246"/>
        <v>0</v>
      </c>
      <c r="CH93" s="15" t="b">
        <f t="shared" si="247"/>
        <v>0</v>
      </c>
      <c r="CI93" s="15" t="b">
        <f t="shared" si="248"/>
        <v>0</v>
      </c>
      <c r="CJ93" s="15" t="b">
        <f t="shared" si="249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50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15" t="str">
        <f t="shared" si="235"/>
        <v/>
      </c>
      <c r="BL94" s="15">
        <f t="shared" si="236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7"/>
        <v/>
      </c>
      <c r="BS94" s="15">
        <f t="shared" si="204"/>
        <v>0</v>
      </c>
      <c r="BT94" s="15" t="str">
        <f t="shared" si="197"/>
        <v/>
      </c>
      <c r="BV94" s="15" t="b">
        <f t="shared" ca="1" si="238"/>
        <v>0</v>
      </c>
      <c r="BW94" s="15" t="b">
        <f t="shared" ca="1" si="239"/>
        <v>0</v>
      </c>
      <c r="BX94" s="15" t="b">
        <f t="shared" ca="1" si="205"/>
        <v>0</v>
      </c>
      <c r="BY94" s="15" t="b">
        <f t="shared" ca="1" si="240"/>
        <v>0</v>
      </c>
      <c r="BZ94" s="15" t="b">
        <f t="shared" si="241"/>
        <v>0</v>
      </c>
      <c r="CA94" s="15" t="b">
        <f t="shared" si="242"/>
        <v>0</v>
      </c>
      <c r="CB94" s="15" t="b">
        <f t="shared" ca="1" si="243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4"/>
        <v>0</v>
      </c>
      <c r="CF94" s="15" t="b">
        <f t="shared" si="245"/>
        <v>0</v>
      </c>
      <c r="CG94" s="15" t="b">
        <f t="shared" si="246"/>
        <v>0</v>
      </c>
      <c r="CH94" s="15" t="b">
        <f t="shared" si="247"/>
        <v>0</v>
      </c>
      <c r="CI94" s="15" t="b">
        <f t="shared" si="248"/>
        <v>0</v>
      </c>
      <c r="CJ94" s="15" t="b">
        <f t="shared" si="249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50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15" t="str">
        <f t="shared" si="235"/>
        <v/>
      </c>
      <c r="BL95" s="15">
        <f t="shared" si="236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7"/>
        <v/>
      </c>
      <c r="BS95" s="15">
        <f t="shared" si="204"/>
        <v>0</v>
      </c>
      <c r="BT95" s="15" t="str">
        <f t="shared" si="197"/>
        <v/>
      </c>
      <c r="BV95" s="15" t="b">
        <f t="shared" ca="1" si="238"/>
        <v>0</v>
      </c>
      <c r="BW95" s="15" t="b">
        <f t="shared" ca="1" si="239"/>
        <v>0</v>
      </c>
      <c r="BX95" s="15" t="b">
        <f t="shared" ca="1" si="205"/>
        <v>0</v>
      </c>
      <c r="BY95" s="15" t="b">
        <f t="shared" ca="1" si="240"/>
        <v>0</v>
      </c>
      <c r="BZ95" s="15" t="b">
        <f t="shared" si="241"/>
        <v>0</v>
      </c>
      <c r="CA95" s="15" t="b">
        <f t="shared" si="242"/>
        <v>0</v>
      </c>
      <c r="CB95" s="15" t="b">
        <f t="shared" ca="1" si="243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4"/>
        <v>0</v>
      </c>
      <c r="CF95" s="15" t="b">
        <f t="shared" si="245"/>
        <v>0</v>
      </c>
      <c r="CG95" s="15" t="b">
        <f t="shared" si="246"/>
        <v>0</v>
      </c>
      <c r="CH95" s="15" t="b">
        <f t="shared" si="247"/>
        <v>0</v>
      </c>
      <c r="CI95" s="15" t="b">
        <f t="shared" si="248"/>
        <v>0</v>
      </c>
      <c r="CJ95" s="15" t="b">
        <f t="shared" si="249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50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15" t="str">
        <f t="shared" si="235"/>
        <v/>
      </c>
      <c r="BL96" s="15">
        <f t="shared" si="236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7"/>
        <v/>
      </c>
      <c r="BS96" s="15">
        <f t="shared" si="204"/>
        <v>0</v>
      </c>
      <c r="BT96" s="15" t="str">
        <f t="shared" si="197"/>
        <v/>
      </c>
      <c r="BV96" s="15" t="b">
        <f t="shared" ca="1" si="238"/>
        <v>0</v>
      </c>
      <c r="BW96" s="15" t="b">
        <f t="shared" ca="1" si="239"/>
        <v>0</v>
      </c>
      <c r="BX96" s="15" t="b">
        <f t="shared" ca="1" si="205"/>
        <v>0</v>
      </c>
      <c r="BY96" s="15" t="b">
        <f t="shared" ca="1" si="240"/>
        <v>0</v>
      </c>
      <c r="BZ96" s="15" t="b">
        <f t="shared" si="241"/>
        <v>0</v>
      </c>
      <c r="CA96" s="15" t="b">
        <f t="shared" si="242"/>
        <v>0</v>
      </c>
      <c r="CB96" s="15" t="b">
        <f t="shared" ca="1" si="243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4"/>
        <v>0</v>
      </c>
      <c r="CF96" s="15" t="b">
        <f t="shared" si="245"/>
        <v>0</v>
      </c>
      <c r="CG96" s="15" t="b">
        <f t="shared" si="246"/>
        <v>0</v>
      </c>
      <c r="CH96" s="15" t="b">
        <f t="shared" si="247"/>
        <v>0</v>
      </c>
      <c r="CI96" s="15" t="b">
        <f t="shared" si="248"/>
        <v>0</v>
      </c>
      <c r="CJ96" s="15" t="b">
        <f t="shared" si="249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50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15" t="str">
        <f t="shared" si="235"/>
        <v/>
      </c>
      <c r="BL97" s="15">
        <f t="shared" si="236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7"/>
        <v/>
      </c>
      <c r="BS97" s="15">
        <f t="shared" si="204"/>
        <v>0</v>
      </c>
      <c r="BT97" s="15" t="str">
        <f t="shared" si="197"/>
        <v/>
      </c>
      <c r="BV97" s="15" t="b">
        <f t="shared" ca="1" si="238"/>
        <v>0</v>
      </c>
      <c r="BW97" s="15" t="b">
        <f t="shared" ca="1" si="239"/>
        <v>0</v>
      </c>
      <c r="BX97" s="15" t="b">
        <f t="shared" ca="1" si="205"/>
        <v>0</v>
      </c>
      <c r="BY97" s="15" t="b">
        <f t="shared" ca="1" si="240"/>
        <v>0</v>
      </c>
      <c r="BZ97" s="15" t="b">
        <f t="shared" si="241"/>
        <v>0</v>
      </c>
      <c r="CA97" s="15" t="b">
        <f t="shared" si="242"/>
        <v>0</v>
      </c>
      <c r="CB97" s="15" t="b">
        <f t="shared" ca="1" si="243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4"/>
        <v>0</v>
      </c>
      <c r="CF97" s="15" t="b">
        <f t="shared" si="245"/>
        <v>0</v>
      </c>
      <c r="CG97" s="15" t="b">
        <f t="shared" si="246"/>
        <v>0</v>
      </c>
      <c r="CH97" s="15" t="b">
        <f t="shared" si="247"/>
        <v>0</v>
      </c>
      <c r="CI97" s="15" t="b">
        <f t="shared" si="248"/>
        <v>0</v>
      </c>
      <c r="CJ97" s="15" t="b">
        <f t="shared" si="249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50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</sheetData>
  <customSheetViews>
    <customSheetView guid="{B0700225-2463-44C9-9C4E-A79FCDA233AE}">
      <pageMargins left="0.7" right="0.7" top="0.75" bottom="0.75" header="0.3" footer="0.3"/>
      <pageSetup paperSize="9" orientation="portrait" horizontalDpi="1200" verticalDpi="1200" r:id="rId1"/>
    </customSheetView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124" priority="51" stopIfTrue="1">
      <formula>(H13&lt;&gt;"")*(I13="")</formula>
    </cfRule>
  </conditionalFormatting>
  <conditionalFormatting sqref="D13:D171">
    <cfRule type="expression" dxfId="123" priority="50">
      <formula>($A13&lt;=$C$2)</formula>
    </cfRule>
  </conditionalFormatting>
  <conditionalFormatting sqref="W13:AC171">
    <cfRule type="expression" dxfId="122" priority="49">
      <formula>$AD13*(V13&lt;&gt;"")</formula>
    </cfRule>
  </conditionalFormatting>
  <conditionalFormatting sqref="H13:H171">
    <cfRule type="expression" dxfId="121" priority="46" stopIfTrue="1">
      <formula>$BX13</formula>
    </cfRule>
  </conditionalFormatting>
  <conditionalFormatting sqref="D13:F171">
    <cfRule type="expression" dxfId="120" priority="45" stopIfTrue="1">
      <formula>$BW13</formula>
    </cfRule>
  </conditionalFormatting>
  <conditionalFormatting sqref="A13:B171">
    <cfRule type="expression" dxfId="119" priority="44" stopIfTrue="1">
      <formula>$BS13&gt;0</formula>
    </cfRule>
  </conditionalFormatting>
  <conditionalFormatting sqref="L2:S2">
    <cfRule type="expression" dxfId="118" priority="43">
      <formula>NOT($O$2)</formula>
    </cfRule>
  </conditionalFormatting>
  <conditionalFormatting sqref="H13:L171">
    <cfRule type="expression" dxfId="117" priority="42" stopIfTrue="1">
      <formula>$CA13*(H13&lt;&gt;"")</formula>
    </cfRule>
  </conditionalFormatting>
  <conditionalFormatting sqref="H13:J171">
    <cfRule type="expression" dxfId="116" priority="41" stopIfTrue="1">
      <formula>$AQ13=4</formula>
    </cfRule>
  </conditionalFormatting>
  <conditionalFormatting sqref="E13:F171">
    <cfRule type="expression" dxfId="115" priority="32">
      <formula>$AD13*($AQ13=1)</formula>
    </cfRule>
  </conditionalFormatting>
  <conditionalFormatting sqref="R13:R171">
    <cfRule type="expression" dxfId="114" priority="29" stopIfTrue="1">
      <formula>$CD13</formula>
    </cfRule>
  </conditionalFormatting>
  <conditionalFormatting sqref="S13:S171">
    <cfRule type="expression" dxfId="113" priority="28" stopIfTrue="1">
      <formula>$CF13</formula>
    </cfRule>
  </conditionalFormatting>
  <conditionalFormatting sqref="B13:B171">
    <cfRule type="expression" dxfId="112" priority="21">
      <formula>($BS13=0)*$AD13</formula>
    </cfRule>
  </conditionalFormatting>
  <conditionalFormatting sqref="N13:O171">
    <cfRule type="expression" dxfId="111" priority="8">
      <formula>($AQ13=1)*NOT($BI13)</formula>
    </cfRule>
  </conditionalFormatting>
  <conditionalFormatting sqref="N13:N171">
    <cfRule type="expression" dxfId="110" priority="7" stopIfTrue="1">
      <formula>($AQ13=1)*$BI13*($P13=1)</formula>
    </cfRule>
  </conditionalFormatting>
  <conditionalFormatting sqref="O13:O171">
    <cfRule type="expression" dxfId="109" priority="6" stopIfTrue="1">
      <formula>($AQ13=1)*$BI13*($P13=2)</formula>
    </cfRule>
  </conditionalFormatting>
  <conditionalFormatting sqref="L2:L3">
    <cfRule type="expression" dxfId="108" priority="5">
      <formula>ISERROR(INDIRECT($L$2))</formula>
    </cfRule>
  </conditionalFormatting>
  <conditionalFormatting sqref="T13:T171">
    <cfRule type="expression" dxfId="107" priority="4">
      <formula>ISERROR(INDIRECT(T13))*(BS13=0)*AD13</formula>
    </cfRule>
  </conditionalFormatting>
  <conditionalFormatting sqref="R13:S171">
    <cfRule type="expression" dxfId="106" priority="3">
      <formula>$AD13*($AQ13=1)*(P13="")</formula>
    </cfRule>
  </conditionalFormatting>
  <conditionalFormatting sqref="M13:M171">
    <cfRule type="expression" dxfId="105" priority="1" stopIfTrue="1">
      <formula>($AQ13=1)</formula>
    </cfRule>
    <cfRule type="expression" dxfId="104" priority="2" stopIfTrue="1">
      <formula>($AQ13=2)+($AQ13=3)</formula>
    </cfRule>
  </conditionalFormatting>
  <conditionalFormatting sqref="G13:G171 C13:C171">
    <cfRule type="expression" dxfId="103" priority="13" stopIfTrue="1">
      <formula>($AQ13=2)*($BL13=2)</formula>
    </cfRule>
    <cfRule type="expression" dxfId="102" priority="14" stopIfTrue="1">
      <formula>($AQ13=2)*($BL13=1)</formula>
    </cfRule>
    <cfRule type="expression" dxfId="101" priority="15" stopIfTrue="1">
      <formula>($AQ13=1)*($BL13=2)</formula>
    </cfRule>
    <cfRule type="expression" dxfId="100" priority="16" stopIfTrue="1">
      <formula>($AQ13=1)*($BL13=1)</formula>
    </cfRule>
  </conditionalFormatting>
  <conditionalFormatting sqref="K13:L171">
    <cfRule type="expression" dxfId="99" priority="9" stopIfTrue="1">
      <formula>(K13&lt;&gt;"")*NOT(ISNUMBER(K13))</formula>
    </cfRule>
    <cfRule type="expression" dxfId="98" priority="10">
      <formula>($AQ13=1)*$AD13</formula>
    </cfRule>
  </conditionalFormatting>
  <conditionalFormatting sqref="V13:V171">
    <cfRule type="expression" dxfId="97" priority="11" stopIfTrue="1">
      <formula>DC13</formula>
    </cfRule>
    <cfRule type="expression" dxfId="96" priority="12">
      <formula>$AD13*(($AQ13=4)+($AQ13=1))</formula>
    </cfRule>
  </conditionalFormatting>
  <conditionalFormatting sqref="C13:C171">
    <cfRule type="expression" dxfId="95" priority="17" stopIfTrue="1">
      <formula>BV13</formula>
    </cfRule>
    <cfRule type="expression" dxfId="94" priority="18">
      <formula>($A13=$C$2+1)</formula>
    </cfRule>
  </conditionalFormatting>
  <conditionalFormatting sqref="H13:I171">
    <cfRule type="expression" dxfId="93" priority="19" stopIfTrue="1">
      <formula>$BY13</formula>
    </cfRule>
    <cfRule type="expression" dxfId="92" priority="20">
      <formula>($AQ13=2)*$AD13</formula>
    </cfRule>
  </conditionalFormatting>
  <conditionalFormatting sqref="B13:AC171">
    <cfRule type="expression" dxfId="91" priority="22" stopIfTrue="1">
      <formula>BQ13</formula>
    </cfRule>
    <cfRule type="expression" dxfId="90" priority="23" stopIfTrue="1">
      <formula>BY13</formula>
    </cfRule>
  </conditionalFormatting>
  <conditionalFormatting sqref="H13:I171 A13:B171">
    <cfRule type="expression" dxfId="89" priority="24" stopIfTrue="1">
      <formula>$DB13</formula>
    </cfRule>
    <cfRule type="expression" dxfId="88" priority="25" stopIfTrue="1">
      <formula>$BX13</formula>
    </cfRule>
  </conditionalFormatting>
  <conditionalFormatting sqref="Q13:R171">
    <cfRule type="expression" dxfId="87" priority="26">
      <formula>$AD13*($AQ13=1)*(Q13)</formula>
    </cfRule>
    <cfRule type="expression" dxfId="86" priority="27">
      <formula>$AD13*($AQ13=1)*NOT(Q13)*(Q13&lt;&gt;"")</formula>
    </cfRule>
  </conditionalFormatting>
  <conditionalFormatting sqref="Q13:Q171">
    <cfRule type="expression" dxfId="85" priority="30" stopIfTrue="1">
      <formula>$CC13</formula>
    </cfRule>
    <cfRule type="expression" dxfId="84" priority="31">
      <formula>$AD13*($AQ13=1)*(Q13="")*(($K13&lt;&gt;"")+($K13&gt;2)+($L13&lt;&gt;"")+($L13&gt;2))</formula>
    </cfRule>
  </conditionalFormatting>
  <conditionalFormatting sqref="P13:P171">
    <cfRule type="expression" dxfId="83" priority="33" stopIfTrue="1">
      <formula>($AQ13=2)*(P13&lt;&gt;"")</formula>
    </cfRule>
    <cfRule type="expression" dxfId="82" priority="34" stopIfTrue="1">
      <formula>($AQ13=1)*(((P13&lt;&gt;1)+(P13&lt;&gt;2)+(P13&lt;&gt;3)+(P13&lt;&gt;""))=4)</formula>
    </cfRule>
    <cfRule type="expression" dxfId="81" priority="35">
      <formula>$AD13*($AQ13=1)*($P13=2)</formula>
    </cfRule>
    <cfRule type="expression" dxfId="80" priority="36">
      <formula>$AD13*($AQ13=1)*($P13=1)</formula>
    </cfRule>
    <cfRule type="expression" dxfId="79" priority="37">
      <formula>$AD13*($AQ13=1)*($P13=3)</formula>
    </cfRule>
    <cfRule type="expression" dxfId="78" priority="38">
      <formula>$AD13*($AQ13=1)*(P13="")*(($K13&lt;&gt;"")+($K13&gt;2)+($L13&lt;&gt;"")+($L13&gt;2))*($BL13=1)</formula>
    </cfRule>
  </conditionalFormatting>
  <conditionalFormatting sqref="J13:J171">
    <cfRule type="expression" dxfId="77" priority="39" stopIfTrue="1">
      <formula>#REF!</formula>
    </cfRule>
    <cfRule type="expression" dxfId="76" priority="40" stopIfTrue="1">
      <formula>($AQ13=1)*$AD13</formula>
    </cfRule>
  </conditionalFormatting>
  <conditionalFormatting sqref="G13:G171">
    <cfRule type="expression" dxfId="75" priority="47" stopIfTrue="1">
      <formula>$CG13</formula>
    </cfRule>
    <cfRule type="expression" dxfId="74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AD783"/>
  <sheetViews>
    <sheetView tabSelected="1" zoomScale="175" zoomScaleNormal="175" workbookViewId="0">
      <pane xSplit="1" ySplit="2" topLeftCell="N3" activePane="bottomRight" state="frozenSplit"/>
      <selection pane="topRight" activeCell="B1" sqref="B1"/>
      <selection pane="bottomLeft" activeCell="A3" sqref="A3"/>
      <selection pane="bottomRight" activeCell="R16" sqref="R16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1" bestFit="1" customWidth="1"/>
    <col min="8" max="8" width="10.7109375" style="31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9" width="10.7109375" style="31" customWidth="1"/>
    <col min="20" max="20" width="10.85546875" style="31" bestFit="1" customWidth="1"/>
    <col min="21" max="22" width="10.7109375" style="31" customWidth="1"/>
    <col min="23" max="23" width="10.7109375" style="31" bestFit="1" customWidth="1"/>
    <col min="24" max="25" width="10.7109375" style="31" customWidth="1"/>
    <col min="26" max="26" width="10.7109375" style="31" bestFit="1" customWidth="1"/>
    <col min="27" max="27" width="9.28515625" style="31" customWidth="1"/>
    <col min="28" max="28" width="12.7109375" style="31" customWidth="1"/>
    <col min="29" max="29" width="10.7109375" style="31" bestFit="1" customWidth="1"/>
    <col min="30" max="30" width="9.28515625" style="31" customWidth="1"/>
    <col min="31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30">
      <c r="A1" s="32" t="str">
        <f ca="1">IF(NOW(),"Lp")</f>
        <v>Lp</v>
      </c>
      <c r="B1" s="32" t="s">
        <v>454</v>
      </c>
      <c r="C1" s="32" t="s">
        <v>455</v>
      </c>
      <c r="D1" s="32" t="s">
        <v>456</v>
      </c>
      <c r="E1" s="32"/>
      <c r="F1" s="32" t="s">
        <v>457</v>
      </c>
      <c r="G1" s="32" t="s">
        <v>458</v>
      </c>
      <c r="H1" s="32" t="s">
        <v>459</v>
      </c>
      <c r="I1" s="32" t="s">
        <v>460</v>
      </c>
      <c r="J1" s="32" t="s">
        <v>455</v>
      </c>
      <c r="K1" s="32" t="s">
        <v>455</v>
      </c>
      <c r="L1" s="32" t="s">
        <v>461</v>
      </c>
      <c r="M1" s="32" t="s">
        <v>462</v>
      </c>
      <c r="N1" s="32" t="s">
        <v>463</v>
      </c>
      <c r="O1" s="32" t="s">
        <v>464</v>
      </c>
      <c r="P1" s="32" t="s">
        <v>464</v>
      </c>
      <c r="Q1" s="32" t="s">
        <v>465</v>
      </c>
      <c r="R1" s="32" t="s">
        <v>466</v>
      </c>
      <c r="S1" s="32" t="s">
        <v>517</v>
      </c>
      <c r="T1" s="32" t="s">
        <v>555</v>
      </c>
      <c r="U1" s="32" t="s">
        <v>515</v>
      </c>
      <c r="V1" s="32" t="s">
        <v>467</v>
      </c>
      <c r="W1" s="32" t="s">
        <v>513</v>
      </c>
      <c r="X1" s="32" t="s">
        <v>533</v>
      </c>
      <c r="Y1" s="32" t="s">
        <v>534</v>
      </c>
      <c r="Z1" s="32" t="s">
        <v>535</v>
      </c>
      <c r="AA1" s="32" t="s">
        <v>537</v>
      </c>
      <c r="AB1" s="32" t="s">
        <v>548</v>
      </c>
      <c r="AC1" s="32" t="s">
        <v>549</v>
      </c>
      <c r="AD1" s="32" t="s">
        <v>543</v>
      </c>
    </row>
    <row r="2" spans="1:30">
      <c r="A2" s="31" t="s">
        <v>468</v>
      </c>
      <c r="B2" s="32" t="s">
        <v>469</v>
      </c>
      <c r="C2" s="32" t="s">
        <v>470</v>
      </c>
      <c r="D2" s="32" t="s">
        <v>471</v>
      </c>
      <c r="E2" s="32"/>
      <c r="F2" s="32" t="s">
        <v>472</v>
      </c>
      <c r="G2" s="32" t="s">
        <v>473</v>
      </c>
      <c r="H2" s="32" t="s">
        <v>474</v>
      </c>
      <c r="I2" s="32" t="s">
        <v>553</v>
      </c>
      <c r="J2" s="32" t="s">
        <v>475</v>
      </c>
      <c r="K2" s="32" t="s">
        <v>476</v>
      </c>
      <c r="L2" s="32" t="s">
        <v>477</v>
      </c>
      <c r="M2" s="32" t="s">
        <v>552</v>
      </c>
      <c r="N2" s="32" t="s">
        <v>478</v>
      </c>
      <c r="O2" s="32" t="s">
        <v>479</v>
      </c>
      <c r="P2" s="32" t="s">
        <v>480</v>
      </c>
      <c r="Q2" s="32" t="s">
        <v>481</v>
      </c>
      <c r="R2" s="32" t="s">
        <v>482</v>
      </c>
      <c r="S2" s="32" t="s">
        <v>518</v>
      </c>
      <c r="T2" s="32" t="s">
        <v>419</v>
      </c>
      <c r="U2" s="32" t="s">
        <v>516</v>
      </c>
      <c r="V2" s="32" t="s">
        <v>483</v>
      </c>
      <c r="W2" s="32" t="s">
        <v>514</v>
      </c>
      <c r="X2" s="32" t="s">
        <v>530</v>
      </c>
      <c r="Y2" s="32" t="s">
        <v>531</v>
      </c>
      <c r="Z2" s="32" t="s">
        <v>532</v>
      </c>
      <c r="AA2" s="32" t="s">
        <v>536</v>
      </c>
      <c r="AB2" s="32" t="s">
        <v>546</v>
      </c>
      <c r="AC2" s="32" t="s">
        <v>547</v>
      </c>
      <c r="AD2" s="32" t="s">
        <v>542</v>
      </c>
    </row>
    <row r="3" spans="1:30" ht="13.5" customHeight="1">
      <c r="A3" s="32" t="s">
        <v>484</v>
      </c>
      <c r="B3" s="31" t="s">
        <v>485</v>
      </c>
      <c r="C3" s="31">
        <v>23</v>
      </c>
      <c r="D3" s="31">
        <v>3</v>
      </c>
      <c r="F3" s="31">
        <v>2</v>
      </c>
      <c r="G3" s="31">
        <v>2</v>
      </c>
      <c r="H3" s="31">
        <v>1</v>
      </c>
      <c r="J3" s="31">
        <v>3</v>
      </c>
      <c r="L3" s="31">
        <v>43</v>
      </c>
      <c r="M3" s="31">
        <v>9</v>
      </c>
      <c r="N3" s="31">
        <v>0.14000000000000001</v>
      </c>
      <c r="O3" s="31">
        <v>42773</v>
      </c>
      <c r="P3" s="31">
        <v>42773</v>
      </c>
      <c r="Q3" s="31">
        <v>1</v>
      </c>
      <c r="R3" s="31">
        <v>0</v>
      </c>
      <c r="S3" s="31">
        <f>Q3*2+R3+1</f>
        <v>3</v>
      </c>
      <c r="T3" s="31">
        <f>1*(INT(S3/2)&lt;&gt;S3/2)</f>
        <v>1</v>
      </c>
      <c r="U3" s="31">
        <v>1</v>
      </c>
      <c r="V3" s="31">
        <v>3</v>
      </c>
      <c r="W3" s="31">
        <v>1</v>
      </c>
      <c r="X3" s="31">
        <f ca="1">INT(RAND()*10)</f>
        <v>0</v>
      </c>
      <c r="Y3" s="31">
        <f t="shared" ref="Y3:AA3" ca="1" si="0">INT(RAND()*10)</f>
        <v>6</v>
      </c>
      <c r="Z3" s="31">
        <f t="shared" ca="1" si="0"/>
        <v>3</v>
      </c>
      <c r="AA3" s="31">
        <f t="shared" ca="1" si="0"/>
        <v>0</v>
      </c>
      <c r="AB3" s="31">
        <f ca="1">SUM(W3:Z3)</f>
        <v>10</v>
      </c>
      <c r="AC3" s="31">
        <f ca="1">SUM(X3:AA3)</f>
        <v>9</v>
      </c>
      <c r="AD3" s="31">
        <f ca="1">IF(SUM(X3:AA3)&gt;20,20,SUM(X3:AA3))</f>
        <v>9</v>
      </c>
    </row>
    <row r="4" spans="1:30" ht="13.5" customHeight="1">
      <c r="A4" s="32" t="s">
        <v>486</v>
      </c>
      <c r="B4" s="31" t="s">
        <v>487</v>
      </c>
      <c r="C4" s="31">
        <v>43</v>
      </c>
      <c r="D4" s="31">
        <v>4</v>
      </c>
      <c r="J4" s="31">
        <v>3</v>
      </c>
      <c r="L4" s="31">
        <v>52</v>
      </c>
      <c r="N4" s="31">
        <v>5</v>
      </c>
      <c r="O4" s="31">
        <v>42773</v>
      </c>
      <c r="P4" s="31">
        <v>42773</v>
      </c>
      <c r="Q4" s="31">
        <v>2</v>
      </c>
      <c r="R4" s="31">
        <v>1</v>
      </c>
      <c r="S4" s="31">
        <f t="shared" ref="S4:S12" si="1">Q4*2+R4+1</f>
        <v>6</v>
      </c>
      <c r="T4" s="31">
        <f t="shared" ref="T4:T12" si="2">1*(INT(S4/2)&lt;&gt;S4/2)</f>
        <v>0</v>
      </c>
      <c r="U4" s="31">
        <v>3</v>
      </c>
      <c r="V4" s="31">
        <v>4</v>
      </c>
      <c r="W4" s="31">
        <v>2</v>
      </c>
      <c r="X4" s="31">
        <f t="shared" ref="X4:AA12" ca="1" si="3">INT(RAND()*10)</f>
        <v>2</v>
      </c>
      <c r="Y4" s="31">
        <f t="shared" ca="1" si="3"/>
        <v>6</v>
      </c>
      <c r="Z4" s="31">
        <f t="shared" ca="1" si="3"/>
        <v>2</v>
      </c>
      <c r="AA4" s="31">
        <f t="shared" ca="1" si="3"/>
        <v>8</v>
      </c>
      <c r="AB4" s="31">
        <f t="shared" ref="AB4:AC12" ca="1" si="4">SUM(W4:Z4)</f>
        <v>12</v>
      </c>
      <c r="AC4" s="31">
        <f t="shared" ca="1" si="4"/>
        <v>18</v>
      </c>
      <c r="AD4" s="31">
        <f t="shared" ref="AD4:AD12" ca="1" si="5">IF(SUM(X4:AA4)&gt;20,20,SUM(X4:AA4))</f>
        <v>18</v>
      </c>
    </row>
    <row r="5" spans="1:30" ht="13.5" customHeight="1">
      <c r="A5" s="32" t="s">
        <v>488</v>
      </c>
      <c r="B5" s="31" t="s">
        <v>489</v>
      </c>
      <c r="C5" s="31" t="s">
        <v>490</v>
      </c>
      <c r="D5" s="31">
        <v>1</v>
      </c>
      <c r="F5" s="31">
        <v>1</v>
      </c>
      <c r="G5" s="31">
        <v>1</v>
      </c>
      <c r="H5" s="31">
        <v>3</v>
      </c>
      <c r="J5" s="31">
        <v>9.1</v>
      </c>
      <c r="L5" s="31">
        <v>3</v>
      </c>
      <c r="M5" s="31">
        <v>3</v>
      </c>
      <c r="N5" s="31">
        <v>6</v>
      </c>
      <c r="O5" s="31" t="s">
        <v>364</v>
      </c>
      <c r="Q5" s="31">
        <v>2</v>
      </c>
      <c r="R5" s="31">
        <v>1</v>
      </c>
      <c r="S5" s="31">
        <v>8</v>
      </c>
      <c r="T5" s="31">
        <f t="shared" si="2"/>
        <v>0</v>
      </c>
      <c r="U5" s="31">
        <v>4</v>
      </c>
      <c r="V5" s="31">
        <v>1</v>
      </c>
      <c r="W5" s="31">
        <v>2</v>
      </c>
      <c r="X5" s="31">
        <f t="shared" ca="1" si="3"/>
        <v>5</v>
      </c>
      <c r="Y5" s="31">
        <f t="shared" ca="1" si="3"/>
        <v>0</v>
      </c>
      <c r="Z5" s="31">
        <f t="shared" ca="1" si="3"/>
        <v>3</v>
      </c>
      <c r="AA5" s="31">
        <f t="shared" ca="1" si="3"/>
        <v>5</v>
      </c>
      <c r="AB5" s="31">
        <f t="shared" ca="1" si="4"/>
        <v>10</v>
      </c>
      <c r="AC5" s="31">
        <f t="shared" ca="1" si="4"/>
        <v>13</v>
      </c>
      <c r="AD5" s="31">
        <f t="shared" ca="1" si="5"/>
        <v>13</v>
      </c>
    </row>
    <row r="6" spans="1:30" ht="13.5" customHeight="1">
      <c r="A6" s="32" t="s">
        <v>491</v>
      </c>
      <c r="B6" s="31" t="s">
        <v>492</v>
      </c>
      <c r="C6" s="31">
        <v>3</v>
      </c>
      <c r="D6" s="31">
        <v>4</v>
      </c>
      <c r="F6" s="31">
        <v>3</v>
      </c>
      <c r="G6" s="31">
        <v>3</v>
      </c>
      <c r="H6" s="31">
        <v>3</v>
      </c>
      <c r="J6" s="31">
        <v>3</v>
      </c>
      <c r="K6" s="31">
        <v>4</v>
      </c>
      <c r="L6" s="31">
        <v>5</v>
      </c>
      <c r="M6" s="31">
        <v>6</v>
      </c>
      <c r="N6" s="31">
        <v>6</v>
      </c>
      <c r="Q6" s="31">
        <v>2</v>
      </c>
      <c r="R6" s="31">
        <v>1</v>
      </c>
      <c r="S6" s="31">
        <f t="shared" si="1"/>
        <v>6</v>
      </c>
      <c r="T6" s="31">
        <f t="shared" si="2"/>
        <v>0</v>
      </c>
      <c r="U6" s="31">
        <v>2</v>
      </c>
      <c r="V6" s="31" t="s">
        <v>341</v>
      </c>
      <c r="W6" s="31">
        <v>2</v>
      </c>
      <c r="X6" s="31">
        <f t="shared" ca="1" si="3"/>
        <v>5</v>
      </c>
      <c r="Y6" s="31">
        <f t="shared" ca="1" si="3"/>
        <v>9</v>
      </c>
      <c r="Z6" s="31">
        <f t="shared" ca="1" si="3"/>
        <v>0</v>
      </c>
      <c r="AA6" s="31">
        <f t="shared" ca="1" si="3"/>
        <v>4</v>
      </c>
      <c r="AB6" s="31">
        <f t="shared" ca="1" si="4"/>
        <v>16</v>
      </c>
      <c r="AC6" s="31">
        <f t="shared" ca="1" si="4"/>
        <v>18</v>
      </c>
      <c r="AD6" s="31">
        <f t="shared" ca="1" si="5"/>
        <v>18</v>
      </c>
    </row>
    <row r="7" spans="1:30" ht="13.5" customHeight="1">
      <c r="A7" s="32" t="s">
        <v>493</v>
      </c>
      <c r="B7" s="31" t="s">
        <v>338</v>
      </c>
      <c r="C7" s="31" t="s">
        <v>341</v>
      </c>
      <c r="D7" s="31">
        <v>4</v>
      </c>
      <c r="F7" s="31">
        <v>4</v>
      </c>
      <c r="G7" s="31">
        <v>4</v>
      </c>
      <c r="H7" s="31">
        <v>4</v>
      </c>
      <c r="J7" s="31">
        <v>1</v>
      </c>
      <c r="L7" s="31">
        <v>10</v>
      </c>
      <c r="M7" s="31">
        <v>4</v>
      </c>
      <c r="N7" s="31">
        <v>3</v>
      </c>
      <c r="O7" s="31">
        <v>42773</v>
      </c>
      <c r="P7" s="31">
        <v>42773</v>
      </c>
      <c r="Q7" s="31">
        <v>1</v>
      </c>
      <c r="R7" s="31">
        <v>0</v>
      </c>
      <c r="S7" s="31">
        <f t="shared" si="1"/>
        <v>3</v>
      </c>
      <c r="T7" s="31">
        <f t="shared" si="2"/>
        <v>1</v>
      </c>
      <c r="U7" s="31">
        <v>3</v>
      </c>
      <c r="V7" s="31" t="s">
        <v>341</v>
      </c>
      <c r="W7" s="31">
        <v>1</v>
      </c>
      <c r="X7" s="31">
        <f t="shared" ca="1" si="3"/>
        <v>7</v>
      </c>
      <c r="Y7" s="31">
        <f t="shared" ca="1" si="3"/>
        <v>2</v>
      </c>
      <c r="Z7" s="31">
        <f t="shared" ca="1" si="3"/>
        <v>1</v>
      </c>
      <c r="AA7" s="31">
        <f t="shared" ca="1" si="3"/>
        <v>3</v>
      </c>
      <c r="AB7" s="31">
        <f t="shared" ca="1" si="4"/>
        <v>11</v>
      </c>
      <c r="AC7" s="31">
        <f t="shared" ca="1" si="4"/>
        <v>13</v>
      </c>
      <c r="AD7" s="31">
        <f t="shared" ca="1" si="5"/>
        <v>13</v>
      </c>
    </row>
    <row r="8" spans="1:30" ht="13.5" customHeight="1">
      <c r="A8" s="32"/>
      <c r="B8" s="31" t="s">
        <v>494</v>
      </c>
      <c r="C8" s="31" t="s">
        <v>341</v>
      </c>
      <c r="F8" s="31" t="s">
        <v>495</v>
      </c>
      <c r="G8" s="31" t="s">
        <v>496</v>
      </c>
      <c r="H8" s="31">
        <v>2</v>
      </c>
      <c r="L8" s="31">
        <v>45</v>
      </c>
      <c r="M8" s="31">
        <v>2</v>
      </c>
      <c r="N8" s="31">
        <v>0.14000000000000001</v>
      </c>
      <c r="Q8" s="31">
        <v>1</v>
      </c>
      <c r="R8" s="31">
        <v>1</v>
      </c>
      <c r="S8" s="31">
        <f t="shared" si="1"/>
        <v>4</v>
      </c>
      <c r="T8" s="31">
        <f t="shared" si="2"/>
        <v>0</v>
      </c>
      <c r="U8" s="31">
        <v>6</v>
      </c>
      <c r="W8" s="31">
        <v>1</v>
      </c>
      <c r="X8" s="31">
        <f t="shared" ca="1" si="3"/>
        <v>4</v>
      </c>
      <c r="Y8" s="31">
        <f t="shared" ca="1" si="3"/>
        <v>8</v>
      </c>
      <c r="Z8" s="31">
        <f t="shared" ca="1" si="3"/>
        <v>8</v>
      </c>
      <c r="AA8" s="31">
        <f t="shared" ca="1" si="3"/>
        <v>4</v>
      </c>
      <c r="AB8" s="31">
        <f t="shared" ca="1" si="4"/>
        <v>21</v>
      </c>
      <c r="AC8" s="31">
        <f t="shared" ca="1" si="4"/>
        <v>24</v>
      </c>
      <c r="AD8" s="31">
        <f t="shared" ca="1" si="5"/>
        <v>20</v>
      </c>
    </row>
    <row r="9" spans="1:30" ht="13.5" customHeight="1">
      <c r="A9" s="32" t="s">
        <v>497</v>
      </c>
      <c r="B9" s="31" t="s">
        <v>498</v>
      </c>
      <c r="C9" s="31">
        <v>43</v>
      </c>
      <c r="D9" s="31">
        <v>4</v>
      </c>
      <c r="F9" s="31" t="s">
        <v>341</v>
      </c>
      <c r="G9" s="31" t="s">
        <v>341</v>
      </c>
      <c r="J9" s="31" t="str">
        <f>"4"</f>
        <v>4</v>
      </c>
      <c r="L9" s="31">
        <v>-32</v>
      </c>
      <c r="N9" s="31">
        <v>3</v>
      </c>
      <c r="O9" s="31">
        <v>38</v>
      </c>
      <c r="P9" s="31">
        <v>38</v>
      </c>
      <c r="Q9" s="31">
        <v>2</v>
      </c>
      <c r="R9" s="31">
        <v>0</v>
      </c>
      <c r="S9" s="31">
        <f t="shared" si="1"/>
        <v>5</v>
      </c>
      <c r="T9" s="31">
        <f t="shared" si="2"/>
        <v>1</v>
      </c>
      <c r="U9" s="31">
        <v>4</v>
      </c>
      <c r="V9" s="31" t="s">
        <v>338</v>
      </c>
      <c r="W9" s="32" t="s">
        <v>338</v>
      </c>
      <c r="X9" s="31">
        <f t="shared" ca="1" si="3"/>
        <v>6</v>
      </c>
      <c r="Y9" s="31">
        <f t="shared" ca="1" si="3"/>
        <v>9</v>
      </c>
      <c r="Z9" s="31">
        <f t="shared" ca="1" si="3"/>
        <v>6</v>
      </c>
      <c r="AA9" s="31">
        <f t="shared" ca="1" si="3"/>
        <v>4</v>
      </c>
      <c r="AB9" s="31">
        <f t="shared" ca="1" si="4"/>
        <v>21</v>
      </c>
      <c r="AC9" s="31">
        <f t="shared" ca="1" si="4"/>
        <v>25</v>
      </c>
      <c r="AD9" s="31">
        <f t="shared" ca="1" si="5"/>
        <v>20</v>
      </c>
    </row>
    <row r="10" spans="1:30" ht="13.5" customHeight="1">
      <c r="A10" s="32" t="s">
        <v>499</v>
      </c>
      <c r="B10" s="31" t="s">
        <v>500</v>
      </c>
      <c r="D10" s="31">
        <v>3</v>
      </c>
      <c r="F10" s="31">
        <v>2</v>
      </c>
      <c r="G10" s="31">
        <v>2</v>
      </c>
      <c r="H10" s="31">
        <v>2</v>
      </c>
      <c r="J10" s="31">
        <v>1</v>
      </c>
      <c r="L10" s="31">
        <v>2</v>
      </c>
      <c r="M10" s="31">
        <v>2</v>
      </c>
      <c r="N10" s="31">
        <v>2</v>
      </c>
      <c r="Q10" s="31">
        <v>2</v>
      </c>
      <c r="R10" s="31">
        <v>0</v>
      </c>
      <c r="S10" s="31">
        <f t="shared" si="1"/>
        <v>5</v>
      </c>
      <c r="T10" s="31">
        <f t="shared" si="2"/>
        <v>1</v>
      </c>
      <c r="U10" s="31">
        <v>10</v>
      </c>
      <c r="V10" s="31">
        <v>3</v>
      </c>
      <c r="W10" s="31">
        <v>2</v>
      </c>
      <c r="X10" s="31">
        <f t="shared" ca="1" si="3"/>
        <v>3</v>
      </c>
      <c r="Y10" s="31">
        <f t="shared" ca="1" si="3"/>
        <v>1</v>
      </c>
      <c r="Z10" s="31">
        <f t="shared" ca="1" si="3"/>
        <v>5</v>
      </c>
      <c r="AA10" s="31">
        <f t="shared" ca="1" si="3"/>
        <v>7</v>
      </c>
      <c r="AB10" s="31">
        <f t="shared" ca="1" si="4"/>
        <v>11</v>
      </c>
      <c r="AC10" s="31">
        <f t="shared" ca="1" si="4"/>
        <v>16</v>
      </c>
      <c r="AD10" s="31">
        <f t="shared" ca="1" si="5"/>
        <v>16</v>
      </c>
    </row>
    <row r="11" spans="1:30" ht="13.5" customHeight="1">
      <c r="A11" s="32" t="s">
        <v>501</v>
      </c>
      <c r="C11" s="31">
        <v>43</v>
      </c>
      <c r="D11" s="31">
        <v>4</v>
      </c>
      <c r="F11" s="31">
        <v>1</v>
      </c>
      <c r="G11" s="31">
        <v>1</v>
      </c>
      <c r="H11" s="31">
        <v>1</v>
      </c>
      <c r="J11" s="31">
        <v>3</v>
      </c>
      <c r="L11" s="31">
        <v>3</v>
      </c>
      <c r="M11" s="31">
        <v>-2</v>
      </c>
      <c r="N11" s="31">
        <v>3</v>
      </c>
      <c r="O11" s="31">
        <v>42773</v>
      </c>
      <c r="P11" s="31">
        <v>42773</v>
      </c>
      <c r="S11" s="31">
        <f t="shared" si="1"/>
        <v>1</v>
      </c>
      <c r="T11" s="31">
        <f t="shared" si="2"/>
        <v>1</v>
      </c>
      <c r="U11" s="31">
        <v>2</v>
      </c>
      <c r="V11" s="31">
        <v>4</v>
      </c>
      <c r="X11" s="31">
        <f t="shared" ca="1" si="3"/>
        <v>3</v>
      </c>
      <c r="Y11" s="31">
        <f t="shared" ca="1" si="3"/>
        <v>4</v>
      </c>
      <c r="Z11" s="31">
        <f t="shared" ca="1" si="3"/>
        <v>7</v>
      </c>
      <c r="AA11" s="31">
        <f t="shared" ca="1" si="3"/>
        <v>3</v>
      </c>
      <c r="AB11" s="31">
        <f t="shared" ca="1" si="4"/>
        <v>14</v>
      </c>
      <c r="AC11" s="31">
        <f t="shared" ca="1" si="4"/>
        <v>17</v>
      </c>
      <c r="AD11" s="31">
        <f t="shared" ca="1" si="5"/>
        <v>17</v>
      </c>
    </row>
    <row r="12" spans="1:30" ht="13.5" customHeight="1">
      <c r="A12" s="32" t="s">
        <v>502</v>
      </c>
      <c r="C12" s="31" t="e">
        <f t="shared" ref="C12:H12" si="6">1/0</f>
        <v>#DIV/0!</v>
      </c>
      <c r="D12" s="31" t="e">
        <v>#DIV/0!</v>
      </c>
      <c r="E12" s="31" t="e">
        <f t="shared" si="6"/>
        <v>#DIV/0!</v>
      </c>
      <c r="F12" s="31" t="e">
        <f t="shared" si="6"/>
        <v>#DIV/0!</v>
      </c>
      <c r="G12" s="31" t="e">
        <f t="shared" si="6"/>
        <v>#DIV/0!</v>
      </c>
      <c r="H12" s="31" t="e">
        <f t="shared" si="6"/>
        <v>#DIV/0!</v>
      </c>
      <c r="J12" s="31">
        <v>4</v>
      </c>
      <c r="L12" s="31">
        <v>-10</v>
      </c>
      <c r="M12" s="31" t="e">
        <f>1/0</f>
        <v>#DIV/0!</v>
      </c>
      <c r="N12" s="31">
        <v>0.98</v>
      </c>
      <c r="S12" s="31">
        <f t="shared" si="1"/>
        <v>1</v>
      </c>
      <c r="T12" s="31">
        <f t="shared" si="2"/>
        <v>1</v>
      </c>
      <c r="U12" s="31">
        <v>3</v>
      </c>
      <c r="V12" s="31" t="e">
        <v>#DIV/0!</v>
      </c>
      <c r="W12" s="31">
        <v>2</v>
      </c>
      <c r="X12" s="31">
        <f t="shared" ca="1" si="3"/>
        <v>1</v>
      </c>
      <c r="Y12" s="31">
        <f t="shared" ca="1" si="3"/>
        <v>5</v>
      </c>
      <c r="Z12" s="31">
        <f t="shared" ca="1" si="3"/>
        <v>5</v>
      </c>
      <c r="AA12" s="31">
        <f t="shared" ca="1" si="3"/>
        <v>0</v>
      </c>
      <c r="AB12" s="31">
        <f t="shared" ca="1" si="4"/>
        <v>13</v>
      </c>
      <c r="AC12" s="31">
        <f t="shared" ca="1" si="4"/>
        <v>11</v>
      </c>
      <c r="AD12" s="31">
        <f t="shared" ca="1" si="5"/>
        <v>11</v>
      </c>
    </row>
    <row r="13" spans="1:30" ht="13.5" customHeight="1">
      <c r="A13" s="32"/>
    </row>
    <row r="14" spans="1:30" ht="13.5" customHeight="1">
      <c r="A14" s="32"/>
    </row>
    <row r="15" spans="1:30" ht="13.5" customHeight="1">
      <c r="A15" s="32"/>
    </row>
    <row r="16" spans="1:30" ht="13.5" customHeight="1">
      <c r="A16" s="32"/>
    </row>
    <row r="17" spans="1:1" ht="13.5" customHeight="1">
      <c r="A17" s="32"/>
    </row>
    <row r="18" spans="1:1" ht="13.5" customHeight="1">
      <c r="A18" s="32"/>
    </row>
    <row r="19" spans="1:1" ht="13.5" customHeight="1">
      <c r="A19" s="32"/>
    </row>
    <row r="20" spans="1:1" ht="13.5" customHeight="1">
      <c r="A20" s="32"/>
    </row>
    <row r="21" spans="1:1" ht="13.5" customHeight="1">
      <c r="A21" s="32"/>
    </row>
    <row r="22" spans="1:1" ht="13.5" customHeight="1">
      <c r="A22" s="32"/>
    </row>
    <row r="23" spans="1:1" ht="13.5" customHeight="1">
      <c r="A23" s="32"/>
    </row>
    <row r="24" spans="1:1" ht="13.5" customHeight="1">
      <c r="A24" s="32"/>
    </row>
    <row r="25" spans="1:1" ht="13.5" customHeight="1">
      <c r="A25" s="32"/>
    </row>
    <row r="26" spans="1:1" ht="13.5" customHeight="1">
      <c r="A26" s="32"/>
    </row>
    <row r="27" spans="1:1" ht="13.5" customHeight="1">
      <c r="A27" s="32"/>
    </row>
    <row r="28" spans="1:1" ht="13.5" customHeight="1">
      <c r="A28" s="32"/>
    </row>
    <row r="29" spans="1:1" ht="13.5" customHeight="1">
      <c r="A29" s="32"/>
    </row>
    <row r="30" spans="1:1" ht="13.5" customHeight="1">
      <c r="A30" s="32"/>
    </row>
    <row r="31" spans="1:1" ht="13.5" customHeight="1">
      <c r="A31" s="32"/>
    </row>
    <row r="32" spans="1:1" ht="13.5" customHeight="1">
      <c r="A32" s="32"/>
    </row>
    <row r="33" spans="1:1" ht="13.5" customHeight="1">
      <c r="A33" s="32"/>
    </row>
    <row r="34" spans="1:1" ht="13.5" customHeight="1">
      <c r="A34" s="32"/>
    </row>
    <row r="35" spans="1:1" ht="13.5" customHeight="1">
      <c r="A35" s="32"/>
    </row>
    <row r="36" spans="1:1" ht="13.5" customHeight="1">
      <c r="A36" s="32"/>
    </row>
    <row r="37" spans="1:1" ht="13.5" customHeight="1">
      <c r="A37" s="32"/>
    </row>
    <row r="38" spans="1:1" ht="13.5" customHeight="1">
      <c r="A38" s="32"/>
    </row>
    <row r="39" spans="1:1" ht="13.5" customHeight="1">
      <c r="A39" s="32"/>
    </row>
    <row r="40" spans="1:1" ht="13.5" customHeight="1">
      <c r="A40" s="32"/>
    </row>
    <row r="41" spans="1:1" ht="13.5" customHeight="1">
      <c r="A41" s="32"/>
    </row>
    <row r="42" spans="1:1" ht="13.5" customHeight="1">
      <c r="A42" s="32"/>
    </row>
    <row r="43" spans="1:1" ht="13.5" customHeight="1">
      <c r="A43" s="32"/>
    </row>
    <row r="44" spans="1:1" ht="13.5" customHeight="1">
      <c r="A44" s="32"/>
    </row>
    <row r="45" spans="1:1" ht="13.5" customHeight="1">
      <c r="A45" s="32"/>
    </row>
    <row r="46" spans="1:1" ht="13.5" customHeight="1">
      <c r="A46" s="32"/>
    </row>
    <row r="47" spans="1:1" ht="13.5" customHeight="1">
      <c r="A47" s="32"/>
    </row>
    <row r="48" spans="1:1" ht="13.5" customHeight="1">
      <c r="A48" s="32"/>
    </row>
    <row r="49" spans="1:1" ht="13.5" customHeight="1">
      <c r="A49" s="32"/>
    </row>
    <row r="50" spans="1:1" ht="13.5" customHeight="1">
      <c r="A50" s="32"/>
    </row>
    <row r="51" spans="1:1" ht="13.5" customHeight="1">
      <c r="A51" s="32"/>
    </row>
    <row r="52" spans="1:1" ht="13.5" customHeight="1">
      <c r="A52" s="32"/>
    </row>
    <row r="53" spans="1:1" ht="13.5" customHeight="1">
      <c r="A53" s="32"/>
    </row>
    <row r="54" spans="1:1" ht="13.5" customHeight="1">
      <c r="A54" s="32"/>
    </row>
    <row r="55" spans="1:1" ht="13.5" customHeight="1">
      <c r="A55" s="32"/>
    </row>
    <row r="56" spans="1:1" ht="13.5" customHeight="1">
      <c r="A56" s="32"/>
    </row>
    <row r="57" spans="1:1" ht="13.5" customHeight="1">
      <c r="A57" s="32"/>
    </row>
    <row r="58" spans="1:1" ht="13.5" customHeight="1">
      <c r="A58" s="32"/>
    </row>
    <row r="59" spans="1:1" ht="13.5" customHeight="1">
      <c r="A59" s="32"/>
    </row>
    <row r="60" spans="1:1" ht="13.5" customHeight="1">
      <c r="A60" s="32"/>
    </row>
    <row r="61" spans="1:1" ht="13.5" customHeight="1">
      <c r="A61" s="32"/>
    </row>
    <row r="62" spans="1:1" ht="13.5" customHeight="1">
      <c r="A62" s="32"/>
    </row>
    <row r="63" spans="1:1" ht="13.5" customHeight="1">
      <c r="A63" s="32"/>
    </row>
    <row r="64" spans="1:1" ht="13.5" customHeight="1">
      <c r="A64" s="32"/>
    </row>
    <row r="65" spans="1:1" ht="13.5" customHeight="1">
      <c r="A65" s="32"/>
    </row>
    <row r="66" spans="1:1" ht="13.5" customHeight="1">
      <c r="A66" s="32"/>
    </row>
    <row r="67" spans="1:1" ht="13.5" customHeight="1">
      <c r="A67" s="32"/>
    </row>
    <row r="68" spans="1:1" ht="13.5" customHeight="1">
      <c r="A68" s="32"/>
    </row>
    <row r="69" spans="1:1" ht="13.5" customHeight="1">
      <c r="A69" s="32"/>
    </row>
    <row r="70" spans="1:1" ht="13.5" customHeight="1">
      <c r="A70" s="32"/>
    </row>
    <row r="71" spans="1:1" ht="13.5" customHeight="1">
      <c r="A71" s="32"/>
    </row>
    <row r="72" spans="1:1" ht="13.5" customHeight="1">
      <c r="A72" s="32"/>
    </row>
    <row r="73" spans="1:1" ht="13.5" customHeight="1">
      <c r="A73" s="32"/>
    </row>
    <row r="74" spans="1:1" ht="13.5" customHeight="1">
      <c r="A74" s="32"/>
    </row>
    <row r="75" spans="1:1" ht="13.5" customHeight="1">
      <c r="A75" s="32"/>
    </row>
    <row r="76" spans="1:1" ht="13.5" customHeight="1">
      <c r="A76" s="32"/>
    </row>
    <row r="77" spans="1:1" ht="13.5" customHeight="1">
      <c r="A77" s="32"/>
    </row>
    <row r="78" spans="1:1" ht="13.5" customHeight="1">
      <c r="A78" s="32"/>
    </row>
    <row r="79" spans="1:1" ht="13.5" customHeight="1">
      <c r="A79" s="32"/>
    </row>
    <row r="80" spans="1:1" ht="13.5" customHeight="1">
      <c r="A80" s="32"/>
    </row>
    <row r="81" spans="1:10" ht="13.5" customHeight="1">
      <c r="A81" s="32"/>
    </row>
    <row r="82" spans="1:10" ht="13.5" customHeight="1">
      <c r="A82" s="32"/>
      <c r="J82" s="32"/>
    </row>
    <row r="83" spans="1:10" ht="13.5" customHeight="1">
      <c r="A83" s="32"/>
    </row>
    <row r="84" spans="1:10" ht="13.5" customHeight="1">
      <c r="A84" s="32"/>
    </row>
    <row r="85" spans="1:10" ht="13.5" customHeight="1">
      <c r="A85" s="32"/>
    </row>
    <row r="86" spans="1:10" ht="13.5" customHeight="1">
      <c r="A86" s="32"/>
    </row>
    <row r="87" spans="1:10" ht="13.5" customHeight="1">
      <c r="A87" s="32"/>
    </row>
    <row r="88" spans="1:10" ht="13.5" customHeight="1">
      <c r="A88" s="32"/>
    </row>
    <row r="89" spans="1:10" ht="13.5" customHeight="1">
      <c r="A89" s="32"/>
    </row>
    <row r="90" spans="1:10" ht="13.5" customHeight="1">
      <c r="A90" s="32"/>
    </row>
    <row r="91" spans="1:10" ht="13.5" customHeight="1">
      <c r="A91" s="32"/>
    </row>
    <row r="92" spans="1:10" ht="13.5" customHeight="1">
      <c r="A92" s="32"/>
    </row>
    <row r="93" spans="1:10" ht="13.5" customHeight="1">
      <c r="A93" s="32"/>
    </row>
    <row r="94" spans="1:10" ht="13.5" customHeight="1">
      <c r="A94" s="32"/>
    </row>
    <row r="95" spans="1:10" ht="13.5" customHeight="1">
      <c r="A95" s="32"/>
    </row>
    <row r="96" spans="1:10" ht="13.5" customHeight="1">
      <c r="A96" s="32"/>
    </row>
    <row r="97" spans="1:1" ht="13.5" customHeight="1">
      <c r="A97" s="32"/>
    </row>
    <row r="98" spans="1:1" ht="13.5" customHeight="1">
      <c r="A98" s="32"/>
    </row>
    <row r="99" spans="1:1" ht="13.5" customHeight="1">
      <c r="A99" s="32"/>
    </row>
    <row r="100" spans="1:1" ht="13.5" customHeight="1">
      <c r="A100" s="32"/>
    </row>
    <row r="101" spans="1:1" ht="13.5" customHeight="1">
      <c r="A101" s="32"/>
    </row>
    <row r="102" spans="1:1" ht="13.5" customHeight="1">
      <c r="A102" s="32"/>
    </row>
    <row r="103" spans="1:1" ht="13.5" customHeight="1">
      <c r="A103" s="32"/>
    </row>
    <row r="104" spans="1:1" ht="13.5" customHeight="1">
      <c r="A104" s="32"/>
    </row>
    <row r="105" spans="1:1" ht="13.5" customHeight="1">
      <c r="A105" s="32"/>
    </row>
    <row r="106" spans="1:1" ht="13.5" customHeight="1">
      <c r="A106" s="32"/>
    </row>
    <row r="107" spans="1:1" ht="13.5" customHeight="1">
      <c r="A107" s="32"/>
    </row>
    <row r="108" spans="1:1" ht="13.5" customHeight="1">
      <c r="A108" s="32"/>
    </row>
    <row r="109" spans="1:1" ht="13.5" customHeight="1">
      <c r="A109" s="32"/>
    </row>
    <row r="110" spans="1:1" ht="13.5" customHeight="1">
      <c r="A110" s="32"/>
    </row>
    <row r="111" spans="1:1" ht="13.5" customHeight="1">
      <c r="A111" s="32"/>
    </row>
    <row r="112" spans="1:1" ht="13.5" customHeight="1">
      <c r="A112" s="32"/>
    </row>
    <row r="113" spans="1:1" ht="13.5" customHeight="1">
      <c r="A113" s="32"/>
    </row>
    <row r="114" spans="1:1" ht="13.5" customHeight="1">
      <c r="A114" s="32"/>
    </row>
    <row r="115" spans="1:1" ht="13.5" customHeight="1">
      <c r="A115" s="32"/>
    </row>
    <row r="116" spans="1:1" ht="13.5" customHeight="1">
      <c r="A116" s="32"/>
    </row>
    <row r="117" spans="1:1" ht="13.5" customHeight="1">
      <c r="A117" s="32"/>
    </row>
    <row r="118" spans="1:1" ht="13.5" customHeight="1">
      <c r="A118" s="32"/>
    </row>
    <row r="119" spans="1:1" ht="13.5" customHeight="1">
      <c r="A119" s="32"/>
    </row>
    <row r="120" spans="1:1" ht="13.5" customHeight="1">
      <c r="A120" s="32"/>
    </row>
    <row r="121" spans="1:1" ht="13.5" customHeight="1">
      <c r="A121" s="32"/>
    </row>
    <row r="122" spans="1:1" ht="13.5" customHeight="1">
      <c r="A122" s="32"/>
    </row>
    <row r="123" spans="1:1" ht="13.5" customHeight="1">
      <c r="A123" s="32"/>
    </row>
    <row r="124" spans="1:1" ht="13.5" customHeight="1">
      <c r="A124" s="32"/>
    </row>
    <row r="125" spans="1:1" ht="13.5" customHeight="1">
      <c r="A125" s="32"/>
    </row>
    <row r="126" spans="1:1" ht="13.5" customHeight="1">
      <c r="A126" s="32"/>
    </row>
    <row r="127" spans="1:1" ht="13.5" customHeight="1">
      <c r="A127" s="32"/>
    </row>
    <row r="128" spans="1:1" ht="13.5" customHeight="1">
      <c r="A128" s="32"/>
    </row>
    <row r="129" spans="1:1" ht="13.5" customHeight="1">
      <c r="A129" s="32"/>
    </row>
    <row r="130" spans="1:1" ht="13.5" customHeight="1">
      <c r="A130" s="32"/>
    </row>
    <row r="131" spans="1:1" ht="13.5" customHeight="1">
      <c r="A131" s="32"/>
    </row>
    <row r="132" spans="1:1" ht="13.5" customHeight="1">
      <c r="A132" s="32"/>
    </row>
    <row r="133" spans="1:1" ht="13.5" customHeight="1">
      <c r="A133" s="32"/>
    </row>
    <row r="134" spans="1:1" ht="13.5" customHeight="1">
      <c r="A134" s="32"/>
    </row>
    <row r="135" spans="1:1" ht="13.5" customHeight="1">
      <c r="A135" s="32"/>
    </row>
    <row r="136" spans="1:1" ht="13.5" customHeight="1">
      <c r="A136" s="32"/>
    </row>
    <row r="137" spans="1:1" ht="13.5" customHeight="1">
      <c r="A137" s="32"/>
    </row>
    <row r="138" spans="1:1" ht="13.5" customHeight="1">
      <c r="A138" s="32"/>
    </row>
    <row r="139" spans="1:1" ht="13.5" customHeight="1">
      <c r="A139" s="32"/>
    </row>
    <row r="140" spans="1:1" ht="13.5" customHeight="1">
      <c r="A140" s="32"/>
    </row>
    <row r="141" spans="1:1" ht="13.5" customHeight="1">
      <c r="A141" s="32"/>
    </row>
    <row r="142" spans="1:1" ht="13.5" customHeight="1">
      <c r="A142" s="32"/>
    </row>
    <row r="143" spans="1:1" ht="13.5" customHeight="1">
      <c r="A143" s="32"/>
    </row>
    <row r="144" spans="1:1" ht="13.5" customHeight="1">
      <c r="A144" s="32"/>
    </row>
    <row r="145" spans="1:1" ht="13.5" customHeight="1">
      <c r="A145" s="32"/>
    </row>
    <row r="146" spans="1:1" ht="13.5" customHeight="1">
      <c r="A146" s="32"/>
    </row>
    <row r="147" spans="1:1" ht="13.5" customHeight="1">
      <c r="A147" s="32"/>
    </row>
    <row r="148" spans="1:1" ht="13.5" customHeight="1">
      <c r="A148" s="32"/>
    </row>
    <row r="149" spans="1:1" ht="13.5" customHeight="1">
      <c r="A149" s="32"/>
    </row>
    <row r="150" spans="1:1" ht="13.5" customHeight="1">
      <c r="A150" s="32"/>
    </row>
    <row r="151" spans="1:1" ht="13.5" customHeight="1">
      <c r="A151" s="32"/>
    </row>
    <row r="152" spans="1:1" ht="13.5" customHeight="1">
      <c r="A152" s="32"/>
    </row>
    <row r="153" spans="1:1" ht="13.5" customHeight="1">
      <c r="A153" s="32"/>
    </row>
    <row r="154" spans="1:1" ht="13.5" customHeight="1">
      <c r="A154" s="32"/>
    </row>
    <row r="155" spans="1:1" ht="13.5" customHeight="1">
      <c r="A155" s="32"/>
    </row>
    <row r="156" spans="1:1" ht="13.5" customHeight="1">
      <c r="A156" s="32"/>
    </row>
    <row r="157" spans="1:1" ht="13.5" customHeight="1">
      <c r="A157" s="32"/>
    </row>
    <row r="158" spans="1:1" ht="13.5" customHeight="1">
      <c r="A158" s="32"/>
    </row>
    <row r="159" spans="1:1" ht="13.5" customHeight="1">
      <c r="A159" s="32"/>
    </row>
    <row r="160" spans="1:1" ht="13.5" customHeight="1">
      <c r="A160" s="32"/>
    </row>
    <row r="161" spans="1:1" ht="13.5" customHeight="1">
      <c r="A161" s="32"/>
    </row>
    <row r="162" spans="1:1" ht="13.5" customHeight="1">
      <c r="A162" s="32"/>
    </row>
    <row r="163" spans="1:1" ht="13.5" customHeight="1">
      <c r="A163" s="32"/>
    </row>
    <row r="164" spans="1:1" ht="13.5" customHeight="1">
      <c r="A164" s="32"/>
    </row>
    <row r="165" spans="1:1" ht="13.5" customHeight="1">
      <c r="A165" s="32"/>
    </row>
    <row r="166" spans="1:1" ht="13.5" customHeight="1">
      <c r="A166" s="32"/>
    </row>
    <row r="167" spans="1:1" ht="13.5" customHeight="1">
      <c r="A167" s="32"/>
    </row>
    <row r="168" spans="1:1" ht="13.5" customHeight="1">
      <c r="A168" s="32"/>
    </row>
    <row r="169" spans="1:1" ht="13.5" customHeight="1">
      <c r="A169" s="32"/>
    </row>
    <row r="170" spans="1:1" ht="13.5" customHeight="1">
      <c r="A170" s="32"/>
    </row>
    <row r="171" spans="1:1" ht="13.5" customHeight="1">
      <c r="A171" s="32"/>
    </row>
    <row r="172" spans="1:1" ht="13.5" customHeight="1">
      <c r="A172" s="32"/>
    </row>
    <row r="173" spans="1:1" ht="13.5" customHeight="1">
      <c r="A173" s="32"/>
    </row>
    <row r="174" spans="1:1" ht="13.5" customHeight="1">
      <c r="A174" s="32"/>
    </row>
    <row r="175" spans="1:1" ht="13.5" customHeight="1">
      <c r="A175" s="32"/>
    </row>
    <row r="176" spans="1:1" ht="13.5" customHeight="1">
      <c r="A176" s="32"/>
    </row>
    <row r="177" spans="1:1" ht="13.5" customHeight="1">
      <c r="A177" s="32"/>
    </row>
    <row r="178" spans="1:1" ht="13.5" customHeight="1">
      <c r="A178" s="32"/>
    </row>
    <row r="179" spans="1:1" ht="13.5" customHeight="1">
      <c r="A179" s="32"/>
    </row>
    <row r="180" spans="1:1" ht="13.5" customHeight="1">
      <c r="A180" s="32"/>
    </row>
    <row r="181" spans="1:1" ht="13.5" customHeight="1">
      <c r="A181" s="32"/>
    </row>
    <row r="182" spans="1:1" ht="13.5" customHeight="1">
      <c r="A182" s="32"/>
    </row>
    <row r="183" spans="1:1" ht="13.5" customHeight="1">
      <c r="A183" s="32"/>
    </row>
    <row r="184" spans="1:1" ht="13.5" customHeight="1">
      <c r="A184" s="32"/>
    </row>
    <row r="185" spans="1:1" ht="13.5" customHeight="1">
      <c r="A185" s="32"/>
    </row>
    <row r="186" spans="1:1" ht="13.5" customHeight="1">
      <c r="A186" s="32"/>
    </row>
    <row r="187" spans="1:1" ht="13.5" customHeight="1">
      <c r="A187" s="32"/>
    </row>
    <row r="188" spans="1:1" ht="13.5" customHeight="1">
      <c r="A188" s="32"/>
    </row>
    <row r="189" spans="1:1" ht="13.5" customHeight="1">
      <c r="A189" s="32"/>
    </row>
    <row r="190" spans="1:1" ht="13.5" customHeight="1">
      <c r="A190" s="32"/>
    </row>
    <row r="191" spans="1:1" ht="13.5" customHeight="1">
      <c r="A191" s="32"/>
    </row>
    <row r="192" spans="1:1" ht="13.5" customHeight="1">
      <c r="A192" s="32"/>
    </row>
    <row r="193" spans="1:1" ht="13.5" customHeight="1">
      <c r="A193" s="32"/>
    </row>
    <row r="194" spans="1:1" ht="13.5" customHeight="1">
      <c r="A194" s="32"/>
    </row>
    <row r="195" spans="1:1" ht="13.5" customHeight="1">
      <c r="A195" s="32"/>
    </row>
    <row r="196" spans="1:1" ht="13.5" customHeight="1">
      <c r="A196" s="32"/>
    </row>
    <row r="197" spans="1:1" ht="13.5" customHeight="1">
      <c r="A197" s="32"/>
    </row>
    <row r="198" spans="1:1" ht="13.5" customHeight="1">
      <c r="A198" s="32"/>
    </row>
    <row r="199" spans="1:1" ht="13.5" customHeight="1">
      <c r="A199" s="32"/>
    </row>
    <row r="200" spans="1:1" ht="13.5" customHeight="1">
      <c r="A200" s="32"/>
    </row>
    <row r="201" spans="1:1" ht="13.5" customHeight="1">
      <c r="A201" s="32"/>
    </row>
    <row r="202" spans="1:1" ht="13.5" customHeight="1">
      <c r="A202" s="32"/>
    </row>
    <row r="203" spans="1:1" ht="13.5" customHeight="1">
      <c r="A203" s="32"/>
    </row>
    <row r="204" spans="1:1" ht="13.5" customHeight="1">
      <c r="A204" s="32"/>
    </row>
    <row r="205" spans="1:1" ht="13.5" customHeight="1">
      <c r="A205" s="32"/>
    </row>
    <row r="206" spans="1:1" ht="13.5" customHeight="1">
      <c r="A206" s="32"/>
    </row>
    <row r="207" spans="1:1" ht="13.5" customHeight="1">
      <c r="A207" s="32"/>
    </row>
    <row r="208" spans="1:1" ht="13.5" customHeight="1">
      <c r="A208" s="32"/>
    </row>
    <row r="209" spans="1:1" ht="13.5" customHeight="1">
      <c r="A209" s="32"/>
    </row>
    <row r="210" spans="1:1" ht="13.5" customHeight="1">
      <c r="A210" s="32"/>
    </row>
    <row r="211" spans="1:1" ht="13.5" customHeight="1">
      <c r="A211" s="32"/>
    </row>
    <row r="212" spans="1:1" ht="13.5" customHeight="1">
      <c r="A212" s="32"/>
    </row>
    <row r="213" spans="1:1" ht="13.5" customHeight="1">
      <c r="A213" s="32"/>
    </row>
    <row r="214" spans="1:1" ht="13.5" customHeight="1">
      <c r="A214" s="32"/>
    </row>
    <row r="215" spans="1:1" ht="13.5" customHeight="1">
      <c r="A215" s="32"/>
    </row>
    <row r="216" spans="1:1" ht="13.5" customHeight="1">
      <c r="A216" s="32"/>
    </row>
    <row r="217" spans="1:1" ht="13.5" customHeight="1">
      <c r="A217" s="32"/>
    </row>
    <row r="218" spans="1:1" ht="13.5" customHeight="1">
      <c r="A218" s="32"/>
    </row>
    <row r="219" spans="1:1" ht="13.5" customHeight="1">
      <c r="A219" s="32"/>
    </row>
    <row r="220" spans="1:1" ht="13.5" customHeight="1">
      <c r="A220" s="32"/>
    </row>
    <row r="221" spans="1:1" ht="13.5" customHeight="1">
      <c r="A221" s="32"/>
    </row>
    <row r="222" spans="1:1" ht="13.5" customHeight="1">
      <c r="A222" s="32"/>
    </row>
    <row r="223" spans="1:1" ht="13.5" customHeight="1">
      <c r="A223" s="32"/>
    </row>
    <row r="224" spans="1:1" ht="13.5" customHeight="1">
      <c r="A224" s="32"/>
    </row>
    <row r="225" spans="1:1" ht="13.5" customHeight="1">
      <c r="A225" s="32"/>
    </row>
    <row r="226" spans="1:1" ht="13.5" customHeight="1">
      <c r="A226" s="32"/>
    </row>
    <row r="227" spans="1:1" ht="13.5" customHeight="1">
      <c r="A227" s="32"/>
    </row>
    <row r="228" spans="1:1" ht="13.5" customHeight="1">
      <c r="A228" s="32"/>
    </row>
    <row r="229" spans="1:1" ht="13.5" customHeight="1">
      <c r="A229" s="32"/>
    </row>
    <row r="230" spans="1:1" ht="13.5" customHeight="1">
      <c r="A230" s="32"/>
    </row>
    <row r="231" spans="1:1" ht="13.5" customHeight="1">
      <c r="A231" s="32"/>
    </row>
    <row r="232" spans="1:1" ht="13.5" customHeight="1">
      <c r="A232" s="32"/>
    </row>
    <row r="233" spans="1:1" ht="13.5" customHeight="1">
      <c r="A233" s="32"/>
    </row>
    <row r="234" spans="1:1" ht="13.5" customHeight="1">
      <c r="A234" s="32"/>
    </row>
    <row r="235" spans="1:1" ht="13.5" customHeight="1">
      <c r="A235" s="32"/>
    </row>
    <row r="236" spans="1:1" ht="13.5" customHeight="1">
      <c r="A236" s="32"/>
    </row>
    <row r="237" spans="1:1" ht="13.5" customHeight="1">
      <c r="A237" s="32"/>
    </row>
    <row r="238" spans="1:1" ht="13.5" customHeight="1">
      <c r="A238" s="32"/>
    </row>
    <row r="239" spans="1:1" ht="13.5" customHeight="1">
      <c r="A239" s="32"/>
    </row>
    <row r="240" spans="1:1" ht="13.5" customHeight="1">
      <c r="A240" s="32"/>
    </row>
    <row r="241" spans="1:1" ht="13.5" customHeight="1">
      <c r="A241" s="32"/>
    </row>
    <row r="242" spans="1:1" ht="13.5" customHeight="1">
      <c r="A242" s="32"/>
    </row>
    <row r="243" spans="1:1" ht="13.5" customHeight="1">
      <c r="A243" s="32"/>
    </row>
    <row r="244" spans="1:1" ht="13.5" customHeight="1">
      <c r="A244" s="32"/>
    </row>
    <row r="245" spans="1:1" ht="13.5" customHeight="1">
      <c r="A245" s="32"/>
    </row>
    <row r="246" spans="1:1" ht="13.5" customHeight="1">
      <c r="A246" s="32"/>
    </row>
    <row r="247" spans="1:1" ht="13.5" customHeight="1">
      <c r="A247" s="32"/>
    </row>
    <row r="248" spans="1:1" ht="13.5" customHeight="1">
      <c r="A248" s="32"/>
    </row>
    <row r="249" spans="1:1" ht="13.5" customHeight="1">
      <c r="A249" s="32"/>
    </row>
    <row r="250" spans="1:1" ht="13.5" customHeight="1">
      <c r="A250" s="32"/>
    </row>
    <row r="251" spans="1:1" ht="13.5" customHeight="1">
      <c r="A251" s="32"/>
    </row>
    <row r="252" spans="1:1" ht="13.5" customHeight="1">
      <c r="A252" s="32"/>
    </row>
    <row r="253" spans="1:1" ht="13.5" customHeight="1">
      <c r="A253" s="32"/>
    </row>
    <row r="254" spans="1:1" ht="13.5" customHeight="1">
      <c r="A254" s="32"/>
    </row>
    <row r="255" spans="1:1" ht="13.5" customHeight="1">
      <c r="A255" s="32"/>
    </row>
    <row r="256" spans="1:1" ht="13.5" customHeight="1">
      <c r="A256" s="32"/>
    </row>
    <row r="257" spans="1:1" ht="13.5" customHeight="1">
      <c r="A257" s="32"/>
    </row>
    <row r="258" spans="1:1" ht="13.5" customHeight="1">
      <c r="A258" s="32"/>
    </row>
    <row r="259" spans="1:1" ht="13.5" customHeight="1">
      <c r="A259" s="32"/>
    </row>
    <row r="260" spans="1:1" ht="13.5" customHeight="1">
      <c r="A260" s="32"/>
    </row>
    <row r="261" spans="1:1" ht="13.5" customHeight="1">
      <c r="A261" s="32"/>
    </row>
    <row r="262" spans="1:1" ht="13.5" customHeight="1">
      <c r="A262" s="32"/>
    </row>
    <row r="263" spans="1:1" ht="13.5" customHeight="1">
      <c r="A263" s="32"/>
    </row>
    <row r="264" spans="1:1" ht="13.5" customHeight="1">
      <c r="A264" s="32"/>
    </row>
    <row r="265" spans="1:1" ht="13.5" customHeight="1">
      <c r="A265" s="32"/>
    </row>
    <row r="266" spans="1:1" ht="13.5" customHeight="1">
      <c r="A266" s="32"/>
    </row>
    <row r="267" spans="1:1" ht="13.5" customHeight="1">
      <c r="A267" s="32"/>
    </row>
    <row r="268" spans="1:1" ht="13.5" customHeight="1">
      <c r="A268" s="32"/>
    </row>
    <row r="269" spans="1:1" ht="13.5" customHeight="1">
      <c r="A269" s="32"/>
    </row>
    <row r="270" spans="1:1" ht="13.5" customHeight="1">
      <c r="A270" s="32"/>
    </row>
    <row r="271" spans="1:1" ht="13.5" customHeight="1">
      <c r="A271" s="32"/>
    </row>
    <row r="272" spans="1:1" ht="13.5" customHeight="1">
      <c r="A272" s="32"/>
    </row>
    <row r="273" spans="1:1" ht="13.5" customHeight="1">
      <c r="A273" s="32"/>
    </row>
    <row r="274" spans="1:1" ht="13.5" customHeight="1">
      <c r="A274" s="32"/>
    </row>
    <row r="275" spans="1:1" ht="13.5" customHeight="1">
      <c r="A275" s="32"/>
    </row>
    <row r="276" spans="1:1" ht="13.5" customHeight="1">
      <c r="A276" s="32"/>
    </row>
    <row r="277" spans="1:1" ht="13.5" customHeight="1">
      <c r="A277" s="32"/>
    </row>
    <row r="278" spans="1:1" ht="13.5" customHeight="1">
      <c r="A278" s="32"/>
    </row>
    <row r="279" spans="1:1" ht="13.5" customHeight="1">
      <c r="A279" s="32"/>
    </row>
    <row r="280" spans="1:1" ht="13.5" customHeight="1">
      <c r="A280" s="32"/>
    </row>
    <row r="281" spans="1:1" ht="13.5" customHeight="1">
      <c r="A281" s="32"/>
    </row>
    <row r="282" spans="1:1" ht="13.5" customHeight="1">
      <c r="A282" s="32"/>
    </row>
    <row r="283" spans="1:1" ht="13.5" customHeight="1">
      <c r="A283" s="32"/>
    </row>
    <row r="284" spans="1:1" ht="13.5" customHeight="1">
      <c r="A284" s="32"/>
    </row>
    <row r="285" spans="1:1" ht="13.5" customHeight="1">
      <c r="A285" s="32"/>
    </row>
    <row r="286" spans="1:1" ht="13.5" customHeight="1">
      <c r="A286" s="32"/>
    </row>
    <row r="287" spans="1:1" ht="13.5" customHeight="1">
      <c r="A287" s="32"/>
    </row>
    <row r="288" spans="1:1" ht="13.5" customHeight="1">
      <c r="A288" s="32"/>
    </row>
    <row r="289" spans="1:1" ht="13.5" customHeight="1">
      <c r="A289" s="32"/>
    </row>
    <row r="290" spans="1:1" ht="13.5" customHeight="1">
      <c r="A290" s="32"/>
    </row>
    <row r="291" spans="1:1" ht="13.5" customHeight="1">
      <c r="A291" s="32"/>
    </row>
    <row r="292" spans="1:1" ht="13.5" customHeight="1">
      <c r="A292" s="32"/>
    </row>
    <row r="293" spans="1:1" ht="13.5" customHeight="1">
      <c r="A293" s="32"/>
    </row>
    <row r="294" spans="1:1" ht="13.5" customHeight="1">
      <c r="A294" s="32"/>
    </row>
    <row r="295" spans="1:1" ht="13.5" customHeight="1">
      <c r="A295" s="32"/>
    </row>
    <row r="296" spans="1:1" ht="13.5" customHeight="1">
      <c r="A296" s="32"/>
    </row>
    <row r="297" spans="1:1" ht="13.5" customHeight="1">
      <c r="A297" s="32"/>
    </row>
    <row r="298" spans="1:1" ht="13.5" customHeight="1">
      <c r="A298" s="32"/>
    </row>
    <row r="299" spans="1:1" ht="13.5" customHeight="1">
      <c r="A299" s="32"/>
    </row>
    <row r="300" spans="1:1" ht="13.5" customHeight="1">
      <c r="A300" s="32"/>
    </row>
    <row r="301" spans="1:1" ht="13.5" customHeight="1">
      <c r="A301" s="32"/>
    </row>
    <row r="302" spans="1:1" ht="13.5" customHeight="1">
      <c r="A302" s="32"/>
    </row>
    <row r="303" spans="1:1" ht="13.5" customHeight="1">
      <c r="A303" s="32"/>
    </row>
    <row r="304" spans="1:1" ht="13.5" customHeight="1">
      <c r="A304" s="32"/>
    </row>
    <row r="305" spans="1:1" ht="13.5" customHeight="1">
      <c r="A305" s="32"/>
    </row>
    <row r="306" spans="1:1" ht="13.5" customHeight="1">
      <c r="A306" s="32"/>
    </row>
    <row r="307" spans="1:1" ht="13.5" customHeight="1">
      <c r="A307" s="32"/>
    </row>
    <row r="308" spans="1:1" ht="13.5" customHeight="1">
      <c r="A308" s="32"/>
    </row>
    <row r="309" spans="1:1" ht="13.5" customHeight="1">
      <c r="A309" s="32"/>
    </row>
    <row r="310" spans="1:1" ht="13.5" customHeight="1">
      <c r="A310" s="32"/>
    </row>
    <row r="311" spans="1:1" ht="13.5" customHeight="1">
      <c r="A311" s="32"/>
    </row>
    <row r="312" spans="1:1" ht="13.5" customHeight="1">
      <c r="A312" s="32"/>
    </row>
    <row r="313" spans="1:1" ht="13.5" customHeight="1">
      <c r="A313" s="32"/>
    </row>
    <row r="314" spans="1:1" ht="13.5" customHeight="1">
      <c r="A314" s="32"/>
    </row>
    <row r="315" spans="1:1" ht="13.5" customHeight="1">
      <c r="A315" s="32"/>
    </row>
    <row r="316" spans="1:1" ht="13.5" customHeight="1">
      <c r="A316" s="32"/>
    </row>
    <row r="317" spans="1:1" ht="13.5" customHeight="1">
      <c r="A317" s="32"/>
    </row>
    <row r="318" spans="1:1" ht="13.5" customHeight="1">
      <c r="A318" s="32"/>
    </row>
    <row r="319" spans="1:1" ht="13.5" customHeight="1">
      <c r="A319" s="32"/>
    </row>
    <row r="320" spans="1:1" ht="13.5" customHeight="1">
      <c r="A320" s="32"/>
    </row>
    <row r="321" spans="1:1" ht="13.5" customHeight="1">
      <c r="A321" s="32"/>
    </row>
    <row r="322" spans="1:1" ht="13.5" customHeight="1">
      <c r="A322" s="32"/>
    </row>
    <row r="323" spans="1:1" ht="13.5" customHeight="1">
      <c r="A323" s="32"/>
    </row>
    <row r="324" spans="1:1" ht="13.5" customHeight="1">
      <c r="A324" s="32"/>
    </row>
    <row r="325" spans="1:1" ht="13.5" customHeight="1">
      <c r="A325" s="32"/>
    </row>
    <row r="326" spans="1:1" ht="13.5" customHeight="1">
      <c r="A326" s="32"/>
    </row>
    <row r="327" spans="1:1" ht="13.5" customHeight="1">
      <c r="A327" s="32"/>
    </row>
    <row r="328" spans="1:1" ht="13.5" customHeight="1">
      <c r="A328" s="32"/>
    </row>
    <row r="329" spans="1:1" ht="13.5" customHeight="1">
      <c r="A329" s="32"/>
    </row>
    <row r="330" spans="1:1" ht="13.5" customHeight="1">
      <c r="A330" s="32"/>
    </row>
    <row r="331" spans="1:1" ht="13.5" customHeight="1">
      <c r="A331" s="32"/>
    </row>
    <row r="332" spans="1:1" ht="13.5" customHeight="1">
      <c r="A332" s="32"/>
    </row>
    <row r="333" spans="1:1" ht="13.5" customHeight="1">
      <c r="A333" s="32"/>
    </row>
    <row r="334" spans="1:1" ht="13.5" customHeight="1">
      <c r="A334" s="32"/>
    </row>
    <row r="335" spans="1:1" ht="13.5" customHeight="1">
      <c r="A335" s="32"/>
    </row>
    <row r="336" spans="1:1" ht="13.5" customHeight="1">
      <c r="A336" s="32"/>
    </row>
    <row r="337" spans="1:1" ht="13.5" customHeight="1">
      <c r="A337" s="32"/>
    </row>
    <row r="338" spans="1:1" ht="13.5" customHeight="1">
      <c r="A338" s="32"/>
    </row>
    <row r="339" spans="1:1" ht="13.5" customHeight="1">
      <c r="A339" s="32"/>
    </row>
    <row r="340" spans="1:1" ht="13.5" customHeight="1">
      <c r="A340" s="32"/>
    </row>
    <row r="341" spans="1:1" ht="13.5" customHeight="1">
      <c r="A341" s="32"/>
    </row>
    <row r="342" spans="1:1" ht="13.5" customHeight="1">
      <c r="A342" s="32"/>
    </row>
    <row r="343" spans="1:1" ht="13.5" customHeight="1">
      <c r="A343" s="32"/>
    </row>
    <row r="344" spans="1:1" ht="13.5" customHeight="1">
      <c r="A344" s="32"/>
    </row>
    <row r="345" spans="1:1" ht="13.5" customHeight="1">
      <c r="A345" s="32"/>
    </row>
    <row r="346" spans="1:1" ht="13.5" customHeight="1">
      <c r="A346" s="32"/>
    </row>
    <row r="347" spans="1:1" ht="13.5" customHeight="1">
      <c r="A347" s="32"/>
    </row>
    <row r="348" spans="1:1" ht="13.5" customHeight="1">
      <c r="A348" s="32"/>
    </row>
    <row r="349" spans="1:1" ht="13.5" customHeight="1">
      <c r="A349" s="32"/>
    </row>
    <row r="350" spans="1:1" ht="13.5" customHeight="1">
      <c r="A350" s="32"/>
    </row>
    <row r="351" spans="1:1" ht="13.5" customHeight="1">
      <c r="A351" s="32"/>
    </row>
    <row r="352" spans="1:1" ht="13.5" customHeight="1">
      <c r="A352" s="32"/>
    </row>
    <row r="353" spans="1:1" ht="13.5" customHeight="1">
      <c r="A353" s="32"/>
    </row>
    <row r="354" spans="1:1" ht="13.5" customHeight="1">
      <c r="A354" s="32"/>
    </row>
    <row r="355" spans="1:1" ht="13.5" customHeight="1">
      <c r="A355" s="32"/>
    </row>
    <row r="356" spans="1:1" ht="13.5" customHeight="1">
      <c r="A356" s="32"/>
    </row>
    <row r="357" spans="1:1" ht="13.5" customHeight="1">
      <c r="A357" s="32"/>
    </row>
    <row r="358" spans="1:1" ht="13.5" customHeight="1">
      <c r="A358" s="32"/>
    </row>
    <row r="359" spans="1:1" ht="13.5" customHeight="1">
      <c r="A359" s="32"/>
    </row>
    <row r="360" spans="1:1" ht="13.5" customHeight="1">
      <c r="A360" s="32"/>
    </row>
    <row r="361" spans="1:1" ht="13.5" customHeight="1">
      <c r="A361" s="32"/>
    </row>
    <row r="362" spans="1:1" ht="13.5" customHeight="1">
      <c r="A362" s="32"/>
    </row>
    <row r="363" spans="1:1" ht="13.5" customHeight="1">
      <c r="A363" s="32"/>
    </row>
    <row r="364" spans="1:1" ht="13.5" customHeight="1">
      <c r="A364" s="32"/>
    </row>
    <row r="365" spans="1:1" ht="13.5" customHeight="1">
      <c r="A365" s="32"/>
    </row>
    <row r="366" spans="1:1" ht="13.5" customHeight="1">
      <c r="A366" s="32"/>
    </row>
    <row r="367" spans="1:1" ht="13.5" customHeight="1">
      <c r="A367" s="32"/>
    </row>
    <row r="368" spans="1:1" ht="13.5" customHeight="1">
      <c r="A368" s="32"/>
    </row>
    <row r="369" spans="1:1" ht="13.5" customHeight="1">
      <c r="A369" s="32"/>
    </row>
    <row r="370" spans="1:1" ht="13.5" customHeight="1">
      <c r="A370" s="32"/>
    </row>
    <row r="371" spans="1:1" ht="13.5" customHeight="1">
      <c r="A371" s="32"/>
    </row>
    <row r="372" spans="1:1" ht="13.5" customHeight="1">
      <c r="A372" s="32"/>
    </row>
    <row r="373" spans="1:1" ht="13.5" customHeight="1">
      <c r="A373" s="32"/>
    </row>
    <row r="374" spans="1:1" ht="13.5" customHeight="1">
      <c r="A374" s="32"/>
    </row>
    <row r="375" spans="1:1" ht="13.5" customHeight="1">
      <c r="A375" s="32"/>
    </row>
    <row r="376" spans="1:1" ht="13.5" customHeight="1">
      <c r="A376" s="32"/>
    </row>
    <row r="377" spans="1:1" ht="13.5" customHeight="1">
      <c r="A377" s="32"/>
    </row>
    <row r="378" spans="1:1" ht="13.5" customHeight="1">
      <c r="A378" s="32"/>
    </row>
    <row r="379" spans="1:1" ht="13.5" customHeight="1">
      <c r="A379" s="32"/>
    </row>
    <row r="380" spans="1:1" ht="13.5" customHeight="1">
      <c r="A380" s="32"/>
    </row>
    <row r="381" spans="1:1" ht="13.5" customHeight="1">
      <c r="A381" s="32"/>
    </row>
    <row r="382" spans="1:1" ht="13.5" customHeight="1">
      <c r="A382" s="32"/>
    </row>
    <row r="383" spans="1:1" ht="13.5" customHeight="1">
      <c r="A383" s="32"/>
    </row>
    <row r="384" spans="1:1" ht="13.5" customHeight="1">
      <c r="A384" s="32"/>
    </row>
    <row r="385" spans="1:1" ht="13.5" customHeight="1">
      <c r="A385" s="32"/>
    </row>
    <row r="386" spans="1:1" ht="13.5" customHeight="1">
      <c r="A386" s="32"/>
    </row>
    <row r="387" spans="1:1" ht="13.5" customHeight="1">
      <c r="A387" s="32"/>
    </row>
    <row r="388" spans="1:1" ht="13.5" customHeight="1">
      <c r="A388" s="32"/>
    </row>
    <row r="389" spans="1:1" ht="13.5" customHeight="1">
      <c r="A389" s="32"/>
    </row>
    <row r="390" spans="1:1" ht="13.5" customHeight="1">
      <c r="A390" s="32"/>
    </row>
    <row r="391" spans="1:1" ht="13.5" customHeight="1">
      <c r="A391" s="32"/>
    </row>
    <row r="392" spans="1:1" ht="13.5" customHeight="1">
      <c r="A392" s="32"/>
    </row>
    <row r="393" spans="1:1" ht="13.5" customHeight="1">
      <c r="A393" s="32"/>
    </row>
    <row r="394" spans="1:1" ht="13.5" customHeight="1">
      <c r="A394" s="32"/>
    </row>
    <row r="395" spans="1:1" ht="13.5" customHeight="1">
      <c r="A395" s="32"/>
    </row>
    <row r="396" spans="1:1" ht="13.5" customHeight="1">
      <c r="A396" s="32"/>
    </row>
    <row r="397" spans="1:1" ht="13.5" customHeight="1">
      <c r="A397" s="32"/>
    </row>
    <row r="398" spans="1:1" ht="13.5" customHeight="1">
      <c r="A398" s="32"/>
    </row>
    <row r="399" spans="1:1" ht="13.5" customHeight="1">
      <c r="A399" s="32"/>
    </row>
    <row r="400" spans="1:1" ht="13.5" customHeight="1">
      <c r="A400" s="32"/>
    </row>
    <row r="401" spans="1:1" ht="13.5" customHeight="1">
      <c r="A401" s="32"/>
    </row>
    <row r="402" spans="1:1" ht="13.5" customHeight="1">
      <c r="A402" s="32"/>
    </row>
    <row r="403" spans="1:1" ht="13.5" customHeight="1">
      <c r="A403" s="32"/>
    </row>
    <row r="404" spans="1:1" ht="13.5" customHeight="1">
      <c r="A404" s="32"/>
    </row>
    <row r="405" spans="1:1" ht="13.5" customHeight="1">
      <c r="A405" s="32"/>
    </row>
    <row r="406" spans="1:1" ht="13.5" customHeight="1">
      <c r="A406" s="32"/>
    </row>
    <row r="407" spans="1:1" ht="13.5" customHeight="1">
      <c r="A407" s="32"/>
    </row>
    <row r="408" spans="1:1" ht="13.5" customHeight="1">
      <c r="A408" s="32"/>
    </row>
    <row r="409" spans="1:1" ht="13.5" customHeight="1">
      <c r="A409" s="32"/>
    </row>
    <row r="410" spans="1:1" ht="13.5" customHeight="1">
      <c r="A410" s="32"/>
    </row>
    <row r="411" spans="1:1" ht="13.5" customHeight="1">
      <c r="A411" s="32"/>
    </row>
    <row r="412" spans="1:1" ht="13.5" customHeight="1">
      <c r="A412" s="32"/>
    </row>
    <row r="413" spans="1:1" ht="13.5" customHeight="1">
      <c r="A413" s="32"/>
    </row>
    <row r="414" spans="1:1" ht="13.5" customHeight="1">
      <c r="A414" s="32"/>
    </row>
    <row r="415" spans="1:1" ht="13.5" customHeight="1">
      <c r="A415" s="32"/>
    </row>
    <row r="416" spans="1:1" ht="13.5" customHeight="1">
      <c r="A416" s="32"/>
    </row>
    <row r="417" spans="1:1" ht="13.5" customHeight="1">
      <c r="A417" s="32"/>
    </row>
    <row r="418" spans="1:1" ht="13.5" customHeight="1">
      <c r="A418" s="32"/>
    </row>
    <row r="419" spans="1:1" ht="13.5" customHeight="1">
      <c r="A419" s="32"/>
    </row>
    <row r="420" spans="1:1" ht="13.5" customHeight="1">
      <c r="A420" s="32"/>
    </row>
    <row r="421" spans="1:1" ht="13.5" customHeight="1">
      <c r="A421" s="32"/>
    </row>
    <row r="422" spans="1:1" ht="13.5" customHeight="1">
      <c r="A422" s="32"/>
    </row>
    <row r="423" spans="1:1" ht="13.5" customHeight="1">
      <c r="A423" s="32"/>
    </row>
    <row r="424" spans="1:1" ht="13.5" customHeight="1">
      <c r="A424" s="32"/>
    </row>
    <row r="425" spans="1:1" ht="13.5" customHeight="1">
      <c r="A425" s="32"/>
    </row>
    <row r="426" spans="1:1" ht="13.5" customHeight="1">
      <c r="A426" s="32"/>
    </row>
    <row r="427" spans="1:1" ht="13.5" customHeight="1">
      <c r="A427" s="32"/>
    </row>
    <row r="428" spans="1:1" ht="13.5" customHeight="1">
      <c r="A428" s="32"/>
    </row>
    <row r="429" spans="1:1" ht="13.5" customHeight="1">
      <c r="A429" s="32"/>
    </row>
    <row r="430" spans="1:1" ht="13.5" customHeight="1">
      <c r="A430" s="32"/>
    </row>
    <row r="431" spans="1:1" ht="13.5" customHeight="1">
      <c r="A431" s="32"/>
    </row>
    <row r="432" spans="1:1" ht="13.5" customHeight="1">
      <c r="A432" s="32"/>
    </row>
    <row r="433" spans="1:1" ht="13.5" customHeight="1">
      <c r="A433" s="32"/>
    </row>
    <row r="434" spans="1:1" ht="13.5" customHeight="1">
      <c r="A434" s="32"/>
    </row>
    <row r="435" spans="1:1" ht="13.5" customHeight="1">
      <c r="A435" s="32"/>
    </row>
    <row r="436" spans="1:1" ht="13.5" customHeight="1">
      <c r="A436" s="32"/>
    </row>
    <row r="437" spans="1:1" ht="13.5" customHeight="1">
      <c r="A437" s="32"/>
    </row>
    <row r="438" spans="1:1" ht="13.5" customHeight="1">
      <c r="A438" s="32"/>
    </row>
    <row r="439" spans="1:1" ht="13.5" customHeight="1">
      <c r="A439" s="32"/>
    </row>
    <row r="440" spans="1:1" ht="13.5" customHeight="1">
      <c r="A440" s="32"/>
    </row>
    <row r="441" spans="1:1" ht="13.5" customHeight="1">
      <c r="A441" s="32"/>
    </row>
    <row r="442" spans="1:1" ht="13.5" customHeight="1">
      <c r="A442" s="32"/>
    </row>
    <row r="443" spans="1:1" ht="13.5" customHeight="1">
      <c r="A443" s="32"/>
    </row>
    <row r="444" spans="1:1" ht="13.5" customHeight="1">
      <c r="A444" s="32"/>
    </row>
    <row r="445" spans="1:1" ht="13.5" customHeight="1">
      <c r="A445" s="32"/>
    </row>
    <row r="446" spans="1:1" ht="13.5" customHeight="1">
      <c r="A446" s="32"/>
    </row>
    <row r="447" spans="1:1" ht="13.5" customHeight="1">
      <c r="A447" s="32"/>
    </row>
    <row r="448" spans="1:1" ht="13.5" customHeight="1">
      <c r="A448" s="32"/>
    </row>
    <row r="449" spans="1:1" ht="13.5" customHeight="1">
      <c r="A449" s="32"/>
    </row>
    <row r="450" spans="1:1" ht="13.5" customHeight="1">
      <c r="A450" s="32"/>
    </row>
    <row r="451" spans="1:1" ht="13.5" customHeight="1">
      <c r="A451" s="32"/>
    </row>
    <row r="452" spans="1:1" ht="13.5" customHeight="1">
      <c r="A452" s="32"/>
    </row>
    <row r="453" spans="1:1" ht="13.5" customHeight="1">
      <c r="A453" s="32"/>
    </row>
    <row r="454" spans="1:1" ht="13.5" customHeight="1">
      <c r="A454" s="32"/>
    </row>
    <row r="455" spans="1:1" ht="13.5" customHeight="1">
      <c r="A455" s="32"/>
    </row>
    <row r="456" spans="1:1" ht="13.5" customHeight="1">
      <c r="A456" s="32"/>
    </row>
    <row r="457" spans="1:1" ht="13.5" customHeight="1">
      <c r="A457" s="32"/>
    </row>
    <row r="458" spans="1:1" ht="13.5" customHeight="1">
      <c r="A458" s="32"/>
    </row>
    <row r="459" spans="1:1" ht="13.5" customHeight="1">
      <c r="A459" s="32"/>
    </row>
    <row r="460" spans="1:1" ht="13.5" customHeight="1">
      <c r="A460" s="32"/>
    </row>
    <row r="461" spans="1:1" ht="13.5" customHeight="1">
      <c r="A461" s="32"/>
    </row>
    <row r="462" spans="1:1" ht="13.5" customHeight="1">
      <c r="A462" s="32"/>
    </row>
    <row r="463" spans="1:1" ht="13.5" customHeight="1">
      <c r="A463" s="32"/>
    </row>
    <row r="464" spans="1:1" ht="13.5" customHeight="1">
      <c r="A464" s="32"/>
    </row>
    <row r="465" spans="1:1" ht="13.5" customHeight="1">
      <c r="A465" s="32"/>
    </row>
    <row r="466" spans="1:1" ht="13.5" customHeight="1">
      <c r="A466" s="32"/>
    </row>
    <row r="467" spans="1:1" ht="13.5" customHeight="1">
      <c r="A467" s="32"/>
    </row>
    <row r="468" spans="1:1" ht="13.5" customHeight="1">
      <c r="A468" s="32"/>
    </row>
    <row r="469" spans="1:1" ht="13.5" customHeight="1">
      <c r="A469" s="32"/>
    </row>
    <row r="470" spans="1:1" ht="13.5" customHeight="1">
      <c r="A470" s="32"/>
    </row>
    <row r="471" spans="1:1" ht="13.5" customHeight="1">
      <c r="A471" s="32"/>
    </row>
    <row r="472" spans="1:1" ht="13.5" customHeight="1">
      <c r="A472" s="32"/>
    </row>
    <row r="473" spans="1:1" ht="13.5" customHeight="1">
      <c r="A473" s="32"/>
    </row>
    <row r="474" spans="1:1" ht="13.5" customHeight="1">
      <c r="A474" s="32"/>
    </row>
    <row r="475" spans="1:1" ht="13.5" customHeight="1">
      <c r="A475" s="32"/>
    </row>
    <row r="476" spans="1:1" ht="13.5" customHeight="1">
      <c r="A476" s="32"/>
    </row>
    <row r="477" spans="1:1" ht="13.5" customHeight="1">
      <c r="A477" s="32"/>
    </row>
    <row r="478" spans="1:1" ht="13.5" customHeight="1">
      <c r="A478" s="32"/>
    </row>
    <row r="479" spans="1:1" ht="13.5" customHeight="1">
      <c r="A479" s="32"/>
    </row>
    <row r="480" spans="1:1" ht="13.5" customHeight="1">
      <c r="A480" s="32"/>
    </row>
    <row r="481" spans="1:1" ht="13.5" customHeight="1">
      <c r="A481" s="32"/>
    </row>
    <row r="482" spans="1:1" ht="13.5" customHeight="1">
      <c r="A482" s="32"/>
    </row>
    <row r="483" spans="1:1" ht="13.5" customHeight="1">
      <c r="A483" s="32"/>
    </row>
    <row r="484" spans="1:1" ht="13.5" customHeight="1">
      <c r="A484" s="32"/>
    </row>
    <row r="485" spans="1:1" ht="13.5" customHeight="1">
      <c r="A485" s="32"/>
    </row>
    <row r="486" spans="1:1" ht="13.5" customHeight="1">
      <c r="A486" s="32"/>
    </row>
    <row r="487" spans="1:1" ht="13.5" customHeight="1">
      <c r="A487" s="32"/>
    </row>
    <row r="488" spans="1:1" ht="13.5" customHeight="1">
      <c r="A488" s="32"/>
    </row>
    <row r="489" spans="1:1" ht="13.5" customHeight="1">
      <c r="A489" s="32"/>
    </row>
    <row r="490" spans="1:1" ht="13.5" customHeight="1">
      <c r="A490" s="32"/>
    </row>
    <row r="491" spans="1:1" ht="13.5" customHeight="1">
      <c r="A491" s="32"/>
    </row>
    <row r="492" spans="1:1" ht="13.5" customHeight="1">
      <c r="A492" s="32"/>
    </row>
    <row r="493" spans="1:1" ht="13.5" customHeight="1">
      <c r="A493" s="32"/>
    </row>
    <row r="494" spans="1:1" ht="13.5" customHeight="1">
      <c r="A494" s="32"/>
    </row>
    <row r="495" spans="1:1" ht="13.5" customHeight="1">
      <c r="A495" s="32"/>
    </row>
    <row r="496" spans="1:1" ht="13.5" customHeight="1">
      <c r="A496" s="32"/>
    </row>
    <row r="497" spans="1:1" ht="13.5" customHeight="1">
      <c r="A497" s="32"/>
    </row>
    <row r="498" spans="1:1" ht="13.5" customHeight="1">
      <c r="A498" s="32"/>
    </row>
    <row r="499" spans="1:1" ht="13.5" customHeight="1">
      <c r="A499" s="32"/>
    </row>
    <row r="500" spans="1:1" ht="13.5" customHeight="1">
      <c r="A500" s="32"/>
    </row>
    <row r="501" spans="1:1" ht="13.5" customHeight="1">
      <c r="A501" s="32"/>
    </row>
    <row r="502" spans="1:1" ht="13.5" customHeight="1">
      <c r="A502" s="32"/>
    </row>
    <row r="503" spans="1:1" ht="13.5" customHeight="1">
      <c r="A503" s="32"/>
    </row>
    <row r="504" spans="1:1" ht="13.5" customHeight="1">
      <c r="A504" s="32"/>
    </row>
    <row r="505" spans="1:1" ht="13.5" customHeight="1">
      <c r="A505" s="32"/>
    </row>
    <row r="506" spans="1:1" ht="13.5" customHeight="1">
      <c r="A506" s="32"/>
    </row>
    <row r="507" spans="1:1" ht="13.5" customHeight="1">
      <c r="A507" s="32"/>
    </row>
    <row r="508" spans="1:1" ht="13.5" customHeight="1">
      <c r="A508" s="32"/>
    </row>
    <row r="509" spans="1:1" ht="13.5" customHeight="1">
      <c r="A509" s="32"/>
    </row>
    <row r="510" spans="1:1" ht="13.5" customHeight="1">
      <c r="A510" s="32"/>
    </row>
    <row r="511" spans="1:1" ht="13.5" customHeight="1">
      <c r="A511" s="32"/>
    </row>
    <row r="512" spans="1:1" ht="13.5" customHeight="1">
      <c r="A512" s="32"/>
    </row>
    <row r="513" spans="1:1" ht="13.5" customHeight="1">
      <c r="A513" s="32"/>
    </row>
    <row r="514" spans="1:1" ht="13.5" customHeight="1">
      <c r="A514" s="32"/>
    </row>
    <row r="515" spans="1:1" ht="13.5" customHeight="1">
      <c r="A515" s="32"/>
    </row>
    <row r="516" spans="1:1" ht="13.5" customHeight="1">
      <c r="A516" s="32"/>
    </row>
    <row r="517" spans="1:1" ht="13.5" customHeight="1">
      <c r="A517" s="32"/>
    </row>
    <row r="518" spans="1:1" ht="13.5" customHeight="1">
      <c r="A518" s="32"/>
    </row>
    <row r="519" spans="1:1" ht="13.5" customHeight="1">
      <c r="A519" s="32"/>
    </row>
    <row r="520" spans="1:1" ht="13.5" customHeight="1">
      <c r="A520" s="32"/>
    </row>
    <row r="521" spans="1:1" ht="13.5" customHeight="1">
      <c r="A521" s="32"/>
    </row>
    <row r="522" spans="1:1" ht="13.5" customHeight="1">
      <c r="A522" s="32"/>
    </row>
    <row r="523" spans="1:1" ht="13.5" customHeight="1">
      <c r="A523" s="32"/>
    </row>
    <row r="524" spans="1:1" ht="13.5" customHeight="1">
      <c r="A524" s="32"/>
    </row>
    <row r="525" spans="1:1" ht="13.5" customHeight="1">
      <c r="A525" s="32"/>
    </row>
    <row r="526" spans="1:1" ht="13.5" customHeight="1">
      <c r="A526" s="32"/>
    </row>
    <row r="527" spans="1:1" ht="13.5" customHeight="1">
      <c r="A527" s="32"/>
    </row>
    <row r="528" spans="1:1" ht="13.5" customHeight="1">
      <c r="A528" s="32"/>
    </row>
    <row r="529" spans="1:1" ht="13.5" customHeight="1">
      <c r="A529" s="32"/>
    </row>
    <row r="530" spans="1:1" ht="13.5" customHeight="1">
      <c r="A530" s="32"/>
    </row>
    <row r="531" spans="1:1" ht="13.5" customHeight="1">
      <c r="A531" s="32"/>
    </row>
    <row r="532" spans="1:1" ht="13.5" customHeight="1">
      <c r="A532" s="32"/>
    </row>
    <row r="533" spans="1:1" ht="13.5" customHeight="1">
      <c r="A533" s="32"/>
    </row>
    <row r="534" spans="1:1" ht="13.5" customHeight="1">
      <c r="A534" s="32"/>
    </row>
    <row r="535" spans="1:1" ht="13.5" customHeight="1">
      <c r="A535" s="32"/>
    </row>
    <row r="536" spans="1:1" ht="13.5" customHeight="1">
      <c r="A536" s="32"/>
    </row>
    <row r="537" spans="1:1" ht="13.5" customHeight="1">
      <c r="A537" s="32"/>
    </row>
    <row r="538" spans="1:1" ht="13.5" customHeight="1">
      <c r="A538" s="32"/>
    </row>
    <row r="539" spans="1:1" ht="13.5" customHeight="1">
      <c r="A539" s="32"/>
    </row>
    <row r="540" spans="1:1" ht="13.5" customHeight="1">
      <c r="A540" s="32"/>
    </row>
    <row r="541" spans="1:1" ht="13.5" customHeight="1">
      <c r="A541" s="32"/>
    </row>
    <row r="542" spans="1:1" ht="13.5" customHeight="1">
      <c r="A542" s="32"/>
    </row>
    <row r="543" spans="1:1" ht="13.5" customHeight="1">
      <c r="A543" s="32"/>
    </row>
    <row r="544" spans="1:1" ht="13.5" customHeight="1">
      <c r="A544" s="32"/>
    </row>
    <row r="545" spans="1:1" ht="13.5" customHeight="1">
      <c r="A545" s="32"/>
    </row>
    <row r="546" spans="1:1" ht="13.5" customHeight="1">
      <c r="A546" s="32"/>
    </row>
    <row r="547" spans="1:1" ht="13.5" customHeight="1">
      <c r="A547" s="32"/>
    </row>
    <row r="548" spans="1:1" ht="13.5" customHeight="1">
      <c r="A548" s="32"/>
    </row>
    <row r="549" spans="1:1" ht="13.5" customHeight="1">
      <c r="A549" s="32"/>
    </row>
    <row r="550" spans="1:1" ht="13.5" customHeight="1">
      <c r="A550" s="32"/>
    </row>
    <row r="551" spans="1:1" ht="13.5" customHeight="1">
      <c r="A551" s="32"/>
    </row>
    <row r="552" spans="1:1" ht="13.5" customHeight="1">
      <c r="A552" s="32"/>
    </row>
    <row r="553" spans="1:1" ht="13.5" customHeight="1">
      <c r="A553" s="32"/>
    </row>
    <row r="554" spans="1:1" ht="13.5" customHeight="1">
      <c r="A554" s="32"/>
    </row>
    <row r="555" spans="1:1" ht="13.5" customHeight="1">
      <c r="A555" s="32"/>
    </row>
    <row r="556" spans="1:1" ht="13.5" customHeight="1">
      <c r="A556" s="32"/>
    </row>
    <row r="557" spans="1:1" ht="13.5" customHeight="1">
      <c r="A557" s="32"/>
    </row>
    <row r="558" spans="1:1" ht="13.5" customHeight="1">
      <c r="A558" s="32"/>
    </row>
    <row r="559" spans="1:1" ht="13.5" customHeight="1">
      <c r="A559" s="32"/>
    </row>
    <row r="560" spans="1:1" ht="13.5" customHeight="1">
      <c r="A560" s="32"/>
    </row>
    <row r="561" spans="1:1" ht="13.5" customHeight="1">
      <c r="A561" s="32"/>
    </row>
    <row r="562" spans="1:1" ht="13.5" customHeight="1">
      <c r="A562" s="32"/>
    </row>
    <row r="563" spans="1:1" ht="13.5" customHeight="1">
      <c r="A563" s="32"/>
    </row>
    <row r="564" spans="1:1" ht="13.5" customHeight="1">
      <c r="A564" s="32"/>
    </row>
    <row r="565" spans="1:1" ht="13.5" customHeight="1">
      <c r="A565" s="32"/>
    </row>
    <row r="566" spans="1:1" ht="13.5" customHeight="1">
      <c r="A566" s="32"/>
    </row>
    <row r="567" spans="1:1" ht="13.5" customHeight="1">
      <c r="A567" s="32"/>
    </row>
    <row r="568" spans="1:1" ht="13.5" customHeight="1">
      <c r="A568" s="32"/>
    </row>
    <row r="569" spans="1:1" ht="13.5" customHeight="1">
      <c r="A569" s="32"/>
    </row>
    <row r="570" spans="1:1" ht="13.5" customHeight="1">
      <c r="A570" s="32"/>
    </row>
    <row r="571" spans="1:1" ht="13.5" customHeight="1">
      <c r="A571" s="32"/>
    </row>
    <row r="572" spans="1:1" ht="13.5" customHeight="1">
      <c r="A572" s="32"/>
    </row>
    <row r="573" spans="1:1" ht="13.5" customHeight="1">
      <c r="A573" s="32"/>
    </row>
    <row r="574" spans="1:1" ht="13.5" customHeight="1">
      <c r="A574" s="32"/>
    </row>
    <row r="575" spans="1:1" ht="13.5" customHeight="1">
      <c r="A575" s="32"/>
    </row>
    <row r="576" spans="1:1" ht="13.5" customHeight="1">
      <c r="A576" s="32"/>
    </row>
    <row r="577" spans="1:1" ht="13.5" customHeight="1">
      <c r="A577" s="32"/>
    </row>
    <row r="578" spans="1:1" ht="13.5" customHeight="1">
      <c r="A578" s="32"/>
    </row>
    <row r="579" spans="1:1" ht="13.5" customHeight="1">
      <c r="A579" s="32"/>
    </row>
    <row r="580" spans="1:1" ht="13.5" customHeight="1">
      <c r="A580" s="32"/>
    </row>
    <row r="581" spans="1:1" ht="13.5" customHeight="1">
      <c r="A581" s="32"/>
    </row>
    <row r="582" spans="1:1" ht="13.5" customHeight="1">
      <c r="A582" s="32"/>
    </row>
    <row r="583" spans="1:1" ht="13.5" customHeight="1">
      <c r="A583" s="32"/>
    </row>
    <row r="584" spans="1:1" ht="13.5" customHeight="1">
      <c r="A584" s="32"/>
    </row>
    <row r="585" spans="1:1" ht="13.5" customHeight="1">
      <c r="A585" s="32"/>
    </row>
    <row r="586" spans="1:1" ht="13.5" customHeight="1">
      <c r="A586" s="32"/>
    </row>
    <row r="587" spans="1:1" ht="13.5" customHeight="1">
      <c r="A587" s="32"/>
    </row>
    <row r="588" spans="1:1" ht="13.5" customHeight="1">
      <c r="A588" s="32"/>
    </row>
    <row r="589" spans="1:1" ht="13.5" customHeight="1">
      <c r="A589" s="32"/>
    </row>
    <row r="590" spans="1:1" ht="13.5" customHeight="1">
      <c r="A590" s="32"/>
    </row>
    <row r="591" spans="1:1" ht="13.5" customHeight="1">
      <c r="A591" s="32"/>
    </row>
    <row r="592" spans="1:1" ht="13.5" customHeight="1">
      <c r="A592" s="32"/>
    </row>
    <row r="593" spans="1:1" ht="13.5" customHeight="1">
      <c r="A593" s="32"/>
    </row>
    <row r="594" spans="1:1" ht="13.5" customHeight="1">
      <c r="A594" s="32"/>
    </row>
    <row r="595" spans="1:1" ht="13.5" customHeight="1">
      <c r="A595" s="32"/>
    </row>
    <row r="596" spans="1:1" ht="13.5" customHeight="1">
      <c r="A596" s="32"/>
    </row>
    <row r="597" spans="1:1" ht="13.5" customHeight="1">
      <c r="A597" s="32"/>
    </row>
    <row r="598" spans="1:1" ht="13.5" customHeight="1">
      <c r="A598" s="32"/>
    </row>
    <row r="599" spans="1:1" ht="13.5" customHeight="1">
      <c r="A599" s="32"/>
    </row>
    <row r="600" spans="1:1" ht="13.5" customHeight="1">
      <c r="A600" s="32"/>
    </row>
    <row r="601" spans="1:1" ht="13.5" customHeight="1">
      <c r="A601" s="32"/>
    </row>
    <row r="602" spans="1:1" ht="13.5" customHeight="1">
      <c r="A602" s="32"/>
    </row>
    <row r="603" spans="1:1" ht="13.5" customHeight="1">
      <c r="A603" s="32"/>
    </row>
    <row r="604" spans="1:1" ht="13.5" customHeight="1">
      <c r="A604" s="32"/>
    </row>
    <row r="605" spans="1:1" ht="13.5" customHeight="1">
      <c r="A605" s="32"/>
    </row>
    <row r="606" spans="1:1" ht="13.5" customHeight="1">
      <c r="A606" s="32"/>
    </row>
    <row r="607" spans="1:1" ht="13.5" customHeight="1">
      <c r="A607" s="32"/>
    </row>
    <row r="608" spans="1:1" ht="13.5" customHeight="1">
      <c r="A608" s="32"/>
    </row>
    <row r="609" spans="1:1" ht="13.5" customHeight="1">
      <c r="A609" s="32"/>
    </row>
    <row r="610" spans="1:1" ht="13.5" customHeight="1">
      <c r="A610" s="32"/>
    </row>
    <row r="611" spans="1:1" ht="13.5" customHeight="1">
      <c r="A611" s="32"/>
    </row>
    <row r="612" spans="1:1" ht="13.5" customHeight="1">
      <c r="A612" s="32"/>
    </row>
    <row r="613" spans="1:1" ht="13.5" customHeight="1">
      <c r="A613" s="32"/>
    </row>
    <row r="614" spans="1:1" ht="13.5" customHeight="1">
      <c r="A614" s="32"/>
    </row>
    <row r="615" spans="1:1" ht="13.5" customHeight="1">
      <c r="A615" s="32"/>
    </row>
    <row r="616" spans="1:1" ht="13.5" customHeight="1">
      <c r="A616" s="32"/>
    </row>
    <row r="617" spans="1:1" ht="13.5" customHeight="1">
      <c r="A617" s="32"/>
    </row>
    <row r="618" spans="1:1" ht="13.5" customHeight="1">
      <c r="A618" s="32"/>
    </row>
    <row r="619" spans="1:1" ht="13.5" customHeight="1">
      <c r="A619" s="32"/>
    </row>
    <row r="620" spans="1:1" ht="13.5" customHeight="1">
      <c r="A620" s="32"/>
    </row>
    <row r="621" spans="1:1" ht="13.5" customHeight="1">
      <c r="A621" s="32"/>
    </row>
    <row r="622" spans="1:1" ht="13.5" customHeight="1">
      <c r="A622" s="32"/>
    </row>
    <row r="623" spans="1:1" ht="13.5" customHeight="1">
      <c r="A623" s="32"/>
    </row>
    <row r="624" spans="1:1" ht="13.5" customHeight="1">
      <c r="A624" s="32"/>
    </row>
    <row r="625" spans="1:1" ht="13.5" customHeight="1">
      <c r="A625" s="32"/>
    </row>
    <row r="626" spans="1:1" ht="13.5" customHeight="1">
      <c r="A626" s="32"/>
    </row>
    <row r="627" spans="1:1" ht="13.5" customHeight="1">
      <c r="A627" s="32"/>
    </row>
    <row r="628" spans="1:1" ht="13.5" customHeight="1">
      <c r="A628" s="32"/>
    </row>
    <row r="629" spans="1:1" ht="13.5" customHeight="1">
      <c r="A629" s="32"/>
    </row>
    <row r="630" spans="1:1" ht="13.5" customHeight="1">
      <c r="A630" s="32"/>
    </row>
    <row r="631" spans="1:1" ht="13.5" customHeight="1">
      <c r="A631" s="32"/>
    </row>
    <row r="632" spans="1:1" ht="13.5" customHeight="1">
      <c r="A632" s="32"/>
    </row>
    <row r="633" spans="1:1" ht="13.5" customHeight="1">
      <c r="A633" s="32"/>
    </row>
    <row r="634" spans="1:1" ht="13.5" customHeight="1">
      <c r="A634" s="32"/>
    </row>
    <row r="635" spans="1:1" ht="13.5" customHeight="1">
      <c r="A635" s="32"/>
    </row>
    <row r="636" spans="1:1" ht="13.5" customHeight="1">
      <c r="A636" s="32"/>
    </row>
    <row r="637" spans="1:1" ht="13.5" customHeight="1">
      <c r="A637" s="32"/>
    </row>
    <row r="638" spans="1:1" ht="13.5" customHeight="1">
      <c r="A638" s="32"/>
    </row>
    <row r="639" spans="1:1" ht="13.5" customHeight="1">
      <c r="A639" s="32"/>
    </row>
    <row r="640" spans="1:1" ht="13.5" customHeight="1">
      <c r="A640" s="32"/>
    </row>
    <row r="641" spans="1:24" ht="13.5" customHeight="1">
      <c r="A641" s="32"/>
    </row>
    <row r="642" spans="1:24" ht="13.5" customHeight="1">
      <c r="A642" s="32"/>
    </row>
    <row r="643" spans="1:24" ht="13.5" customHeight="1">
      <c r="A643" s="32"/>
    </row>
    <row r="644" spans="1:24" ht="13.5" customHeight="1">
      <c r="A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</row>
    <row r="646" spans="1:24">
      <c r="B646" s="31" t="b">
        <f t="shared" ref="B646" ca="1" si="7">IF(INDEX(_WEW_IsUserValidationEntered,COLUMN(B$1)),NOT(OFFSET(B3,0,1)&lt;&gt;0),FALSE)</f>
        <v>0</v>
      </c>
      <c r="C646" s="31" t="e">
        <f ca="1">IF(INDEX(_WEW_IsUserValidationEntered,COLUMN(#REF!)),NOT(OFFSET(#REF!,0,1)&lt;&gt;0),FALSE)</f>
        <v>#REF!</v>
      </c>
      <c r="D646" s="31" t="b">
        <f ca="1">IF(INDEX(_WEW_IsUserValidationEntered,COLUMN(C$1)),NOT(OFFSET(C3,0,1)&lt;&gt;0),FALSE)</f>
        <v>0</v>
      </c>
      <c r="E646" s="31" t="b">
        <f ca="1">IF(INDEX(_WEW_IsUserValidationEntered,COLUMN(D$1)),NOT(OFFSET(D3,0,1)&lt;&gt;0),FALSE)</f>
        <v>0</v>
      </c>
      <c r="F646" s="31" t="b">
        <f ca="1">IF(INDEX(_WEW_IsUserValidationEntered,COLUMN(E$1)),NOT(OFFSET(E3,0,1)&lt;&gt;0),FALSE)</f>
        <v>0</v>
      </c>
      <c r="G646" s="31" t="b">
        <f ca="1">IF(INDEX(_WEW_IsUserValidationEntered,COLUMN(F$1)),NOT(OFFSET(F3,0,1)&lt;&gt;0),FALSE)</f>
        <v>0</v>
      </c>
      <c r="H646" s="31" t="b">
        <f ca="1">IF(INDEX(_WEW_IsUserValidationEntered,COLUMN(G$1)),NOT(OFFSET(G3,0,1)&lt;&gt;0),FALSE)</f>
        <v>0</v>
      </c>
      <c r="I646" s="31" t="b">
        <f t="shared" ref="I646:J646" ca="1" si="8">IF(INDEX(_WEW_IsUserValidationEntered,COLUMN(J$1)),NOT(OFFSET(J3,0,1)&lt;&gt;0),FALSE)</f>
        <v>0</v>
      </c>
      <c r="J646" s="31" t="b">
        <f t="shared" ca="1" si="8"/>
        <v>0</v>
      </c>
      <c r="K646" s="31" t="e">
        <f ca="1">IF(INDEX(_WEW_IsUserValidationEntered,COLUMN(#REF!)),NOT(OFFSET(#REF!,0,1)&lt;&gt;0),FALSE)</f>
        <v>#REF!</v>
      </c>
      <c r="L646" s="31" t="e">
        <f ca="1">IF(INDEX(_WEW_IsUserValidationEntered,COLUMN(#REF!)),NOT(OFFSET(#REF!,0,1)&lt;&gt;0),FALSE)</f>
        <v>#REF!</v>
      </c>
      <c r="M646" s="31" t="e">
        <f ca="1">IF(INDEX(_WEW_IsUserValidationEntered,COLUMN(#REF!)),NOT(OFFSET(#REF!,0,1)&lt;&gt;0),FALSE)</f>
        <v>#REF!</v>
      </c>
      <c r="N646" s="31" t="e">
        <f ca="1">IF(INDEX(_WEW_IsUserValidationEntered,COLUMN(#REF!)),NOT(OFFSET(#REF!,0,1)&lt;&gt;0),FALSE)</f>
        <v>#REF!</v>
      </c>
      <c r="O646" s="31" t="e">
        <f ca="1">IF(INDEX(_WEW_IsUserValidationEntered,COLUMN(#REF!)),NOT(OFFSET(#REF!,0,1)&lt;&gt;0),FALSE)</f>
        <v>#REF!</v>
      </c>
      <c r="P646" s="31" t="e">
        <f ca="1">IF(INDEX(_WEW_IsUserValidationEntered,COLUMN(#REF!)),NOT(OFFSET(#REF!,0,1)&lt;&gt;0),FALSE)</f>
        <v>#REF!</v>
      </c>
      <c r="Q646" s="31" t="e">
        <f ca="1">IF(INDEX(_WEW_IsUserValidationEntered,COLUMN(#REF!)),NOT(OFFSET(#REF!,0,1)),FALSE)</f>
        <v>#REF!</v>
      </c>
    </row>
    <row r="647" spans="1:24">
      <c r="Q647" s="31" t="e">
        <f ca="1">IF(INDEX(_WEW_IsUserValidationEntered,COLUMN(#REF!)),NOT(OFFSET(#REF!,0,1)&lt;&gt;0),FALSE)</f>
        <v>#REF!</v>
      </c>
    </row>
    <row r="648" spans="1:24">
      <c r="Q648" s="31" t="e">
        <f ca="1">IF(INDEX(_WEW_IsUserValidationEntered,COLUMN(#REF!)),NOT(OFFSET(#REF!,0,1)&lt;&gt;0),FALSE)</f>
        <v>#REF!</v>
      </c>
    </row>
    <row r="649" spans="1:24">
      <c r="Q649" s="31" t="e">
        <f ca="1">IF(INDEX(_WEW_IsUserValidationEntered,COLUMN(#REF!)),NOT(OFFSET(#REF!,0,1)&lt;&gt;0),FALSE)</f>
        <v>#REF!</v>
      </c>
    </row>
    <row r="650" spans="1:24">
      <c r="Q650" s="31" t="e">
        <f ca="1">IF(INDEX(_WEW_IsUserValidationEntered,COLUMN(#REF!)),NOT(OFFSET(#REF!,0,1)&lt;&gt;0),FALSE)</f>
        <v>#REF!</v>
      </c>
    </row>
    <row r="651" spans="1:24">
      <c r="Q651" s="31" t="e">
        <f ca="1">IF(INDEX(_WEW_IsUserValidationEntered,COLUMN(#REF!)),NOT(OFFSET(#REF!,0,1)&lt;&gt;0),FALSE)</f>
        <v>#REF!</v>
      </c>
    </row>
    <row r="652" spans="1:24">
      <c r="Q652" s="31" t="e">
        <f ca="1">IF(INDEX(_WEW_IsUserValidationEntered,COLUMN(#REF!)),NOT(OFFSET(#REF!,0,1)&lt;&gt;0),FALSE)</f>
        <v>#REF!</v>
      </c>
    </row>
    <row r="653" spans="1:24">
      <c r="Q653" s="31" t="e">
        <f ca="1">IF(INDEX(_WEW_IsUserValidationEntered,COLUMN(#REF!)),NOT(OFFSET(#REF!,0,1)&lt;&gt;0),FALSE)</f>
        <v>#REF!</v>
      </c>
    </row>
    <row r="654" spans="1:24">
      <c r="Q654" s="31" t="e">
        <f ca="1">IF(INDEX(_WEW_IsUserValidationEntered,COLUMN(#REF!)),NOT(OFFSET(#REF!,0,1)&lt;&gt;0),FALSE)</f>
        <v>#REF!</v>
      </c>
    </row>
    <row r="655" spans="1:24">
      <c r="Q655" s="31" t="e">
        <f ca="1">IF(INDEX(_WEW_IsUserValidationEntered,COLUMN(#REF!)),NOT(OFFSET(#REF!,0,1)&lt;&gt;0),FALSE)</f>
        <v>#REF!</v>
      </c>
    </row>
    <row r="656" spans="1:24">
      <c r="Q656" s="31" t="e">
        <f ca="1">IF(INDEX(_WEW_IsUserValidationEntered,COLUMN(#REF!)),NOT(OFFSET(#REF!,0,1)&lt;&gt;0),FALSE)</f>
        <v>#REF!</v>
      </c>
    </row>
    <row r="657" spans="17:17">
      <c r="Q657" s="31" t="e">
        <f ca="1">IF(INDEX(_WEW_IsUserValidationEntered,COLUMN(#REF!)),NOT(OFFSET(#REF!,0,1)&lt;&gt;0),FALSE)</f>
        <v>#REF!</v>
      </c>
    </row>
    <row r="658" spans="17:17">
      <c r="Q658" s="31" t="e">
        <f ca="1">IF(INDEX(_WEW_IsUserValidationEntered,COLUMN(#REF!)),NOT(OFFSET(#REF!,0,1)&lt;&gt;0),FALSE)</f>
        <v>#REF!</v>
      </c>
    </row>
    <row r="659" spans="17:17">
      <c r="Q659" s="31" t="e">
        <f ca="1">IF(INDEX(_WEW_IsUserValidationEntered,COLUMN(#REF!)),NOT(OFFSET(#REF!,0,1)&lt;&gt;0),FALSE)</f>
        <v>#REF!</v>
      </c>
    </row>
    <row r="660" spans="17:17">
      <c r="Q660" s="31" t="e">
        <f ca="1">IF(INDEX(_WEW_IsUserValidationEntered,COLUMN(#REF!)),NOT(OFFSET(#REF!,0,1)&lt;&gt;0),FALSE)</f>
        <v>#REF!</v>
      </c>
    </row>
    <row r="661" spans="17:17">
      <c r="Q661" s="31" t="e">
        <f ca="1">IF(INDEX(_WEW_IsUserValidationEntered,COLUMN(#REF!)),NOT(OFFSET(#REF!,0,1)&lt;&gt;0),FALSE)</f>
        <v>#REF!</v>
      </c>
    </row>
    <row r="662" spans="17:17">
      <c r="Q662" s="31" t="e">
        <f ca="1">IF(INDEX(_WEW_IsUserValidationEntered,COLUMN(#REF!)),NOT(OFFSET(#REF!,0,1)&lt;&gt;0),FALSE)</f>
        <v>#REF!</v>
      </c>
    </row>
    <row r="663" spans="17:17">
      <c r="Q663" s="31" t="e">
        <f ca="1">IF(INDEX(_WEW_IsUserValidationEntered,COLUMN(#REF!)),NOT(OFFSET(#REF!,0,1)&lt;&gt;0),FALSE)</f>
        <v>#REF!</v>
      </c>
    </row>
    <row r="664" spans="17:17">
      <c r="Q664" s="31" t="e">
        <f ca="1">IF(INDEX(_WEW_IsUserValidationEntered,COLUMN(#REF!)),NOT(OFFSET(#REF!,0,1)&lt;&gt;0),FALSE)</f>
        <v>#REF!</v>
      </c>
    </row>
    <row r="665" spans="17:17">
      <c r="Q665" s="31" t="e">
        <f ca="1">IF(INDEX(_WEW_IsUserValidationEntered,COLUMN(#REF!)),NOT(OFFSET(#REF!,0,1)&lt;&gt;0),FALSE)</f>
        <v>#REF!</v>
      </c>
    </row>
    <row r="666" spans="17:17">
      <c r="Q666" s="31" t="e">
        <f ca="1">IF(INDEX(_WEW_IsUserValidationEntered,COLUMN(#REF!)),NOT(OFFSET(#REF!,0,1)&lt;&gt;0),FALSE)</f>
        <v>#REF!</v>
      </c>
    </row>
    <row r="667" spans="17:17">
      <c r="Q667" s="31" t="e">
        <f ca="1">IF(INDEX(_WEW_IsUserValidationEntered,COLUMN(#REF!)),NOT(OFFSET(#REF!,0,1)&lt;&gt;0),FALSE)</f>
        <v>#REF!</v>
      </c>
    </row>
    <row r="668" spans="17:17">
      <c r="Q668" s="31" t="e">
        <f ca="1">IF(INDEX(_WEW_IsUserValidationEntered,COLUMN(#REF!)),NOT(OFFSET(#REF!,0,1)&lt;&gt;0),FALSE)</f>
        <v>#REF!</v>
      </c>
    </row>
    <row r="669" spans="17:17">
      <c r="Q669" s="31" t="e">
        <f ca="1">IF(INDEX(_WEW_IsUserValidationEntered,COLUMN(#REF!)),NOT(OFFSET(#REF!,0,1)&lt;&gt;0),FALSE)</f>
        <v>#REF!</v>
      </c>
    </row>
    <row r="670" spans="17:17">
      <c r="Q670" s="31" t="e">
        <f ca="1">IF(INDEX(_WEW_IsUserValidationEntered,COLUMN(#REF!)),NOT(OFFSET(#REF!,0,1)&lt;&gt;0),FALSE)</f>
        <v>#REF!</v>
      </c>
    </row>
    <row r="671" spans="17:17">
      <c r="Q671" s="31" t="e">
        <f ca="1">IF(INDEX(_WEW_IsUserValidationEntered,COLUMN(#REF!)),NOT(OFFSET(#REF!,0,1)&lt;&gt;0),FALSE)</f>
        <v>#REF!</v>
      </c>
    </row>
    <row r="672" spans="17:17">
      <c r="Q672" s="31" t="e">
        <f ca="1">IF(INDEX(_WEW_IsUserValidationEntered,COLUMN(#REF!)),NOT(OFFSET(#REF!,0,1)&lt;&gt;0),FALSE)</f>
        <v>#REF!</v>
      </c>
    </row>
    <row r="673" spans="17:17">
      <c r="Q673" s="31" t="e">
        <f ca="1">IF(INDEX(_WEW_IsUserValidationEntered,COLUMN(#REF!)),NOT(OFFSET(#REF!,0,1)&lt;&gt;0),FALSE)</f>
        <v>#REF!</v>
      </c>
    </row>
    <row r="674" spans="17:17">
      <c r="Q674" s="31" t="e">
        <f ca="1">IF(INDEX(_WEW_IsUserValidationEntered,COLUMN(#REF!)),NOT(OFFSET(#REF!,0,1)&lt;&gt;0),FALSE)</f>
        <v>#REF!</v>
      </c>
    </row>
    <row r="675" spans="17:17">
      <c r="Q675" s="31" t="e">
        <f ca="1">IF(INDEX(_WEW_IsUserValidationEntered,COLUMN(#REF!)),NOT(OFFSET(#REF!,0,1)&lt;&gt;0),FALSE)</f>
        <v>#REF!</v>
      </c>
    </row>
    <row r="676" spans="17:17">
      <c r="Q676" s="31" t="e">
        <f ca="1">IF(INDEX(_WEW_IsUserValidationEntered,COLUMN(#REF!)),NOT(OFFSET(#REF!,0,1)&lt;&gt;0),FALSE)</f>
        <v>#REF!</v>
      </c>
    </row>
    <row r="677" spans="17:17">
      <c r="Q677" s="31" t="e">
        <f ca="1">IF(INDEX(_WEW_IsUserValidationEntered,COLUMN(#REF!)),NOT(OFFSET(#REF!,0,1)&lt;&gt;0),FALSE)</f>
        <v>#REF!</v>
      </c>
    </row>
    <row r="678" spans="17:17">
      <c r="Q678" s="31" t="e">
        <f ca="1">IF(INDEX(_WEW_IsUserValidationEntered,COLUMN(#REF!)),NOT(OFFSET(#REF!,0,1)&lt;&gt;0),FALSE)</f>
        <v>#REF!</v>
      </c>
    </row>
    <row r="679" spans="17:17">
      <c r="Q679" s="31" t="e">
        <f ca="1">IF(INDEX(_WEW_IsUserValidationEntered,COLUMN(#REF!)),NOT(OFFSET(#REF!,0,1)&lt;&gt;0),FALSE)</f>
        <v>#REF!</v>
      </c>
    </row>
    <row r="680" spans="17:17">
      <c r="Q680" s="31" t="e">
        <f ca="1">IF(INDEX(_WEW_IsUserValidationEntered,COLUMN(#REF!)),NOT(OFFSET(#REF!,0,1)&lt;&gt;0),FALSE)</f>
        <v>#REF!</v>
      </c>
    </row>
    <row r="681" spans="17:17">
      <c r="Q681" s="31" t="e">
        <f ca="1">IF(INDEX(_WEW_IsUserValidationEntered,COLUMN(#REF!)),NOT(OFFSET(#REF!,0,1)&lt;&gt;0),FALSE)</f>
        <v>#REF!</v>
      </c>
    </row>
    <row r="682" spans="17:17">
      <c r="Q682" s="31" t="e">
        <f ca="1">IF(INDEX(_WEW_IsUserValidationEntered,COLUMN(#REF!)),NOT(OFFSET(#REF!,0,1)&lt;&gt;0),FALSE)</f>
        <v>#REF!</v>
      </c>
    </row>
    <row r="683" spans="17:17">
      <c r="Q683" s="31" t="e">
        <f ca="1">IF(INDEX(_WEW_IsUserValidationEntered,COLUMN(#REF!)),NOT(OFFSET(#REF!,0,1)&lt;&gt;0),FALSE)</f>
        <v>#REF!</v>
      </c>
    </row>
    <row r="684" spans="17:17">
      <c r="Q684" s="31" t="e">
        <f ca="1">IF(INDEX(_WEW_IsUserValidationEntered,COLUMN(#REF!)),NOT(OFFSET(#REF!,0,1)&lt;&gt;0),FALSE)</f>
        <v>#REF!</v>
      </c>
    </row>
    <row r="685" spans="17:17">
      <c r="Q685" s="31" t="e">
        <f ca="1">IF(INDEX(_WEW_IsUserValidationEntered,COLUMN(#REF!)),NOT(OFFSET(#REF!,0,1)&lt;&gt;0),FALSE)</f>
        <v>#REF!</v>
      </c>
    </row>
    <row r="686" spans="17:17">
      <c r="Q686" s="31" t="e">
        <f ca="1">IF(INDEX(_WEW_IsUserValidationEntered,COLUMN(#REF!)),NOT(OFFSET(#REF!,0,1)&lt;&gt;0),FALSE)</f>
        <v>#REF!</v>
      </c>
    </row>
    <row r="687" spans="17:17">
      <c r="Q687" s="31" t="e">
        <f ca="1">IF(INDEX(_WEW_IsUserValidationEntered,COLUMN(#REF!)),NOT(OFFSET(#REF!,0,1)&lt;&gt;0),FALSE)</f>
        <v>#REF!</v>
      </c>
    </row>
    <row r="688" spans="17:17">
      <c r="Q688" s="31" t="e">
        <f ca="1">IF(INDEX(_WEW_IsUserValidationEntered,COLUMN(#REF!)),NOT(OFFSET(#REF!,0,1)&lt;&gt;0),FALSE)</f>
        <v>#REF!</v>
      </c>
    </row>
    <row r="689" spans="17:17">
      <c r="Q689" s="31" t="e">
        <f ca="1">IF(INDEX(_WEW_IsUserValidationEntered,COLUMN(#REF!)),NOT(OFFSET(#REF!,0,1)&lt;&gt;0),FALSE)</f>
        <v>#REF!</v>
      </c>
    </row>
    <row r="690" spans="17:17">
      <c r="Q690" s="31" t="e">
        <f ca="1">IF(INDEX(_WEW_IsUserValidationEntered,COLUMN(#REF!)),NOT(OFFSET(#REF!,0,1)&lt;&gt;0),FALSE)</f>
        <v>#REF!</v>
      </c>
    </row>
    <row r="691" spans="17:17">
      <c r="Q691" s="31" t="e">
        <f ca="1">IF(INDEX(_WEW_IsUserValidationEntered,COLUMN(#REF!)),NOT(OFFSET(#REF!,0,1)&lt;&gt;0),FALSE)</f>
        <v>#REF!</v>
      </c>
    </row>
    <row r="692" spans="17:17">
      <c r="Q692" s="31" t="e">
        <f ca="1">IF(INDEX(_WEW_IsUserValidationEntered,COLUMN(#REF!)),NOT(OFFSET(#REF!,0,1)&lt;&gt;0),FALSE)</f>
        <v>#REF!</v>
      </c>
    </row>
    <row r="693" spans="17:17">
      <c r="Q693" s="31" t="e">
        <f ca="1">IF(INDEX(_WEW_IsUserValidationEntered,COLUMN(#REF!)),NOT(OFFSET(#REF!,0,1)&lt;&gt;0),FALSE)</f>
        <v>#REF!</v>
      </c>
    </row>
    <row r="694" spans="17:17">
      <c r="Q694" s="31" t="e">
        <f ca="1">IF(INDEX(_WEW_IsUserValidationEntered,COLUMN(#REF!)),NOT(OFFSET(#REF!,0,1)&lt;&gt;0),FALSE)</f>
        <v>#REF!</v>
      </c>
    </row>
    <row r="695" spans="17:17">
      <c r="Q695" s="31" t="e">
        <f ca="1">IF(INDEX(_WEW_IsUserValidationEntered,COLUMN(#REF!)),NOT(OFFSET(#REF!,0,1)&lt;&gt;0),FALSE)</f>
        <v>#REF!</v>
      </c>
    </row>
    <row r="696" spans="17:17">
      <c r="Q696" s="31" t="e">
        <f ca="1">IF(INDEX(_WEW_IsUserValidationEntered,COLUMN(#REF!)),NOT(OFFSET(#REF!,0,1)&lt;&gt;0),FALSE)</f>
        <v>#REF!</v>
      </c>
    </row>
    <row r="697" spans="17:17">
      <c r="Q697" s="31" t="e">
        <f ca="1">IF(INDEX(_WEW_IsUserValidationEntered,COLUMN(#REF!)),NOT(OFFSET(#REF!,0,1)&lt;&gt;0),FALSE)</f>
        <v>#REF!</v>
      </c>
    </row>
    <row r="698" spans="17:17">
      <c r="Q698" s="31" t="e">
        <f ca="1">IF(INDEX(_WEW_IsUserValidationEntered,COLUMN(#REF!)),NOT(OFFSET(#REF!,0,1)&lt;&gt;0),FALSE)</f>
        <v>#REF!</v>
      </c>
    </row>
    <row r="699" spans="17:17">
      <c r="Q699" s="31" t="e">
        <f ca="1">IF(INDEX(_WEW_IsUserValidationEntered,COLUMN(#REF!)),NOT(OFFSET(#REF!,0,1)&lt;&gt;0),FALSE)</f>
        <v>#REF!</v>
      </c>
    </row>
    <row r="700" spans="17:17">
      <c r="Q700" s="31" t="e">
        <f ca="1">IF(INDEX(_WEW_IsUserValidationEntered,COLUMN(#REF!)),NOT(OFFSET(#REF!,0,1)&lt;&gt;0),FALSE)</f>
        <v>#REF!</v>
      </c>
    </row>
    <row r="701" spans="17:17">
      <c r="Q701" s="31" t="e">
        <f ca="1">IF(INDEX(_WEW_IsUserValidationEntered,COLUMN(#REF!)),NOT(OFFSET(#REF!,0,1)&lt;&gt;0),FALSE)</f>
        <v>#REF!</v>
      </c>
    </row>
    <row r="702" spans="17:17">
      <c r="Q702" s="31" t="e">
        <f ca="1">IF(INDEX(_WEW_IsUserValidationEntered,COLUMN(#REF!)),NOT(OFFSET(#REF!,0,1)&lt;&gt;0),FALSE)</f>
        <v>#REF!</v>
      </c>
    </row>
    <row r="703" spans="17:17">
      <c r="Q703" s="31" t="e">
        <f ca="1">IF(INDEX(_WEW_IsUserValidationEntered,COLUMN(#REF!)),NOT(OFFSET(#REF!,0,1)&lt;&gt;0),FALSE)</f>
        <v>#REF!</v>
      </c>
    </row>
    <row r="704" spans="17:17">
      <c r="Q704" s="31" t="e">
        <f ca="1">IF(INDEX(_WEW_IsUserValidationEntered,COLUMN(#REF!)),NOT(OFFSET(#REF!,0,1)&lt;&gt;0),FALSE)</f>
        <v>#REF!</v>
      </c>
    </row>
    <row r="705" spans="17:17">
      <c r="Q705" s="31" t="e">
        <f ca="1">IF(INDEX(_WEW_IsUserValidationEntered,COLUMN(#REF!)),NOT(OFFSET(#REF!,0,1)&lt;&gt;0),FALSE)</f>
        <v>#REF!</v>
      </c>
    </row>
    <row r="706" spans="17:17">
      <c r="Q706" s="31" t="e">
        <f ca="1">IF(INDEX(_WEW_IsUserValidationEntered,COLUMN(#REF!)),NOT(OFFSET(#REF!,0,1)&lt;&gt;0),FALSE)</f>
        <v>#REF!</v>
      </c>
    </row>
    <row r="707" spans="17:17">
      <c r="Q707" s="31" t="e">
        <f ca="1">IF(INDEX(_WEW_IsUserValidationEntered,COLUMN(#REF!)),NOT(OFFSET(#REF!,0,1)&lt;&gt;0),FALSE)</f>
        <v>#REF!</v>
      </c>
    </row>
    <row r="708" spans="17:17">
      <c r="Q708" s="31" t="e">
        <f ca="1">IF(INDEX(_WEW_IsUserValidationEntered,COLUMN(#REF!)),NOT(OFFSET(#REF!,0,1)&lt;&gt;0),FALSE)</f>
        <v>#REF!</v>
      </c>
    </row>
    <row r="709" spans="17:17">
      <c r="Q709" s="31" t="e">
        <f ca="1">IF(INDEX(_WEW_IsUserValidationEntered,COLUMN(#REF!)),NOT(OFFSET(#REF!,0,1)&lt;&gt;0),FALSE)</f>
        <v>#REF!</v>
      </c>
    </row>
    <row r="710" spans="17:17">
      <c r="Q710" s="31" t="e">
        <f ca="1">IF(INDEX(_WEW_IsUserValidationEntered,COLUMN(#REF!)),NOT(OFFSET(#REF!,0,1)&lt;&gt;0),FALSE)</f>
        <v>#REF!</v>
      </c>
    </row>
    <row r="711" spans="17:17">
      <c r="Q711" s="31" t="e">
        <f ca="1">IF(INDEX(_WEW_IsUserValidationEntered,COLUMN(#REF!)),NOT(OFFSET(#REF!,0,1)&lt;&gt;0),FALSE)</f>
        <v>#REF!</v>
      </c>
    </row>
    <row r="712" spans="17:17">
      <c r="Q712" s="31" t="e">
        <f ca="1">IF(INDEX(_WEW_IsUserValidationEntered,COLUMN(#REF!)),NOT(OFFSET(#REF!,0,1)&lt;&gt;0),FALSE)</f>
        <v>#REF!</v>
      </c>
    </row>
    <row r="713" spans="17:17">
      <c r="Q713" s="31" t="e">
        <f ca="1">IF(INDEX(_WEW_IsUserValidationEntered,COLUMN(#REF!)),NOT(OFFSET(#REF!,0,1)&lt;&gt;0),FALSE)</f>
        <v>#REF!</v>
      </c>
    </row>
    <row r="714" spans="17:17">
      <c r="Q714" s="31" t="e">
        <f ca="1">IF(INDEX(_WEW_IsUserValidationEntered,COLUMN(#REF!)),NOT(OFFSET(#REF!,0,1)&lt;&gt;0),FALSE)</f>
        <v>#REF!</v>
      </c>
    </row>
    <row r="715" spans="17:17">
      <c r="Q715" s="31" t="e">
        <f ca="1">IF(INDEX(_WEW_IsUserValidationEntered,COLUMN(#REF!)),NOT(OFFSET(#REF!,0,1)&lt;&gt;0),FALSE)</f>
        <v>#REF!</v>
      </c>
    </row>
    <row r="716" spans="17:17">
      <c r="Q716" s="31" t="e">
        <f ca="1">IF(INDEX(_WEW_IsUserValidationEntered,COLUMN(#REF!)),NOT(OFFSET(#REF!,0,1)&lt;&gt;0),FALSE)</f>
        <v>#REF!</v>
      </c>
    </row>
    <row r="717" spans="17:17">
      <c r="Q717" s="31" t="e">
        <f ca="1">IF(INDEX(_WEW_IsUserValidationEntered,COLUMN(#REF!)),NOT(OFFSET(#REF!,0,1)&lt;&gt;0),FALSE)</f>
        <v>#REF!</v>
      </c>
    </row>
    <row r="718" spans="17:17">
      <c r="Q718" s="31" t="e">
        <f ca="1">IF(INDEX(_WEW_IsUserValidationEntered,COLUMN(#REF!)),NOT(OFFSET(#REF!,0,1)&lt;&gt;0),FALSE)</f>
        <v>#REF!</v>
      </c>
    </row>
    <row r="719" spans="17:17">
      <c r="Q719" s="31" t="e">
        <f ca="1">IF(INDEX(_WEW_IsUserValidationEntered,COLUMN(#REF!)),NOT(OFFSET(#REF!,0,1)&lt;&gt;0),FALSE)</f>
        <v>#REF!</v>
      </c>
    </row>
    <row r="720" spans="17:17">
      <c r="Q720" s="31" t="e">
        <f ca="1">IF(INDEX(_WEW_IsUserValidationEntered,COLUMN(#REF!)),NOT(OFFSET(#REF!,0,1)&lt;&gt;0),FALSE)</f>
        <v>#REF!</v>
      </c>
    </row>
    <row r="721" spans="17:17">
      <c r="Q721" s="31" t="e">
        <f ca="1">IF(INDEX(_WEW_IsUserValidationEntered,COLUMN(#REF!)),NOT(OFFSET(#REF!,0,1)&lt;&gt;0),FALSE)</f>
        <v>#REF!</v>
      </c>
    </row>
    <row r="722" spans="17:17">
      <c r="Q722" s="31" t="e">
        <f ca="1">IF(INDEX(_WEW_IsUserValidationEntered,COLUMN(#REF!)),NOT(OFFSET(#REF!,0,1)&lt;&gt;0),FALSE)</f>
        <v>#REF!</v>
      </c>
    </row>
    <row r="723" spans="17:17">
      <c r="Q723" s="31" t="e">
        <f ca="1">IF(INDEX(_WEW_IsUserValidationEntered,COLUMN(#REF!)),NOT(OFFSET(#REF!,0,1)&lt;&gt;0),FALSE)</f>
        <v>#REF!</v>
      </c>
    </row>
    <row r="724" spans="17:17">
      <c r="Q724" s="31" t="e">
        <f ca="1">IF(INDEX(_WEW_IsUserValidationEntered,COLUMN(#REF!)),NOT(OFFSET(#REF!,0,1)&lt;&gt;0),FALSE)</f>
        <v>#REF!</v>
      </c>
    </row>
    <row r="725" spans="17:17">
      <c r="Q725" s="31" t="e">
        <f ca="1">IF(INDEX(_WEW_IsUserValidationEntered,COLUMN(#REF!)),NOT(OFFSET(#REF!,0,1)&lt;&gt;0),FALSE)</f>
        <v>#REF!</v>
      </c>
    </row>
    <row r="726" spans="17:17">
      <c r="Q726" s="31" t="e">
        <f ca="1">IF(INDEX(_WEW_IsUserValidationEntered,COLUMN(#REF!)),NOT(OFFSET(#REF!,0,1)&lt;&gt;0),FALSE)</f>
        <v>#REF!</v>
      </c>
    </row>
    <row r="727" spans="17:17">
      <c r="Q727" s="31" t="e">
        <f ca="1">IF(INDEX(_WEW_IsUserValidationEntered,COLUMN(#REF!)),NOT(OFFSET(#REF!,0,1)&lt;&gt;0),FALSE)</f>
        <v>#REF!</v>
      </c>
    </row>
    <row r="728" spans="17:17">
      <c r="Q728" s="31" t="e">
        <f ca="1">IF(INDEX(_WEW_IsUserValidationEntered,COLUMN(#REF!)),NOT(OFFSET(#REF!,0,1)&lt;&gt;0),FALSE)</f>
        <v>#REF!</v>
      </c>
    </row>
    <row r="729" spans="17:17">
      <c r="Q729" s="31" t="e">
        <f ca="1">IF(INDEX(_WEW_IsUserValidationEntered,COLUMN(#REF!)),NOT(OFFSET(#REF!,0,1)&lt;&gt;0),FALSE)</f>
        <v>#REF!</v>
      </c>
    </row>
    <row r="730" spans="17:17">
      <c r="Q730" s="31" t="e">
        <f ca="1">IF(INDEX(_WEW_IsUserValidationEntered,COLUMN(#REF!)),NOT(OFFSET(#REF!,0,1)&lt;&gt;0),FALSE)</f>
        <v>#REF!</v>
      </c>
    </row>
    <row r="731" spans="17:17">
      <c r="Q731" s="31" t="e">
        <f ca="1">IF(INDEX(_WEW_IsUserValidationEntered,COLUMN(#REF!)),NOT(OFFSET(#REF!,0,1)&lt;&gt;0),FALSE)</f>
        <v>#REF!</v>
      </c>
    </row>
    <row r="732" spans="17:17">
      <c r="Q732" s="31" t="e">
        <f ca="1">IF(INDEX(_WEW_IsUserValidationEntered,COLUMN(#REF!)),NOT(OFFSET(#REF!,0,1)&lt;&gt;0),FALSE)</f>
        <v>#REF!</v>
      </c>
    </row>
    <row r="733" spans="17:17">
      <c r="Q733" s="31" t="e">
        <f ca="1">IF(INDEX(_WEW_IsUserValidationEntered,COLUMN(#REF!)),NOT(OFFSET(#REF!,0,1)&lt;&gt;0),FALSE)</f>
        <v>#REF!</v>
      </c>
    </row>
    <row r="734" spans="17:17">
      <c r="Q734" s="31" t="e">
        <f ca="1">IF(INDEX(_WEW_IsUserValidationEntered,COLUMN(#REF!)),NOT(OFFSET(#REF!,0,1)&lt;&gt;0),FALSE)</f>
        <v>#REF!</v>
      </c>
    </row>
    <row r="735" spans="17:17">
      <c r="Q735" s="31" t="e">
        <f ca="1">IF(INDEX(_WEW_IsUserValidationEntered,COLUMN(#REF!)),NOT(OFFSET(#REF!,0,1)&lt;&gt;0),FALSE)</f>
        <v>#REF!</v>
      </c>
    </row>
    <row r="736" spans="17:17">
      <c r="Q736" s="31" t="e">
        <f ca="1">IF(INDEX(_WEW_IsUserValidationEntered,COLUMN(#REF!)),NOT(OFFSET(#REF!,0,1)&lt;&gt;0),FALSE)</f>
        <v>#REF!</v>
      </c>
    </row>
    <row r="737" spans="17:17">
      <c r="Q737" s="31" t="e">
        <f ca="1">IF(INDEX(_WEW_IsUserValidationEntered,COLUMN(#REF!)),NOT(OFFSET(#REF!,0,1)&lt;&gt;0),FALSE)</f>
        <v>#REF!</v>
      </c>
    </row>
    <row r="738" spans="17:17">
      <c r="Q738" s="31" t="e">
        <f ca="1">IF(INDEX(_WEW_IsUserValidationEntered,COLUMN(#REF!)),NOT(OFFSET(#REF!,0,1)&lt;&gt;0),FALSE)</f>
        <v>#REF!</v>
      </c>
    </row>
    <row r="739" spans="17:17">
      <c r="Q739" s="31" t="e">
        <f ca="1">IF(INDEX(_WEW_IsUserValidationEntered,COLUMN(#REF!)),NOT(OFFSET(#REF!,0,1)&lt;&gt;0),FALSE)</f>
        <v>#REF!</v>
      </c>
    </row>
    <row r="740" spans="17:17">
      <c r="Q740" s="31" t="e">
        <f ca="1">IF(INDEX(_WEW_IsUserValidationEntered,COLUMN(#REF!)),NOT(OFFSET(#REF!,0,1)&lt;&gt;0),FALSE)</f>
        <v>#REF!</v>
      </c>
    </row>
    <row r="741" spans="17:17">
      <c r="Q741" s="31" t="e">
        <f ca="1">IF(INDEX(_WEW_IsUserValidationEntered,COLUMN(#REF!)),NOT(OFFSET(#REF!,0,1)&lt;&gt;0),FALSE)</f>
        <v>#REF!</v>
      </c>
    </row>
    <row r="742" spans="17:17">
      <c r="Q742" s="31" t="e">
        <f ca="1">IF(INDEX(_WEW_IsUserValidationEntered,COLUMN(#REF!)),NOT(OFFSET(#REF!,0,1)&lt;&gt;0),FALSE)</f>
        <v>#REF!</v>
      </c>
    </row>
    <row r="743" spans="17:17">
      <c r="Q743" s="31" t="e">
        <f ca="1">IF(INDEX(_WEW_IsUserValidationEntered,COLUMN(#REF!)),NOT(OFFSET(#REF!,0,1)&lt;&gt;0),FALSE)</f>
        <v>#REF!</v>
      </c>
    </row>
    <row r="744" spans="17:17">
      <c r="Q744" s="31" t="e">
        <f ca="1">IF(INDEX(_WEW_IsUserValidationEntered,COLUMN(#REF!)),NOT(OFFSET(#REF!,0,1)&lt;&gt;0),FALSE)</f>
        <v>#REF!</v>
      </c>
    </row>
    <row r="745" spans="17:17">
      <c r="Q745" s="31" t="e">
        <f ca="1">IF(INDEX(_WEW_IsUserValidationEntered,COLUMN(#REF!)),NOT(OFFSET(#REF!,0,1)&lt;&gt;0),FALSE)</f>
        <v>#REF!</v>
      </c>
    </row>
    <row r="746" spans="17:17">
      <c r="Q746" s="31" t="e">
        <f ca="1">IF(INDEX(_WEW_IsUserValidationEntered,COLUMN(#REF!)),NOT(OFFSET(#REF!,0,1)&lt;&gt;0),FALSE)</f>
        <v>#REF!</v>
      </c>
    </row>
    <row r="747" spans="17:17">
      <c r="Q747" s="31" t="e">
        <f ca="1">IF(INDEX(_WEW_IsUserValidationEntered,COLUMN(#REF!)),NOT(OFFSET(#REF!,0,1)&lt;&gt;0),FALSE)</f>
        <v>#REF!</v>
      </c>
    </row>
    <row r="748" spans="17:17">
      <c r="Q748" s="31" t="e">
        <f ca="1">IF(INDEX(_WEW_IsUserValidationEntered,COLUMN(#REF!)),NOT(OFFSET(#REF!,0,1)&lt;&gt;0),FALSE)</f>
        <v>#REF!</v>
      </c>
    </row>
    <row r="749" spans="17:17">
      <c r="Q749" s="31" t="e">
        <f ca="1">IF(INDEX(_WEW_IsUserValidationEntered,COLUMN(#REF!)),NOT(OFFSET(#REF!,0,1)&lt;&gt;0),FALSE)</f>
        <v>#REF!</v>
      </c>
    </row>
    <row r="750" spans="17:17">
      <c r="Q750" s="31" t="e">
        <f ca="1">IF(INDEX(_WEW_IsUserValidationEntered,COLUMN(#REF!)),NOT(OFFSET(#REF!,0,1)&lt;&gt;0),FALSE)</f>
        <v>#REF!</v>
      </c>
    </row>
    <row r="751" spans="17:17">
      <c r="Q751" s="31" t="e">
        <f ca="1">IF(INDEX(_WEW_IsUserValidationEntered,COLUMN(#REF!)),NOT(OFFSET(#REF!,0,1)&lt;&gt;0),FALSE)</f>
        <v>#REF!</v>
      </c>
    </row>
    <row r="752" spans="17:17">
      <c r="Q752" s="31" t="e">
        <f ca="1">IF(INDEX(_WEW_IsUserValidationEntered,COLUMN(#REF!)),NOT(OFFSET(#REF!,0,1)&lt;&gt;0),FALSE)</f>
        <v>#REF!</v>
      </c>
    </row>
    <row r="753" spans="17:17">
      <c r="Q753" s="31" t="e">
        <f ca="1">IF(INDEX(_WEW_IsUserValidationEntered,COLUMN(#REF!)),NOT(OFFSET(#REF!,0,1)&lt;&gt;0),FALSE)</f>
        <v>#REF!</v>
      </c>
    </row>
    <row r="754" spans="17:17">
      <c r="Q754" s="31" t="e">
        <f ca="1">IF(INDEX(_WEW_IsUserValidationEntered,COLUMN(#REF!)),NOT(OFFSET(#REF!,0,1)&lt;&gt;0),FALSE)</f>
        <v>#REF!</v>
      </c>
    </row>
    <row r="755" spans="17:17">
      <c r="Q755" s="31" t="e">
        <f ca="1">IF(INDEX(_WEW_IsUserValidationEntered,COLUMN(#REF!)),NOT(OFFSET(#REF!,0,1)&lt;&gt;0),FALSE)</f>
        <v>#REF!</v>
      </c>
    </row>
    <row r="756" spans="17:17">
      <c r="Q756" s="31" t="e">
        <f ca="1">IF(INDEX(_WEW_IsUserValidationEntered,COLUMN(#REF!)),NOT(OFFSET(#REF!,0,1)&lt;&gt;0),FALSE)</f>
        <v>#REF!</v>
      </c>
    </row>
    <row r="757" spans="17:17">
      <c r="Q757" s="31" t="e">
        <f ca="1">IF(INDEX(_WEW_IsUserValidationEntered,COLUMN(#REF!)),NOT(OFFSET(#REF!,0,1)&lt;&gt;0),FALSE)</f>
        <v>#REF!</v>
      </c>
    </row>
    <row r="758" spans="17:17">
      <c r="Q758" s="31" t="e">
        <f ca="1">IF(INDEX(_WEW_IsUserValidationEntered,COLUMN(#REF!)),NOT(OFFSET(#REF!,0,1)&lt;&gt;0),FALSE)</f>
        <v>#REF!</v>
      </c>
    </row>
    <row r="759" spans="17:17">
      <c r="Q759" s="31" t="e">
        <f ca="1">IF(INDEX(_WEW_IsUserValidationEntered,COLUMN(#REF!)),NOT(OFFSET(#REF!,0,1)&lt;&gt;0),FALSE)</f>
        <v>#REF!</v>
      </c>
    </row>
    <row r="760" spans="17:17">
      <c r="Q760" s="31" t="e">
        <f ca="1">IF(INDEX(_WEW_IsUserValidationEntered,COLUMN(#REF!)),NOT(OFFSET(#REF!,0,1)&lt;&gt;0),FALSE)</f>
        <v>#REF!</v>
      </c>
    </row>
    <row r="761" spans="17:17">
      <c r="Q761" s="31" t="e">
        <f ca="1">IF(INDEX(_WEW_IsUserValidationEntered,COLUMN(#REF!)),NOT(OFFSET(#REF!,0,1)&lt;&gt;0),FALSE)</f>
        <v>#REF!</v>
      </c>
    </row>
    <row r="762" spans="17:17">
      <c r="Q762" s="31" t="e">
        <f ca="1">IF(INDEX(_WEW_IsUserValidationEntered,COLUMN(#REF!)),NOT(OFFSET(#REF!,0,1)&lt;&gt;0),FALSE)</f>
        <v>#REF!</v>
      </c>
    </row>
    <row r="763" spans="17:17">
      <c r="Q763" s="31" t="e">
        <f ca="1">IF(INDEX(_WEW_IsUserValidationEntered,COLUMN(#REF!)),NOT(OFFSET(#REF!,0,1)&lt;&gt;0),FALSE)</f>
        <v>#REF!</v>
      </c>
    </row>
    <row r="764" spans="17:17">
      <c r="Q764" s="31" t="e">
        <f ca="1">IF(INDEX(_WEW_IsUserValidationEntered,COLUMN(#REF!)),NOT(OFFSET(#REF!,0,1)&lt;&gt;0),FALSE)</f>
        <v>#REF!</v>
      </c>
    </row>
    <row r="765" spans="17:17">
      <c r="Q765" s="31" t="e">
        <f ca="1">IF(INDEX(_WEW_IsUserValidationEntered,COLUMN(#REF!)),NOT(OFFSET(#REF!,0,1)&lt;&gt;0),FALSE)</f>
        <v>#REF!</v>
      </c>
    </row>
    <row r="766" spans="17:17">
      <c r="Q766" s="31" t="e">
        <f ca="1">IF(INDEX(_WEW_IsUserValidationEntered,COLUMN(#REF!)),NOT(OFFSET(#REF!,0,1)&lt;&gt;0),FALSE)</f>
        <v>#REF!</v>
      </c>
    </row>
    <row r="767" spans="17:17">
      <c r="Q767" s="31" t="e">
        <f ca="1">IF(INDEX(_WEW_IsUserValidationEntered,COLUMN(#REF!)),NOT(OFFSET(#REF!,0,1)&lt;&gt;0),FALSE)</f>
        <v>#REF!</v>
      </c>
    </row>
    <row r="768" spans="17:17">
      <c r="Q768" s="31" t="e">
        <f ca="1">IF(INDEX(_WEW_IsUserValidationEntered,COLUMN(#REF!)),NOT(OFFSET(#REF!,0,1)&lt;&gt;0),FALSE)</f>
        <v>#REF!</v>
      </c>
    </row>
    <row r="769" spans="17:17">
      <c r="Q769" s="31" t="e">
        <f ca="1">IF(INDEX(_WEW_IsUserValidationEntered,COLUMN(#REF!)),NOT(OFFSET(#REF!,0,1)&lt;&gt;0),FALSE)</f>
        <v>#REF!</v>
      </c>
    </row>
    <row r="770" spans="17:17">
      <c r="Q770" s="31" t="e">
        <f ca="1">IF(INDEX(_WEW_IsUserValidationEntered,COLUMN(#REF!)),NOT(OFFSET(#REF!,0,1)&lt;&gt;0),FALSE)</f>
        <v>#REF!</v>
      </c>
    </row>
    <row r="771" spans="17:17">
      <c r="Q771" s="31" t="e">
        <f ca="1">IF(INDEX(_WEW_IsUserValidationEntered,COLUMN(#REF!)),NOT(OFFSET(#REF!,0,1)&lt;&gt;0),FALSE)</f>
        <v>#REF!</v>
      </c>
    </row>
    <row r="772" spans="17:17">
      <c r="Q772" s="31" t="e">
        <f ca="1">IF(INDEX(_WEW_IsUserValidationEntered,COLUMN(#REF!)),NOT(OFFSET(#REF!,0,1)&lt;&gt;0),FALSE)</f>
        <v>#REF!</v>
      </c>
    </row>
    <row r="773" spans="17:17">
      <c r="Q773" s="31" t="e">
        <f ca="1">IF(INDEX(_WEW_IsUserValidationEntered,COLUMN(#REF!)),NOT(OFFSET(#REF!,0,1)&lt;&gt;0),FALSE)</f>
        <v>#REF!</v>
      </c>
    </row>
    <row r="774" spans="17:17">
      <c r="Q774" s="31" t="e">
        <f ca="1">IF(INDEX(_WEW_IsUserValidationEntered,COLUMN(#REF!)),NOT(OFFSET(#REF!,0,1)&lt;&gt;0),FALSE)</f>
        <v>#REF!</v>
      </c>
    </row>
    <row r="775" spans="17:17">
      <c r="Q775" s="31" t="e">
        <f ca="1">IF(INDEX(_WEW_IsUserValidationEntered,COLUMN(#REF!)),NOT(OFFSET(#REF!,0,1)&lt;&gt;0),FALSE)</f>
        <v>#REF!</v>
      </c>
    </row>
    <row r="776" spans="17:17">
      <c r="Q776" s="31" t="e">
        <f ca="1">IF(INDEX(_WEW_IsUserValidationEntered,COLUMN(#REF!)),NOT(OFFSET(#REF!,0,1)&lt;&gt;0),FALSE)</f>
        <v>#REF!</v>
      </c>
    </row>
    <row r="777" spans="17:17">
      <c r="Q777" s="31" t="e">
        <f ca="1">IF(INDEX(_WEW_IsUserValidationEntered,COLUMN(#REF!)),NOT(OFFSET(#REF!,0,1)&lt;&gt;0),FALSE)</f>
        <v>#REF!</v>
      </c>
    </row>
    <row r="778" spans="17:17">
      <c r="Q778" s="31" t="e">
        <f ca="1">IF(INDEX(_WEW_IsUserValidationEntered,COLUMN(#REF!)),NOT(OFFSET(#REF!,0,1)&lt;&gt;0),FALSE)</f>
        <v>#REF!</v>
      </c>
    </row>
    <row r="779" spans="17:17">
      <c r="Q779" s="31" t="e">
        <f ca="1">IF(INDEX(_WEW_IsUserValidationEntered,COLUMN(#REF!)),NOT(OFFSET(#REF!,0,1)&lt;&gt;0),FALSE)</f>
        <v>#REF!</v>
      </c>
    </row>
    <row r="780" spans="17:17">
      <c r="Q780" s="31" t="e">
        <f ca="1">IF(INDEX(_WEW_IsUserValidationEntered,COLUMN(#REF!)),NOT(OFFSET(#REF!,0,1)&lt;&gt;0),FALSE)</f>
        <v>#REF!</v>
      </c>
    </row>
    <row r="781" spans="17:17">
      <c r="Q781" s="31" t="e">
        <f ca="1">IF(INDEX(_WEW_IsUserValidationEntered,COLUMN(#REF!)),NOT(OFFSET(#REF!,0,1)&lt;&gt;0),FALSE)</f>
        <v>#REF!</v>
      </c>
    </row>
    <row r="782" spans="17:17">
      <c r="Q782" s="31" t="e">
        <f ca="1">IF(INDEX(_WEW_IsUserValidationEntered,COLUMN(#REF!)),NOT(OFFSET(#REF!,0,1)&lt;&gt;0),FALSE)</f>
        <v>#REF!</v>
      </c>
    </row>
    <row r="783" spans="17:17">
      <c r="Q783" s="31" t="e">
        <f ca="1">IF(INDEX(_WEW_IsUserValidationEntered,COLUMN(#REF!)),NOT(OFFSET(#REF!,0,1)&lt;&gt;0),FALSE)</f>
        <v>#REF!</v>
      </c>
    </row>
  </sheetData>
  <sheetProtection insertColumns="0" insertRows="0" deleteColumns="0" deleteRows="0"/>
  <protectedRanges>
    <protectedRange sqref="A1:XFD1048576" name="Dane"/>
  </protectedRanges>
  <customSheetViews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R644 S3:AD12">
    <cfRule type="expression" dxfId="73" priority="25" stopIfTrue="1">
      <formula>(ROW(B3)-2&gt;CaseCnt)+(COLUMN(B3)&gt;VariableCount)+($A3="")+IF(B$2="",TRUE,MID(B$2,1,1)=".")</formula>
    </cfRule>
    <cfRule type="expression" dxfId="72" priority="26" stopIfTrue="1">
      <formula>IF(ISNUMBER(B3),AND(INDEX(_Wew_ForceDiscrete,COLUMN(B$1)),B3&lt;&gt;INT(B3)),FALSE)</formula>
    </cfRule>
    <cfRule type="expression" dxfId="71" priority="27" stopIfTrue="1">
      <formula>IF(ISNUMBER(B3),AND(INDEX(_WEW_Typ_Niecalk,COLUMN(B$1)),B3&lt;&gt;INT(B3)),FALSE)</formula>
    </cfRule>
    <cfRule type="expression" dxfId="70" priority="28">
      <formula>(B3="")*INDEX(_WEW_Required,COLUMN(B$1))</formula>
    </cfRule>
    <cfRule type="expression" dxfId="69" priority="29">
      <formula>(B3="")*NOT(INDEX(_WEW_Required,COLUMN(B$1)))</formula>
    </cfRule>
    <cfRule type="expression" dxfId="68" priority="32" stopIfTrue="1">
      <formula>IF(AND(NOT(ISNUMBER(B3)),NOT(INDEX(_WEW_Required,COLUMN(B$1)))),NOT(ISERROR(MATCH(B3,INDIRECT(INDEX(_WEW_valuelabels,COLUMN(B$1))),0))))</formula>
    </cfRule>
    <cfRule type="expression" dxfId="67" priority="34" stopIfTrue="1">
      <formula>IF(AND(NOT(ISNUMBER(B3)),INDEX(_WEW_Required,COLUMN(B$1))),NOT(ISERROR(MATCH(B3,INDIRECT(INDEX(_WEW_valuelabels,COLUMN(B$1))),0))))</formula>
    </cfRule>
    <cfRule type="expression" dxfId="66" priority="35">
      <formula>IF(INDEX(_WEW_IsUserValidationEntered,COLUMN(B$1)),NOT(OFFSET(B3,0,1)),FALSE)</formula>
    </cfRule>
    <cfRule type="expression" dxfId="65" priority="36">
      <formula>IF(INDEX(_WEW_IsUserValidationEntered2,COLUMN(B$1)),NOT(OFFSET(B3,0,2)),FALSE)</formula>
    </cfRule>
    <cfRule type="expression" dxfId="64" priority="42" stopIfTrue="1">
      <formula>NOT(ISNUMBER(B3))*(B3&lt;&gt;"")*(INDEX(_WEW_IntendedVariableClass,COLUMN(B$1))&lt;&gt;"S")</formula>
    </cfRule>
    <cfRule type="expression" dxfId="63" priority="47">
      <formula>(B3="NA")</formula>
    </cfRule>
    <cfRule type="expression" dxfId="62" priority="48">
      <formula>ISERROR(B3)</formula>
    </cfRule>
    <cfRule type="expression" dxfId="61" priority="49" stopIfTrue="1">
      <formula>ISNUMBER(B3)*ISERROR(MATCH(B3,INDIRECT(INDEX(_WEW_valuelabels,COLUMN(B$1))),0))*(INDEX(_WEW_ForceLabels,COLUMN(B$1)))</formula>
    </cfRule>
    <cfRule type="expression" dxfId="60" priority="50" stopIfTrue="1">
      <formula>IF(AND(ISNUMBER(B3),INDEX(_Wew_ForceMax,COLUMN(B$1))&lt;&gt;""), B3&gt;INDEX(_Wew_ForceMax,COLUMN(B$1)))</formula>
    </cfRule>
    <cfRule type="expression" dxfId="59" priority="51">
      <formula>IF(AND(INDEX(_Wew_ForceMin,COLUMN(B$1))&lt;&gt;"",ISNUMBER(B3)), B3&lt;INDEX(_Wew_ForceMin,COLUMN(B$1)))</formula>
    </cfRule>
    <cfRule type="expression" dxfId="58" priority="52">
      <formula>(B3=INDEX(_WEW_Max,COLUMN(B$1)))</formula>
    </cfRule>
    <cfRule type="expression" dxfId="57" priority="54">
      <formula>(B3=INDEX(_WEW_Min,COLUMN(B$1)))</formula>
    </cfRule>
    <cfRule type="expression" dxfId="56" priority="55">
      <formula>IF(AND(ISNUMBER(B3),INDEX(_WEW_LabelCount,COLUMN(B$1))&gt;0),(ISERROR(MATCH(B3,INDIRECT(INDEX(_WEW_valuelabels,COLUMN(B$1))),0))))</formula>
    </cfRule>
    <cfRule type="expression" dxfId="55" priority="56">
      <formula>(ROW(B3)-2&lt;=CaseCnt)*(COLUMN(B3)&lt;=VariableCount)*($A3&lt;&gt;"")*(B$1&lt;&gt;"")*(B$2&lt;&gt;"")</formula>
    </cfRule>
  </conditionalFormatting>
  <conditionalFormatting sqref="A1:R644 S13:X644 S1:AC12">
    <cfRule type="expression" priority="30" stopIfTrue="1">
      <formula>NOT(_Flag_HighlightValues)</formula>
    </cfRule>
  </conditionalFormatting>
  <conditionalFormatting sqref="B1:AC2">
    <cfRule type="expression" dxfId="54" priority="33">
      <formula>INDEX(_WEW_Measure,COLUMN(B$1))="O"</formula>
    </cfRule>
    <cfRule type="expression" dxfId="53" priority="43" stopIfTrue="1">
      <formula>INDEX(_WEW_VariableClass,COLUMN(B$1))="S"</formula>
    </cfRule>
    <cfRule type="expression" dxfId="52" priority="61">
      <formula>OR(INDEX(_WEW_IntendedVariableClass,COLUMN(B$1))="I",INDEX(_WEW_IntendedVariableClass,COLUMN(B$1))="F",INDEX(_WEW_IntendedVariableClass,COLUMN(B$1))="D")</formula>
    </cfRule>
  </conditionalFormatting>
  <conditionalFormatting sqref="A3:A644">
    <cfRule type="expression" dxfId="51" priority="370">
      <formula>NOT(ISERROR(FIND(A3," ")))*(A3&lt;&gt;"")</formula>
    </cfRule>
  </conditionalFormatting>
  <conditionalFormatting sqref="B2:AC2">
    <cfRule type="expression" dxfId="50" priority="31">
      <formula>INDEX(_WEW_VariableClass,COLUMN(B$1))="E"</formula>
    </cfRule>
  </conditionalFormatting>
  <conditionalFormatting sqref="S13:X644">
    <cfRule type="expression" dxfId="49" priority="591" stopIfTrue="1">
      <formula>(ROW(S13)-2&gt;CaseCnt)+(COLUMN(S13)&gt;VariableCount)+($A13="")+IF(U$2="",TRUE,MID(U$2,1,1)=".")</formula>
    </cfRule>
    <cfRule type="expression" dxfId="48" priority="592" stopIfTrue="1">
      <formula>IF(ISNUMBER(S13),AND(INDEX(_Wew_ForceDiscrete,COLUMN(U$1)),S13&lt;&gt;INT(S13)),FALSE)</formula>
    </cfRule>
    <cfRule type="expression" dxfId="47" priority="593" stopIfTrue="1">
      <formula>IF(ISNUMBER(S13),AND(INDEX(_WEW_Typ_Niecalk,COLUMN(U$1)),S13&lt;&gt;INT(S13)),FALSE)</formula>
    </cfRule>
    <cfRule type="expression" dxfId="46" priority="594">
      <formula>(S13="")*INDEX(_WEW_Required,COLUMN(U$1))</formula>
    </cfRule>
    <cfRule type="expression" dxfId="45" priority="595">
      <formula>(S13="")*NOT(INDEX(_WEW_Required,COLUMN(U$1)))</formula>
    </cfRule>
    <cfRule type="expression" dxfId="44" priority="596" stopIfTrue="1">
      <formula>IF(AND(NOT(ISNUMBER(S13)),NOT(INDEX(_WEW_Required,COLUMN(U$1)))),NOT(ISERROR(MATCH(S13,INDIRECT(INDEX(_WEW_valuelabels,COLUMN(U$1))),0))))</formula>
    </cfRule>
    <cfRule type="expression" dxfId="43" priority="597" stopIfTrue="1">
      <formula>IF(AND(NOT(ISNUMBER(S13)),INDEX(_WEW_Required,COLUMN(U$1))),NOT(ISERROR(MATCH(S13,INDIRECT(INDEX(_WEW_valuelabels,COLUMN(U$1))),0))))</formula>
    </cfRule>
    <cfRule type="expression" dxfId="42" priority="598">
      <formula>IF(INDEX(_WEW_IsUserValidationEntered,COLUMN(U$1)),NOT(OFFSET(S13,0,1)),FALSE)</formula>
    </cfRule>
    <cfRule type="expression" dxfId="41" priority="599">
      <formula>IF(INDEX(_WEW_IsUserValidationEntered2,COLUMN(U$1)),NOT(OFFSET(S13,0,2)),FALSE)</formula>
    </cfRule>
    <cfRule type="expression" dxfId="40" priority="600" stopIfTrue="1">
      <formula>NOT(ISNUMBER(S13))*(S13&lt;&gt;"")*(INDEX(_WEW_IntendedVariableClass,COLUMN(U$1))&lt;&gt;"S")</formula>
    </cfRule>
    <cfRule type="expression" dxfId="39" priority="601">
      <formula>(S13="NA")</formula>
    </cfRule>
    <cfRule type="expression" dxfId="38" priority="602">
      <formula>ISERROR(S13)</formula>
    </cfRule>
    <cfRule type="expression" dxfId="37" priority="603" stopIfTrue="1">
      <formula>ISNUMBER(S13)*ISERROR(MATCH(S13,INDIRECT(INDEX(_WEW_valuelabels,COLUMN(U$1))),0))*(INDEX(_WEW_ForceLabels,COLUMN(U$1)))</formula>
    </cfRule>
    <cfRule type="expression" dxfId="36" priority="604" stopIfTrue="1">
      <formula>IF(AND(ISNUMBER(S13),INDEX(_Wew_ForceMax,COLUMN(U$1))&lt;&gt;""), S13&gt;INDEX(_Wew_ForceMax,COLUMN(U$1)))</formula>
    </cfRule>
    <cfRule type="expression" dxfId="35" priority="605">
      <formula>IF(AND(INDEX(_Wew_ForceMin,COLUMN(U$1))&lt;&gt;"",ISNUMBER(S13)), S13&lt;INDEX(_Wew_ForceMin,COLUMN(U$1)))</formula>
    </cfRule>
    <cfRule type="expression" dxfId="34" priority="606">
      <formula>(S13=INDEX(_WEW_Max,COLUMN(U$1)))</formula>
    </cfRule>
    <cfRule type="expression" dxfId="33" priority="607">
      <formula>(S13=INDEX(_WEW_Min,COLUMN(U$1)))</formula>
    </cfRule>
    <cfRule type="expression" dxfId="32" priority="608">
      <formula>IF(AND(ISNUMBER(S13),INDEX(_WEW_LabelCount,COLUMN(U$1))&gt;0),(ISERROR(MATCH(S13,INDIRECT(INDEX(_WEW_valuelabels,COLUMN(U$1))),0))))</formula>
    </cfRule>
    <cfRule type="expression" dxfId="31" priority="609">
      <formula>(ROW(S13)-2&lt;=CaseCnt)*(COLUMN(S13)&lt;=VariableCount)*($A13&lt;&gt;"")*(U$1&lt;&gt;"")*(U$2&lt;&gt;"")</formula>
    </cfRule>
  </conditionalFormatting>
  <conditionalFormatting sqref="AD1:AD12">
    <cfRule type="expression" priority="5" stopIfTrue="1">
      <formula>NOT(_Flag_HighlightValues)</formula>
    </cfRule>
  </conditionalFormatting>
  <conditionalFormatting sqref="AD1:AD2">
    <cfRule type="expression" dxfId="30" priority="2">
      <formula>INDEX(_WEW_Measure,COLUMN(AD$1))="O"</formula>
    </cfRule>
    <cfRule type="expression" dxfId="29" priority="3" stopIfTrue="1">
      <formula>INDEX(_WEW_VariableClass,COLUMN(AD$1))="S"</formula>
    </cfRule>
    <cfRule type="expression" dxfId="28" priority="4">
      <formula>OR(INDEX(_WEW_IntendedVariableClass,COLUMN(AD$1))="I",INDEX(_WEW_IntendedVariableClass,COLUMN(AD$1))="F",INDEX(_WEW_IntendedVariableClass,COLUMN(AD$1))="D")</formula>
    </cfRule>
  </conditionalFormatting>
  <conditionalFormatting sqref="AD2">
    <cfRule type="expression" dxfId="27" priority="1">
      <formula>INDEX(_WEW_VariableClass,COLUMN(AD$1))="E"</formula>
    </cfRule>
  </conditionalFormatting>
  <dataValidations disablePrompts="1" count="10">
    <dataValidation allowBlank="1" showInputMessage="1" showErrorMessage="1" promptTitle="Variable consistency check" prompt="There are errors in the entered values in the following cases: LAB3. The following cases are non-numeric: WAW3: nas" sqref="C2"/>
    <dataValidation allowBlank="1" showInputMessage="1" showErrorMessage="1" promptTitle="Variable consistency check" prompt="There are errors in the entered values in the following cases: LAB3" sqref="D2 V2 H2 F2"/>
    <dataValidation allowBlank="1" showInputMessage="1" showErrorMessage="1" promptTitle="Variable consistency check" prompt="There are errors in the entered values in the following cases: LAB3. The following cases are non-numeric: VIE1: NF" sqref="G2"/>
    <dataValidation allowBlank="1" showInputMessage="1" showErrorMessage="1" promptTitle="Variable consistency check" prompt="The following cases are non-numeric: VIE1: 4" sqref="J2"/>
    <dataValidation allowBlank="1" showInputMessage="1" showErrorMessage="1" promptTitle="Variable consistency check" prompt="The following cases have values below declared theorethical min: VIE1: -32, LAB3: -10. The following cases have values above declared theorethical max: WAW1: 43, WAW2: 52, JAN2: 10" sqref="L2"/>
    <dataValidation allowBlank="1" showInputMessage="1" showErrorMessage="1" promptTitle="Variable consistency check" prompt="There are some cases with values not explicitly declared in the labels dictionary: WAW1: 9, JAN1: 6, LAB2: -2. There are errors in the entered values in the following cases: LAB3" sqref="M2"/>
    <dataValidation allowBlank="1" showInputMessage="1" showErrorMessage="1" promptTitle="Variable consistency check" prompt="The following cases have non-integer values: WAW1: 0.14, LAB3: 0.98" sqref="N2"/>
    <dataValidation allowBlank="1" showInputMessage="1" showErrorMessage="1" promptTitle="Variable consistency check" prompt="The following cases are non-numeric: WAW3: x" sqref="O2"/>
    <dataValidation allowBlank="1" showInputMessage="1" showErrorMessage="1" promptTitle="Variable consistency check" prompt="The following records are missing in this required field: VIE1, LAB2" sqref="W2"/>
    <dataValidation allowBlank="1" showInputMessage="1" showErrorMessage="1" promptTitle="Variable consistency check" prompt="In the following cases Zmienna z walidacją must be even: WAW2: 6, WAW3: 8, JAN1: 6" sqref="S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QV36"/>
  <sheetViews>
    <sheetView topLeftCell="AE1" zoomScale="160" zoomScaleNormal="160" workbookViewId="0">
      <selection activeCell="AK7" sqref="AK7:AL7"/>
    </sheetView>
  </sheetViews>
  <sheetFormatPr defaultRowHeight="12.75"/>
  <sheetData>
    <row r="1" spans="1:60 1137:1140">
      <c r="A1" t="str">
        <f t="shared" ref="A1:BH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txt</v>
      </c>
      <c r="D1" t="str">
        <f t="shared" ca="1" si="0"/>
        <v>Zmienna tekstowa</v>
      </c>
      <c r="E1" s="14" t="str">
        <f t="shared" ca="1" si="0"/>
        <v>num1</v>
      </c>
      <c r="F1" s="14" t="str">
        <f t="shared" ca="1" si="0"/>
        <v>Zmienna liczbowa z brakami</v>
      </c>
      <c r="G1" s="14" t="str">
        <f t="shared" ca="1" si="0"/>
        <v>num2</v>
      </c>
      <c r="H1" s="14" t="str">
        <f t="shared" ca="1" si="0"/>
        <v>Zmienna liczbowa bez braków</v>
      </c>
      <c r="I1" s="14" t="str">
        <f t="shared" ca="1" si="0"/>
        <v/>
      </c>
      <c r="J1" s="14" t="str">
        <f t="shared" ca="1" si="0"/>
        <v/>
      </c>
      <c r="K1" s="14" t="str">
        <f t="shared" ca="1" si="0"/>
        <v>fac1</v>
      </c>
      <c r="L1" s="14" t="str">
        <f t="shared" ca="1" si="0"/>
        <v>Faktor z brakami</v>
      </c>
      <c r="M1" s="14" t="str">
        <f t="shared" ca="1" si="0"/>
        <v>fac2</v>
      </c>
      <c r="N1" s="14" t="str">
        <f t="shared" ca="1" si="0"/>
        <v>Zmienna chyba numeric</v>
      </c>
      <c r="O1" s="14" t="str">
        <f ca="1">IF(INDIRECT(ADDRESS(MOD(COLUMN(O2),2)+1,INT((COLUMN(O2)-1)/2)+1, ,,"data_frame"))="","",INDIRECT(ADDRESS(MOD(COLUMN(O2),2)+1,INT((COLUMN(O2)-1)/2)+1, ,,"data_frame")))</f>
        <v>fac3</v>
      </c>
      <c r="P1" s="14" t="str">
        <f ca="1">IF(INDIRECT(ADDRESS(MOD(COLUMN(P2),2)+1,INT((COLUMN(P2)-1)/2)+1, ,,"data_frame"))="","",INDIRECT(ADDRESS(MOD(COLUMN(P2),2)+1,INT((COLUMN(P2)-1)/2)+1, ,,"data_frame")))</f>
        <v>Faktor bez braków</v>
      </c>
      <c r="Q1" s="14" t="str">
        <f ca="1">IF(INDIRECT(ADDRESS(MOD(COLUMN(Q2),2)+1,INT((COLUMN(Q2)-1)/2)+1, ,,"data_frame"))="","",INDIRECT(ADDRESS(MOD(COLUMN(Q2),2)+1,INT((COLUMN(Q2)-1)/2)+1, ,,"data_frame")))</f>
        <v>fac5</v>
      </c>
      <c r="R1" s="14" t="str">
        <f ca="1">IF(INDIRECT(ADDRESS(MOD(COLUMN(R2),2)+1,INT((COLUMN(R2)-1)/2)+1, ,,"data_frame"))="","",INDIRECT(ADDRESS(MOD(COLUMN(R2),2)+1,INT((COLUMN(R2)-1)/2)+1, ,,"data_frame")))</f>
        <v>powtórzona nazwa</v>
      </c>
      <c r="S1" s="14" t="str">
        <f t="shared" ca="1" si="0"/>
        <v>num1_fix</v>
      </c>
      <c r="T1" s="14" t="str">
        <f t="shared" ca="1" si="0"/>
        <v>Zmienna liczbowa z brakami</v>
      </c>
      <c r="U1" s="14" t="str">
        <f t="shared" ca="1" si="0"/>
        <v>num1_fix2</v>
      </c>
      <c r="V1" s="14" t="str">
        <f t="shared" ca="1" si="0"/>
        <v>Zmienna liczbowa z brakami</v>
      </c>
      <c r="W1" s="14" t="str">
        <f t="shared" ca="1" si="0"/>
        <v>num_maxmin</v>
      </c>
      <c r="X1" s="14" t="str">
        <f t="shared" ca="1" si="0"/>
        <v>Zmienna z max i min teor</v>
      </c>
      <c r="Y1" s="14" t="str">
        <f t="shared" ca="1" si="0"/>
        <v>fac4</v>
      </c>
      <c r="Z1" s="14" t="str">
        <f t="shared" ca="1" si="0"/>
        <v>Faktor bez braków, ale z wartościami spoza zakresu</v>
      </c>
      <c r="AA1" s="14" t="str">
        <f t="shared" ca="1" si="0"/>
        <v>numdiscr</v>
      </c>
      <c r="AB1" s="14" t="str">
        <f t="shared" ca="1" si="0"/>
        <v>Zmienna ciągła, ale dyskretna</v>
      </c>
      <c r="AC1" s="14" t="str">
        <f t="shared" ca="1" si="0"/>
        <v>dat1</v>
      </c>
      <c r="AD1" s="14" t="str">
        <f t="shared" ca="1" si="0"/>
        <v>Taka moja data</v>
      </c>
      <c r="AE1" s="14" t="str">
        <f t="shared" ca="1" si="0"/>
        <v>dat2</v>
      </c>
      <c r="AF1" s="14" t="str">
        <f t="shared" ca="1" si="0"/>
        <v>Taka moja data</v>
      </c>
      <c r="AG1" s="14" t="str">
        <f t="shared" ca="1" si="0"/>
        <v>dobule</v>
      </c>
      <c r="AH1" s="14" t="str">
        <f t="shared" ca="1" si="0"/>
        <v>dwupoziomowa</v>
      </c>
      <c r="AI1" s="14" t="str">
        <f t="shared" ca="1" si="0"/>
        <v>dobule2</v>
      </c>
      <c r="AJ1" s="14" t="str">
        <f t="shared" ca="1" si="0"/>
        <v>dwupoziomowa2</v>
      </c>
      <c r="AK1" s="14" t="str">
        <f t="shared" ref="AK1:AL1" ca="1" si="1">IF(INDIRECT(ADDRESS(MOD(COLUMN(AK2),2)+1,INT((COLUMN(AK2)-1)/2)+1, ,,"data_frame"))="","",INDIRECT(ADDRESS(MOD(COLUMN(AK2),2)+1,INT((COLUMN(AK2)-1)/2)+1, ,,"data_frame")))</f>
        <v>validacja1</v>
      </c>
      <c r="AL1" s="14" t="str">
        <f t="shared" ca="1" si="1"/>
        <v>Zmienna z walidacją</v>
      </c>
      <c r="AM1" s="14" t="str">
        <f t="shared" ref="AM1" ca="1" si="2">IF(INDIRECT(ADDRESS(MOD(COLUMN(AM2),2)+1,INT((COLUMN(AM2)-1)/2)+1, ,,"data_frame"))="","",INDIRECT(ADDRESS(MOD(COLUMN(AM2),2)+1,INT((COLUMN(AM2)-1)/2)+1, ,,"data_frame")))</f>
        <v>.validation</v>
      </c>
      <c r="AN1" s="14" t="str">
        <f t="shared" ref="AN1" ca="1" si="3">IF(INDIRECT(ADDRESS(MOD(COLUMN(AN2),2)+1,INT((COLUMN(AN2)-1)/2)+1, ,,"data_frame"))="","",INDIRECT(ADDRESS(MOD(COLUMN(AN2),2)+1,INT((COLUMN(AN2)-1)/2)+1, ,,"data_frame")))</f>
        <v>Must be even</v>
      </c>
      <c r="AO1" s="14" t="str">
        <f t="shared" ca="1" si="0"/>
        <v>new_var</v>
      </c>
      <c r="AP1" s="14" t="str">
        <f t="shared" ca="1" si="0"/>
        <v>My new variable</v>
      </c>
      <c r="AQ1" s="14" t="str">
        <f t="shared" ca="1" si="0"/>
        <v>num4</v>
      </c>
      <c r="AR1" s="14" t="str">
        <f t="shared" ca="1" si="0"/>
        <v>Zmienna liczbowa bez braków ale z NA</v>
      </c>
      <c r="AS1" s="14" t="str">
        <f t="shared" ca="1" si="0"/>
        <v>required1</v>
      </c>
      <c r="AT1" s="14" t="str">
        <f t="shared" ca="1" si="0"/>
        <v>Zmienna required</v>
      </c>
      <c r="AU1" s="14" t="str">
        <f t="shared" ca="1" si="0"/>
        <v>form1</v>
      </c>
      <c r="AV1" s="14" t="str">
        <f t="shared" ca="1" si="0"/>
        <v>Zmienna z wartością losową 1</v>
      </c>
      <c r="AW1" s="14" t="str">
        <f t="shared" ca="1" si="0"/>
        <v>form2</v>
      </c>
      <c r="AX1" s="14" t="str">
        <f t="shared" ca="1" si="0"/>
        <v>Zmienna z wartością losową 2</v>
      </c>
      <c r="AY1" s="14" t="str">
        <f t="shared" ca="1" si="0"/>
        <v>form3</v>
      </c>
      <c r="AZ1" s="14" t="str">
        <f t="shared" ca="1" si="0"/>
        <v>Zmienna z wartością losową 3</v>
      </c>
      <c r="BA1" s="14" t="str">
        <f t="shared" ca="1" si="0"/>
        <v>form4</v>
      </c>
      <c r="BB1" s="14" t="str">
        <f t="shared" ca="1" si="0"/>
        <v>Zmienna z wartością losową 4</v>
      </c>
      <c r="BC1" s="14" t="str">
        <f t="shared" ref="BC1:BD1" ca="1" si="4">IF(INDIRECT(ADDRESS(MOD(COLUMN(BC2),2)+1,INT((COLUMN(BC2)-1)/2)+1, ,,"data_frame"))="","",INDIRECT(ADDRESS(MOD(COLUMN(BC2),2)+1,INT((COLUMN(BC2)-1)/2)+1, ,,"data_frame")))</f>
        <v>form_err_ret1</v>
      </c>
      <c r="BD1" s="14" t="str">
        <f t="shared" ca="1" si="4"/>
        <v>Zmienna wyliczana zwracajaca cos dziwnego1</v>
      </c>
      <c r="BE1" s="14" t="str">
        <f t="shared" ca="1" si="0"/>
        <v>form_err_ret2</v>
      </c>
      <c r="BF1" s="14" t="str">
        <f t="shared" ca="1" si="0"/>
        <v>Zmienna wyliczana zwracajaca cos dziwnego2</v>
      </c>
      <c r="BG1" s="14" t="str">
        <f t="shared" ca="1" si="0"/>
        <v>form5</v>
      </c>
      <c r="BH1" s="14" t="str">
        <f t="shared" ca="1" si="0"/>
        <v>Suma</v>
      </c>
      <c r="AQS1" s="14" t="str">
        <f t="shared" ref="AQS1:AQV1" ca="1" si="5">IF(INDIRECT(ADDRESS(MOD(COLUMN(AQS2),2)+1,INT((COLUMN(AQS2)-1)/2)+1, ,,"data_frame"))="","",INDIRECT(ADDRESS(MOD(COLUMN(AQS2),2)+1,INT((COLUMN(AQS2)-1)/2)+1, ,,"data_frame")))</f>
        <v/>
      </c>
      <c r="AQT1" s="14" t="str">
        <f t="shared" ca="1" si="5"/>
        <v/>
      </c>
      <c r="AQU1" s="14" t="str">
        <f t="shared" ca="1" si="5"/>
        <v/>
      </c>
      <c r="AQV1" s="14" t="str">
        <f t="shared" ca="1" si="5"/>
        <v/>
      </c>
    </row>
    <row r="2" spans="1:60 1137:1140">
      <c r="A2" t="str">
        <f t="shared" ref="A2:D2" ca="1" si="6">IF(A1="","",IF(MOD(COLUMN(B1)-1,2)=0,"Labels","Values"))</f>
        <v>Values</v>
      </c>
      <c r="B2" t="str">
        <f t="shared" ca="1" si="6"/>
        <v>Labels</v>
      </c>
      <c r="C2" t="str">
        <f t="shared" ca="1" si="6"/>
        <v>Values</v>
      </c>
      <c r="D2" t="str">
        <f t="shared" ca="1" si="6"/>
        <v>Labels</v>
      </c>
      <c r="E2" s="14" t="str">
        <f t="shared" ref="E2" ca="1" si="7">IF(E1="","",IF(MOD(COLUMN(F1)-1,2)=0,"Labels","Values"))</f>
        <v>Values</v>
      </c>
      <c r="F2" s="14" t="str">
        <f t="shared" ref="F2" ca="1" si="8">IF(F1="","",IF(MOD(COLUMN(G1)-1,2)=0,"Labels","Values"))</f>
        <v>Labels</v>
      </c>
      <c r="G2" s="14" t="str">
        <f t="shared" ref="G2" ca="1" si="9">IF(G1="","",IF(MOD(COLUMN(H1)-1,2)=0,"Labels","Values"))</f>
        <v>Values</v>
      </c>
      <c r="H2" s="14" t="str">
        <f t="shared" ref="H2" ca="1" si="10">IF(H1="","",IF(MOD(COLUMN(I1)-1,2)=0,"Labels","Values"))</f>
        <v>Labels</v>
      </c>
      <c r="I2" s="14" t="str">
        <f t="shared" ref="I2" ca="1" si="11">IF(I1="","",IF(MOD(COLUMN(J1)-1,2)=0,"Labels","Values"))</f>
        <v/>
      </c>
      <c r="J2" s="14" t="str">
        <f t="shared" ref="J2" ca="1" si="12">IF(J1="","",IF(MOD(COLUMN(K1)-1,2)=0,"Labels","Values"))</f>
        <v/>
      </c>
      <c r="K2" s="14" t="str">
        <f t="shared" ref="K2" ca="1" si="13">IF(K1="","",IF(MOD(COLUMN(L1)-1,2)=0,"Labels","Values"))</f>
        <v>Values</v>
      </c>
      <c r="L2" s="14" t="str">
        <f t="shared" ref="L2" ca="1" si="14">IF(L1="","",IF(MOD(COLUMN(M1)-1,2)=0,"Labels","Values"))</f>
        <v>Labels</v>
      </c>
      <c r="M2" s="14" t="str">
        <f t="shared" ref="M2" ca="1" si="15">IF(M1="","",IF(MOD(COLUMN(N1)-1,2)=0,"Labels","Values"))</f>
        <v>Values</v>
      </c>
      <c r="N2" s="14" t="str">
        <f t="shared" ref="N2" ca="1" si="16">IF(N1="","",IF(MOD(COLUMN(O1)-1,2)=0,"Labels","Values"))</f>
        <v>Labels</v>
      </c>
      <c r="O2" s="14" t="str">
        <f ca="1">IF(O1="","",IF(MOD(COLUMN(P1)-1,2)=0,"Labels","Values"))</f>
        <v>Values</v>
      </c>
      <c r="P2" s="14" t="str">
        <f ca="1">IF(P1="","",IF(MOD(COLUMN(Q1)-1,2)=0,"Labels","Values"))</f>
        <v>Labels</v>
      </c>
      <c r="Q2" s="14" t="str">
        <f ca="1">IF(Q1="","",IF(MOD(COLUMN(R1)-1,2)=0,"Labels","Values"))</f>
        <v>Values</v>
      </c>
      <c r="R2" s="14" t="str">
        <f ca="1">IF(R1="","",IF(MOD(COLUMN(S1)-1,2)=0,"Labels","Values"))</f>
        <v>Labels</v>
      </c>
      <c r="S2" s="14" t="str">
        <f t="shared" ref="S2" ca="1" si="17">IF(S1="","",IF(MOD(COLUMN(T1)-1,2)=0,"Labels","Values"))</f>
        <v>Values</v>
      </c>
      <c r="T2" s="14" t="str">
        <f t="shared" ref="T2" ca="1" si="18">IF(T1="","",IF(MOD(COLUMN(U1)-1,2)=0,"Labels","Values"))</f>
        <v>Labels</v>
      </c>
      <c r="U2" s="14" t="str">
        <f t="shared" ref="U2" ca="1" si="19">IF(U1="","",IF(MOD(COLUMN(V1)-1,2)=0,"Labels","Values"))</f>
        <v>Values</v>
      </c>
      <c r="V2" s="14" t="str">
        <f t="shared" ref="V2" ca="1" si="20">IF(V1="","",IF(MOD(COLUMN(W1)-1,2)=0,"Labels","Values"))</f>
        <v>Labels</v>
      </c>
      <c r="W2" s="14" t="str">
        <f t="shared" ref="W2" ca="1" si="21">IF(W1="","",IF(MOD(COLUMN(X1)-1,2)=0,"Labels","Values"))</f>
        <v>Values</v>
      </c>
      <c r="X2" s="14" t="str">
        <f t="shared" ref="X2" ca="1" si="22">IF(X1="","",IF(MOD(COLUMN(Y1)-1,2)=0,"Labels","Values"))</f>
        <v>Labels</v>
      </c>
      <c r="Y2" s="14" t="str">
        <f t="shared" ref="Y2" ca="1" si="23">IF(Y1="","",IF(MOD(COLUMN(Z1)-1,2)=0,"Labels","Values"))</f>
        <v>Values</v>
      </c>
      <c r="Z2" s="14" t="str">
        <f t="shared" ref="Z2" ca="1" si="24">IF(Z1="","",IF(MOD(COLUMN(AA1)-1,2)=0,"Labels","Values"))</f>
        <v>Labels</v>
      </c>
      <c r="AA2" s="14" t="str">
        <f t="shared" ref="AA2" ca="1" si="25">IF(AA1="","",IF(MOD(COLUMN(AB1)-1,2)=0,"Labels","Values"))</f>
        <v>Values</v>
      </c>
      <c r="AB2" s="14" t="str">
        <f t="shared" ref="AB2" ca="1" si="26">IF(AB1="","",IF(MOD(COLUMN(AC1)-1,2)=0,"Labels","Values"))</f>
        <v>Labels</v>
      </c>
      <c r="AC2" s="14" t="str">
        <f t="shared" ref="AC2" ca="1" si="27">IF(AC1="","",IF(MOD(COLUMN(AD1)-1,2)=0,"Labels","Values"))</f>
        <v>Values</v>
      </c>
      <c r="AD2" s="14" t="str">
        <f t="shared" ref="AD2" ca="1" si="28">IF(AD1="","",IF(MOD(COLUMN(AE1)-1,2)=0,"Labels","Values"))</f>
        <v>Labels</v>
      </c>
      <c r="AE2" s="14" t="str">
        <f t="shared" ref="AE2" ca="1" si="29">IF(AE1="","",IF(MOD(COLUMN(AF1)-1,2)=0,"Labels","Values"))</f>
        <v>Values</v>
      </c>
      <c r="AF2" s="14" t="str">
        <f t="shared" ref="AF2" ca="1" si="30">IF(AF1="","",IF(MOD(COLUMN(AG1)-1,2)=0,"Labels","Values"))</f>
        <v>Labels</v>
      </c>
      <c r="AG2" s="14" t="str">
        <f t="shared" ref="AG2" ca="1" si="31">IF(AG1="","",IF(MOD(COLUMN(AH1)-1,2)=0,"Labels","Values"))</f>
        <v>Values</v>
      </c>
      <c r="AH2" s="14" t="str">
        <f t="shared" ref="AH2" ca="1" si="32">IF(AH1="","",IF(MOD(COLUMN(AI1)-1,2)=0,"Labels","Values"))</f>
        <v>Labels</v>
      </c>
      <c r="AI2" s="14" t="str">
        <f t="shared" ref="AI2" ca="1" si="33">IF(AI1="","",IF(MOD(COLUMN(AJ1)-1,2)=0,"Labels","Values"))</f>
        <v>Values</v>
      </c>
      <c r="AJ2" s="14" t="str">
        <f t="shared" ref="AJ2" ca="1" si="34">IF(AJ1="","",IF(MOD(COLUMN(AK1)-1,2)=0,"Labels","Values"))</f>
        <v>Labels</v>
      </c>
      <c r="AK2" s="14" t="str">
        <f t="shared" ref="AK2:AL2" ca="1" si="35">IF(AK1="","",IF(MOD(COLUMN(AL1)-1,2)=0,"Labels","Values"))</f>
        <v>Values</v>
      </c>
      <c r="AL2" s="14" t="str">
        <f t="shared" ca="1" si="35"/>
        <v>Labels</v>
      </c>
      <c r="AM2" s="14" t="str">
        <f t="shared" ref="AM2" ca="1" si="36">IF(AM1="","",IF(MOD(COLUMN(AN1)-1,2)=0,"Labels","Values"))</f>
        <v>Values</v>
      </c>
      <c r="AN2" s="14" t="str">
        <f t="shared" ref="AN2" ca="1" si="37">IF(AN1="","",IF(MOD(COLUMN(AO1)-1,2)=0,"Labels","Values"))</f>
        <v>Labels</v>
      </c>
      <c r="AO2" s="14" t="str">
        <f t="shared" ref="AO2" ca="1" si="38">IF(AO1="","",IF(MOD(COLUMN(AP1)-1,2)=0,"Labels","Values"))</f>
        <v>Values</v>
      </c>
      <c r="AP2" s="14" t="str">
        <f t="shared" ref="AP2" ca="1" si="39">IF(AP1="","",IF(MOD(COLUMN(AQ1)-1,2)=0,"Labels","Values"))</f>
        <v>Labels</v>
      </c>
      <c r="AQ2" s="14" t="str">
        <f t="shared" ref="AQ2" ca="1" si="40">IF(AQ1="","",IF(MOD(COLUMN(AR1)-1,2)=0,"Labels","Values"))</f>
        <v>Values</v>
      </c>
      <c r="AR2" s="14" t="str">
        <f t="shared" ref="AR2" ca="1" si="41">IF(AR1="","",IF(MOD(COLUMN(AS1)-1,2)=0,"Labels","Values"))</f>
        <v>Labels</v>
      </c>
      <c r="AS2" s="14" t="str">
        <f t="shared" ref="AS2:AT2" ca="1" si="42">IF(AS1="","",IF(MOD(COLUMN(AT1)-1,2)=0,"Labels","Values"))</f>
        <v>Values</v>
      </c>
      <c r="AT2" s="14" t="str">
        <f t="shared" ca="1" si="42"/>
        <v>Labels</v>
      </c>
      <c r="AU2" s="14" t="str">
        <f t="shared" ref="AU2" ca="1" si="43">IF(AU1="","",IF(MOD(COLUMN(AV1)-1,2)=0,"Labels","Values"))</f>
        <v>Values</v>
      </c>
      <c r="AV2" s="14" t="str">
        <f t="shared" ref="AV2" ca="1" si="44">IF(AV1="","",IF(MOD(COLUMN(AW1)-1,2)=0,"Labels","Values"))</f>
        <v>Labels</v>
      </c>
      <c r="AW2" s="14" t="str">
        <f t="shared" ref="AW2" ca="1" si="45">IF(AW1="","",IF(MOD(COLUMN(AX1)-1,2)=0,"Labels","Values"))</f>
        <v>Values</v>
      </c>
      <c r="AX2" s="14" t="str">
        <f t="shared" ref="AX2" ca="1" si="46">IF(AX1="","",IF(MOD(COLUMN(AY1)-1,2)=0,"Labels","Values"))</f>
        <v>Labels</v>
      </c>
      <c r="AY2" s="14" t="str">
        <f t="shared" ref="AY2" ca="1" si="47">IF(AY1="","",IF(MOD(COLUMN(AZ1)-1,2)=0,"Labels","Values"))</f>
        <v>Values</v>
      </c>
      <c r="AZ2" s="14" t="str">
        <f t="shared" ref="AZ2" ca="1" si="48">IF(AZ1="","",IF(MOD(COLUMN(BA1)-1,2)=0,"Labels","Values"))</f>
        <v>Labels</v>
      </c>
      <c r="BA2" s="14" t="str">
        <f t="shared" ref="BA2" ca="1" si="49">IF(BA1="","",IF(MOD(COLUMN(BB1)-1,2)=0,"Labels","Values"))</f>
        <v>Values</v>
      </c>
      <c r="BB2" s="14" t="str">
        <f t="shared" ref="BB2" ca="1" si="50">IF(BB1="","",IF(MOD(COLUMN(BC1)-1,2)=0,"Labels","Values"))</f>
        <v>Labels</v>
      </c>
      <c r="BC2" s="14" t="str">
        <f t="shared" ref="BC2:BD2" ca="1" si="51">IF(BC1="","",IF(MOD(COLUMN(BD1)-1,2)=0,"Labels","Values"))</f>
        <v>Values</v>
      </c>
      <c r="BD2" s="14" t="str">
        <f t="shared" ca="1" si="51"/>
        <v>Labels</v>
      </c>
      <c r="BE2" s="14" t="str">
        <f t="shared" ref="BE2" ca="1" si="52">IF(BE1="","",IF(MOD(COLUMN(BF1)-1,2)=0,"Labels","Values"))</f>
        <v>Values</v>
      </c>
      <c r="BF2" s="14" t="str">
        <f t="shared" ref="BF2" ca="1" si="53">IF(BF1="","",IF(MOD(COLUMN(BG1)-1,2)=0,"Labels","Values"))</f>
        <v>Labels</v>
      </c>
      <c r="BG2" s="14" t="str">
        <f t="shared" ref="BG2" ca="1" si="54">IF(BG1="","",IF(MOD(COLUMN(BH1)-1,2)=0,"Labels","Values"))</f>
        <v>Values</v>
      </c>
      <c r="BH2" s="14" t="str">
        <f t="shared" ref="BH2" ca="1" si="55">IF(BH1="","",IF(MOD(COLUMN(BI1)-1,2)=0,"Labels","Values"))</f>
        <v>Labels</v>
      </c>
      <c r="AQS2" s="14" t="str">
        <f t="shared" ref="AQS2" ca="1" si="56">IF(AQS1="","",IF(MOD(COLUMN(AQT1)-1,2)=0,"Labels","Values"))</f>
        <v/>
      </c>
      <c r="AQT2" s="14" t="str">
        <f t="shared" ref="AQT2" ca="1" si="57">IF(AQT1="","",IF(MOD(COLUMN(AQU1)-1,2)=0,"Labels","Values"))</f>
        <v/>
      </c>
      <c r="AQU2" s="14" t="str">
        <f t="shared" ref="AQU2" ca="1" si="58">IF(AQU1="","",IF(MOD(COLUMN(AQV1)-1,2)=0,"Labels","Values"))</f>
        <v/>
      </c>
      <c r="AQV2" s="14" t="str">
        <f t="shared" ref="AQV2" ca="1" si="59">IF(AQV1="","",IF(MOD(COLUMN(AQW1)-1,2)=0,"Labels","Values"))</f>
        <v/>
      </c>
    </row>
    <row r="3" spans="1:60 1137:1140">
      <c r="C3" t="s">
        <v>338</v>
      </c>
      <c r="D3" t="s">
        <v>503</v>
      </c>
      <c r="E3" s="14" t="s">
        <v>338</v>
      </c>
      <c r="F3" s="14" t="s">
        <v>504</v>
      </c>
      <c r="G3" s="14"/>
      <c r="H3" s="14"/>
      <c r="I3" s="14"/>
      <c r="J3" s="14"/>
      <c r="K3" s="14">
        <v>1</v>
      </c>
      <c r="L3" s="14" t="s">
        <v>505</v>
      </c>
      <c r="M3" s="14"/>
      <c r="N3" s="14"/>
      <c r="O3" s="14">
        <v>1</v>
      </c>
      <c r="P3" s="14" t="s">
        <v>505</v>
      </c>
      <c r="Q3" s="14"/>
      <c r="R3" s="14"/>
      <c r="S3" s="14"/>
      <c r="T3" s="14"/>
      <c r="U3" s="14"/>
      <c r="Y3">
        <v>1</v>
      </c>
      <c r="Z3" t="s">
        <v>505</v>
      </c>
      <c r="AG3">
        <v>1</v>
      </c>
      <c r="AH3" t="s">
        <v>410</v>
      </c>
      <c r="AI3">
        <v>0</v>
      </c>
      <c r="AJ3" t="s">
        <v>410</v>
      </c>
      <c r="AK3" s="14"/>
      <c r="AL3" s="14"/>
      <c r="AM3" s="14"/>
      <c r="AN3" s="14"/>
      <c r="AO3" s="14">
        <v>1</v>
      </c>
      <c r="AP3" s="14" t="s">
        <v>28</v>
      </c>
      <c r="AQ3" s="14" t="s">
        <v>338</v>
      </c>
      <c r="AR3" s="14" t="s">
        <v>504</v>
      </c>
      <c r="AS3" s="15" t="s">
        <v>338</v>
      </c>
      <c r="AT3" s="14" t="s">
        <v>338</v>
      </c>
      <c r="BE3" s="14"/>
      <c r="BF3" s="14"/>
      <c r="BG3" s="14"/>
      <c r="BH3" s="14"/>
    </row>
    <row r="4" spans="1:60 1137:1140">
      <c r="E4" s="14" t="s">
        <v>341</v>
      </c>
      <c r="F4" s="14" t="s">
        <v>506</v>
      </c>
      <c r="G4" s="14"/>
      <c r="H4" s="14"/>
      <c r="I4" s="14"/>
      <c r="J4" s="14"/>
      <c r="K4" s="14">
        <v>2</v>
      </c>
      <c r="L4" s="14" t="s">
        <v>507</v>
      </c>
      <c r="M4" s="14"/>
      <c r="N4" s="14"/>
      <c r="O4" s="14">
        <v>2</v>
      </c>
      <c r="P4" s="14" t="s">
        <v>507</v>
      </c>
      <c r="Q4" s="14"/>
      <c r="R4" s="14"/>
      <c r="S4" s="14"/>
      <c r="T4" s="14"/>
      <c r="U4" s="14"/>
      <c r="Y4">
        <v>2</v>
      </c>
      <c r="Z4" t="s">
        <v>507</v>
      </c>
      <c r="AG4">
        <v>2</v>
      </c>
      <c r="AH4" t="s">
        <v>411</v>
      </c>
      <c r="AI4">
        <v>1</v>
      </c>
      <c r="AJ4" t="s">
        <v>411</v>
      </c>
      <c r="AK4" s="14"/>
      <c r="AL4" s="14"/>
      <c r="AM4" s="14"/>
      <c r="AN4" s="14"/>
      <c r="AO4" s="14">
        <v>10</v>
      </c>
      <c r="AP4" s="14" t="s">
        <v>29</v>
      </c>
      <c r="AQ4" s="14" t="s">
        <v>341</v>
      </c>
      <c r="AR4" s="14" t="s">
        <v>506</v>
      </c>
      <c r="AS4" s="14"/>
      <c r="AT4" s="14"/>
      <c r="BE4" s="14"/>
      <c r="BF4" s="14"/>
      <c r="BG4" s="14"/>
      <c r="BH4" s="14"/>
    </row>
    <row r="5" spans="1:60 1137:1140">
      <c r="E5" s="14"/>
      <c r="F5" s="14"/>
      <c r="G5" s="14"/>
      <c r="H5" s="14"/>
      <c r="I5" s="14"/>
      <c r="J5" s="14"/>
      <c r="K5" s="14">
        <v>3</v>
      </c>
      <c r="L5" s="14" t="s">
        <v>508</v>
      </c>
      <c r="M5" s="14"/>
      <c r="N5" s="14"/>
      <c r="O5" s="15">
        <v>3</v>
      </c>
      <c r="P5" s="15" t="s">
        <v>508</v>
      </c>
      <c r="Q5" s="15"/>
      <c r="R5" s="15"/>
      <c r="S5" s="15"/>
      <c r="T5" s="15"/>
      <c r="U5" s="14"/>
      <c r="Y5">
        <v>3</v>
      </c>
      <c r="Z5" t="s">
        <v>508</v>
      </c>
      <c r="AK5" s="14"/>
      <c r="AL5" s="14"/>
      <c r="AM5" s="14"/>
      <c r="AN5" s="14"/>
      <c r="AO5" s="14"/>
      <c r="AP5" s="14"/>
      <c r="AQ5" s="14"/>
      <c r="AR5" s="14"/>
      <c r="AS5" s="14"/>
      <c r="AT5" s="14"/>
      <c r="BE5" s="14"/>
      <c r="BF5" s="14"/>
      <c r="BG5" s="14"/>
      <c r="BH5" s="14"/>
      <c r="AQU5" s="14"/>
      <c r="AQV5" s="14"/>
    </row>
    <row r="6" spans="1:60 1137:1140">
      <c r="E6" s="14"/>
      <c r="F6" s="14"/>
      <c r="G6" s="14"/>
      <c r="H6" s="14"/>
      <c r="I6" s="14"/>
      <c r="J6" s="14"/>
      <c r="K6" s="14">
        <v>4</v>
      </c>
      <c r="L6" s="14" t="s">
        <v>509</v>
      </c>
      <c r="M6" s="14"/>
      <c r="N6" s="14"/>
      <c r="O6" s="14">
        <v>4</v>
      </c>
      <c r="P6" s="14" t="s">
        <v>509</v>
      </c>
      <c r="Q6" s="14"/>
      <c r="R6" s="14"/>
      <c r="S6" s="14"/>
      <c r="T6" s="14"/>
      <c r="U6" s="14"/>
      <c r="Y6">
        <v>4</v>
      </c>
      <c r="Z6" t="s">
        <v>509</v>
      </c>
      <c r="AK6" s="14"/>
      <c r="AL6" s="14"/>
      <c r="AM6" s="14"/>
      <c r="AN6" s="14"/>
      <c r="AO6" s="14"/>
      <c r="AP6" s="14"/>
      <c r="AQ6" s="14"/>
      <c r="AR6" s="14"/>
      <c r="AS6" s="14"/>
      <c r="AT6" s="14"/>
      <c r="BE6" s="14"/>
      <c r="BF6" s="14"/>
      <c r="BG6" s="14"/>
      <c r="BH6" s="14"/>
      <c r="AQU6" s="14"/>
      <c r="AQV6" s="14"/>
    </row>
    <row r="7" spans="1:60 1137:1140">
      <c r="E7" s="14"/>
      <c r="F7" s="14"/>
      <c r="G7" s="14"/>
      <c r="H7" s="14"/>
      <c r="I7" s="14"/>
      <c r="J7" s="14"/>
      <c r="K7" s="14" t="s">
        <v>495</v>
      </c>
      <c r="L7" s="14" t="s">
        <v>510</v>
      </c>
      <c r="M7" s="14"/>
      <c r="N7" s="14"/>
      <c r="O7" s="14">
        <v>6</v>
      </c>
      <c r="P7" s="14" t="s">
        <v>511</v>
      </c>
      <c r="Q7" s="14"/>
      <c r="R7" s="14"/>
      <c r="S7" s="14"/>
      <c r="T7" s="14"/>
      <c r="U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BE7" s="14"/>
      <c r="BF7" s="14"/>
      <c r="BG7" s="14"/>
      <c r="BH7" s="14"/>
      <c r="AQU7" s="14"/>
      <c r="AQV7" s="14"/>
    </row>
    <row r="8" spans="1:60 1137:1140">
      <c r="E8" s="14"/>
      <c r="F8" s="14"/>
      <c r="G8" s="14"/>
      <c r="H8" s="14"/>
      <c r="I8" s="14"/>
      <c r="J8" s="14"/>
      <c r="K8" s="14" t="s">
        <v>341</v>
      </c>
      <c r="L8" s="14" t="s">
        <v>506</v>
      </c>
      <c r="M8" s="14"/>
      <c r="N8" s="14"/>
      <c r="O8" s="14"/>
      <c r="P8" s="14"/>
      <c r="Q8" s="14"/>
      <c r="R8" s="14"/>
      <c r="S8" s="14"/>
      <c r="T8" s="14"/>
      <c r="U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BE8" s="14"/>
      <c r="BF8" s="14"/>
      <c r="BG8" s="14"/>
      <c r="BH8" s="14"/>
      <c r="AQU8" s="14"/>
      <c r="AQV8" s="14"/>
    </row>
    <row r="9" spans="1:60 1137:114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BE9" s="14"/>
      <c r="BF9" s="14"/>
      <c r="BG9" s="14"/>
      <c r="BH9" s="14"/>
      <c r="AQU9" s="14"/>
      <c r="AQV9" s="14"/>
    </row>
    <row r="10" spans="1:60 1137:114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BE10" s="14"/>
      <c r="BF10" s="14"/>
      <c r="BG10" s="14"/>
      <c r="BH10" s="14"/>
      <c r="AQU10" s="14"/>
      <c r="AQV10" s="14"/>
    </row>
    <row r="11" spans="1:60 1137:114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BE11" s="14"/>
      <c r="BF11" s="14"/>
      <c r="BG11" s="14"/>
      <c r="BH11" s="14"/>
      <c r="AQU11" s="14"/>
      <c r="AQV11" s="14"/>
    </row>
    <row r="12" spans="1:60 1137:114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BE12" s="14"/>
      <c r="BF12" s="14"/>
      <c r="BG12" s="14"/>
      <c r="BH12" s="14"/>
      <c r="AQU12" s="14"/>
      <c r="AQV12" s="14"/>
    </row>
    <row r="13" spans="1:60 1137:114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BE13" s="14"/>
      <c r="BF13" s="14"/>
      <c r="BG13" s="14"/>
      <c r="BH13" s="14"/>
      <c r="AQU13" s="14"/>
      <c r="AQV13" s="14"/>
    </row>
    <row r="14" spans="1:60 1137:114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BE14" s="14"/>
      <c r="BF14" s="14"/>
      <c r="BG14" s="14"/>
      <c r="BH14" s="14"/>
      <c r="AQU14" s="14"/>
      <c r="AQV14" s="14"/>
    </row>
    <row r="15" spans="1:60 1137:114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BE15" s="14"/>
      <c r="BF15" s="14"/>
      <c r="BG15" s="14"/>
      <c r="BH15" s="14"/>
      <c r="AQU15" s="14"/>
      <c r="AQV15" s="14"/>
    </row>
    <row r="16" spans="1:60 1137:114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BE16" s="14"/>
      <c r="BF16" s="14"/>
      <c r="BG16" s="14"/>
      <c r="BH16" s="14"/>
      <c r="AQU16" s="14"/>
      <c r="AQV16" s="14"/>
    </row>
    <row r="17" spans="5:60 1139:114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BE17" s="14"/>
      <c r="BF17" s="14"/>
      <c r="BG17" s="14"/>
      <c r="BH17" s="14"/>
      <c r="AQU17" s="14"/>
      <c r="AQV17" s="14"/>
    </row>
    <row r="18" spans="5:60 1139:114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BE18" s="14"/>
      <c r="BF18" s="14"/>
      <c r="BG18" s="14"/>
      <c r="BH18" s="14"/>
      <c r="AQU18" s="14"/>
      <c r="AQV18" s="14"/>
    </row>
    <row r="19" spans="5:60 1139:114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BE19" s="14"/>
      <c r="BF19" s="14"/>
      <c r="BG19" s="14"/>
      <c r="BH19" s="14"/>
      <c r="AQU19" s="14"/>
      <c r="AQV19" s="14"/>
    </row>
    <row r="20" spans="5:60 1139:114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BE20" s="14"/>
      <c r="BF20" s="14"/>
      <c r="BG20" s="14"/>
      <c r="BH20" s="14"/>
      <c r="AQU20" s="14"/>
      <c r="AQV20" s="14"/>
    </row>
    <row r="21" spans="5:60 1139:114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BE21" s="14"/>
      <c r="BF21" s="14"/>
      <c r="BG21" s="14"/>
      <c r="BH21" s="14"/>
      <c r="AQU21" s="14"/>
      <c r="AQV21" s="14"/>
    </row>
    <row r="22" spans="5:60 1139:114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BE22" s="14"/>
      <c r="BF22" s="14"/>
      <c r="BG22" s="14"/>
      <c r="BH22" s="14"/>
      <c r="AQU22" s="14"/>
      <c r="AQV22" s="14"/>
    </row>
    <row r="23" spans="5:60 1139:114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BE23" s="14"/>
      <c r="BF23" s="14"/>
      <c r="BG23" s="14"/>
      <c r="BH23" s="14"/>
      <c r="AQU23" s="14"/>
      <c r="AQV23" s="14"/>
    </row>
    <row r="24" spans="5:60 1139:114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BE24" s="14"/>
      <c r="BF24" s="14"/>
      <c r="BG24" s="14"/>
      <c r="BH24" s="14"/>
      <c r="AQU24" s="14"/>
      <c r="AQV24" s="14"/>
    </row>
    <row r="25" spans="5:60 1139:114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BE25" s="14"/>
      <c r="BF25" s="14"/>
      <c r="BG25" s="14"/>
      <c r="BH25" s="14"/>
      <c r="AQU25" s="14"/>
      <c r="AQV25" s="14"/>
    </row>
    <row r="26" spans="5:60 1139:114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BE26" s="14"/>
      <c r="BF26" s="14"/>
      <c r="BG26" s="14"/>
      <c r="BH26" s="14"/>
      <c r="AQU26" s="14"/>
      <c r="AQV26" s="14"/>
    </row>
    <row r="27" spans="5:60 1139:114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BE27" s="14"/>
      <c r="BF27" s="14"/>
      <c r="BG27" s="14"/>
      <c r="BH27" s="14"/>
      <c r="AQU27" s="14"/>
      <c r="AQV27" s="14"/>
    </row>
    <row r="28" spans="5:60 1139:114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BE28" s="14"/>
      <c r="BF28" s="14"/>
      <c r="BG28" s="14"/>
      <c r="BH28" s="14"/>
      <c r="AQU28" s="14"/>
      <c r="AQV28" s="14"/>
    </row>
    <row r="29" spans="5:60 1139:114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BE29" s="14"/>
      <c r="BF29" s="14"/>
      <c r="BG29" s="14"/>
      <c r="BH29" s="14"/>
      <c r="AQU29" s="14"/>
      <c r="AQV29" s="14"/>
    </row>
    <row r="30" spans="5:60 1139:114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BE30" s="14"/>
      <c r="BF30" s="14"/>
      <c r="BG30" s="14"/>
      <c r="BH30" s="14"/>
      <c r="AQU30" s="14"/>
      <c r="AQV30" s="14"/>
    </row>
    <row r="31" spans="5:60 1139:114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BE31" s="14"/>
      <c r="BF31" s="14"/>
      <c r="BG31" s="14"/>
      <c r="BH31" s="14"/>
      <c r="AQU31" s="14"/>
      <c r="AQV31" s="14"/>
    </row>
    <row r="32" spans="5:60 1139:114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BE32" s="14"/>
      <c r="BF32" s="14"/>
      <c r="BG32" s="14"/>
      <c r="BH32" s="14"/>
      <c r="AQU32" s="14"/>
      <c r="AQV32" s="14"/>
    </row>
    <row r="33" spans="5:60 1139:114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BE33" s="14"/>
      <c r="BF33" s="14"/>
      <c r="BG33" s="14"/>
      <c r="BH33" s="14"/>
      <c r="AQU33" s="14"/>
      <c r="AQV33" s="14"/>
    </row>
    <row r="34" spans="5:60 1139:114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BE34" s="14"/>
      <c r="BF34" s="14"/>
      <c r="BG34" s="14"/>
      <c r="BH34" s="14"/>
      <c r="AQU34" s="14"/>
      <c r="AQV34" s="14"/>
    </row>
    <row r="35" spans="5:60 1139:114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BE35" s="14"/>
      <c r="BF35" s="14"/>
      <c r="BG35" s="14"/>
      <c r="BH35" s="14"/>
      <c r="AQU35" s="14"/>
      <c r="AQV35" s="14"/>
    </row>
    <row r="36" spans="5:60 1139:114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BE36" s="14"/>
      <c r="BF36" s="14"/>
      <c r="BG36" s="14"/>
      <c r="BH36" s="14"/>
      <c r="AQU36" s="14"/>
      <c r="AQV36" s="14"/>
    </row>
  </sheetData>
  <protectedRanges>
    <protectedRange sqref="BI37:VV41 A37:P83 BI42:AGF53 AAM61:AGF83 Q64:AAL83 WI37:APP41 AGS42:APP53 AAM60:AFT60 AGG60:APH83 AW60:AAL63 S37:AV63 API54:APP83 AGK54:APH59 BA54:AFX59 APQ37:XFD83 GK3:HP31 AU32:AX36 GQ32:HP36 BK3:GJ36 AQQ3:AQR4 AQW3:XFD36 VW3:YB32 HQ3:VR36 VS33:YB36 AQQ5:AQV36 YC3:AQP36 A3:AT36" name="etykiety"/>
  </protectedRanges>
  <customSheetViews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31"/>
  <sheetViews>
    <sheetView workbookViewId="0">
      <pane xSplit="7" ySplit="1" topLeftCell="BN2" activePane="bottomRight" state="frozenSplit"/>
      <selection activeCell="N5" sqref="N5"/>
      <selection pane="topRight"/>
      <selection pane="bottomLeft"/>
      <selection pane="bottomRight" activeCell="BS21" sqref="BS21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8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406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522</v>
      </c>
      <c r="S1" s="15" t="s">
        <v>374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418</v>
      </c>
      <c r="AF1" s="13" t="s">
        <v>420</v>
      </c>
      <c r="AG1" s="13" t="s">
        <v>422</v>
      </c>
      <c r="AH1" s="13" t="s">
        <v>424</v>
      </c>
      <c r="AI1" s="13" t="s">
        <v>425</v>
      </c>
      <c r="AJ1" s="13" t="s">
        <v>426</v>
      </c>
      <c r="AK1" s="13" t="s">
        <v>397</v>
      </c>
      <c r="AL1" s="13" t="s">
        <v>405</v>
      </c>
      <c r="AM1" s="13" t="s">
        <v>409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440</v>
      </c>
      <c r="AT1" s="13" t="s">
        <v>390</v>
      </c>
      <c r="AU1" s="13" t="s">
        <v>391</v>
      </c>
      <c r="AV1" s="13" t="s">
        <v>385</v>
      </c>
      <c r="AW1" s="13" t="s">
        <v>373</v>
      </c>
      <c r="AX1" t="s">
        <v>1</v>
      </c>
      <c r="AY1" s="13" t="s">
        <v>376</v>
      </c>
      <c r="AZ1" s="13" t="s">
        <v>375</v>
      </c>
      <c r="BA1" s="13" t="s">
        <v>393</v>
      </c>
      <c r="BB1" s="13" t="s">
        <v>382</v>
      </c>
      <c r="BC1" s="13" t="s">
        <v>377</v>
      </c>
      <c r="BD1" s="13" t="s">
        <v>378</v>
      </c>
      <c r="BE1" s="13" t="s">
        <v>380</v>
      </c>
      <c r="BF1" s="13" t="s">
        <v>379</v>
      </c>
      <c r="BG1" s="13" t="s">
        <v>381</v>
      </c>
      <c r="BH1" s="13" t="s">
        <v>384</v>
      </c>
      <c r="BI1" s="13" t="s">
        <v>383</v>
      </c>
      <c r="BJ1" s="13" t="s">
        <v>265</v>
      </c>
      <c r="BK1" s="13" t="s">
        <v>395</v>
      </c>
      <c r="BL1" s="13" t="s">
        <v>396</v>
      </c>
      <c r="BM1" s="13" t="s">
        <v>519</v>
      </c>
      <c r="BN1" s="13" t="s">
        <v>403</v>
      </c>
      <c r="BO1" s="13" t="s">
        <v>408</v>
      </c>
      <c r="BP1" t="s">
        <v>5</v>
      </c>
      <c r="BQ1" s="15" t="s">
        <v>36</v>
      </c>
      <c r="BR1" s="15" t="s">
        <v>439</v>
      </c>
      <c r="BS1" s="35" t="s">
        <v>521</v>
      </c>
      <c r="BT1" s="15" t="s">
        <v>343</v>
      </c>
      <c r="BU1" s="15" t="s">
        <v>386</v>
      </c>
      <c r="BV1" s="15" t="s">
        <v>404</v>
      </c>
      <c r="BW1" s="15" t="s">
        <v>407</v>
      </c>
      <c r="BX1" s="15" t="s">
        <v>292</v>
      </c>
      <c r="BY1" s="15" t="s">
        <v>269</v>
      </c>
      <c r="BZ1" s="15" t="s">
        <v>270</v>
      </c>
      <c r="CA1" s="15" t="s">
        <v>444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441</v>
      </c>
      <c r="CW1" s="15" t="s">
        <v>360</v>
      </c>
      <c r="CX1" s="15" t="s">
        <v>392</v>
      </c>
      <c r="CY1" s="15" t="s">
        <v>427</v>
      </c>
      <c r="CZ1" s="15" t="s">
        <v>428</v>
      </c>
      <c r="DC1" s="15" t="s">
        <v>372</v>
      </c>
      <c r="DD1" s="15"/>
      <c r="DE1" s="15"/>
      <c r="DF1" s="15"/>
      <c r="DG1" s="15" t="s">
        <v>362</v>
      </c>
      <c r="DH1" s="15" t="s">
        <v>363</v>
      </c>
      <c r="DI1" s="15" t="s">
        <v>365</v>
      </c>
      <c r="DJ1" s="15" t="s">
        <v>366</v>
      </c>
      <c r="DK1" s="15" t="s">
        <v>367</v>
      </c>
      <c r="DL1" s="15" t="s">
        <v>368</v>
      </c>
      <c r="DM1" s="15" t="s">
        <v>369</v>
      </c>
      <c r="DN1" s="15" t="s">
        <v>370</v>
      </c>
      <c r="DO1" s="15" t="s">
        <v>371</v>
      </c>
      <c r="DP1" s="15" t="s">
        <v>421</v>
      </c>
      <c r="DQ1" s="15" t="s">
        <v>429</v>
      </c>
      <c r="DR1" s="15" t="s">
        <v>432</v>
      </c>
      <c r="DS1" s="15" t="s">
        <v>442</v>
      </c>
      <c r="DY1" s="15"/>
      <c r="DZ1" s="15" t="s">
        <v>437</v>
      </c>
      <c r="EA1" s="15" t="s">
        <v>438</v>
      </c>
      <c r="EB1" s="15"/>
      <c r="EC1" s="15"/>
      <c r="ED1" s="15" t="s">
        <v>434</v>
      </c>
      <c r="EE1" s="15" t="s">
        <v>433</v>
      </c>
      <c r="EF1" s="15" t="s">
        <v>435</v>
      </c>
      <c r="EG1" s="15" t="s">
        <v>436</v>
      </c>
      <c r="EH1" s="15"/>
      <c r="EI1" s="15"/>
      <c r="EJ1" s="15"/>
      <c r="EK1" s="15"/>
      <c r="EM1" s="15" t="s">
        <v>5</v>
      </c>
      <c r="EN1" s="15" t="s">
        <v>449</v>
      </c>
      <c r="EO1" s="15" t="s">
        <v>450</v>
      </c>
      <c r="EP1" s="15" t="s">
        <v>451</v>
      </c>
      <c r="EQ1" s="15" t="s">
        <v>452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4" ca="1" si="0">IF(OR(G2="",ROW(G2)=2),"",IF(Z2&gt;0,"S",IF(AX2,IF(J2=2,"D","N"),"I")))</f>
        <v/>
      </c>
      <c r="F2" s="14" t="str">
        <f t="shared" ref="F2:F24" ca="1" si="1">IF(H2,O2,"")</f>
        <v>lp</v>
      </c>
      <c r="G2" s="14" t="str">
        <f t="shared" ref="G2:G24" ca="1" si="2">IF(H2,P2,"")</f>
        <v>Lp</v>
      </c>
      <c r="H2" s="14" t="b">
        <f t="shared" ref="H2:H12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'[dane surowe2d_2.xlsm]labels'!A3:A36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4" ca="1" si="4">IF(H2,J2-M2,"")</f>
        <v>0</v>
      </c>
      <c r="O2" s="14" t="str">
        <f t="shared" ref="O2:O12" ca="1" si="5">IF(INDIRECT(ADDRESS(2,D2+1,,,_sheetname_dataframe))="","",INDIRECT(ADDRESS(2,D2+1,,,_sheetname_dataframe)))</f>
        <v>lp</v>
      </c>
      <c r="P2" s="14" t="str">
        <f t="shared" ref="P2:P12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'[dane surowe2d_2.xlsm]data_frame'!A3:A12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9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0</v>
      </c>
      <c r="X2" s="14" t="str">
        <f t="array" aca="1" ref="X2" ca="1">IF(AND(H2,W2&gt;0),IF(wew!$B$3,MIN(IF((INDIRECT(ster!$D$14)&lt;&gt;"")*IFERROR(INDIRECT($Q2)&lt;&gt;"",FALSE),IFERROR(INDIRECT($Q2),"X"),"X")),"&lt;włącz podświetlanie wartości&gt;"),"—")</f>
        <v>—</v>
      </c>
      <c r="Y2" s="14" t="str">
        <f t="array" aca="1" ref="Y2" ca="1">IF(AND(H2,W2&gt;0),IF(wew!$B$3,MAX(IF((INDIRECT(ster!$D$14)&lt;&gt;"")*IFERROR(INDIRECT($Q2)&lt;&gt;"",FALSE),IFERROR(INDIRECT($Q2),"X"),"X")),"&lt;włącz podświetlanie wartości&gt;"),"—")</f>
        <v>—</v>
      </c>
      <c r="Z2" s="14">
        <f t="shared" ref="Z2:Z24" ca="1" si="7">IF(H2,S2-T2-W2,"")</f>
        <v>9</v>
      </c>
      <c r="AA2" s="12">
        <f t="shared" ref="AA2:AA24" ca="1" si="8">IF(H2,IF(S2&gt;0,W2/(S2),"—"),"")</f>
        <v>0</v>
      </c>
      <c r="AB2" s="17">
        <f t="array" aca="1" ref="AB2" ca="1">IF(H2,IF(W2&gt;0,SUM((INDIRECT(ster!$D$14)&lt;&gt;"")*IFERROR((INDIRECT(Q2)&lt;&gt;"")*(INDIRECT(Q2)=INT(INDIRECT(Q2))),0)),0),"")</f>
        <v>0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4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4" ca="1" si="10">IF(AE2,IF($H2,IF(INDIRECT(ADDRESS(1,D2+2,,,_sheetname_dataframe))="","",INDIRECT(ADDRESS(1,D2+2,,,_sheetname_dataframe))),""),"")</f>
        <v/>
      </c>
      <c r="AH2" s="17" t="b">
        <f t="shared" ref="AH2:AH24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4" ca="1" si="12">IF(AH2,IF($H2,IF(INDIRECT(ADDRESS(1,D2+3,,,_sheetname_dataframe))="","",INDIRECT(ADDRESS(1,D2+3,,,_sheetname_dataframe))),""),"")</f>
        <v/>
      </c>
      <c r="AK2" s="17" t="b">
        <f t="shared" ref="AK2:AK24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2" ca="1" si="14">IF(COUNTA(INDIRECT(Q2))=0,0, IF(AND(AO2&lt;&gt;"",X2&lt;AO2),1,IF(AND(AP2&lt;&gt;"",Y2&gt;AP2),1,IF(AND(AQ2,AC2&gt;0),2,0))))</f>
        <v>0</v>
      </c>
      <c r="AO2" s="24" t="str">
        <f t="shared" ref="AO2:AO24" ca="1" si="15">IF($H2,IF(BY2&lt;&gt;"",IF(ISNUMBER(BY2),BY2,""),""),"")</f>
        <v/>
      </c>
      <c r="AP2" s="24" t="str">
        <f t="shared" ref="AP2:AP24" ca="1" si="16">IF($H2,IF(BZ2&lt;&gt;"",IF(ISNUMBER(BZ2),BZ2,""),""),"")</f>
        <v/>
      </c>
      <c r="AQ2" s="17" t="b">
        <f t="shared" ref="AQ2:AQ24" ca="1" si="17">IF(H2,IF(CA2&lt;&gt;"",CA2&lt;&gt;0,FALSE),"")</f>
        <v>0</v>
      </c>
      <c r="AR2" s="17" t="b">
        <f t="shared" ref="AR2:AR24" ca="1" si="18">IF(H2,IF(N2&gt;0,IF(BQ2&lt;&gt;"",BQ2&lt;&gt;0,FALSE),FALSE),"")</f>
        <v>0</v>
      </c>
      <c r="AS2" s="17" t="b">
        <f t="shared" ref="AS2:AS24" ca="1" si="19">IF(H2,IF(BR2&lt;&gt;"",BR2&lt;&gt;0,FALSE),"")</f>
        <v>0</v>
      </c>
      <c r="AT2" s="17" t="b">
        <f t="shared" ref="AT2:AT24" ca="1" si="20">IF(H2,IF(N2&gt;0,FALSE,IF(BU2&lt;&gt;"",MATCH(BU2,DataType,0)=1,FALSE)),"")</f>
        <v>0</v>
      </c>
      <c r="AU2" s="17" t="b">
        <f t="shared" ref="AU2:AU24" ca="1" si="21">IF(H2,IF(N2&gt;0,TRUE,IF(BU2&lt;&gt;"",MATCH(BU2,DataType,0)=2,FALSE)),"")</f>
        <v>0</v>
      </c>
      <c r="AV2" s="17" t="b">
        <f t="shared" ref="AV2:AV24" ca="1" si="22">IF(H2,IF(N2&gt;0,FALSE,IF(BU2&lt;&gt;"",MATCH(BU2,DataType,0)=3,FALSE)),"")</f>
        <v>0</v>
      </c>
      <c r="AW2" s="17" t="b">
        <f t="shared" ref="AW2:AW24" ca="1" si="23">IF(H2,IF(W2&gt;0,Z2=0,FALSE),"")</f>
        <v>0</v>
      </c>
      <c r="AX2" s="14" t="b">
        <f t="array" aca="1" ref="AX2" ca="1">IF(H2,N2&gt;0,"")</f>
        <v>0</v>
      </c>
      <c r="AY2" s="17" t="str">
        <f t="shared" ref="AY2:AY24" ca="1" si="24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4" ca="1" si="25">IF(H2,BU2="",FALSE)</f>
        <v>1</v>
      </c>
      <c r="BB2" s="17" t="b">
        <f ca="1">IF(BA2,S2=0,"")</f>
        <v>0</v>
      </c>
      <c r="BC2" s="17" t="b">
        <f t="shared" ref="BC2:BC12" ca="1" si="26">IF(BA2,IF(N2&gt;0,AND(AZ2,Z2=0),FALSE),"")</f>
        <v>0</v>
      </c>
      <c r="BD2" s="17" t="b">
        <f t="shared" ref="BD2:BD12" ca="1" si="27">IF(BA2,IF(N2&gt;0,AND(NOT(AZ2),Z2=0),FALSE),"")</f>
        <v>0</v>
      </c>
      <c r="BE2" s="17" t="b">
        <f ca="1">IF(BA2,IF(AND(AW2,NOT(BB2),NOT(BC2),NOT(BD2)),AND(Z2=0,AC2=0),FALSE),"")</f>
        <v>0</v>
      </c>
      <c r="BF2" s="17" t="b">
        <f ca="1">IF(BA2,IF(AND(AW2,NOT(BB2),NOT(BC2),NOT(BD2)),AND(Z2=0,OR(AC2&gt;0)),FALSE),"")</f>
        <v>0</v>
      </c>
      <c r="BG2" s="17" t="b">
        <f ca="1">IF(BA2,IF(OR(BB2:BF2),FALSE,IF(Z2=0,FALSE,Z2&gt;0)),"")</f>
        <v>1</v>
      </c>
      <c r="BH2" s="17" t="b">
        <f ca="1">IF(BA2,COUNTIF(BB2:BG2,TRUE)=1,"")</f>
        <v>1</v>
      </c>
      <c r="BI2" s="17">
        <f ca="1">IF(BA2,IFERROR(MATCH(TRUE,BB2:BG2,0),7),"")</f>
        <v>6</v>
      </c>
      <c r="BJ2" s="17" t="b">
        <f ca="1">DF2&lt;&gt;""</f>
        <v>0</v>
      </c>
      <c r="BK2" s="17" t="str">
        <f t="shared" ref="BK2:BK24" ca="1" si="28">IF(H2,IF(AND(NOT(BA2),AU2),AC2=0,""),"")</f>
        <v/>
      </c>
      <c r="BL2" s="17" t="str">
        <f t="shared" ref="BL2:BL24" ca="1" si="29">IF(H2,IF(AND(NOT(BA2),AU2),AC2&gt;0,""),"")</f>
        <v/>
      </c>
      <c r="BM2" s="17" t="str">
        <f t="shared" ref="BM2:BM24" ca="1" si="30">IF(H2,IF(BA2,CHOOSE(BI2,"0","F","L","I","N",IF(AA2&gt;0.5,"N","S"),"0"),CHOOSE(MATCH(BU2,DataType,0),"S",IF(BK2,"I","N"),"D"  )),"")</f>
        <v>S</v>
      </c>
      <c r="BN2" s="17" t="str">
        <f t="shared" ref="BN2:BN24" ca="1" si="31">IF(H2,IF(BJ2,"E",IF(BA2,CHOOSE(BI2,"0","F","L","I","N","S","0"),CHOOSE(MATCH(BU2,DataType,0),"S",IF(BK2,"I","N"),"D"  ))),"")</f>
        <v>S</v>
      </c>
      <c r="BO2" s="17" t="str">
        <f t="shared" ref="BO2:BO12" ca="1" si="32">IF($H2,IF(BM2="0","",IF(AND(AR2,N2=2),"D",IF(BM2="S","N",IF(AL2,"O",IF(AM2,"I","N"))))),"")</f>
        <v>N</v>
      </c>
      <c r="BP2" s="14" t="b">
        <f t="shared" ref="BP2:BP12" ca="1" si="33">INDIRECT(ADDRESS(2,ROW(A2)-1,,,_sheetname_dataframe))&lt;&gt;""</f>
        <v>1</v>
      </c>
      <c r="BQ2" s="15">
        <v>0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4" ca="1" si="34">IF(CY2&lt;&gt;"","In the following cases " &amp; P2 &amp; " " &amp; LOWER(MID(AG2,1,1)) &amp; MID(AG2,2,LEN(AG2)) &amp; ": " &amp;SUBSTITUTE(CY2," ",", "),"")</f>
        <v/>
      </c>
      <c r="DS2" s="14" t="str">
        <f t="shared" ref="DS2:DS24" ca="1" si="35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4" ca="1" si="36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4" ca="1" si="37">IF(EB2&lt;&gt;"",G2 &amp; " (" &amp; F2 &amp; "): " &amp; EB2,"")</f>
        <v/>
      </c>
      <c r="ED2" s="14" t="str">
        <f t="shared" ref="ED2:ED24" ca="1" si="38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4" ca="1" si="39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4" ca="1" si="40">IF(EM2,C2,"")</f>
        <v/>
      </c>
      <c r="EO2" s="14" t="str">
        <f t="shared" ref="EO2:EO24" ca="1" si="41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2" ca="1" si="42">DF3</f>
        <v/>
      </c>
      <c r="C3" s="14">
        <f t="shared" ref="C3:C12" ca="1" si="43">IF(OFFSET(B3,-1,COLUMN(VariableExists)-2),OFFSET(B3,-1,1)+1,OFFSET(B3,-1,1))</f>
        <v>1</v>
      </c>
      <c r="D3" s="14">
        <f t="shared" ref="D3:D12" si="44">ROW(A3)-2</f>
        <v>1</v>
      </c>
      <c r="E3" s="14" t="str">
        <f t="shared" ca="1" si="0"/>
        <v>S</v>
      </c>
      <c r="F3" s="14" t="str">
        <f t="shared" ca="1" si="1"/>
        <v>txt</v>
      </c>
      <c r="G3" s="14" t="str">
        <f t="shared" ca="1" si="2"/>
        <v>Zmienna tekstowa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'[dane surowe2d_2.xlsm]labels'!C3:C36</v>
      </c>
      <c r="J3" s="14">
        <f t="array" aca="1" ref="J3" ca="1">IF(H3,MAX(0,MAX(IF(INDIRECT(I3)&lt;&gt;"",ROW(INDIRECT(I3)),""))-2),"")</f>
        <v>1</v>
      </c>
      <c r="K3" s="14" t="str">
        <f ca="1">IF($H3,IF($J3&gt;0,ADDRESS(3,(D3+1)*2-1,4,,"["&amp;wew!$G$7&amp;"]"&amp;_sheetname_labels)&amp;":"&amp;ADDRESS(2+J3,(D3+1)*2-1,4),""),"")</f>
        <v>'[dane surowe2d_2.xlsm]labels'!C3:C3</v>
      </c>
      <c r="L3" s="14" t="str">
        <f ca="1">IF($H3,IF($J3&gt;0,ADDRESS(3,(D3+1)*2,4,,"["&amp;wew!$G$7&amp;"]"&amp;_sheetname_labels)&amp;":"&amp;ADDRESS(2+J3,(D3+1)*2,4),""),"")</f>
        <v>'[dane surowe2d_2.xlsm]labels'!D3:D3</v>
      </c>
      <c r="M3" s="14">
        <f t="shared" ref="M3:M12" ca="1" si="45">IF($H3,IF(J3&gt;0,COUNTA(INDIRECT(K3))-COUNT(INDIRECT(K3)),0),"")</f>
        <v>1</v>
      </c>
      <c r="N3" s="14">
        <f t="shared" ca="1" si="4"/>
        <v>0</v>
      </c>
      <c r="O3" s="14" t="str">
        <f t="shared" ca="1" si="5"/>
        <v>txt</v>
      </c>
      <c r="P3" s="14" t="str">
        <f t="shared" ca="1" si="6"/>
        <v>Zmienna tekstowa</v>
      </c>
      <c r="Q3" s="14" t="str">
        <f ca="1">IF($BP3,ADDRESS(3,D3+1,4,,"["&amp;wew!$G$7&amp;"]"&amp;_sheetname_dataframe)&amp;":"&amp;ADDRESS(2+ster!$C$14,D3+1,4),"")</f>
        <v>'[dane surowe2d_2.xlsm]data_frame'!B3:B12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7</v>
      </c>
      <c r="T3" s="14">
        <f t="array" aca="1" ref="T3" ca="1">IF(H3,IF(M3&gt;0,SUM(IFERROR(1*(MATCH(INDIRECT(Q3),INDIRECT(K3),0)&gt;0),0)*(INDIRECT(ster!$D$14)&lt;&gt;"")*NOT(ISNUMBER(INDIRECT(Q3)))),0),"")</f>
        <v>1</v>
      </c>
      <c r="U3" s="14">
        <f t="array" aca="1" ref="U3" ca="1">IF(H3,SUM((IFERROR(INDIRECT(Q3)="",FALSE))*(INDIRECT(ster!$D$14)&lt;&gt;"")),"")</f>
        <v>2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0</v>
      </c>
      <c r="X3" s="14" t="str">
        <f t="array" aca="1" ref="X3" ca="1">IF(AND(H3,W3&gt;0),IF(wew!$B$3,MIN(IF((INDIRECT(ster!$D$14)&lt;&gt;"")*IFERROR(INDIRECT($Q3)&lt;&gt;"",FALSE),IFERROR(INDIRECT($Q3),"X"),"X")),"&lt;włącz podświetlanie wartości&gt;"),"—")</f>
        <v>—</v>
      </c>
      <c r="Y3" s="14" t="str">
        <f t="array" aca="1" ref="Y3" ca="1">IF(AND(H3,W3&gt;0),IF(wew!$B$3,MAX(IF((INDIRECT(ster!$D$14)&lt;&gt;"")*IFERROR(INDIRECT($Q3)&lt;&gt;"",FALSE),IFERROR(INDIRECT($Q3),"X"),"X")),"&lt;włącz podświetlanie wartości&gt;"),"—")</f>
        <v>—</v>
      </c>
      <c r="Z3" s="14">
        <f t="shared" ca="1" si="7"/>
        <v>6</v>
      </c>
      <c r="AA3" s="12">
        <f t="shared" ca="1" si="8"/>
        <v>0</v>
      </c>
      <c r="AB3" s="17">
        <f t="array" aca="1" ref="AB3" ca="1">IF(H3,IF(W3&gt;0,SUM((INDIRECT(ster!$D$14)&lt;&gt;"")*IFERROR((INDIRECT(Q3)&lt;&gt;"")*(INDIRECT(Q3)=INT(INDIRECT(Q3))),0)),0),"")</f>
        <v>0</v>
      </c>
      <c r="AC3" s="17">
        <f t="array" aca="1" ref="AC3" ca="1">IF(H3,W3-AB3,"")</f>
        <v>0</v>
      </c>
      <c r="AD3" s="17">
        <f t="shared" ref="AD3:AD12" ca="1" si="46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2" ca="1" si="47">IF($H3,IF(BV3&lt;&gt;"",IF(OR(BM3="F",BM3="L",BM3="I",BM3="D"),BV3&lt;&gt;0)),"")</f>
        <v>0</v>
      </c>
      <c r="AM3" s="17" t="b">
        <f t="shared" ref="AM3:AM12" ca="1" si="48">IF($H3,AND(NOT(AL3),OR(IF(BW3&lt;&gt;"",IF(OR(BM3="F",BM3="L"),BW3&lt;&gt;0)),BM3="I",BM3="N",BM3="D")),"")</f>
        <v>0</v>
      </c>
      <c r="AN3" s="17">
        <f t="shared" ca="1" si="14"/>
        <v>1</v>
      </c>
      <c r="AO3" s="24">
        <f t="shared" ca="1" si="15"/>
        <v>-1</v>
      </c>
      <c r="AP3" s="24">
        <f t="shared" ca="1" si="16"/>
        <v>1</v>
      </c>
      <c r="AQ3" s="17" t="b">
        <f t="shared" ca="1" si="17"/>
        <v>0</v>
      </c>
      <c r="AR3" s="17" t="b">
        <f t="shared" ca="1" si="18"/>
        <v>0</v>
      </c>
      <c r="AS3" s="17" t="b">
        <f t="shared" ca="1" si="19"/>
        <v>0</v>
      </c>
      <c r="AT3" s="17" t="b">
        <f t="shared" ca="1" si="20"/>
        <v>1</v>
      </c>
      <c r="AU3" s="17" t="b">
        <f t="shared" ca="1" si="21"/>
        <v>0</v>
      </c>
      <c r="AV3" s="17" t="b">
        <f t="shared" ca="1" si="22"/>
        <v>0</v>
      </c>
      <c r="AW3" s="17" t="b">
        <f t="shared" ca="1" si="23"/>
        <v>0</v>
      </c>
      <c r="AX3" s="14" t="b">
        <f t="array" aca="1" ref="AX3" ca="1">IF(H3,N3&gt;0,"")</f>
        <v>0</v>
      </c>
      <c r="AY3" s="17" t="str">
        <f t="shared" ca="1" si="24"/>
        <v/>
      </c>
      <c r="AZ3" s="17" t="str">
        <f t="array" aca="1" ref="AZ3" ca="1">IF(AY3&lt;&gt;"",SUM(1*ISERROR(MATCH(INDIRECT(AY3),INDIRECT(K3),0)))=0,"")</f>
        <v/>
      </c>
      <c r="BA3" s="17" t="b">
        <f t="shared" ca="1" si="25"/>
        <v>0</v>
      </c>
      <c r="BB3" s="17" t="str">
        <f t="shared" ref="BB3:BB12" ca="1" si="49">IF(BA3,S3=0,"")</f>
        <v/>
      </c>
      <c r="BC3" s="17" t="str">
        <f t="shared" ca="1" si="26"/>
        <v/>
      </c>
      <c r="BD3" s="17" t="str">
        <f t="shared" ca="1" si="27"/>
        <v/>
      </c>
      <c r="BE3" s="17" t="str">
        <f t="shared" ref="BE3:BE12" ca="1" si="50">IF(BA3,IF(AND(AW3,NOT(BB3),NOT(BC3),NOT(BD3)),AND(Z3=0,AC3=0),FALSE),"")</f>
        <v/>
      </c>
      <c r="BF3" s="17" t="str">
        <f t="shared" ref="BF3:BF12" ca="1" si="51">IF(BA3,IF(AND(AW3,NOT(BB3),NOT(BC3),NOT(BD3)),AND(Z3=0,OR(AC3&gt;0)),FALSE),"")</f>
        <v/>
      </c>
      <c r="BG3" s="17" t="str">
        <f t="shared" ref="BG3:BG12" ca="1" si="52">IF(BA3,IF(OR(BB3:BF3),FALSE,IF(Z3=0,FALSE,Z3&gt;0)),"")</f>
        <v/>
      </c>
      <c r="BH3" s="17" t="str">
        <f t="shared" ref="BH3:BH12" ca="1" si="53">IF(BA3,COUNTIF(BB3:BG3,TRUE)=1,"")</f>
        <v/>
      </c>
      <c r="BI3" s="17" t="str">
        <f t="shared" ref="BI3:BI12" ca="1" si="54">IF(BA3,IFERROR(MATCH(TRUE,BB3:BG3,0),7),"")</f>
        <v/>
      </c>
      <c r="BJ3" s="17" t="b">
        <f t="shared" ref="BJ3:BJ12" ca="1" si="55">DF3&lt;&gt;""</f>
        <v>0</v>
      </c>
      <c r="BK3" s="17" t="str">
        <f t="shared" ca="1" si="28"/>
        <v/>
      </c>
      <c r="BL3" s="17" t="str">
        <f t="shared" ca="1" si="29"/>
        <v/>
      </c>
      <c r="BM3" s="17" t="str">
        <f t="shared" ca="1" si="30"/>
        <v>S</v>
      </c>
      <c r="BN3" s="17" t="str">
        <f t="shared" ca="1" si="31"/>
        <v>S</v>
      </c>
      <c r="BO3" s="17" t="str">
        <f t="shared" ca="1" si="32"/>
        <v>N</v>
      </c>
      <c r="BP3" s="14" t="b">
        <f t="shared" ca="1" si="33"/>
        <v>1</v>
      </c>
      <c r="BQ3" s="15">
        <v>1</v>
      </c>
      <c r="BR3" s="14"/>
      <c r="BS3" s="14" t="s">
        <v>525</v>
      </c>
      <c r="BU3" s="14" t="s">
        <v>387</v>
      </c>
      <c r="BX3" s="16"/>
      <c r="BY3" s="16">
        <v>-1</v>
      </c>
      <c r="BZ3" s="16">
        <v>1</v>
      </c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2" ca="1" si="56">IF(MID(DC3,1,1)="■",MID(DC3,2,LEN(DC3)),DC3)</f>
        <v/>
      </c>
      <c r="DE3" s="14" t="str">
        <f t="shared" ref="DE3:DE12" ca="1" si="57">IF(DD3&lt;&gt;"",IF(MID(DD3,LEN(DD3),1)="■",MID(DD3,1,LEN(DD3)-1),DD3),"")</f>
        <v/>
      </c>
      <c r="DF3" s="14" t="str">
        <f t="shared" ref="DF3:DF12" ca="1" si="58">IFERROR(IF(DE3&lt;&gt;"",SUBSTITUTE(DE3,"■",". "),""),"##INTERNAL_ERROR")</f>
        <v/>
      </c>
      <c r="DG3" s="14" t="str">
        <f t="shared" ref="DG3:DG12" ca="1" si="59">IF(CN3&lt;&gt;0,"Variable name don't comply with the naming convention","")</f>
        <v/>
      </c>
      <c r="DH3" s="14" t="str">
        <f t="shared" ref="DH3:DH12" ca="1" si="60">IF(CO3&lt;&gt;"","Duplicated name. " &amp; IF(ISERROR(FIND(" ",CO3)),"Duplicate have index " &amp; CO3, "Duplicates have indices: "&amp;SUBSTITUTE(CO3," ",", ")),"")</f>
        <v/>
      </c>
      <c r="DI3" s="14" t="str">
        <f t="shared" ref="DI3:DI12" ca="1" si="61">IF(CP3&lt;&gt;"","Variable label exceed length 150","")</f>
        <v/>
      </c>
      <c r="DJ3" s="14" t="str">
        <f t="shared" ref="DJ3:DJ12" ca="1" si="62">IF(CQ3&lt;&gt;"","Duplicated variable label. " &amp; IF(ISERROR(FIND(" ",CQ3)),"Duplicate have index " &amp; CQ3, "Duplicates have indices: "&amp;SUBSTITUTE(CQ3," ",", ")),"")</f>
        <v/>
      </c>
      <c r="DK3" s="14" t="str">
        <f t="shared" ref="DK3:DK12" ca="1" si="63">IF(CR3&lt;&gt;"","The following cases have values below declared theorethical min: " &amp;SUBSTITUTE(CR3," ",", "),"")</f>
        <v/>
      </c>
      <c r="DL3" s="14" t="str">
        <f t="shared" ref="DL3:DL12" ca="1" si="64">IF(CS3&lt;&gt;"","The following cases have values above declared theorethical max: " &amp;SUBSTITUTE(CS3," ",", "),"")</f>
        <v/>
      </c>
      <c r="DM3" s="14" t="str">
        <f t="shared" ref="DM3:DM12" ca="1" si="65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2" ca="1" si="66">IF(CV3&lt;&gt;"","The following records are missing in this required field: " &amp;SUBSTITUTE(CV3," ",", "),"")</f>
        <v/>
      </c>
      <c r="DP3" s="14" t="str">
        <f t="shared" ref="DP3:DP12" ca="1" si="67">IF(CW3&lt;&gt;"","The following cases have non-integer values: " &amp;SUBSTITUTE(CW3," ",", "),"")</f>
        <v/>
      </c>
      <c r="DQ3" s="14" t="str">
        <f t="shared" ref="DQ3:DQ12" ca="1" si="68">IF(CX3&lt;&gt;"","The following cases are non-numeric: " &amp;SUBSTITUTE(CX3," ",", "),"")</f>
        <v/>
      </c>
      <c r="DR3" s="14" t="str">
        <f t="shared" ca="1" si="34"/>
        <v/>
      </c>
      <c r="DS3" s="14" t="str">
        <f t="shared" ca="1" si="35"/>
        <v/>
      </c>
      <c r="DZ3" s="14" t="b">
        <f t="shared" ref="DZ3:DZ12" ca="1" si="69">OR(ED3&lt;&gt;"",EF3&lt;&gt;"",EG3&lt;&gt;"")</f>
        <v>0</v>
      </c>
      <c r="EA3" s="14" t="str">
        <f t="shared" ca="1" si="36"/>
        <v/>
      </c>
      <c r="EB3" s="14" t="str">
        <f t="shared" ref="EB3:EB12" ca="1" si="70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7"/>
        <v/>
      </c>
      <c r="ED3" s="14" t="str">
        <f t="shared" ca="1" si="38"/>
        <v/>
      </c>
      <c r="EE3" s="14" t="str">
        <f t="shared" ca="1" si="39"/>
        <v/>
      </c>
      <c r="EF3" s="14" t="str">
        <f t="shared" ref="EF3:EF12" ca="1" si="71">IF($H3,AG3,"")</f>
        <v/>
      </c>
      <c r="EG3" s="14" t="str">
        <f t="shared" ref="EG3:EG12" ca="1" si="72">IF($H3,AJ3,"")</f>
        <v/>
      </c>
      <c r="EM3" s="14" t="b">
        <f t="shared" ref="EM3:EM12" ca="1" si="73">OR(EC3&lt;&gt;"",DF3&lt;&gt;"")</f>
        <v>0</v>
      </c>
      <c r="EN3" s="14" t="str">
        <f t="shared" ca="1" si="40"/>
        <v/>
      </c>
      <c r="EO3" s="14" t="str">
        <f t="shared" ca="1" si="41"/>
        <v/>
      </c>
      <c r="EP3" s="14" t="str">
        <f t="shared" ref="EP3:EP12" ca="1" si="74">EC3</f>
        <v/>
      </c>
      <c r="EQ3" s="14" t="str">
        <f t="shared" ref="EQ3:EQ12" ca="1" si="75">DF3</f>
        <v/>
      </c>
    </row>
    <row r="4" spans="1:147">
      <c r="B4" s="14" t="str">
        <f t="shared" ca="1" si="42"/>
        <v>There are errors in the entered values in the following cases: LAB3. The following cases are non-numeric: WAW3: nas</v>
      </c>
      <c r="C4" s="14">
        <f t="shared" ca="1" si="43"/>
        <v>2</v>
      </c>
      <c r="D4" s="14">
        <f t="shared" si="44"/>
        <v>2</v>
      </c>
      <c r="E4" s="14" t="str">
        <f t="shared" ca="1" si="0"/>
        <v>S</v>
      </c>
      <c r="F4" s="14" t="str">
        <f t="shared" ca="1" si="1"/>
        <v>num1</v>
      </c>
      <c r="G4" s="14" t="str">
        <f t="shared" ca="1" si="2"/>
        <v>Zmienna liczbowa z brakami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'[dane surowe2d_2.xlsm]labels'!E3:E36</v>
      </c>
      <c r="J4" s="14">
        <f t="array" aca="1" ref="J4" ca="1">IF(H4,MAX(0,MAX(IF(INDIRECT(I4)&lt;&gt;"",ROW(INDIRECT(I4)),""))-2),"")</f>
        <v>2</v>
      </c>
      <c r="K4" s="14" t="str">
        <f ca="1">IF($H4,IF($J4&gt;0,ADDRESS(3,(D4+1)*2-1,4,,"["&amp;wew!$G$7&amp;"]"&amp;_sheetname_labels)&amp;":"&amp;ADDRESS(2+J4,(D4+1)*2-1,4),""),"")</f>
        <v>'[dane surowe2d_2.xlsm]labels'!E3:E4</v>
      </c>
      <c r="L4" s="14" t="str">
        <f ca="1">IF($H4,IF($J4&gt;0,ADDRESS(3,(D4+1)*2,4,,"["&amp;wew!$G$7&amp;"]"&amp;_sheetname_labels)&amp;":"&amp;ADDRESS(2+J4,(D4+1)*2,4),""),"")</f>
        <v>'[dane surowe2d_2.xlsm]labels'!F3:F4</v>
      </c>
      <c r="M4" s="14">
        <f t="shared" ca="1" si="45"/>
        <v>2</v>
      </c>
      <c r="N4" s="14">
        <f t="shared" ca="1" si="4"/>
        <v>0</v>
      </c>
      <c r="O4" s="14" t="str">
        <f t="shared" ca="1" si="5"/>
        <v>num1</v>
      </c>
      <c r="P4" s="14" t="str">
        <f t="shared" ca="1" si="6"/>
        <v>Zmienna liczbowa z brakami</v>
      </c>
      <c r="Q4" s="14" t="str">
        <f ca="1">IF($BP4,ADDRESS(3,D4+1,4,,"["&amp;wew!$G$7&amp;"]"&amp;_sheetname_dataframe)&amp;":"&amp;ADDRESS(2+ster!$C$14,D4+1,4),"")</f>
        <v>'[dane surowe2d_2.xlsm]data_frame'!C3:C12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7</v>
      </c>
      <c r="T4" s="14">
        <f t="array" aca="1" ref="T4" ca="1">IF(H4,IF(M4&gt;0,SUM(IFERROR(1*(MATCH(INDIRECT(Q4),INDIRECT(K4),0)&gt;0),0)*(INDIRECT(ster!$D$14)&lt;&gt;"")*NOT(ISNUMBER(INDIRECT(Q4)))),0),"")</f>
        <v>1</v>
      </c>
      <c r="U4" s="14">
        <f t="array" aca="1" ref="U4" ca="1">IF(H4,SUM((IFERROR(INDIRECT(Q4)="",FALSE))*(INDIRECT(ster!$D$14)&lt;&gt;"")),"")</f>
        <v>1</v>
      </c>
      <c r="V4" s="14">
        <f t="array" aca="1" ref="V4" ca="1">IF(H4,SUM((IFERROR(INDIRECT(Q4)="#ąś",TRUE))*(INDIRECT(ster!$D$14)&lt;&gt;"")),"")</f>
        <v>1</v>
      </c>
      <c r="W4" s="14">
        <f t="array" aca="1" ref="W4" ca="1">IF(H4,SUM(ISNUMBER(INDIRECT(Q4))*(INDIRECT(ster!$D$14)&lt;&gt;"")),"")</f>
        <v>5</v>
      </c>
      <c r="X4" s="14">
        <f t="array" aca="1" ref="X4" ca="1">IF(AND(H4,W4&gt;0),IF(wew!$B$3,MIN(IF((INDIRECT(ster!$D$14)&lt;&gt;"")*IFERROR(INDIRECT($Q4)&lt;&gt;"",FALSE),IFERROR(INDIRECT($Q4),"X"),"X")),"&lt;włącz podświetlanie wartości&gt;"),"—")</f>
        <v>3</v>
      </c>
      <c r="Y4" s="14">
        <f t="array" aca="1" ref="Y4" ca="1">IF(AND(H4,W4&gt;0),IF(wew!$B$3,MAX(IF((INDIRECT(ster!$D$14)&lt;&gt;"")*IFERROR(INDIRECT($Q4)&lt;&gt;"",FALSE),IFERROR(INDIRECT($Q4),"X"),"X")),"&lt;włącz podświetlanie wartości&gt;"),"—")</f>
        <v>43</v>
      </c>
      <c r="Z4" s="14">
        <f t="shared" ca="1" si="7"/>
        <v>1</v>
      </c>
      <c r="AA4" s="12">
        <f t="shared" ca="1" si="8"/>
        <v>0.7142857142857143</v>
      </c>
      <c r="AB4" s="17">
        <f t="array" aca="1" ref="AB4" ca="1">IF(H4,IF(W4&gt;0,SUM((INDIRECT(ster!$D$14)&lt;&gt;"")*IFERROR((INDIRECT(Q4)&lt;&gt;"")*(INDIRECT(Q4)=INT(INDIRECT(Q4))),0)),0),"")</f>
        <v>5</v>
      </c>
      <c r="AC4" s="17">
        <f t="array" aca="1" ref="AC4" ca="1">IF(H4,W4-AB4,"")</f>
        <v>0</v>
      </c>
      <c r="AD4" s="17">
        <f t="shared" ca="1" si="46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7"/>
        <v>0</v>
      </c>
      <c r="AM4" s="17" t="b">
        <f t="shared" ca="1" si="48"/>
        <v>1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17"/>
        <v>0</v>
      </c>
      <c r="AR4" s="17" t="b">
        <f t="shared" ca="1" si="18"/>
        <v>0</v>
      </c>
      <c r="AS4" s="17" t="b">
        <f t="shared" ca="1" si="19"/>
        <v>0</v>
      </c>
      <c r="AT4" s="17" t="b">
        <f t="shared" ca="1" si="20"/>
        <v>0</v>
      </c>
      <c r="AU4" s="17" t="b">
        <f t="shared" ca="1" si="21"/>
        <v>1</v>
      </c>
      <c r="AV4" s="17" t="b">
        <f t="shared" ca="1" si="22"/>
        <v>0</v>
      </c>
      <c r="AW4" s="17" t="b">
        <f t="shared" ca="1" si="23"/>
        <v>0</v>
      </c>
      <c r="AX4" s="14" t="b">
        <f t="array" aca="1" ref="AX4" ca="1">IF(H4,N4&gt;0,"")</f>
        <v>0</v>
      </c>
      <c r="AY4" s="17" t="str">
        <f t="shared" ca="1" si="24"/>
        <v/>
      </c>
      <c r="AZ4" s="17" t="str">
        <f t="array" aca="1" ref="AZ4" ca="1">IF(AY4&lt;&gt;"",SUM(1*ISERROR(MATCH(INDIRECT(AY4),INDIRECT(K4),0)))=0,"")</f>
        <v/>
      </c>
      <c r="BA4" s="17" t="b">
        <f t="shared" ca="1" si="25"/>
        <v>0</v>
      </c>
      <c r="BB4" s="17" t="str">
        <f t="shared" ca="1" si="49"/>
        <v/>
      </c>
      <c r="BC4" s="17" t="str">
        <f t="shared" ca="1" si="26"/>
        <v/>
      </c>
      <c r="BD4" s="17" t="str">
        <f t="shared" ca="1" si="27"/>
        <v/>
      </c>
      <c r="BE4" s="17" t="str">
        <f t="shared" ca="1" si="50"/>
        <v/>
      </c>
      <c r="BF4" s="17" t="str">
        <f t="shared" ca="1" si="51"/>
        <v/>
      </c>
      <c r="BG4" s="17" t="str">
        <f t="shared" ca="1" si="52"/>
        <v/>
      </c>
      <c r="BH4" s="17" t="str">
        <f t="shared" ca="1" si="53"/>
        <v/>
      </c>
      <c r="BI4" s="17" t="str">
        <f t="shared" ca="1" si="54"/>
        <v/>
      </c>
      <c r="BJ4" s="17" t="b">
        <f t="shared" ca="1" si="55"/>
        <v>1</v>
      </c>
      <c r="BK4" s="17" t="b">
        <f t="shared" ca="1" si="28"/>
        <v>1</v>
      </c>
      <c r="BL4" s="17" t="b">
        <f t="shared" ca="1" si="29"/>
        <v>0</v>
      </c>
      <c r="BM4" s="17" t="str">
        <f t="shared" ca="1" si="30"/>
        <v>I</v>
      </c>
      <c r="BN4" s="17" t="str">
        <f t="shared" ca="1" si="31"/>
        <v>E</v>
      </c>
      <c r="BO4" s="17" t="str">
        <f t="shared" ca="1" si="32"/>
        <v>I</v>
      </c>
      <c r="BP4" s="14" t="b">
        <f t="shared" ca="1" si="33"/>
        <v>1</v>
      </c>
      <c r="BQ4" s="15">
        <v>1</v>
      </c>
      <c r="BR4" s="14"/>
      <c r="BS4" s="14" t="s">
        <v>526</v>
      </c>
      <c r="BU4" s="14" t="s">
        <v>388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>LAB3</v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>WAW3: nas</v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■There are errors in the entered values in the following cases: LAB3■The following cases are non-numeric: WAW3: nas■</v>
      </c>
      <c r="DD4" s="14" t="str">
        <f t="shared" ca="1" si="56"/>
        <v>There are errors in the entered values in the following cases: LAB3■The following cases are non-numeric: WAW3: nas■</v>
      </c>
      <c r="DE4" s="14" t="str">
        <f t="shared" ca="1" si="57"/>
        <v>There are errors in the entered values in the following cases: LAB3■The following cases are non-numeric: WAW3: nas</v>
      </c>
      <c r="DF4" s="14" t="str">
        <f t="shared" ca="1" si="58"/>
        <v>There are errors in the entered values in the following cases: LAB3. The following cases are non-numeric: WAW3: nas</v>
      </c>
      <c r="DG4" s="14" t="str">
        <f t="shared" ca="1" si="59"/>
        <v/>
      </c>
      <c r="DH4" s="14" t="str">
        <f t="shared" ca="1" si="60"/>
        <v/>
      </c>
      <c r="DI4" s="14" t="str">
        <f t="shared" ca="1" si="61"/>
        <v/>
      </c>
      <c r="DJ4" s="14" t="str">
        <f t="shared" ca="1" si="62"/>
        <v/>
      </c>
      <c r="DK4" s="14" t="str">
        <f t="shared" ca="1" si="63"/>
        <v/>
      </c>
      <c r="DL4" s="14" t="str">
        <f t="shared" ca="1" si="64"/>
        <v/>
      </c>
      <c r="DM4" s="14" t="str">
        <f t="shared" ca="1" si="65"/>
        <v/>
      </c>
      <c r="DN4" s="14" t="str">
        <f t="array" aca="1" ref="DN4" ca="1">IF(CU4&lt;&gt;"","There are errors in the entered values in the following cases: " &amp;SUBSTITUTE(CU4," ",", "),"")</f>
        <v>There are errors in the entered values in the following cases: LAB3</v>
      </c>
      <c r="DO4" s="14" t="str">
        <f t="shared" ca="1" si="66"/>
        <v/>
      </c>
      <c r="DP4" s="14" t="str">
        <f t="shared" ca="1" si="67"/>
        <v/>
      </c>
      <c r="DQ4" s="14" t="str">
        <f t="shared" ca="1" si="68"/>
        <v>The following cases are non-numeric: WAW3: nas</v>
      </c>
      <c r="DR4" s="14" t="str">
        <f t="shared" ca="1" si="34"/>
        <v/>
      </c>
      <c r="DS4" s="14" t="str">
        <f t="shared" ca="1" si="35"/>
        <v/>
      </c>
      <c r="DZ4" s="14" t="b">
        <f t="shared" ca="1" si="69"/>
        <v>0</v>
      </c>
      <c r="EA4" s="14" t="str">
        <f t="shared" ca="1" si="36"/>
        <v>Zmienna liczbowa z brakami (num1)</v>
      </c>
      <c r="EB4" s="14" t="str">
        <f t="shared" ca="1" si="70"/>
        <v xml:space="preserve">Values must be numeric. </v>
      </c>
      <c r="EC4" s="14" t="str">
        <f t="shared" ca="1" si="37"/>
        <v xml:space="preserve">Zmienna liczbowa z brakami (num1): Values must be numeric. </v>
      </c>
      <c r="ED4" s="14" t="str">
        <f t="shared" ca="1" si="38"/>
        <v/>
      </c>
      <c r="EE4" s="14" t="str">
        <f t="shared" ca="1" si="39"/>
        <v>Values must be numeric</v>
      </c>
      <c r="EF4" s="14" t="str">
        <f t="shared" ca="1" si="71"/>
        <v/>
      </c>
      <c r="EG4" s="14" t="str">
        <f t="shared" ca="1" si="72"/>
        <v/>
      </c>
      <c r="EM4" s="14" t="b">
        <f t="shared" ca="1" si="73"/>
        <v>1</v>
      </c>
      <c r="EN4" s="14">
        <f t="shared" ca="1" si="40"/>
        <v>2</v>
      </c>
      <c r="EO4" s="14" t="str">
        <f t="shared" ca="1" si="41"/>
        <v>num1</v>
      </c>
      <c r="EP4" s="14" t="str">
        <f t="shared" ca="1" si="74"/>
        <v xml:space="preserve">Zmienna liczbowa z brakami (num1): Values must be numeric. </v>
      </c>
      <c r="EQ4" s="14" t="str">
        <f t="shared" ca="1" si="75"/>
        <v>There are errors in the entered values in the following cases: LAB3. The following cases are non-numeric: WAW3: nas</v>
      </c>
    </row>
    <row r="5" spans="1:147">
      <c r="B5" s="14" t="str">
        <f t="shared" ca="1" si="42"/>
        <v>There are errors in the entered values in the following cases: LAB3</v>
      </c>
      <c r="C5" s="14">
        <f t="shared" ca="1" si="43"/>
        <v>3</v>
      </c>
      <c r="D5" s="14">
        <f t="shared" si="44"/>
        <v>3</v>
      </c>
      <c r="E5" s="14" t="str">
        <f t="shared" ca="1" si="0"/>
        <v>I</v>
      </c>
      <c r="F5" s="14" t="str">
        <f t="shared" ca="1" si="1"/>
        <v>num2</v>
      </c>
      <c r="G5" s="14" t="str">
        <f t="shared" ca="1" si="2"/>
        <v>Zmienna liczbowa bez braków</v>
      </c>
      <c r="H5" s="14" t="b">
        <f t="shared" ca="1" si="3"/>
        <v>1</v>
      </c>
      <c r="I5" s="14" t="str">
        <f ca="1">IF($H5,ADDRESS(3,(D5+1)*2-1,4,,"["&amp;wew!$G$7&amp;"]"&amp;_sheetname_labels)&amp;":"&amp;ADDRESS(2+ster!$B$20,(D5+1)*2-1,4),"")</f>
        <v>'[dane surowe2d_2.xlsm]labels'!G3:G36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ca="1" si="45"/>
        <v>0</v>
      </c>
      <c r="N5" s="14">
        <f t="shared" ca="1" si="4"/>
        <v>0</v>
      </c>
      <c r="O5" s="14" t="str">
        <f t="shared" ca="1" si="5"/>
        <v>num2</v>
      </c>
      <c r="P5" s="14" t="str">
        <f t="shared" ca="1" si="6"/>
        <v>Zmienna liczbowa bez braków</v>
      </c>
      <c r="Q5" s="14" t="str">
        <f ca="1">IF($BP5,ADDRESS(3,D5+1,4,,"["&amp;wew!$G$7&amp;"]"&amp;_sheetname_dataframe)&amp;":"&amp;ADDRESS(2+ster!$C$14,D5+1,4),"")</f>
        <v>'[dane surowe2d_2.xlsm]data_frame'!D3:D12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8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0</v>
      </c>
      <c r="V5" s="14">
        <f t="array" aca="1" ref="V5" ca="1">IF(H5,SUM((IFERROR(INDIRECT(Q5)="#ąś",TRUE))*(INDIRECT(ster!$D$14)&lt;&gt;"")),"")</f>
        <v>1</v>
      </c>
      <c r="W5" s="14">
        <f t="array" aca="1" ref="W5" ca="1">IF(H5,SUM(ISNUMBER(INDIRECT(Q5))*(INDIRECT(ster!$D$14)&lt;&gt;"")),"")</f>
        <v>8</v>
      </c>
      <c r="X5" s="14">
        <f t="array" aca="1" ref="X5" ca="1">IF(AND(H5,W5&gt;0),IF(wew!$B$3,MIN(IF((INDIRECT(ster!$D$14)&lt;&gt;"")*IFERROR(INDIRECT($Q5)&lt;&gt;"",FALSE),IFERROR(INDIRECT($Q5),"X"),"X")),"&lt;włącz podświetlanie wartości&gt;"),"—")</f>
        <v>1</v>
      </c>
      <c r="Y5" s="14">
        <f t="array" aca="1" ref="Y5" ca="1">IF(AND(H5,W5&gt;0),IF(wew!$B$3,MAX(IF((INDIRECT(ster!$D$14)&lt;&gt;"")*IFERROR(INDIRECT($Q5)&lt;&gt;"",FALSE),IFERROR(INDIRECT($Q5),"X"),"X")),"&lt;włącz podświetlanie wartości&gt;"),"—")</f>
        <v>4</v>
      </c>
      <c r="Z5" s="14">
        <f t="shared" ca="1" si="7"/>
        <v>0</v>
      </c>
      <c r="AA5" s="12">
        <f t="shared" ca="1" si="8"/>
        <v>1</v>
      </c>
      <c r="AB5" s="17">
        <f t="array" aca="1" ref="AB5" ca="1">IF(H5,IF(W5&gt;0,SUM((INDIRECT(ster!$D$14)&lt;&gt;"")*IFERROR((INDIRECT(Q5)&lt;&gt;"")*(INDIRECT(Q5)=INT(INDIRECT(Q5))),0)),0),"")</f>
        <v>8</v>
      </c>
      <c r="AC5" s="17">
        <f t="array" aca="1" ref="AC5" ca="1">IF(H5,W5-AB5,"")</f>
        <v>0</v>
      </c>
      <c r="AD5" s="17">
        <f t="shared" ca="1" si="46"/>
        <v>1</v>
      </c>
      <c r="AE5" s="17" t="b">
        <f t="shared" ca="1" si="9"/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ca="1" si="10"/>
        <v/>
      </c>
      <c r="AH5" s="17" t="b">
        <f t="shared" ca="1" si="11"/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ca="1" si="12"/>
        <v/>
      </c>
      <c r="AK5" s="17" t="b">
        <f t="shared" ca="1" si="13"/>
        <v>0</v>
      </c>
      <c r="AL5" s="17" t="b">
        <f t="shared" ca="1" si="47"/>
        <v>0</v>
      </c>
      <c r="AM5" s="17" t="b">
        <f t="shared" ca="1" si="48"/>
        <v>1</v>
      </c>
      <c r="AN5" s="17">
        <f t="shared" ca="1" si="14"/>
        <v>0</v>
      </c>
      <c r="AO5" s="24" t="str">
        <f t="shared" ca="1" si="15"/>
        <v/>
      </c>
      <c r="AP5" s="24" t="str">
        <f t="shared" ca="1" si="16"/>
        <v/>
      </c>
      <c r="AQ5" s="17" t="b">
        <f t="shared" ca="1" si="17"/>
        <v>0</v>
      </c>
      <c r="AR5" s="17" t="b">
        <f t="shared" ca="1" si="18"/>
        <v>0</v>
      </c>
      <c r="AS5" s="17" t="b">
        <f t="shared" ca="1" si="19"/>
        <v>0</v>
      </c>
      <c r="AT5" s="17" t="b">
        <f t="shared" ca="1" si="20"/>
        <v>0</v>
      </c>
      <c r="AU5" s="17" t="b">
        <f t="shared" ca="1" si="21"/>
        <v>1</v>
      </c>
      <c r="AV5" s="17" t="b">
        <f t="shared" ca="1" si="22"/>
        <v>0</v>
      </c>
      <c r="AW5" s="17" t="b">
        <f t="shared" ca="1" si="23"/>
        <v>1</v>
      </c>
      <c r="AX5" s="14" t="b">
        <f t="array" aca="1" ref="AX5" ca="1">IF(H5,N5&gt;0,"")</f>
        <v>0</v>
      </c>
      <c r="AY5" s="17" t="str">
        <f t="shared" ca="1" si="24"/>
        <v/>
      </c>
      <c r="AZ5" s="17" t="str">
        <f t="array" aca="1" ref="AZ5" ca="1">IF(AY5&lt;&gt;"",SUM(1*ISERROR(MATCH(INDIRECT(AY5),INDIRECT(K5),0)))=0,"")</f>
        <v/>
      </c>
      <c r="BA5" s="17" t="b">
        <f t="shared" ca="1" si="25"/>
        <v>0</v>
      </c>
      <c r="BB5" s="17" t="str">
        <f t="shared" ca="1" si="49"/>
        <v/>
      </c>
      <c r="BC5" s="17" t="str">
        <f t="shared" ca="1" si="26"/>
        <v/>
      </c>
      <c r="BD5" s="17" t="str">
        <f t="shared" ca="1" si="27"/>
        <v/>
      </c>
      <c r="BE5" s="17" t="str">
        <f t="shared" ca="1" si="50"/>
        <v/>
      </c>
      <c r="BF5" s="17" t="str">
        <f t="shared" ca="1" si="51"/>
        <v/>
      </c>
      <c r="BG5" s="17" t="str">
        <f t="shared" ca="1" si="52"/>
        <v/>
      </c>
      <c r="BH5" s="17" t="str">
        <f t="shared" ca="1" si="53"/>
        <v/>
      </c>
      <c r="BI5" s="17" t="str">
        <f t="shared" ca="1" si="54"/>
        <v/>
      </c>
      <c r="BJ5" s="17" t="b">
        <f t="shared" ca="1" si="55"/>
        <v>1</v>
      </c>
      <c r="BK5" s="17" t="b">
        <f t="shared" ca="1" si="28"/>
        <v>1</v>
      </c>
      <c r="BL5" s="17" t="b">
        <f t="shared" ca="1" si="29"/>
        <v>0</v>
      </c>
      <c r="BM5" s="17" t="str">
        <f t="shared" ca="1" si="30"/>
        <v>I</v>
      </c>
      <c r="BN5" s="17" t="str">
        <f t="shared" ca="1" si="31"/>
        <v>E</v>
      </c>
      <c r="BO5" s="17" t="str">
        <f t="shared" ca="1" si="32"/>
        <v>I</v>
      </c>
      <c r="BP5" s="14" t="b">
        <f t="shared" ca="1" si="33"/>
        <v>1</v>
      </c>
      <c r="BQ5" s="15">
        <v>1</v>
      </c>
      <c r="BR5" s="14"/>
      <c r="BS5" s="14">
        <v>23</v>
      </c>
      <c r="BU5" s="14" t="s">
        <v>388</v>
      </c>
      <c r="BX5" s="16"/>
      <c r="BY5" s="16"/>
      <c r="BZ5" s="16"/>
      <c r="CA5" s="16"/>
      <c r="CB5" s="16"/>
      <c r="CC5" s="16"/>
      <c r="CD5" s="16"/>
      <c r="CE5" s="16"/>
      <c r="CF5" s="16"/>
      <c r="CG5" s="14"/>
      <c r="CH5" s="14"/>
      <c r="CI5" s="14"/>
      <c r="CJ5" s="14"/>
      <c r="CK5" s="14"/>
      <c r="CL5" s="14"/>
      <c r="CM5" s="14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>LAB3</v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/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A5" s="14"/>
      <c r="DB5" s="14"/>
      <c r="DC5" s="14" t="str">
        <f ca="1">SUBSTITUTE(SUBSTITUTE(SUBSTITUTE(SUBSTITUTE(_xll.MCONCAT(DG5:DS5,"■"),"■■","■"),"■■","■"),"■■","■"),"■■","■")</f>
        <v>■There are errors in the entered values in the following cases: LAB3■</v>
      </c>
      <c r="DD5" s="14" t="str">
        <f t="shared" ca="1" si="56"/>
        <v>There are errors in the entered values in the following cases: LAB3■</v>
      </c>
      <c r="DE5" s="14" t="str">
        <f t="shared" ca="1" si="57"/>
        <v>There are errors in the entered values in the following cases: LAB3</v>
      </c>
      <c r="DF5" s="14" t="str">
        <f t="shared" ca="1" si="58"/>
        <v>There are errors in the entered values in the following cases: LAB3</v>
      </c>
      <c r="DG5" s="14" t="str">
        <f t="shared" ca="1" si="59"/>
        <v/>
      </c>
      <c r="DH5" s="14" t="str">
        <f t="shared" ca="1" si="60"/>
        <v/>
      </c>
      <c r="DI5" s="14" t="str">
        <f t="shared" ca="1" si="61"/>
        <v/>
      </c>
      <c r="DJ5" s="14" t="str">
        <f t="shared" ca="1" si="62"/>
        <v/>
      </c>
      <c r="DK5" s="14" t="str">
        <f t="shared" ca="1" si="63"/>
        <v/>
      </c>
      <c r="DL5" s="14" t="str">
        <f t="shared" ca="1" si="64"/>
        <v/>
      </c>
      <c r="DM5" s="14" t="str">
        <f t="shared" ca="1" si="65"/>
        <v/>
      </c>
      <c r="DN5" s="14" t="str">
        <f t="array" aca="1" ref="DN5" ca="1">IF(CU5&lt;&gt;"","There are errors in the entered values in the following cases: " &amp;SUBSTITUTE(CU5," ",", "),"")</f>
        <v>There are errors in the entered values in the following cases: LAB3</v>
      </c>
      <c r="DO5" s="14" t="str">
        <f t="shared" ca="1" si="66"/>
        <v/>
      </c>
      <c r="DP5" s="14" t="str">
        <f t="shared" ca="1" si="67"/>
        <v/>
      </c>
      <c r="DQ5" s="14" t="str">
        <f t="shared" ca="1" si="68"/>
        <v/>
      </c>
      <c r="DR5" s="14" t="str">
        <f t="shared" ca="1" si="34"/>
        <v/>
      </c>
      <c r="DS5" s="14" t="str">
        <f t="shared" ca="1" si="35"/>
        <v/>
      </c>
      <c r="DZ5" s="14" t="b">
        <f t="shared" ca="1" si="69"/>
        <v>0</v>
      </c>
      <c r="EA5" s="14" t="str">
        <f t="shared" ca="1" si="36"/>
        <v>Zmienna liczbowa bez braków (num2)</v>
      </c>
      <c r="EB5" s="14" t="str">
        <f t="shared" ca="1" si="70"/>
        <v xml:space="preserve">Values must be numeric. </v>
      </c>
      <c r="EC5" s="14" t="str">
        <f t="shared" ca="1" si="37"/>
        <v xml:space="preserve">Zmienna liczbowa bez braków (num2): Values must be numeric. </v>
      </c>
      <c r="ED5" s="14" t="str">
        <f t="shared" ca="1" si="38"/>
        <v/>
      </c>
      <c r="EE5" s="14" t="str">
        <f t="shared" ca="1" si="39"/>
        <v>Values must be numeric</v>
      </c>
      <c r="EF5" s="14" t="str">
        <f t="shared" ca="1" si="71"/>
        <v/>
      </c>
      <c r="EG5" s="14" t="str">
        <f t="shared" ca="1" si="72"/>
        <v/>
      </c>
      <c r="EM5" s="14" t="b">
        <f t="shared" ca="1" si="73"/>
        <v>1</v>
      </c>
      <c r="EN5" s="14">
        <f t="shared" ca="1" si="40"/>
        <v>3</v>
      </c>
      <c r="EO5" s="14" t="str">
        <f t="shared" ca="1" si="41"/>
        <v>num2</v>
      </c>
      <c r="EP5" s="14" t="str">
        <f t="shared" ca="1" si="74"/>
        <v xml:space="preserve">Zmienna liczbowa bez braków (num2): Values must be numeric. </v>
      </c>
      <c r="EQ5" s="14" t="str">
        <f t="shared" ca="1" si="75"/>
        <v>There are errors in the entered values in the following cases: LAB3</v>
      </c>
    </row>
    <row r="6" spans="1:147">
      <c r="B6" s="14" t="str">
        <f t="shared" ca="1" si="42"/>
        <v/>
      </c>
      <c r="C6" s="14">
        <f t="shared" ca="1" si="43"/>
        <v>4</v>
      </c>
      <c r="D6" s="14">
        <f t="shared" si="44"/>
        <v>4</v>
      </c>
      <c r="E6" s="14" t="str">
        <f t="shared" ca="1" si="0"/>
        <v/>
      </c>
      <c r="F6" s="14" t="str">
        <f t="shared" ca="1" si="1"/>
        <v/>
      </c>
      <c r="G6" s="14" t="str">
        <f t="shared" ca="1" si="2"/>
        <v/>
      </c>
      <c r="H6" s="14" t="b">
        <f t="shared" ca="1" si="3"/>
        <v>0</v>
      </c>
      <c r="I6" s="14" t="str">
        <f ca="1">IF($H6,ADDRESS(3,(D6+1)*2-1,4,,"["&amp;wew!$G$7&amp;"]"&amp;_sheetname_labels)&amp;":"&amp;ADDRESS(2+ster!$B$20,(D6+1)*2-1,4),"")</f>
        <v/>
      </c>
      <c r="J6" s="14" t="str">
        <f t="array" aca="1" ref="J6" ca="1">IF(H6,MAX(0,MAX(IF(INDIRECT(I6)&lt;&gt;"",ROW(INDIRECT(I6)),""))-2),"")</f>
        <v/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 t="str">
        <f t="shared" ca="1" si="45"/>
        <v/>
      </c>
      <c r="N6" s="14" t="str">
        <f t="shared" ca="1" si="4"/>
        <v/>
      </c>
      <c r="O6" s="14" t="str">
        <f t="shared" ca="1" si="5"/>
        <v/>
      </c>
      <c r="P6" s="14" t="str">
        <f t="shared" ca="1" si="6"/>
        <v/>
      </c>
      <c r="Q6" s="14" t="str">
        <f ca="1">IF($BP6,ADDRESS(3,D6+1,4,,"["&amp;wew!$G$7&amp;"]"&amp;_sheetname_dataframe)&amp;":"&amp;ADDRESS(2+ster!$C$14,D6+1,4),"")</f>
        <v/>
      </c>
      <c r="R6" s="14" t="str">
        <f ca="1">IF($BP6,IF(MID(_xll.FORMULATEXT(INDEX(INDIRECT(Q6),1)),1,1)="=", _xll.FORMULATEXT(INDEX(INDIRECT(Q6),1),2,TRUE),""),"")</f>
        <v/>
      </c>
      <c r="S6" s="14" t="str">
        <f t="array" aca="1" ref="S6" ca="1">IF(H6,SUM(IF((IFERROR(INDIRECT(Q6)&lt;&gt;"",FALSE))*(INDIRECT(ster!$D$14)&lt;&gt;""),1,0)),"")</f>
        <v/>
      </c>
      <c r="T6" s="14" t="str">
        <f t="array" aca="1" ref="T6" ca="1">IF(H6,IF(M6&gt;0,SUM(IFERROR(1*(MATCH(INDIRECT(Q6),INDIRECT(K6),0)&gt;0),0)*(INDIRECT(ster!$D$14)&lt;&gt;"")*NOT(ISNUMBER(INDIRECT(Q6)))),0),"")</f>
        <v/>
      </c>
      <c r="U6" s="14" t="str">
        <f t="array" aca="1" ref="U6" ca="1">IF(H6,SUM((IFERROR(INDIRECT(Q6)="",FALSE))*(INDIRECT(ster!$D$14)&lt;&gt;"")),"")</f>
        <v/>
      </c>
      <c r="V6" s="14" t="str">
        <f t="array" aca="1" ref="V6" ca="1">IF(H6,SUM((IFERROR(INDIRECT(Q6)="#ąś",TRUE))*(INDIRECT(ster!$D$14)&lt;&gt;"")),"")</f>
        <v/>
      </c>
      <c r="W6" s="14" t="str">
        <f t="array" aca="1" ref="W6" ca="1">IF(H6,SUM(ISNUMBER(INDIRECT(Q6))*(INDIRECT(ster!$D$14)&lt;&gt;"")),"")</f>
        <v/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 t="str">
        <f t="shared" ca="1" si="7"/>
        <v/>
      </c>
      <c r="AA6" s="12" t="str">
        <f t="shared" ca="1" si="8"/>
        <v/>
      </c>
      <c r="AB6" s="17" t="str">
        <f t="array" aca="1" ref="AB6" ca="1">IF(H6,IF(W6&gt;0,SUM((INDIRECT(ster!$D$14)&lt;&gt;"")*IFERROR((INDIRECT(Q6)&lt;&gt;"")*(INDIRECT(Q6)=INT(INDIRECT(Q6))),0)),0),"")</f>
        <v/>
      </c>
      <c r="AC6" s="17" t="str">
        <f t="array" aca="1" ref="AC6" ca="1">IF(H6,W6-AB6,"")</f>
        <v/>
      </c>
      <c r="AD6" s="17" t="str">
        <f t="shared" ca="1" si="46"/>
        <v/>
      </c>
      <c r="AE6" s="17" t="b">
        <f t="shared" ca="1" si="9"/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ca="1" si="10"/>
        <v/>
      </c>
      <c r="AH6" s="17" t="b">
        <f t="shared" ca="1" si="11"/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ca="1" si="12"/>
        <v/>
      </c>
      <c r="AK6" s="17" t="str">
        <f t="shared" ca="1" si="13"/>
        <v/>
      </c>
      <c r="AL6" s="17" t="str">
        <f t="shared" ca="1" si="47"/>
        <v/>
      </c>
      <c r="AM6" s="17" t="str">
        <f t="shared" ca="1" si="48"/>
        <v/>
      </c>
      <c r="AN6" s="17">
        <f t="shared" ca="1" si="14"/>
        <v>2</v>
      </c>
      <c r="AO6" s="24" t="str">
        <f t="shared" ca="1" si="15"/>
        <v/>
      </c>
      <c r="AP6" s="24" t="str">
        <f t="shared" ca="1" si="16"/>
        <v/>
      </c>
      <c r="AQ6" s="17" t="str">
        <f t="shared" ca="1" si="17"/>
        <v/>
      </c>
      <c r="AR6" s="17" t="str">
        <f t="shared" ca="1" si="18"/>
        <v/>
      </c>
      <c r="AS6" s="17" t="str">
        <f t="shared" ca="1" si="19"/>
        <v/>
      </c>
      <c r="AT6" s="17" t="str">
        <f t="shared" ca="1" si="20"/>
        <v/>
      </c>
      <c r="AU6" s="17" t="str">
        <f t="shared" ca="1" si="21"/>
        <v/>
      </c>
      <c r="AV6" s="17" t="str">
        <f t="shared" ca="1" si="22"/>
        <v/>
      </c>
      <c r="AW6" s="17" t="str">
        <f t="shared" ca="1" si="23"/>
        <v/>
      </c>
      <c r="AX6" s="14" t="str">
        <f t="array" aca="1" ref="AX6" ca="1">IF(H6,N6&gt;0,"")</f>
        <v/>
      </c>
      <c r="AY6" s="17" t="str">
        <f t="shared" ca="1" si="24"/>
        <v/>
      </c>
      <c r="AZ6" s="17" t="str">
        <f t="array" aca="1" ref="AZ6" ca="1">IF(AY6&lt;&gt;"",SUM(1*ISERROR(MATCH(INDIRECT(AY6),INDIRECT(K6),0)))=0,"")</f>
        <v/>
      </c>
      <c r="BA6" s="17" t="b">
        <f t="shared" ca="1" si="25"/>
        <v>0</v>
      </c>
      <c r="BB6" s="17" t="str">
        <f t="shared" ca="1" si="49"/>
        <v/>
      </c>
      <c r="BC6" s="17" t="str">
        <f t="shared" ca="1" si="26"/>
        <v/>
      </c>
      <c r="BD6" s="17" t="str">
        <f t="shared" ca="1" si="27"/>
        <v/>
      </c>
      <c r="BE6" s="17" t="str">
        <f t="shared" ca="1" si="50"/>
        <v/>
      </c>
      <c r="BF6" s="17" t="str">
        <f t="shared" ca="1" si="51"/>
        <v/>
      </c>
      <c r="BG6" s="17" t="str">
        <f t="shared" ca="1" si="52"/>
        <v/>
      </c>
      <c r="BH6" s="17" t="str">
        <f t="shared" ca="1" si="53"/>
        <v/>
      </c>
      <c r="BI6" s="17" t="str">
        <f t="shared" ca="1" si="54"/>
        <v/>
      </c>
      <c r="BJ6" s="17" t="b">
        <f t="shared" ca="1" si="55"/>
        <v>0</v>
      </c>
      <c r="BK6" s="17" t="str">
        <f t="shared" ca="1" si="28"/>
        <v/>
      </c>
      <c r="BL6" s="17" t="str">
        <f t="shared" ca="1" si="29"/>
        <v/>
      </c>
      <c r="BM6" s="17" t="str">
        <f t="shared" ca="1" si="30"/>
        <v/>
      </c>
      <c r="BN6" s="17" t="str">
        <f t="shared" ca="1" si="31"/>
        <v/>
      </c>
      <c r="BO6" s="17" t="str">
        <f t="shared" ca="1" si="32"/>
        <v/>
      </c>
      <c r="BP6" s="14" t="b">
        <f t="shared" ca="1" si="33"/>
        <v>0</v>
      </c>
      <c r="BQ6" s="15" t="s">
        <v>512</v>
      </c>
      <c r="BR6" s="14"/>
      <c r="BS6" s="14"/>
      <c r="BX6" s="16"/>
      <c r="BY6" s="16"/>
      <c r="BZ6" s="16"/>
      <c r="CA6" s="16"/>
      <c r="CB6" s="16"/>
      <c r="CC6" s="16"/>
      <c r="CD6" s="16"/>
      <c r="CE6" s="16"/>
      <c r="CF6" s="16"/>
      <c r="CG6" s="14"/>
      <c r="CH6" s="14"/>
      <c r="CI6" s="14"/>
      <c r="CJ6" s="14"/>
      <c r="CK6" s="14"/>
      <c r="CL6" s="14"/>
      <c r="CM6" s="14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/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A6" s="14"/>
      <c r="DB6" s="14"/>
      <c r="DC6" s="14" t="str">
        <f ca="1">SUBSTITUTE(SUBSTITUTE(SUBSTITUTE(SUBSTITUTE(_xll.MCONCAT(DG6:DS6,"■"),"■■","■"),"■■","■"),"■■","■"),"■■","■")</f>
        <v>■</v>
      </c>
      <c r="DD6" s="14" t="str">
        <f t="shared" ca="1" si="56"/>
        <v/>
      </c>
      <c r="DE6" s="14" t="str">
        <f t="shared" ca="1" si="57"/>
        <v/>
      </c>
      <c r="DF6" s="14" t="str">
        <f t="shared" ca="1" si="58"/>
        <v/>
      </c>
      <c r="DG6" s="14" t="str">
        <f t="shared" ca="1" si="59"/>
        <v/>
      </c>
      <c r="DH6" s="14" t="str">
        <f t="shared" ca="1" si="60"/>
        <v/>
      </c>
      <c r="DI6" s="14" t="str">
        <f t="shared" ca="1" si="61"/>
        <v/>
      </c>
      <c r="DJ6" s="14" t="str">
        <f t="shared" ca="1" si="62"/>
        <v/>
      </c>
      <c r="DK6" s="14" t="str">
        <f t="shared" ca="1" si="63"/>
        <v/>
      </c>
      <c r="DL6" s="14" t="str">
        <f t="shared" ca="1" si="64"/>
        <v/>
      </c>
      <c r="DM6" s="14" t="str">
        <f t="shared" ca="1" si="65"/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ca="1" si="66"/>
        <v/>
      </c>
      <c r="DP6" s="14" t="str">
        <f t="shared" ca="1" si="67"/>
        <v/>
      </c>
      <c r="DQ6" s="14" t="str">
        <f t="shared" ca="1" si="68"/>
        <v/>
      </c>
      <c r="DR6" s="14" t="str">
        <f t="shared" ca="1" si="34"/>
        <v/>
      </c>
      <c r="DS6" s="14" t="str">
        <f t="shared" ca="1" si="35"/>
        <v/>
      </c>
      <c r="DZ6" s="14" t="b">
        <f t="shared" ca="1" si="69"/>
        <v>0</v>
      </c>
      <c r="EA6" s="14" t="str">
        <f t="shared" ca="1" si="36"/>
        <v/>
      </c>
      <c r="EB6" s="14" t="str">
        <f t="shared" ca="1" si="70"/>
        <v/>
      </c>
      <c r="EC6" s="14" t="str">
        <f t="shared" ca="1" si="37"/>
        <v/>
      </c>
      <c r="ED6" s="14" t="str">
        <f t="shared" ca="1" si="38"/>
        <v/>
      </c>
      <c r="EE6" s="14" t="str">
        <f t="shared" ca="1" si="39"/>
        <v/>
      </c>
      <c r="EF6" s="14" t="str">
        <f t="shared" ca="1" si="71"/>
        <v/>
      </c>
      <c r="EG6" s="14" t="str">
        <f t="shared" ca="1" si="72"/>
        <v/>
      </c>
      <c r="EM6" s="14" t="b">
        <f t="shared" ca="1" si="73"/>
        <v>0</v>
      </c>
      <c r="EN6" s="14" t="str">
        <f t="shared" ca="1" si="40"/>
        <v/>
      </c>
      <c r="EO6" s="14" t="str">
        <f t="shared" ca="1" si="41"/>
        <v/>
      </c>
      <c r="EP6" s="14" t="str">
        <f t="shared" ca="1" si="74"/>
        <v/>
      </c>
      <c r="EQ6" s="14" t="str">
        <f t="shared" ca="1" si="75"/>
        <v/>
      </c>
    </row>
    <row r="7" spans="1:147">
      <c r="B7" s="14" t="str">
        <f t="shared" ca="1" si="42"/>
        <v>There are errors in the entered values in the following cases: LAB3</v>
      </c>
      <c r="C7" s="14">
        <f t="shared" ca="1" si="43"/>
        <v>4</v>
      </c>
      <c r="D7" s="14">
        <f t="shared" si="44"/>
        <v>5</v>
      </c>
      <c r="E7" s="14" t="str">
        <f t="shared" ca="1" si="0"/>
        <v>N</v>
      </c>
      <c r="F7" s="14" t="str">
        <f t="shared" ca="1" si="1"/>
        <v>fac1</v>
      </c>
      <c r="G7" s="14" t="str">
        <f t="shared" ca="1" si="2"/>
        <v>Faktor z brakami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'[dane surowe2d_2.xlsm]labels'!K3:K36</v>
      </c>
      <c r="J7" s="14">
        <f t="array" aca="1" ref="J7" ca="1">IF(H7,MAX(0,MAX(IF(INDIRECT(I7)&lt;&gt;"",ROW(INDIRECT(I7)),""))-2),"")</f>
        <v>6</v>
      </c>
      <c r="K7" s="14" t="str">
        <f ca="1">IF($H7,IF($J7&gt;0,ADDRESS(3,(D7+1)*2-1,4,,"["&amp;wew!$G$7&amp;"]"&amp;_sheetname_labels)&amp;":"&amp;ADDRESS(2+J7,(D7+1)*2-1,4),""),"")</f>
        <v>'[dane surowe2d_2.xlsm]labels'!K3:K8</v>
      </c>
      <c r="L7" s="14" t="str">
        <f ca="1">IF($H7,IF($J7&gt;0,ADDRESS(3,(D7+1)*2,4,,"["&amp;wew!$G$7&amp;"]"&amp;_sheetname_labels)&amp;":"&amp;ADDRESS(2+J7,(D7+1)*2,4),""),"")</f>
        <v>'[dane surowe2d_2.xlsm]labels'!L3:L8</v>
      </c>
      <c r="M7" s="14">
        <f t="shared" ca="1" si="45"/>
        <v>2</v>
      </c>
      <c r="N7" s="14">
        <f t="shared" ca="1" si="4"/>
        <v>4</v>
      </c>
      <c r="O7" s="14" t="str">
        <f t="shared" ca="1" si="5"/>
        <v>fac1</v>
      </c>
      <c r="P7" s="14" t="str">
        <f t="shared" ca="1" si="6"/>
        <v>Faktor z brakami</v>
      </c>
      <c r="Q7" s="14" t="str">
        <f ca="1">IF($BP7,ADDRESS(3,D7+1,4,,"["&amp;wew!$G$7&amp;"]"&amp;_sheetname_dataframe)&amp;":"&amp;ADDRESS(2+ster!$C$14,D7+1,4),"")</f>
        <v>'[dane surowe2d_2.xlsm]data_frame'!F3:F12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7</v>
      </c>
      <c r="T7" s="14">
        <f t="array" aca="1" ref="T7" ca="1">IF(H7,IF(M7&gt;0,SUM(IFERROR(1*(MATCH(INDIRECT(Q7),INDIRECT(K7),0)&gt;0),0)*(INDIRECT(ster!$D$14)&lt;&gt;"")*NOT(ISNUMBER(INDIRECT(Q7)))),0),"")</f>
        <v>1</v>
      </c>
      <c r="U7" s="14">
        <f t="array" aca="1" ref="U7" ca="1">IF(H7,SUM((IFERROR(INDIRECT(Q7)="",FALSE))*(INDIRECT(ster!$D$14)&lt;&gt;"")),"")</f>
        <v>1</v>
      </c>
      <c r="V7" s="14">
        <f t="array" aca="1" ref="V7" ca="1">IF(H7,SUM((IFERROR(INDIRECT(Q7)="#ąś",TRUE))*(INDIRECT(ster!$D$14)&lt;&gt;"")),"")</f>
        <v>1</v>
      </c>
      <c r="W7" s="14">
        <f t="array" aca="1" ref="W7" ca="1">IF(H7,SUM(ISNUMBER(INDIRECT(Q7))*(INDIRECT(ster!$D$14)&lt;&gt;"")),"")</f>
        <v>6</v>
      </c>
      <c r="X7" s="14">
        <f t="array" aca="1" ref="X7" ca="1">IF(AND(H7,W7&gt;0),IF(wew!$B$3,MIN(IF((INDIRECT(ster!$D$14)&lt;&gt;"")*IFERROR(INDIRECT($Q7)&lt;&gt;"",FALSE),IFERROR(INDIRECT($Q7),"X"),"X")),"&lt;włącz podświetlanie wartości&gt;"),"—")</f>
        <v>1</v>
      </c>
      <c r="Y7" s="14">
        <f t="array" aca="1" ref="Y7" ca="1">IF(AND(H7,W7&gt;0),IF(wew!$B$3,MAX(IF((INDIRECT(ster!$D$14)&lt;&gt;"")*IFERROR(INDIRECT($Q7)&lt;&gt;"",FALSE),IFERROR(INDIRECT($Q7),"X"),"X")),"&lt;włącz podświetlanie wartości&gt;"),"—")</f>
        <v>4</v>
      </c>
      <c r="Z7" s="14">
        <f t="shared" ca="1" si="7"/>
        <v>0</v>
      </c>
      <c r="AA7" s="12">
        <f t="shared" ca="1" si="8"/>
        <v>0.8571428571428571</v>
      </c>
      <c r="AB7" s="17">
        <f t="array" aca="1" ref="AB7" ca="1">IF(H7,IF(W7&gt;0,SUM((INDIRECT(ster!$D$14)&lt;&gt;"")*IFERROR((INDIRECT(Q7)&lt;&gt;"")*(INDIRECT(Q7)=INT(INDIRECT(Q7))),0)),0),"")</f>
        <v>6</v>
      </c>
      <c r="AC7" s="17">
        <f t="array" aca="1" ref="AC7" ca="1">IF(H7,W7-AB7,"")</f>
        <v>0</v>
      </c>
      <c r="AD7" s="17">
        <f t="shared" ca="1" si="46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7"/>
        <v>1</v>
      </c>
      <c r="AM7" s="17" t="b">
        <f t="shared" ca="1" si="48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17"/>
        <v>0</v>
      </c>
      <c r="AR7" s="17" t="b">
        <f t="shared" ca="1" si="18"/>
        <v>1</v>
      </c>
      <c r="AS7" s="17" t="b">
        <f t="shared" ca="1" si="19"/>
        <v>0</v>
      </c>
      <c r="AT7" s="17" t="b">
        <f t="shared" ca="1" si="20"/>
        <v>0</v>
      </c>
      <c r="AU7" s="17" t="b">
        <f t="shared" ca="1" si="21"/>
        <v>1</v>
      </c>
      <c r="AV7" s="17" t="b">
        <f t="shared" ca="1" si="22"/>
        <v>0</v>
      </c>
      <c r="AW7" s="17" t="b">
        <f t="shared" ca="1" si="23"/>
        <v>1</v>
      </c>
      <c r="AX7" s="14" t="b">
        <f t="array" aca="1" ref="AX7" ca="1">IF(H7,N7&gt;0,"")</f>
        <v>1</v>
      </c>
      <c r="AY7" s="17" t="str">
        <f t="shared" ca="1" si="24"/>
        <v>C3:C6</v>
      </c>
      <c r="AZ7" s="17" t="b">
        <f t="array" aca="1" ref="AZ7" ca="1">IF(AY7&lt;&gt;"",SUM(1*ISERROR(MATCH(INDIRECT(AY7),INDIRECT(K7),0)))=0,"")</f>
        <v>1</v>
      </c>
      <c r="BA7" s="17" t="b">
        <f t="shared" ca="1" si="25"/>
        <v>1</v>
      </c>
      <c r="BB7" s="17" t="b">
        <f t="shared" ca="1" si="49"/>
        <v>0</v>
      </c>
      <c r="BC7" s="17" t="b">
        <f t="shared" ca="1" si="26"/>
        <v>1</v>
      </c>
      <c r="BD7" s="17" t="b">
        <f t="shared" ca="1" si="27"/>
        <v>0</v>
      </c>
      <c r="BE7" s="17" t="b">
        <f t="shared" ca="1" si="50"/>
        <v>0</v>
      </c>
      <c r="BF7" s="17" t="b">
        <f t="shared" ca="1" si="51"/>
        <v>0</v>
      </c>
      <c r="BG7" s="17" t="b">
        <f t="shared" ca="1" si="52"/>
        <v>0</v>
      </c>
      <c r="BH7" s="17" t="b">
        <f t="shared" ca="1" si="53"/>
        <v>1</v>
      </c>
      <c r="BI7" s="17">
        <f t="shared" ca="1" si="54"/>
        <v>2</v>
      </c>
      <c r="BJ7" s="17" t="b">
        <f t="shared" ca="1" si="55"/>
        <v>1</v>
      </c>
      <c r="BK7" s="17" t="str">
        <f t="shared" ca="1" si="28"/>
        <v/>
      </c>
      <c r="BL7" s="17" t="str">
        <f t="shared" ca="1" si="29"/>
        <v/>
      </c>
      <c r="BM7" s="17" t="str">
        <f t="shared" ca="1" si="30"/>
        <v>F</v>
      </c>
      <c r="BN7" s="17" t="str">
        <f t="shared" ca="1" si="31"/>
        <v>E</v>
      </c>
      <c r="BO7" s="17" t="str">
        <f t="shared" ca="1" si="32"/>
        <v>O</v>
      </c>
      <c r="BP7" s="14" t="b">
        <f t="shared" ca="1" si="33"/>
        <v>1</v>
      </c>
      <c r="BQ7" s="15">
        <v>1</v>
      </c>
      <c r="BR7" s="14"/>
      <c r="BS7" s="14" t="s">
        <v>527</v>
      </c>
      <c r="BV7" s="14">
        <v>1</v>
      </c>
      <c r="BX7" s="16"/>
      <c r="BY7" s="34"/>
      <c r="BZ7" s="34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>LAB3</v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■There are errors in the entered values in the following cases: LAB3■</v>
      </c>
      <c r="DD7" s="14" t="str">
        <f t="shared" ca="1" si="56"/>
        <v>There are errors in the entered values in the following cases: LAB3■</v>
      </c>
      <c r="DE7" s="14" t="str">
        <f t="shared" ca="1" si="57"/>
        <v>There are errors in the entered values in the following cases: LAB3</v>
      </c>
      <c r="DF7" s="14" t="str">
        <f t="shared" ca="1" si="58"/>
        <v>There are errors in the entered values in the following cases: LAB3</v>
      </c>
      <c r="DG7" s="14" t="str">
        <f t="shared" ca="1" si="59"/>
        <v/>
      </c>
      <c r="DH7" s="14" t="str">
        <f t="shared" ca="1" si="60"/>
        <v/>
      </c>
      <c r="DI7" s="14" t="str">
        <f t="shared" ca="1" si="61"/>
        <v/>
      </c>
      <c r="DJ7" s="14" t="str">
        <f t="shared" ca="1" si="62"/>
        <v/>
      </c>
      <c r="DK7" s="14" t="str">
        <f t="shared" ca="1" si="63"/>
        <v/>
      </c>
      <c r="DL7" s="14" t="str">
        <f t="shared" ca="1" si="64"/>
        <v/>
      </c>
      <c r="DM7" s="14" t="str">
        <f t="shared" ca="1" si="65"/>
        <v/>
      </c>
      <c r="DN7" s="14" t="str">
        <f t="array" aca="1" ref="DN7" ca="1">IF(CU7&lt;&gt;"","There are errors in the entered values in the following cases: " &amp;SUBSTITUTE(CU7," ",", "),"")</f>
        <v>There are errors in the entered values in the following cases: LAB3</v>
      </c>
      <c r="DO7" s="14" t="str">
        <f t="shared" ca="1" si="66"/>
        <v/>
      </c>
      <c r="DP7" s="14" t="str">
        <f t="shared" ca="1" si="67"/>
        <v/>
      </c>
      <c r="DQ7" s="14" t="str">
        <f t="shared" ca="1" si="68"/>
        <v/>
      </c>
      <c r="DR7" s="14" t="str">
        <f t="shared" ca="1" si="34"/>
        <v/>
      </c>
      <c r="DS7" s="14" t="str">
        <f t="shared" ca="1" si="35"/>
        <v/>
      </c>
      <c r="DZ7" s="14" t="b">
        <f t="shared" ca="1" si="69"/>
        <v>0</v>
      </c>
      <c r="EA7" s="14" t="str">
        <f t="shared" ca="1" si="36"/>
        <v>Faktor z brakami (fac1)</v>
      </c>
      <c r="EB7" s="14" t="str">
        <f t="shared" ca="1" si="70"/>
        <v xml:space="preserve">Values must be limited to predefinied list. </v>
      </c>
      <c r="EC7" s="14" t="str">
        <f t="shared" ca="1" si="37"/>
        <v xml:space="preserve">Faktor z brakami (fac1): Values must be limited to predefinied list. </v>
      </c>
      <c r="ED7" s="14" t="str">
        <f t="shared" ca="1" si="38"/>
        <v/>
      </c>
      <c r="EE7" s="14" t="str">
        <f t="shared" ca="1" si="39"/>
        <v>Values must be limited to predefinied list</v>
      </c>
      <c r="EF7" s="14" t="str">
        <f t="shared" ca="1" si="71"/>
        <v/>
      </c>
      <c r="EG7" s="14" t="str">
        <f t="shared" ca="1" si="72"/>
        <v/>
      </c>
      <c r="EM7" s="14" t="b">
        <f t="shared" ca="1" si="73"/>
        <v>1</v>
      </c>
      <c r="EN7" s="14">
        <f t="shared" ca="1" si="40"/>
        <v>4</v>
      </c>
      <c r="EO7" s="14" t="str">
        <f t="shared" ca="1" si="41"/>
        <v>fac1</v>
      </c>
      <c r="EP7" s="14" t="str">
        <f t="shared" ca="1" si="74"/>
        <v xml:space="preserve">Faktor z brakami (fac1): Values must be limited to predefinied list. </v>
      </c>
      <c r="EQ7" s="14" t="str">
        <f t="shared" ca="1" si="75"/>
        <v>There are errors in the entered values in the following cases: LAB3</v>
      </c>
    </row>
    <row r="8" spans="1:147">
      <c r="B8" s="14" t="str">
        <f t="shared" ca="1" si="42"/>
        <v>There are errors in the entered values in the following cases: LAB3. The following cases are non-numeric: VIE1: NF</v>
      </c>
      <c r="C8" s="14">
        <f t="shared" ca="1" si="43"/>
        <v>5</v>
      </c>
      <c r="D8" s="14">
        <f t="shared" si="44"/>
        <v>6</v>
      </c>
      <c r="E8" s="14" t="str">
        <f t="shared" ca="1" si="0"/>
        <v>S</v>
      </c>
      <c r="F8" s="14" t="str">
        <f t="shared" ca="1" si="1"/>
        <v>fac2</v>
      </c>
      <c r="G8" s="14" t="str">
        <f t="shared" ca="1" si="2"/>
        <v>Zmienna chyba numeric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'[dane surowe2d_2.xlsm]labels'!M3:M36</v>
      </c>
      <c r="J8" s="14">
        <f t="array" aca="1" ref="J8" ca="1">IF(H8,MAX(0,MAX(IF(INDIRECT(I8)&lt;&gt;"",ROW(INDIRECT(I8)),""))-2),"")</f>
        <v>0</v>
      </c>
      <c r="K8" s="14" t="str">
        <f ca="1">IF($H8,IF($J8&gt;0,ADDRESS(3,(D8+1)*2-1,4,,"["&amp;wew!$G$7&amp;"]"&amp;_sheetname_labels)&amp;":"&amp;ADDRESS(2+J8,(D8+1)*2-1,4),""),"")</f>
        <v/>
      </c>
      <c r="L8" s="14" t="str">
        <f ca="1">IF($H8,IF($J8&gt;0,ADDRESS(3,(D8+1)*2,4,,"["&amp;wew!$G$7&amp;"]"&amp;_sheetname_labels)&amp;":"&amp;ADDRESS(2+J8,(D8+1)*2,4),""),"")</f>
        <v/>
      </c>
      <c r="M8" s="14">
        <f t="shared" ca="1" si="45"/>
        <v>0</v>
      </c>
      <c r="N8" s="14">
        <f t="shared" ca="1" si="4"/>
        <v>0</v>
      </c>
      <c r="O8" s="14" t="str">
        <f t="shared" ca="1" si="5"/>
        <v>fac2</v>
      </c>
      <c r="P8" s="14" t="str">
        <f t="shared" ca="1" si="6"/>
        <v>Zmienna chyba numeric</v>
      </c>
      <c r="Q8" s="14" t="str">
        <f ca="1">IF($BP8,ADDRESS(3,D8+1,4,,"["&amp;wew!$G$7&amp;"]"&amp;_sheetname_dataframe)&amp;":"&amp;ADDRESS(2+ster!$C$14,D8+1,4),"")</f>
        <v>'[dane surowe2d_2.xlsm]data_frame'!G3:G12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7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1</v>
      </c>
      <c r="W8" s="14">
        <f t="array" aca="1" ref="W8" ca="1">IF(H8,SUM(ISNUMBER(INDIRECT(Q8))*(INDIRECT(ster!$D$14)&lt;&gt;"")),"")</f>
        <v>6</v>
      </c>
      <c r="X8" s="14">
        <f t="array" aca="1" ref="X8" ca="1">IF(AND(H8,W8&gt;0),IF(wew!$B$3,MIN(IF((INDIRECT(ster!$D$14)&lt;&gt;"")*IFERROR(INDIRECT($Q8)&lt;&gt;"",FALSE),IFERROR(INDIRECT($Q8),"X"),"X")),"&lt;włącz podświetlanie wartości&gt;"),"—")</f>
        <v>1</v>
      </c>
      <c r="Y8" s="14">
        <f t="array" aca="1" ref="Y8" ca="1">IF(AND(H8,W8&gt;0),IF(wew!$B$3,MAX(IF((INDIRECT(ster!$D$14)&lt;&gt;"")*IFERROR(INDIRECT($Q8)&lt;&gt;"",FALSE),IFERROR(INDIRECT($Q8),"X"),"X")),"&lt;włącz podświetlanie wartości&gt;"),"—")</f>
        <v>4</v>
      </c>
      <c r="Z8" s="14">
        <f t="shared" ca="1" si="7"/>
        <v>1</v>
      </c>
      <c r="AA8" s="12">
        <f t="shared" ca="1" si="8"/>
        <v>0.8571428571428571</v>
      </c>
      <c r="AB8" s="17">
        <f t="array" aca="1" ref="AB8" ca="1">IF(H8,IF(W8&gt;0,SUM((INDIRECT(ster!$D$14)&lt;&gt;"")*IFERROR((INDIRECT(Q8)&lt;&gt;"")*(INDIRECT(Q8)=INT(INDIRECT(Q8))),0)),0),"")</f>
        <v>6</v>
      </c>
      <c r="AC8" s="17">
        <f t="array" aca="1" ref="AC8" ca="1">IF(H8,W8-AB8,"")</f>
        <v>0</v>
      </c>
      <c r="AD8" s="17">
        <f t="shared" ca="1" si="46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7"/>
        <v>0</v>
      </c>
      <c r="AM8" s="17" t="b">
        <f t="shared" ca="1" si="48"/>
        <v>1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17"/>
        <v>0</v>
      </c>
      <c r="AR8" s="17" t="b">
        <f t="shared" ca="1" si="18"/>
        <v>0</v>
      </c>
      <c r="AS8" s="17" t="b">
        <f t="shared" ca="1" si="19"/>
        <v>0</v>
      </c>
      <c r="AT8" s="17" t="b">
        <f t="shared" ca="1" si="20"/>
        <v>0</v>
      </c>
      <c r="AU8" s="17" t="b">
        <f t="shared" ca="1" si="21"/>
        <v>1</v>
      </c>
      <c r="AV8" s="17" t="b">
        <f t="shared" ca="1" si="22"/>
        <v>0</v>
      </c>
      <c r="AW8" s="17" t="b">
        <f t="shared" ca="1" si="23"/>
        <v>0</v>
      </c>
      <c r="AX8" s="14" t="b">
        <f t="array" aca="1" ref="AX8" ca="1">IF(H8,N8&gt;0,"")</f>
        <v>0</v>
      </c>
      <c r="AY8" s="17" t="str">
        <f t="shared" ca="1" si="24"/>
        <v/>
      </c>
      <c r="AZ8" s="17" t="str">
        <f t="array" aca="1" ref="AZ8" ca="1">IF(AY8&lt;&gt;"",SUM(1*ISERROR(MATCH(INDIRECT(AY8),INDIRECT(K8),0)))=0,"")</f>
        <v/>
      </c>
      <c r="BA8" s="17" t="b">
        <f t="shared" ca="1" si="25"/>
        <v>0</v>
      </c>
      <c r="BB8" s="17" t="str">
        <f t="shared" ca="1" si="49"/>
        <v/>
      </c>
      <c r="BC8" s="17" t="str">
        <f t="shared" ca="1" si="26"/>
        <v/>
      </c>
      <c r="BD8" s="17" t="str">
        <f t="shared" ca="1" si="27"/>
        <v/>
      </c>
      <c r="BE8" s="17" t="str">
        <f t="shared" ca="1" si="50"/>
        <v/>
      </c>
      <c r="BF8" s="17" t="str">
        <f t="shared" ca="1" si="51"/>
        <v/>
      </c>
      <c r="BG8" s="17" t="str">
        <f t="shared" ca="1" si="52"/>
        <v/>
      </c>
      <c r="BH8" s="17" t="str">
        <f t="shared" ca="1" si="53"/>
        <v/>
      </c>
      <c r="BI8" s="17" t="str">
        <f t="shared" ca="1" si="54"/>
        <v/>
      </c>
      <c r="BJ8" s="17" t="b">
        <f t="shared" ca="1" si="55"/>
        <v>1</v>
      </c>
      <c r="BK8" s="17" t="b">
        <f t="shared" ca="1" si="28"/>
        <v>1</v>
      </c>
      <c r="BL8" s="17" t="b">
        <f t="shared" ca="1" si="29"/>
        <v>0</v>
      </c>
      <c r="BM8" s="17" t="str">
        <f t="shared" ca="1" si="30"/>
        <v>I</v>
      </c>
      <c r="BN8" s="17" t="str">
        <f t="shared" ca="1" si="31"/>
        <v>E</v>
      </c>
      <c r="BO8" s="17" t="str">
        <f t="shared" ca="1" si="32"/>
        <v>I</v>
      </c>
      <c r="BP8" s="14" t="b">
        <f t="shared" ca="1" si="33"/>
        <v>1</v>
      </c>
      <c r="BQ8" s="15">
        <v>1</v>
      </c>
      <c r="BR8" s="14"/>
      <c r="BS8" s="14" t="s">
        <v>528</v>
      </c>
      <c r="BU8" s="14" t="s">
        <v>388</v>
      </c>
      <c r="BX8" s="16"/>
      <c r="BY8" s="34"/>
      <c r="BZ8" s="34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>LAB3</v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>VIE1: NF</v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■There are errors in the entered values in the following cases: LAB3■The following cases are non-numeric: VIE1: NF■</v>
      </c>
      <c r="DD8" s="14" t="str">
        <f t="shared" ca="1" si="56"/>
        <v>There are errors in the entered values in the following cases: LAB3■The following cases are non-numeric: VIE1: NF■</v>
      </c>
      <c r="DE8" s="14" t="str">
        <f t="shared" ca="1" si="57"/>
        <v>There are errors in the entered values in the following cases: LAB3■The following cases are non-numeric: VIE1: NF</v>
      </c>
      <c r="DF8" s="14" t="str">
        <f t="shared" ca="1" si="58"/>
        <v>There are errors in the entered values in the following cases: LAB3. The following cases are non-numeric: VIE1: NF</v>
      </c>
      <c r="DG8" s="14" t="str">
        <f t="shared" ca="1" si="59"/>
        <v/>
      </c>
      <c r="DH8" s="14" t="str">
        <f t="shared" ca="1" si="60"/>
        <v/>
      </c>
      <c r="DI8" s="14" t="str">
        <f t="shared" ca="1" si="61"/>
        <v/>
      </c>
      <c r="DJ8" s="14" t="str">
        <f t="shared" ca="1" si="62"/>
        <v/>
      </c>
      <c r="DK8" s="14" t="str">
        <f t="shared" ca="1" si="63"/>
        <v/>
      </c>
      <c r="DL8" s="14" t="str">
        <f t="shared" ca="1" si="64"/>
        <v/>
      </c>
      <c r="DM8" s="14" t="str">
        <f t="shared" ca="1" si="65"/>
        <v/>
      </c>
      <c r="DN8" s="14" t="str">
        <f t="array" aca="1" ref="DN8" ca="1">IF(CU8&lt;&gt;"","There are errors in the entered values in the following cases: " &amp;SUBSTITUTE(CU8," ",", "),"")</f>
        <v>There are errors in the entered values in the following cases: LAB3</v>
      </c>
      <c r="DO8" s="14" t="str">
        <f t="shared" ca="1" si="66"/>
        <v/>
      </c>
      <c r="DP8" s="14" t="str">
        <f t="shared" ca="1" si="67"/>
        <v/>
      </c>
      <c r="DQ8" s="14" t="str">
        <f t="shared" ca="1" si="68"/>
        <v>The following cases are non-numeric: VIE1: NF</v>
      </c>
      <c r="DR8" s="14" t="str">
        <f t="shared" ca="1" si="34"/>
        <v/>
      </c>
      <c r="DS8" s="14" t="str">
        <f t="shared" ca="1" si="35"/>
        <v/>
      </c>
      <c r="DZ8" s="14" t="b">
        <f t="shared" ca="1" si="69"/>
        <v>0</v>
      </c>
      <c r="EA8" s="14" t="str">
        <f t="shared" ca="1" si="36"/>
        <v>Zmienna chyba numeric (fac2)</v>
      </c>
      <c r="EB8" s="14" t="str">
        <f t="shared" ca="1" si="70"/>
        <v xml:space="preserve">Values must be numeric. </v>
      </c>
      <c r="EC8" s="14" t="str">
        <f t="shared" ca="1" si="37"/>
        <v xml:space="preserve">Zmienna chyba numeric (fac2): Values must be numeric. </v>
      </c>
      <c r="ED8" s="14" t="str">
        <f t="shared" ca="1" si="38"/>
        <v/>
      </c>
      <c r="EE8" s="14" t="str">
        <f t="shared" ca="1" si="39"/>
        <v>Values must be numeric</v>
      </c>
      <c r="EF8" s="14" t="str">
        <f t="shared" ca="1" si="71"/>
        <v/>
      </c>
      <c r="EG8" s="14" t="str">
        <f t="shared" ca="1" si="72"/>
        <v/>
      </c>
      <c r="EM8" s="14" t="b">
        <f t="shared" ca="1" si="73"/>
        <v>1</v>
      </c>
      <c r="EN8" s="14">
        <f t="shared" ca="1" si="40"/>
        <v>5</v>
      </c>
      <c r="EO8" s="14" t="str">
        <f t="shared" ca="1" si="41"/>
        <v>fac2</v>
      </c>
      <c r="EP8" s="14" t="str">
        <f t="shared" ca="1" si="74"/>
        <v xml:space="preserve">Zmienna chyba numeric (fac2): Values must be numeric. </v>
      </c>
      <c r="EQ8" s="14" t="str">
        <f t="shared" ca="1" si="75"/>
        <v>There are errors in the entered values in the following cases: LAB3. The following cases are non-numeric: VIE1: NF</v>
      </c>
    </row>
    <row r="9" spans="1:147">
      <c r="B9" s="14" t="str">
        <f t="shared" ca="1" si="42"/>
        <v>There are errors in the entered values in the following cases: LAB3</v>
      </c>
      <c r="C9" s="14">
        <f t="shared" ca="1" si="43"/>
        <v>6</v>
      </c>
      <c r="D9" s="14">
        <f t="shared" si="44"/>
        <v>7</v>
      </c>
      <c r="E9" s="14" t="str">
        <f t="shared" ca="1" si="0"/>
        <v>N</v>
      </c>
      <c r="F9" s="14" t="str">
        <f t="shared" ca="1" si="1"/>
        <v>fac3</v>
      </c>
      <c r="G9" s="14" t="str">
        <f t="shared" ca="1" si="2"/>
        <v>Faktor bez braków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'[dane surowe2d_2.xlsm]labels'!O3:O36</v>
      </c>
      <c r="J9" s="14">
        <f t="array" aca="1" ref="J9" ca="1">IF(H9,MAX(0,MAX(IF(INDIRECT(I9)&lt;&gt;"",ROW(INDIRECT(I9)),""))-2),"")</f>
        <v>5</v>
      </c>
      <c r="K9" s="14" t="str">
        <f ca="1">IF($H9,IF($J9&gt;0,ADDRESS(3,(D9+1)*2-1,4,,"["&amp;wew!$G$7&amp;"]"&amp;_sheetname_labels)&amp;":"&amp;ADDRESS(2+J9,(D9+1)*2-1,4),""),"")</f>
        <v>'[dane surowe2d_2.xlsm]labels'!O3:O7</v>
      </c>
      <c r="L9" s="14" t="str">
        <f ca="1">IF($H9,IF($J9&gt;0,ADDRESS(3,(D9+1)*2,4,,"["&amp;wew!$G$7&amp;"]"&amp;_sheetname_labels)&amp;":"&amp;ADDRESS(2+J9,(D9+1)*2,4),""),"")</f>
        <v>'[dane surowe2d_2.xlsm]labels'!P3:P7</v>
      </c>
      <c r="M9" s="14">
        <f t="shared" ca="1" si="45"/>
        <v>0</v>
      </c>
      <c r="N9" s="14">
        <f t="shared" ca="1" si="4"/>
        <v>5</v>
      </c>
      <c r="O9" s="14" t="str">
        <f t="shared" ca="1" si="5"/>
        <v>fac3</v>
      </c>
      <c r="P9" s="14" t="str">
        <f t="shared" ca="1" si="6"/>
        <v>Faktor bez braków</v>
      </c>
      <c r="Q9" s="14" t="str">
        <f ca="1">IF($BP9,ADDRESS(3,D9+1,4,,"["&amp;wew!$G$7&amp;"]"&amp;_sheetname_dataframe)&amp;":"&amp;ADDRESS(2+ster!$C$14,D9+1,4),"")</f>
        <v>'[dane surowe2d_2.xlsm]data_frame'!H3:H12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6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2</v>
      </c>
      <c r="V9" s="14">
        <f t="array" aca="1" ref="V9" ca="1">IF(H9,SUM((IFERROR(INDIRECT(Q9)="#ąś",TRUE))*(INDIRECT(ster!$D$14)&lt;&gt;"")),"")</f>
        <v>1</v>
      </c>
      <c r="W9" s="14">
        <f t="array" aca="1" ref="W9" ca="1">IF(H9,SUM(ISNUMBER(INDIRECT(Q9))*(INDIRECT(ster!$D$14)&lt;&gt;"")),"")</f>
        <v>6</v>
      </c>
      <c r="X9" s="14">
        <f t="array" aca="1" ref="X9" ca="1">IF(AND(H9,W9&gt;0),IF(wew!$B$3,MIN(IF((INDIRECT(ster!$D$14)&lt;&gt;"")*IFERROR(INDIRECT($Q9)&lt;&gt;"",FALSE),IFERROR(INDIRECT($Q9),"X"),"X")),"&lt;włącz podświetlanie wartości&gt;"),"—")</f>
        <v>1</v>
      </c>
      <c r="Y9" s="14">
        <f t="array" aca="1" ref="Y9" ca="1">IF(AND(H9,W9&gt;0),IF(wew!$B$3,MAX(IF((INDIRECT(ster!$D$14)&lt;&gt;"")*IFERROR(INDIRECT($Q9)&lt;&gt;"",FALSE),IFERROR(INDIRECT($Q9),"X"),"X")),"&lt;włącz podświetlanie wartości&gt;"),"—")</f>
        <v>4</v>
      </c>
      <c r="Z9" s="14">
        <f t="shared" ca="1" si="7"/>
        <v>0</v>
      </c>
      <c r="AA9" s="12">
        <f t="shared" ca="1" si="8"/>
        <v>1</v>
      </c>
      <c r="AB9" s="17">
        <f t="array" aca="1" ref="AB9" ca="1">IF(H9,IF(W9&gt;0,SUM((INDIRECT(ster!$D$14)&lt;&gt;"")*IFERROR((INDIRECT(Q9)&lt;&gt;"")*(INDIRECT(Q9)=INT(INDIRECT(Q9))),0)),0),"")</f>
        <v>6</v>
      </c>
      <c r="AC9" s="17">
        <f t="array" aca="1" ref="AC9" ca="1">IF(H9,W9-AB9,"")</f>
        <v>0</v>
      </c>
      <c r="AD9" s="17">
        <f t="shared" ca="1" si="46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7"/>
        <v>1</v>
      </c>
      <c r="AM9" s="17" t="b">
        <f t="shared" ca="1" si="48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17"/>
        <v>0</v>
      </c>
      <c r="AR9" s="17" t="b">
        <f t="shared" ca="1" si="18"/>
        <v>1</v>
      </c>
      <c r="AS9" s="17" t="b">
        <f t="shared" ca="1" si="19"/>
        <v>0</v>
      </c>
      <c r="AT9" s="17" t="b">
        <f t="shared" ca="1" si="20"/>
        <v>0</v>
      </c>
      <c r="AU9" s="17" t="b">
        <f t="shared" ca="1" si="21"/>
        <v>1</v>
      </c>
      <c r="AV9" s="17" t="b">
        <f t="shared" ca="1" si="22"/>
        <v>0</v>
      </c>
      <c r="AW9" s="17" t="b">
        <f t="shared" ca="1" si="23"/>
        <v>1</v>
      </c>
      <c r="AX9" s="14" t="b">
        <f t="array" aca="1" ref="AX9" ca="1">IF(H9,N9&gt;0,"")</f>
        <v>1</v>
      </c>
      <c r="AY9" s="17" t="str">
        <f t="shared" ca="1" si="24"/>
        <v>C3:C7</v>
      </c>
      <c r="AZ9" s="17" t="b">
        <f t="array" aca="1" ref="AZ9" ca="1">IF(AY9&lt;&gt;"",SUM(1*ISERROR(MATCH(INDIRECT(AY9),INDIRECT(K9),0)))=0,"")</f>
        <v>1</v>
      </c>
      <c r="BA9" s="17" t="b">
        <f t="shared" ca="1" si="25"/>
        <v>1</v>
      </c>
      <c r="BB9" s="17" t="b">
        <f t="shared" ca="1" si="49"/>
        <v>0</v>
      </c>
      <c r="BC9" s="17" t="b">
        <f t="shared" ca="1" si="26"/>
        <v>1</v>
      </c>
      <c r="BD9" s="17" t="b">
        <f t="shared" ca="1" si="27"/>
        <v>0</v>
      </c>
      <c r="BE9" s="17" t="b">
        <f t="shared" ca="1" si="50"/>
        <v>0</v>
      </c>
      <c r="BF9" s="17" t="b">
        <f t="shared" ca="1" si="51"/>
        <v>0</v>
      </c>
      <c r="BG9" s="17" t="b">
        <f t="shared" ca="1" si="52"/>
        <v>0</v>
      </c>
      <c r="BH9" s="17" t="b">
        <f t="shared" ca="1" si="53"/>
        <v>1</v>
      </c>
      <c r="BI9" s="17">
        <f t="shared" ca="1" si="54"/>
        <v>2</v>
      </c>
      <c r="BJ9" s="17" t="b">
        <f t="shared" ca="1" si="55"/>
        <v>1</v>
      </c>
      <c r="BK9" s="17" t="str">
        <f t="shared" ca="1" si="28"/>
        <v/>
      </c>
      <c r="BL9" s="17" t="str">
        <f t="shared" ca="1" si="29"/>
        <v/>
      </c>
      <c r="BM9" s="17" t="str">
        <f t="shared" ca="1" si="30"/>
        <v>F</v>
      </c>
      <c r="BN9" s="17" t="str">
        <f t="shared" ca="1" si="31"/>
        <v>E</v>
      </c>
      <c r="BO9" s="17" t="str">
        <f t="shared" ca="1" si="32"/>
        <v>O</v>
      </c>
      <c r="BP9" s="14" t="b">
        <f t="shared" ca="1" si="33"/>
        <v>1</v>
      </c>
      <c r="BQ9" s="15">
        <v>1</v>
      </c>
      <c r="BR9" s="14"/>
      <c r="BS9" s="14"/>
      <c r="BV9" s="14">
        <v>1</v>
      </c>
      <c r="BX9" s="16"/>
      <c r="BY9" s="16"/>
      <c r="BZ9" s="16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>LAB3</v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■There are errors in the entered values in the following cases: LAB3■</v>
      </c>
      <c r="DD9" s="14" t="str">
        <f t="shared" ca="1" si="56"/>
        <v>There are errors in the entered values in the following cases: LAB3■</v>
      </c>
      <c r="DE9" s="14" t="str">
        <f t="shared" ca="1" si="57"/>
        <v>There are errors in the entered values in the following cases: LAB3</v>
      </c>
      <c r="DF9" s="14" t="str">
        <f t="shared" ca="1" si="58"/>
        <v>There are errors in the entered values in the following cases: LAB3</v>
      </c>
      <c r="DG9" s="14" t="str">
        <f t="shared" ca="1" si="59"/>
        <v/>
      </c>
      <c r="DH9" s="14" t="str">
        <f t="shared" ca="1" si="60"/>
        <v/>
      </c>
      <c r="DI9" s="14" t="str">
        <f t="shared" ca="1" si="61"/>
        <v/>
      </c>
      <c r="DJ9" s="14" t="str">
        <f t="shared" ca="1" si="62"/>
        <v/>
      </c>
      <c r="DK9" s="14" t="str">
        <f t="shared" ca="1" si="63"/>
        <v/>
      </c>
      <c r="DL9" s="14" t="str">
        <f t="shared" ca="1" si="64"/>
        <v/>
      </c>
      <c r="DM9" s="14" t="str">
        <f t="shared" ca="1" si="65"/>
        <v/>
      </c>
      <c r="DN9" s="14" t="str">
        <f t="array" aca="1" ref="DN9" ca="1">IF(CU9&lt;&gt;"","There are errors in the entered values in the following cases: " &amp;SUBSTITUTE(CU9," ",", "),"")</f>
        <v>There are errors in the entered values in the following cases: LAB3</v>
      </c>
      <c r="DO9" s="14" t="str">
        <f t="shared" ca="1" si="66"/>
        <v/>
      </c>
      <c r="DP9" s="14" t="str">
        <f t="shared" ca="1" si="67"/>
        <v/>
      </c>
      <c r="DQ9" s="14" t="str">
        <f t="shared" ca="1" si="68"/>
        <v/>
      </c>
      <c r="DR9" s="14" t="str">
        <f t="shared" ca="1" si="34"/>
        <v/>
      </c>
      <c r="DS9" s="14" t="str">
        <f t="shared" ca="1" si="35"/>
        <v/>
      </c>
      <c r="DZ9" s="14" t="b">
        <f t="shared" ca="1" si="69"/>
        <v>0</v>
      </c>
      <c r="EA9" s="14" t="str">
        <f t="shared" ca="1" si="36"/>
        <v>Faktor bez braków (fac3)</v>
      </c>
      <c r="EB9" s="14" t="str">
        <f t="shared" ca="1" si="70"/>
        <v xml:space="preserve">Values must be limited to predefinied list. </v>
      </c>
      <c r="EC9" s="14" t="str">
        <f t="shared" ca="1" si="37"/>
        <v xml:space="preserve">Faktor bez braków (fac3): Values must be limited to predefinied list. </v>
      </c>
      <c r="ED9" s="14" t="str">
        <f t="shared" ca="1" si="38"/>
        <v/>
      </c>
      <c r="EE9" s="14" t="str">
        <f t="shared" ca="1" si="39"/>
        <v>Values must be limited to predefinied list</v>
      </c>
      <c r="EF9" s="14" t="str">
        <f t="shared" ca="1" si="71"/>
        <v/>
      </c>
      <c r="EG9" s="14" t="str">
        <f t="shared" ca="1" si="72"/>
        <v/>
      </c>
      <c r="EM9" s="14" t="b">
        <f t="shared" ca="1" si="73"/>
        <v>1</v>
      </c>
      <c r="EN9" s="14">
        <f t="shared" ca="1" si="40"/>
        <v>6</v>
      </c>
      <c r="EO9" s="14" t="str">
        <f t="shared" ca="1" si="41"/>
        <v>fac3</v>
      </c>
      <c r="EP9" s="14" t="str">
        <f t="shared" ca="1" si="74"/>
        <v xml:space="preserve">Faktor bez braków (fac3): Values must be limited to predefinied list. </v>
      </c>
      <c r="EQ9" s="14" t="str">
        <f t="shared" ca="1" si="75"/>
        <v>There are errors in the entered values in the following cases: LAB3</v>
      </c>
    </row>
    <row r="10" spans="1:147">
      <c r="B10" s="14" t="str">
        <f t="shared" ca="1" si="42"/>
        <v/>
      </c>
      <c r="C10" s="14">
        <f t="shared" ca="1" si="43"/>
        <v>7</v>
      </c>
      <c r="D10" s="14">
        <f t="shared" si="44"/>
        <v>8</v>
      </c>
      <c r="E10" s="14" t="str">
        <f t="shared" ca="1" si="0"/>
        <v>I</v>
      </c>
      <c r="F10" s="14" t="str">
        <f t="shared" ca="1" si="1"/>
        <v>fac5</v>
      </c>
      <c r="G10" s="14" t="str">
        <f t="shared" ca="1" si="2"/>
        <v>powtórzona nazwa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'[dane surowe2d_2.xlsm]labels'!Q3:Q36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5"/>
        <v>0</v>
      </c>
      <c r="N10" s="14">
        <f t="shared" ca="1" si="4"/>
        <v>0</v>
      </c>
      <c r="O10" s="14" t="str">
        <f t="shared" ca="1" si="5"/>
        <v>fac5</v>
      </c>
      <c r="P10" s="14" t="str">
        <f t="shared" ca="1" si="6"/>
        <v>powtórzona nazwa</v>
      </c>
      <c r="Q10" s="14" t="str">
        <f ca="1">IF($BP10,ADDRESS(3,D10+1,4,,"["&amp;wew!$G$7&amp;"]"&amp;_sheetname_dataframe)&amp;":"&amp;ADDRESS(2+ster!$C$14,D10+1,4),"")</f>
        <v>'[dane surowe2d_2.xlsm]data_frame'!I3:I12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0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9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0</v>
      </c>
      <c r="X10" s="14" t="str">
        <f t="array" aca="1" ref="X10" ca="1">IF(AND(H10,W10&gt;0),IF(wew!$B$3,MIN(IF((INDIRECT(ster!$D$14)&lt;&gt;"")*IFERROR(INDIRECT($Q10)&lt;&gt;"",FALSE),IFERROR(INDIRECT($Q10),"X"),"X")),"&lt;włącz podświetlanie wartości&gt;"),"—")</f>
        <v>—</v>
      </c>
      <c r="Y10" s="14" t="str">
        <f t="array" aca="1" ref="Y10" ca="1">IF(AND(H10,W10&gt;0),IF(wew!$B$3,MAX(IF((INDIRECT(ster!$D$14)&lt;&gt;"")*IFERROR(INDIRECT($Q10)&lt;&gt;"",FALSE),IFERROR(INDIRECT($Q10),"X"),"X")),"&lt;włącz podświetlanie wartości&gt;"),"—")</f>
        <v>—</v>
      </c>
      <c r="Z10" s="14">
        <f t="shared" ca="1" si="7"/>
        <v>0</v>
      </c>
      <c r="AA10" s="12" t="str">
        <f t="shared" ca="1" si="8"/>
        <v>—</v>
      </c>
      <c r="AB10" s="17">
        <f t="array" aca="1" ref="AB10" ca="1">IF(H10,IF(W10&gt;0,SUM((INDIRECT(ster!$D$14)&lt;&gt;"")*IFERROR((INDIRECT(Q10)&lt;&gt;"")*(INDIRECT(Q10)=INT(INDIRECT(Q10))),0)),0),"")</f>
        <v>0</v>
      </c>
      <c r="AC10" s="17">
        <f t="array" aca="1" ref="AC10" ca="1">IF(H10,W10-AB10,"")</f>
        <v>0</v>
      </c>
      <c r="AD10" s="17">
        <f t="shared" ca="1" si="46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0</v>
      </c>
      <c r="AL10" s="17" t="b">
        <f t="shared" ca="1" si="47"/>
        <v>0</v>
      </c>
      <c r="AM10" s="17" t="b">
        <f t="shared" ca="1" si="48"/>
        <v>0</v>
      </c>
      <c r="AN10" s="17">
        <f t="shared" ca="1" si="14"/>
        <v>0</v>
      </c>
      <c r="AO10" s="24" t="str">
        <f t="shared" ca="1" si="15"/>
        <v/>
      </c>
      <c r="AP10" s="24" t="str">
        <f t="shared" ca="1" si="16"/>
        <v/>
      </c>
      <c r="AQ10" s="17" t="b">
        <f t="shared" ca="1" si="17"/>
        <v>0</v>
      </c>
      <c r="AR10" s="17" t="b">
        <f t="shared" ca="1" si="18"/>
        <v>0</v>
      </c>
      <c r="AS10" s="17" t="b">
        <f t="shared" ca="1" si="19"/>
        <v>0</v>
      </c>
      <c r="AT10" s="17" t="b">
        <f t="shared" ca="1" si="20"/>
        <v>0</v>
      </c>
      <c r="AU10" s="17" t="b">
        <f t="shared" ca="1" si="21"/>
        <v>0</v>
      </c>
      <c r="AV10" s="17" t="b">
        <f t="shared" ca="1" si="22"/>
        <v>0</v>
      </c>
      <c r="AW10" s="17" t="b">
        <f t="shared" ca="1" si="23"/>
        <v>0</v>
      </c>
      <c r="AX10" s="14" t="b">
        <f t="array" aca="1" ref="AX10" ca="1">IF(H10,N10&gt;0,"")</f>
        <v>0</v>
      </c>
      <c r="AY10" s="17" t="str">
        <f t="shared" ca="1" si="24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5"/>
        <v>1</v>
      </c>
      <c r="BB10" s="17" t="b">
        <f t="shared" ca="1" si="49"/>
        <v>1</v>
      </c>
      <c r="BC10" s="17" t="b">
        <f t="shared" ca="1" si="26"/>
        <v>0</v>
      </c>
      <c r="BD10" s="17" t="b">
        <f t="shared" ca="1" si="27"/>
        <v>0</v>
      </c>
      <c r="BE10" s="17" t="b">
        <f t="shared" ca="1" si="50"/>
        <v>0</v>
      </c>
      <c r="BF10" s="17" t="b">
        <f t="shared" ca="1" si="51"/>
        <v>0</v>
      </c>
      <c r="BG10" s="17" t="b">
        <f t="shared" ca="1" si="52"/>
        <v>0</v>
      </c>
      <c r="BH10" s="17" t="b">
        <f t="shared" ca="1" si="53"/>
        <v>1</v>
      </c>
      <c r="BI10" s="17">
        <f t="shared" ca="1" si="54"/>
        <v>1</v>
      </c>
      <c r="BJ10" s="17" t="b">
        <f t="shared" ca="1" si="55"/>
        <v>0</v>
      </c>
      <c r="BK10" s="17" t="str">
        <f t="shared" ca="1" si="28"/>
        <v/>
      </c>
      <c r="BL10" s="17" t="str">
        <f t="shared" ca="1" si="29"/>
        <v/>
      </c>
      <c r="BM10" s="17" t="str">
        <f t="shared" ca="1" si="30"/>
        <v>0</v>
      </c>
      <c r="BN10" s="17" t="str">
        <f t="shared" ca="1" si="31"/>
        <v>0</v>
      </c>
      <c r="BO10" s="17" t="str">
        <f t="shared" ca="1" si="32"/>
        <v/>
      </c>
      <c r="BP10" s="14" t="b">
        <f t="shared" ca="1" si="33"/>
        <v>1</v>
      </c>
      <c r="BQ10" s="15">
        <v>1</v>
      </c>
      <c r="BR10" s="14"/>
      <c r="BS10" s="14"/>
      <c r="BX10" s="16"/>
      <c r="BY10" s="16"/>
      <c r="BZ10" s="16"/>
      <c r="CA10" s="16"/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6"/>
        <v/>
      </c>
      <c r="DE10" s="14" t="str">
        <f t="shared" ca="1" si="57"/>
        <v/>
      </c>
      <c r="DF10" s="14" t="str">
        <f t="shared" ca="1" si="58"/>
        <v/>
      </c>
      <c r="DG10" s="14" t="str">
        <f t="shared" ca="1" si="59"/>
        <v/>
      </c>
      <c r="DH10" s="14" t="str">
        <f t="shared" ca="1" si="60"/>
        <v/>
      </c>
      <c r="DI10" s="14" t="str">
        <f t="shared" ca="1" si="61"/>
        <v/>
      </c>
      <c r="DJ10" s="14" t="str">
        <f t="shared" ca="1" si="62"/>
        <v/>
      </c>
      <c r="DK10" s="14" t="str">
        <f t="shared" ca="1" si="63"/>
        <v/>
      </c>
      <c r="DL10" s="14" t="str">
        <f t="shared" ca="1" si="64"/>
        <v/>
      </c>
      <c r="DM10" s="14" t="str">
        <f t="shared" ca="1" si="65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6"/>
        <v/>
      </c>
      <c r="DP10" s="14" t="str">
        <f t="shared" ca="1" si="67"/>
        <v/>
      </c>
      <c r="DQ10" s="14" t="str">
        <f t="shared" ca="1" si="68"/>
        <v/>
      </c>
      <c r="DR10" s="14" t="str">
        <f t="shared" ca="1" si="34"/>
        <v/>
      </c>
      <c r="DS10" s="14" t="str">
        <f t="shared" ca="1" si="35"/>
        <v/>
      </c>
      <c r="DZ10" s="14" t="b">
        <f t="shared" ca="1" si="69"/>
        <v>0</v>
      </c>
      <c r="EA10" s="14" t="str">
        <f t="shared" ca="1" si="36"/>
        <v/>
      </c>
      <c r="EB10" s="14" t="str">
        <f t="shared" ca="1" si="70"/>
        <v/>
      </c>
      <c r="EC10" s="14" t="str">
        <f t="shared" ca="1" si="37"/>
        <v/>
      </c>
      <c r="ED10" s="14" t="str">
        <f t="shared" ca="1" si="38"/>
        <v/>
      </c>
      <c r="EE10" s="14" t="str">
        <f t="shared" ca="1" si="39"/>
        <v/>
      </c>
      <c r="EF10" s="14" t="str">
        <f t="shared" ca="1" si="71"/>
        <v/>
      </c>
      <c r="EG10" s="14" t="str">
        <f t="shared" ca="1" si="72"/>
        <v/>
      </c>
      <c r="EM10" s="14" t="b">
        <f t="shared" ca="1" si="73"/>
        <v>0</v>
      </c>
      <c r="EN10" s="14" t="str">
        <f t="shared" ca="1" si="40"/>
        <v/>
      </c>
      <c r="EO10" s="14" t="str">
        <f t="shared" ca="1" si="41"/>
        <v/>
      </c>
      <c r="EP10" s="14" t="str">
        <f t="shared" ca="1" si="74"/>
        <v/>
      </c>
      <c r="EQ10" s="14" t="str">
        <f t="shared" ca="1" si="75"/>
        <v/>
      </c>
    </row>
    <row r="11" spans="1:147">
      <c r="B11" s="14" t="str">
        <f t="shared" ca="1" si="42"/>
        <v>The following cases are non-numeric: VIE1: 4</v>
      </c>
      <c r="C11" s="14">
        <f t="shared" ca="1" si="43"/>
        <v>8</v>
      </c>
      <c r="D11" s="14">
        <f t="shared" si="44"/>
        <v>9</v>
      </c>
      <c r="E11" s="14" t="str">
        <f t="shared" ca="1" si="0"/>
        <v>S</v>
      </c>
      <c r="F11" s="14" t="str">
        <f t="shared" ca="1" si="1"/>
        <v>num1_fix</v>
      </c>
      <c r="G11" s="14" t="str">
        <f t="shared" ca="1" si="2"/>
        <v>Zmienna liczbowa z brakami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'[dane surowe2d_2.xlsm]labels'!S3:S36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5"/>
        <v>0</v>
      </c>
      <c r="N11" s="14">
        <f t="shared" ca="1" si="4"/>
        <v>0</v>
      </c>
      <c r="O11" s="14" t="str">
        <f t="shared" ca="1" si="5"/>
        <v>num1_fix</v>
      </c>
      <c r="P11" s="14" t="str">
        <f t="shared" ca="1" si="6"/>
        <v>Zmienna liczbowa z brakami</v>
      </c>
      <c r="Q11" s="14" t="str">
        <f ca="1">IF($BP11,ADDRESS(3,D11+1,4,,"["&amp;wew!$G$7&amp;"]"&amp;_sheetname_dataframe)&amp;":"&amp;ADDRESS(2+ster!$C$14,D11+1,4),"")</f>
        <v>'[dane surowe2d_2.xlsm]data_frame'!J3:J12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9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8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1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9.1</v>
      </c>
      <c r="Z11" s="14">
        <f t="shared" ca="1" si="7"/>
        <v>1</v>
      </c>
      <c r="AA11" s="12">
        <f t="shared" ca="1" si="8"/>
        <v>0.88888888888888884</v>
      </c>
      <c r="AB11" s="17">
        <f t="array" aca="1" ref="AB11" ca="1">IF(H11,IF(W11&gt;0,SUM((INDIRECT(ster!$D$14)&lt;&gt;"")*IFERROR((INDIRECT(Q11)&lt;&gt;"")*(INDIRECT(Q11)=INT(INDIRECT(Q11))),0)),0),"")</f>
        <v>7</v>
      </c>
      <c r="AC11" s="17">
        <f t="array" aca="1" ref="AC11" ca="1">IF(H11,W11-AB11,"")</f>
        <v>1</v>
      </c>
      <c r="AD11" s="17">
        <f t="shared" ca="1" si="46"/>
        <v>2</v>
      </c>
      <c r="AE11" s="17" t="b">
        <f t="shared" ca="1" si="9"/>
        <v>0</v>
      </c>
      <c r="AF11" s="17" t="str">
        <f ca="1">IF(AE11,IF($H11,ADDRESS(3,D11+2,4,,"["&amp;wew!$G$7&amp;"]"&amp;_sheetname_dataframe)&amp;":"&amp;ADDRESS(2+ster!$C$14,D11+2,4),""),"")</f>
        <v/>
      </c>
      <c r="AG11" s="17" t="str">
        <f t="shared" ca="1" si="10"/>
        <v/>
      </c>
      <c r="AH11" s="17" t="b">
        <f t="shared" ca="1" si="11"/>
        <v>0</v>
      </c>
      <c r="AI11" s="17" t="str">
        <f ca="1">IF(AH11,IF($H11,ADDRESS(3,D11+3,4,,"["&amp;wew!$G$7&amp;"]"&amp;_sheetname_dataframe)&amp;":"&amp;ADDRESS(2+ster!$C$14,D11+3,4),""),"")</f>
        <v/>
      </c>
      <c r="AJ11" s="17" t="str">
        <f t="shared" ca="1" si="12"/>
        <v/>
      </c>
      <c r="AK11" s="17" t="b">
        <f t="shared" ca="1" si="13"/>
        <v>1</v>
      </c>
      <c r="AL11" s="17" t="b">
        <f t="shared" ca="1" si="47"/>
        <v>0</v>
      </c>
      <c r="AM11" s="17" t="b">
        <f t="shared" ca="1" si="48"/>
        <v>1</v>
      </c>
      <c r="AN11" s="17">
        <f t="shared" ca="1" si="14"/>
        <v>0</v>
      </c>
      <c r="AO11" s="24" t="str">
        <f t="shared" ca="1" si="15"/>
        <v/>
      </c>
      <c r="AP11" s="24" t="str">
        <f t="shared" ca="1" si="16"/>
        <v/>
      </c>
      <c r="AQ11" s="17" t="b">
        <f t="shared" ca="1" si="17"/>
        <v>0</v>
      </c>
      <c r="AR11" s="17" t="b">
        <f t="shared" ca="1" si="18"/>
        <v>0</v>
      </c>
      <c r="AS11" s="17" t="b">
        <f t="shared" ca="1" si="19"/>
        <v>0</v>
      </c>
      <c r="AT11" s="17" t="b">
        <f t="shared" ca="1" si="20"/>
        <v>0</v>
      </c>
      <c r="AU11" s="17" t="b">
        <f t="shared" ca="1" si="21"/>
        <v>1</v>
      </c>
      <c r="AV11" s="17" t="b">
        <f t="shared" ca="1" si="22"/>
        <v>0</v>
      </c>
      <c r="AW11" s="17" t="b">
        <f t="shared" ca="1" si="23"/>
        <v>0</v>
      </c>
      <c r="AX11" s="14" t="b">
        <f t="array" aca="1" ref="AX11" ca="1">IF(H11,N11&gt;0,"")</f>
        <v>0</v>
      </c>
      <c r="AY11" s="17" t="str">
        <f t="shared" ca="1" si="24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5"/>
        <v>0</v>
      </c>
      <c r="BB11" s="17" t="str">
        <f t="shared" ca="1" si="49"/>
        <v/>
      </c>
      <c r="BC11" s="17" t="str">
        <f t="shared" ca="1" si="26"/>
        <v/>
      </c>
      <c r="BD11" s="17" t="str">
        <f t="shared" ca="1" si="27"/>
        <v/>
      </c>
      <c r="BE11" s="17" t="str">
        <f t="shared" ca="1" si="50"/>
        <v/>
      </c>
      <c r="BF11" s="17" t="str">
        <f t="shared" ca="1" si="51"/>
        <v/>
      </c>
      <c r="BG11" s="17" t="str">
        <f t="shared" ca="1" si="52"/>
        <v/>
      </c>
      <c r="BH11" s="17" t="str">
        <f t="shared" ca="1" si="53"/>
        <v/>
      </c>
      <c r="BI11" s="17" t="str">
        <f t="shared" ca="1" si="54"/>
        <v/>
      </c>
      <c r="BJ11" s="17" t="b">
        <f t="shared" ca="1" si="55"/>
        <v>1</v>
      </c>
      <c r="BK11" s="17" t="b">
        <f t="shared" ca="1" si="28"/>
        <v>0</v>
      </c>
      <c r="BL11" s="17" t="b">
        <f t="shared" ca="1" si="29"/>
        <v>1</v>
      </c>
      <c r="BM11" s="17" t="str">
        <f t="shared" ca="1" si="30"/>
        <v>N</v>
      </c>
      <c r="BN11" s="17" t="str">
        <f t="shared" ca="1" si="31"/>
        <v>E</v>
      </c>
      <c r="BO11" s="17" t="str">
        <f t="shared" ca="1" si="32"/>
        <v>I</v>
      </c>
      <c r="BP11" s="14" t="b">
        <f t="shared" ca="1" si="33"/>
        <v>1</v>
      </c>
      <c r="BQ11" s="15">
        <v>1</v>
      </c>
      <c r="BR11" s="14"/>
      <c r="BS11" s="14"/>
      <c r="BU11" s="14" t="s">
        <v>388</v>
      </c>
      <c r="BX11" s="16"/>
      <c r="BY11" s="16"/>
      <c r="BZ11" s="16"/>
      <c r="CA11" s="16"/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>VIE1: 4</v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■The following cases are non-numeric: VIE1: 4■</v>
      </c>
      <c r="DD11" s="14" t="str">
        <f t="shared" ca="1" si="56"/>
        <v>The following cases are non-numeric: VIE1: 4■</v>
      </c>
      <c r="DE11" s="14" t="str">
        <f t="shared" ca="1" si="57"/>
        <v>The following cases are non-numeric: VIE1: 4</v>
      </c>
      <c r="DF11" s="14" t="str">
        <f t="shared" ca="1" si="58"/>
        <v>The following cases are non-numeric: VIE1: 4</v>
      </c>
      <c r="DG11" s="14" t="str">
        <f t="shared" ca="1" si="59"/>
        <v/>
      </c>
      <c r="DH11" s="14" t="str">
        <f t="shared" ca="1" si="60"/>
        <v/>
      </c>
      <c r="DI11" s="14" t="str">
        <f t="shared" ca="1" si="61"/>
        <v/>
      </c>
      <c r="DJ11" s="14" t="str">
        <f t="shared" ca="1" si="62"/>
        <v/>
      </c>
      <c r="DK11" s="14" t="str">
        <f t="shared" ca="1" si="63"/>
        <v/>
      </c>
      <c r="DL11" s="14" t="str">
        <f t="shared" ca="1" si="64"/>
        <v/>
      </c>
      <c r="DM11" s="14" t="str">
        <f t="shared" ca="1" si="65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6"/>
        <v/>
      </c>
      <c r="DP11" s="14" t="str">
        <f t="shared" ca="1" si="67"/>
        <v/>
      </c>
      <c r="DQ11" s="14" t="str">
        <f t="shared" ca="1" si="68"/>
        <v>The following cases are non-numeric: VIE1: 4</v>
      </c>
      <c r="DR11" s="14" t="str">
        <f t="shared" ca="1" si="34"/>
        <v/>
      </c>
      <c r="DS11" s="14" t="str">
        <f t="shared" ca="1" si="35"/>
        <v/>
      </c>
      <c r="DZ11" s="14" t="b">
        <f t="shared" ca="1" si="69"/>
        <v>0</v>
      </c>
      <c r="EA11" s="14" t="str">
        <f t="shared" ca="1" si="36"/>
        <v>Zmienna liczbowa z brakami (num1_fix)</v>
      </c>
      <c r="EB11" s="14" t="str">
        <f t="shared" ca="1" si="70"/>
        <v xml:space="preserve">Values must be numeric. </v>
      </c>
      <c r="EC11" s="14" t="str">
        <f t="shared" ca="1" si="37"/>
        <v xml:space="preserve">Zmienna liczbowa z brakami (num1_fix): Values must be numeric. </v>
      </c>
      <c r="ED11" s="14" t="str">
        <f t="shared" ca="1" si="38"/>
        <v/>
      </c>
      <c r="EE11" s="14" t="str">
        <f t="shared" ca="1" si="39"/>
        <v>Values must be numeric</v>
      </c>
      <c r="EF11" s="14" t="str">
        <f t="shared" ca="1" si="71"/>
        <v/>
      </c>
      <c r="EG11" s="14" t="str">
        <f t="shared" ca="1" si="72"/>
        <v/>
      </c>
      <c r="EM11" s="14" t="b">
        <f t="shared" ca="1" si="73"/>
        <v>1</v>
      </c>
      <c r="EN11" s="14">
        <f t="shared" ca="1" si="40"/>
        <v>8</v>
      </c>
      <c r="EO11" s="14" t="str">
        <f t="shared" ca="1" si="41"/>
        <v>num1_fix</v>
      </c>
      <c r="EP11" s="14" t="str">
        <f t="shared" ca="1" si="74"/>
        <v xml:space="preserve">Zmienna liczbowa z brakami (num1_fix): Values must be numeric. </v>
      </c>
      <c r="EQ11" s="14" t="str">
        <f t="shared" ca="1" si="75"/>
        <v>The following cases are non-numeric: VIE1: 4</v>
      </c>
    </row>
    <row r="12" spans="1:147">
      <c r="B12" s="14" t="str">
        <f t="shared" ca="1" si="42"/>
        <v/>
      </c>
      <c r="C12" s="14">
        <f t="shared" ca="1" si="43"/>
        <v>9</v>
      </c>
      <c r="D12" s="14">
        <f t="shared" si="44"/>
        <v>10</v>
      </c>
      <c r="E12" s="14" t="str">
        <f t="shared" ca="1" si="0"/>
        <v>I</v>
      </c>
      <c r="F12" s="14" t="str">
        <f t="shared" ca="1" si="1"/>
        <v>num1_fix2</v>
      </c>
      <c r="G12" s="14" t="str">
        <f t="shared" ca="1" si="2"/>
        <v>Zmienna liczbowa z brakami</v>
      </c>
      <c r="H12" s="14" t="b">
        <f t="shared" ca="1" si="3"/>
        <v>1</v>
      </c>
      <c r="I12" s="14" t="str">
        <f ca="1">IF($H12,ADDRESS(3,(D12+1)*2-1,4,,"["&amp;wew!$G$7&amp;"]"&amp;_sheetname_labels)&amp;":"&amp;ADDRESS(2+ster!$B$20,(D12+1)*2-1,4),"")</f>
        <v>'[dane surowe2d_2.xlsm]labels'!U3:U36</v>
      </c>
      <c r="J12" s="14">
        <f t="array" aca="1" ref="J12" ca="1">IF(H12,MAX(0,MAX(IF(INDIRECT(I12)&lt;&gt;"",ROW(INDIRECT(I12)),""))-2),"")</f>
        <v>0</v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>
        <f t="shared" ca="1" si="45"/>
        <v>0</v>
      </c>
      <c r="N12" s="14">
        <f t="shared" ca="1" si="4"/>
        <v>0</v>
      </c>
      <c r="O12" s="14" t="str">
        <f t="shared" ca="1" si="5"/>
        <v>num1_fix2</v>
      </c>
      <c r="P12" s="14" t="str">
        <f t="shared" ca="1" si="6"/>
        <v>Zmienna liczbowa z brakami</v>
      </c>
      <c r="Q12" s="14" t="str">
        <f ca="1">IF($BP12,ADDRESS(3,D12+1,4,,"["&amp;wew!$G$7&amp;"]"&amp;_sheetname_dataframe)&amp;":"&amp;ADDRESS(2+ster!$C$14,D12+1,4),"")</f>
        <v>'[dane surowe2d_2.xlsm]data_frame'!K3:K12</v>
      </c>
      <c r="R12" s="14" t="str">
        <f>IF($BP12,IF(MID(_xll.FORMULATEXT(INDEX(INDIRECT(Q12),1)),1,1)="=", _xll.FORMULATEXT(INDEX(INDIRECT(Q12),1),2,TRUE),""),"")</f>
        <v/>
      </c>
      <c r="S12" s="14">
        <f t="array" aca="1" ref="S12" ca="1">IF(H12,SUM(IF((IFERROR(INDIRECT(Q12)&lt;&gt;"",FALSE))*(INDIRECT(ster!$D$14)&lt;&gt;""),1,0)),"")</f>
        <v>1</v>
      </c>
      <c r="T12" s="14">
        <f t="array" aca="1" ref="T12" ca="1">IF(H12,IF(M12&gt;0,SUM(IFERROR(1*(MATCH(INDIRECT(Q12),INDIRECT(K12),0)&gt;0),0)*(INDIRECT(ster!$D$14)&lt;&gt;"")*NOT(ISNUMBER(INDIRECT(Q12)))),0),"")</f>
        <v>0</v>
      </c>
      <c r="U12" s="14">
        <f t="array" aca="1" ref="U12" ca="1">IF(H12,SUM((IFERROR(INDIRECT(Q12)="",FALSE))*(INDIRECT(ster!$D$14)&lt;&gt;"")),"")</f>
        <v>8</v>
      </c>
      <c r="V12" s="14">
        <f t="array" aca="1" ref="V12" ca="1">IF(H12,SUM((IFERROR(INDIRECT(Q12)="#ąś",TRUE))*(INDIRECT(ster!$D$14)&lt;&gt;"")),"")</f>
        <v>0</v>
      </c>
      <c r="W12" s="14">
        <f t="array" aca="1" ref="W12" ca="1">IF(H12,SUM(ISNUMBER(INDIRECT(Q12))*(INDIRECT(ster!$D$14)&lt;&gt;"")),"")</f>
        <v>1</v>
      </c>
      <c r="X12" s="14">
        <f t="array" aca="1" ref="X12" ca="1">IF(AND(H12,W12&gt;0),IF(wew!$B$3,MIN(IF((INDIRECT(ster!$D$14)&lt;&gt;"")*IFERROR(INDIRECT($Q12)&lt;&gt;"",FALSE),IFERROR(INDIRECT($Q12),"X"),"X")),"&lt;włącz podświetlanie wartości&gt;"),"—")</f>
        <v>4</v>
      </c>
      <c r="Y12" s="14">
        <f t="array" aca="1" ref="Y12" ca="1">IF(AND(H12,W12&gt;0),IF(wew!$B$3,MAX(IF((INDIRECT(ster!$D$14)&lt;&gt;"")*IFERROR(INDIRECT($Q12)&lt;&gt;"",FALSE),IFERROR(INDIRECT($Q12),"X"),"X")),"&lt;włącz podświetlanie wartości&gt;"),"—")</f>
        <v>4</v>
      </c>
      <c r="Z12" s="14">
        <f t="shared" ca="1" si="7"/>
        <v>0</v>
      </c>
      <c r="AA12" s="12">
        <f t="shared" ca="1" si="8"/>
        <v>1</v>
      </c>
      <c r="AB12" s="17">
        <f t="array" aca="1" ref="AB12" ca="1">IF(H12,IF(W12&gt;0,SUM((INDIRECT(ster!$D$14)&lt;&gt;"")*IFERROR((INDIRECT(Q12)&lt;&gt;"")*(INDIRECT(Q12)=INT(INDIRECT(Q12))),0)),0),"")</f>
        <v>1</v>
      </c>
      <c r="AC12" s="17">
        <f t="array" aca="1" ref="AC12" ca="1">IF(H12,W12-AB12,"")</f>
        <v>0</v>
      </c>
      <c r="AD12" s="17">
        <f t="shared" ca="1" si="46"/>
        <v>1</v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b">
        <f t="shared" ca="1" si="13"/>
        <v>0</v>
      </c>
      <c r="AL12" s="17" t="b">
        <f t="shared" ca="1" si="47"/>
        <v>0</v>
      </c>
      <c r="AM12" s="17" t="b">
        <f t="shared" ca="1" si="48"/>
        <v>1</v>
      </c>
      <c r="AN12" s="17">
        <f t="shared" ca="1" si="14"/>
        <v>0</v>
      </c>
      <c r="AO12" s="24" t="str">
        <f t="shared" ca="1" si="15"/>
        <v/>
      </c>
      <c r="AP12" s="24" t="str">
        <f t="shared" ca="1" si="16"/>
        <v/>
      </c>
      <c r="AQ12" s="17" t="b">
        <f t="shared" ca="1" si="17"/>
        <v>0</v>
      </c>
      <c r="AR12" s="17" t="b">
        <f t="shared" ca="1" si="18"/>
        <v>0</v>
      </c>
      <c r="AS12" s="17" t="b">
        <f t="shared" ca="1" si="19"/>
        <v>0</v>
      </c>
      <c r="AT12" s="17" t="b">
        <f t="shared" ca="1" si="20"/>
        <v>0</v>
      </c>
      <c r="AU12" s="17" t="b">
        <f t="shared" ca="1" si="21"/>
        <v>1</v>
      </c>
      <c r="AV12" s="17" t="b">
        <f t="shared" ca="1" si="22"/>
        <v>0</v>
      </c>
      <c r="AW12" s="17" t="b">
        <f t="shared" ca="1" si="23"/>
        <v>1</v>
      </c>
      <c r="AX12" s="14" t="b">
        <f t="array" aca="1" ref="AX12" ca="1">IF(H12,N12&gt;0,"")</f>
        <v>0</v>
      </c>
      <c r="AY12" s="17" t="str">
        <f t="shared" ca="1" si="24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5"/>
        <v>0</v>
      </c>
      <c r="BB12" s="17" t="str">
        <f t="shared" ca="1" si="49"/>
        <v/>
      </c>
      <c r="BC12" s="17" t="str">
        <f t="shared" ca="1" si="26"/>
        <v/>
      </c>
      <c r="BD12" s="17" t="str">
        <f t="shared" ca="1" si="27"/>
        <v/>
      </c>
      <c r="BE12" s="17" t="str">
        <f t="shared" ca="1" si="50"/>
        <v/>
      </c>
      <c r="BF12" s="17" t="str">
        <f t="shared" ca="1" si="51"/>
        <v/>
      </c>
      <c r="BG12" s="17" t="str">
        <f t="shared" ca="1" si="52"/>
        <v/>
      </c>
      <c r="BH12" s="17" t="str">
        <f t="shared" ca="1" si="53"/>
        <v/>
      </c>
      <c r="BI12" s="17" t="str">
        <f t="shared" ca="1" si="54"/>
        <v/>
      </c>
      <c r="BJ12" s="17" t="b">
        <f t="shared" ca="1" si="55"/>
        <v>0</v>
      </c>
      <c r="BK12" s="17" t="b">
        <f t="shared" ca="1" si="28"/>
        <v>1</v>
      </c>
      <c r="BL12" s="17" t="b">
        <f t="shared" ca="1" si="29"/>
        <v>0</v>
      </c>
      <c r="BM12" s="17" t="str">
        <f t="shared" ca="1" si="30"/>
        <v>I</v>
      </c>
      <c r="BN12" s="17" t="str">
        <f t="shared" ca="1" si="31"/>
        <v>I</v>
      </c>
      <c r="BO12" s="17" t="str">
        <f t="shared" ca="1" si="32"/>
        <v>I</v>
      </c>
      <c r="BP12" s="14" t="b">
        <f t="shared" ca="1" si="33"/>
        <v>1</v>
      </c>
      <c r="BQ12" s="15">
        <v>1</v>
      </c>
      <c r="BR12" s="14"/>
      <c r="BS12" s="14"/>
      <c r="BU12" s="14" t="s">
        <v>388</v>
      </c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6"/>
        <v/>
      </c>
      <c r="DE12" s="14" t="str">
        <f t="shared" ca="1" si="57"/>
        <v/>
      </c>
      <c r="DF12" s="14" t="str">
        <f t="shared" ca="1" si="58"/>
        <v/>
      </c>
      <c r="DG12" s="14" t="str">
        <f t="shared" ca="1" si="59"/>
        <v/>
      </c>
      <c r="DH12" s="14" t="str">
        <f t="shared" ca="1" si="60"/>
        <v/>
      </c>
      <c r="DI12" s="14" t="str">
        <f t="shared" ca="1" si="61"/>
        <v/>
      </c>
      <c r="DJ12" s="14" t="str">
        <f t="shared" ca="1" si="62"/>
        <v/>
      </c>
      <c r="DK12" s="14" t="str">
        <f t="shared" ca="1" si="63"/>
        <v/>
      </c>
      <c r="DL12" s="14" t="str">
        <f t="shared" ca="1" si="64"/>
        <v/>
      </c>
      <c r="DM12" s="14" t="str">
        <f t="shared" ca="1" si="65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6"/>
        <v/>
      </c>
      <c r="DP12" s="14" t="str">
        <f t="shared" ca="1" si="67"/>
        <v/>
      </c>
      <c r="DQ12" s="14" t="str">
        <f t="shared" ca="1" si="68"/>
        <v/>
      </c>
      <c r="DR12" s="14" t="str">
        <f t="shared" ca="1" si="34"/>
        <v/>
      </c>
      <c r="DS12" s="14" t="str">
        <f t="shared" ca="1" si="35"/>
        <v/>
      </c>
      <c r="DZ12" s="14" t="b">
        <f t="shared" ca="1" si="69"/>
        <v>0</v>
      </c>
      <c r="EA12" s="14" t="str">
        <f t="shared" ca="1" si="36"/>
        <v>Zmienna liczbowa z brakami (num1_fix2)</v>
      </c>
      <c r="EB12" s="14" t="str">
        <f t="shared" ca="1" si="70"/>
        <v xml:space="preserve">Values must be numeric. </v>
      </c>
      <c r="EC12" s="14" t="str">
        <f t="shared" ca="1" si="37"/>
        <v xml:space="preserve">Zmienna liczbowa z brakami (num1_fix2): Values must be numeric. </v>
      </c>
      <c r="ED12" s="14" t="str">
        <f t="shared" ca="1" si="38"/>
        <v/>
      </c>
      <c r="EE12" s="14" t="str">
        <f t="shared" ca="1" si="39"/>
        <v>Values must be numeric</v>
      </c>
      <c r="EF12" s="14" t="str">
        <f t="shared" ca="1" si="71"/>
        <v/>
      </c>
      <c r="EG12" s="14" t="str">
        <f t="shared" ca="1" si="72"/>
        <v/>
      </c>
      <c r="EM12" s="14" t="b">
        <f t="shared" ca="1" si="73"/>
        <v>1</v>
      </c>
      <c r="EN12" s="14">
        <f t="shared" ca="1" si="40"/>
        <v>9</v>
      </c>
      <c r="EO12" s="14" t="str">
        <f t="shared" ca="1" si="41"/>
        <v>num1_fix2</v>
      </c>
      <c r="EP12" s="14" t="str">
        <f t="shared" ca="1" si="74"/>
        <v xml:space="preserve">Zmienna liczbowa z brakami (num1_fix2): Values must be numeric. </v>
      </c>
      <c r="EQ12" s="14" t="str">
        <f t="shared" ca="1" si="75"/>
        <v/>
      </c>
    </row>
    <row r="13" spans="1:147" s="14" customFormat="1">
      <c r="B13" s="14" t="str">
        <f t="shared" ref="B13:B24" ca="1" si="76">DF13</f>
        <v>The following cases have values below declared theorethical min: VIE1: -32, LAB3: -10. The following cases have values above declared theorethical max: WAW1: 43, WAW2: 52, JAN2: 10</v>
      </c>
      <c r="C13" s="14">
        <f t="shared" ref="C13:C24" ca="1" si="77">IF(OFFSET(B13,-1,COLUMN(VariableExists)-2),OFFSET(B13,-1,1)+1,OFFSET(B13,-1,1))</f>
        <v>10</v>
      </c>
      <c r="D13" s="14">
        <f t="shared" ref="D13:D24" si="78">ROW(A13)-2</f>
        <v>11</v>
      </c>
      <c r="E13" s="14" t="str">
        <f t="shared" ca="1" si="0"/>
        <v>I</v>
      </c>
      <c r="F13" s="14" t="str">
        <f t="shared" ca="1" si="1"/>
        <v>num_maxmin</v>
      </c>
      <c r="G13" s="14" t="str">
        <f t="shared" ca="1" si="2"/>
        <v>Zmienna z max i min teor</v>
      </c>
      <c r="H13" s="14" t="b">
        <f t="shared" ref="H13:H24" ca="1" si="79">IF(INDIRECT(ADDRESS(2,D13+1,,,_sheetname_dataframe))="",FALSE,MID(INDIRECT(ADDRESS(2,D13+1,,,_sheetname_dataframe)),1,1)&lt;&gt;".")</f>
        <v>1</v>
      </c>
      <c r="I13" s="14" t="str">
        <f ca="1">IF($H13,ADDRESS(3,(D13+1)*2-1,4,,"["&amp;wew!$G$7&amp;"]"&amp;_sheetname_labels)&amp;":"&amp;ADDRESS(2+ster!$B$20,(D13+1)*2-1,4),"")</f>
        <v>'[dane surowe2d_2.xlsm]labels'!W3:W36</v>
      </c>
      <c r="J13" s="14">
        <f t="array" aca="1" ref="J13" ca="1">IF(H13,MAX(0,MAX(IF(INDIRECT(I13)&lt;&gt;"",ROW(INDIRECT(I13)),""))-2),"")</f>
        <v>0</v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>
        <f t="shared" ref="M13:M24" ca="1" si="80">IF($H13,IF(J13&gt;0,COUNTA(INDIRECT(K13))-COUNT(INDIRECT(K13)),0),"")</f>
        <v>0</v>
      </c>
      <c r="N13" s="14">
        <f t="shared" ca="1" si="4"/>
        <v>0</v>
      </c>
      <c r="O13" s="14" t="str">
        <f t="shared" ref="O13:O24" ca="1" si="81">IF(INDIRECT(ADDRESS(2,D13+1,,,_sheetname_dataframe))="","",INDIRECT(ADDRESS(2,D13+1,,,_sheetname_dataframe)))</f>
        <v>num_maxmin</v>
      </c>
      <c r="P13" s="14" t="str">
        <f t="shared" ref="P13:P24" ca="1" si="82">IF(H13,IF(INDIRECT(ADDRESS(1,D13+1,,,_sheetname_dataframe))="","",INDIRECT(ADDRESS(1,D13+1,,,_sheetname_dataframe))),"")</f>
        <v>Zmienna z max i min teor</v>
      </c>
      <c r="Q13" s="14" t="str">
        <f ca="1">IF($BP13,ADDRESS(3,D13+1,4,,"["&amp;wew!$G$7&amp;"]"&amp;_sheetname_dataframe)&amp;":"&amp;ADDRESS(2+ster!$C$14,D13+1,4),"")</f>
        <v>'[dane surowe2d_2.xlsm]data_frame'!L3:L12</v>
      </c>
      <c r="R13" s="14" t="str">
        <f>IF($BP13,IF(MID(_xll.FORMULATEXT(INDEX(INDIRECT(Q13),1)),1,1)="=", _xll.FORMULATEXT(INDEX(INDIRECT(Q13),1),2,TRUE),""),"")</f>
        <v/>
      </c>
      <c r="S13" s="14">
        <f t="array" aca="1" ref="S13" ca="1">IF(H13,SUM(IF((IFERROR(INDIRECT(Q13)&lt;&gt;"",FALSE))*(INDIRECT(ster!$D$14)&lt;&gt;""),1,0)),"")</f>
        <v>9</v>
      </c>
      <c r="T13" s="14">
        <f t="array" aca="1" ref="T13" ca="1">IF(H13,IF(M13&gt;0,SUM(IFERROR(1*(MATCH(INDIRECT(Q13),INDIRECT(K13),0)&gt;0),0)*(INDIRECT(ster!$D$14)&lt;&gt;"")*NOT(ISNUMBER(INDIRECT(Q13)))),0),"")</f>
        <v>0</v>
      </c>
      <c r="U13" s="14">
        <f t="array" aca="1" ref="U13" ca="1">IF(H13,SUM((IFERROR(INDIRECT(Q13)="",FALSE))*(INDIRECT(ster!$D$14)&lt;&gt;"")),"")</f>
        <v>0</v>
      </c>
      <c r="V13" s="14">
        <f t="array" aca="1" ref="V13" ca="1">IF(H13,SUM((IFERROR(INDIRECT(Q13)="#ąś",TRUE))*(INDIRECT(ster!$D$14)&lt;&gt;"")),"")</f>
        <v>0</v>
      </c>
      <c r="W13" s="14">
        <f t="array" aca="1" ref="W13" ca="1">IF(H13,SUM(ISNUMBER(INDIRECT(Q13))*(INDIRECT(ster!$D$14)&lt;&gt;"")),"")</f>
        <v>9</v>
      </c>
      <c r="X13" s="14">
        <f t="array" aca="1" ref="X13" ca="1">IF(AND(H13,W13&gt;0),IF(wew!$B$3,MIN(IF((INDIRECT(ster!$D$14)&lt;&gt;"")*IFERROR(INDIRECT($Q13)&lt;&gt;"",FALSE),IFERROR(INDIRECT($Q13),"X"),"X")),"&lt;włącz podświetlanie wartości&gt;"),"—")</f>
        <v>-32</v>
      </c>
      <c r="Y13" s="14">
        <f t="array" aca="1" ref="Y13" ca="1">IF(AND(H13,W13&gt;0),IF(wew!$B$3,MAX(IF((INDIRECT(ster!$D$14)&lt;&gt;"")*IFERROR(INDIRECT($Q13)&lt;&gt;"",FALSE),IFERROR(INDIRECT($Q13),"X"),"X")),"&lt;włącz podświetlanie wartości&gt;"),"—")</f>
        <v>52</v>
      </c>
      <c r="Z13" s="14">
        <f t="shared" ca="1" si="7"/>
        <v>0</v>
      </c>
      <c r="AA13" s="12">
        <f t="shared" ca="1" si="8"/>
        <v>1</v>
      </c>
      <c r="AB13" s="17">
        <f t="array" aca="1" ref="AB13" ca="1">IF(H13,IF(W13&gt;0,SUM((INDIRECT(ster!$D$14)&lt;&gt;"")*IFERROR((INDIRECT(Q13)&lt;&gt;"")*(INDIRECT(Q13)=INT(INDIRECT(Q13))),0)),0),"")</f>
        <v>9</v>
      </c>
      <c r="AC13" s="17">
        <f t="array" aca="1" ref="AC13" ca="1">IF(H13,W13-AB13,"")</f>
        <v>0</v>
      </c>
      <c r="AD13" s="17">
        <f t="shared" ref="AD13:AD24" ca="1" si="83">IF($H13,IF(AC13&lt;&gt;"",IF(AC13=0,1,IF(AC13/W13&lt;0.15,2,3)),0),"")</f>
        <v>1</v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b">
        <f t="shared" ca="1" si="13"/>
        <v>0</v>
      </c>
      <c r="AL13" s="17" t="b">
        <f t="shared" ref="AL13:AL24" ca="1" si="84">IF($H13,IF(BV13&lt;&gt;"",IF(OR(BM13="F",BM13="L",BM13="I",BM13="D"),BV13&lt;&gt;0)),"")</f>
        <v>0</v>
      </c>
      <c r="AM13" s="17" t="b">
        <f t="shared" ref="AM13:AM24" ca="1" si="85">IF($H13,AND(NOT(AL13),OR(IF(BW13&lt;&gt;"",IF(OR(BM13="F",BM13="L"),BW13&lt;&gt;0)),BM13="I",BM13="N",BM13="D")),"")</f>
        <v>1</v>
      </c>
      <c r="AN13" s="17">
        <f t="shared" ref="AN13:AN24" ca="1" si="86">IF(COUNTA(INDIRECT(Q13))=0,0, IF(AND(AO13&lt;&gt;"",X13&lt;AO13),1,IF(AND(AP13&lt;&gt;"",Y13&gt;AP13),1,IF(AND(AQ13,AC13&gt;0),2,0))))</f>
        <v>1</v>
      </c>
      <c r="AO13" s="24">
        <f t="shared" ca="1" si="15"/>
        <v>1</v>
      </c>
      <c r="AP13" s="24">
        <f t="shared" ca="1" si="16"/>
        <v>6</v>
      </c>
      <c r="AQ13" s="17" t="b">
        <f t="shared" ca="1" si="17"/>
        <v>0</v>
      </c>
      <c r="AR13" s="17" t="b">
        <f t="shared" ca="1" si="18"/>
        <v>0</v>
      </c>
      <c r="AS13" s="17" t="b">
        <f t="shared" ca="1" si="19"/>
        <v>0</v>
      </c>
      <c r="AT13" s="17" t="b">
        <f t="shared" ca="1" si="20"/>
        <v>0</v>
      </c>
      <c r="AU13" s="17" t="b">
        <f t="shared" ca="1" si="21"/>
        <v>1</v>
      </c>
      <c r="AV13" s="17" t="b">
        <f t="shared" ca="1" si="22"/>
        <v>0</v>
      </c>
      <c r="AW13" s="17" t="b">
        <f t="shared" ca="1" si="23"/>
        <v>1</v>
      </c>
      <c r="AX13" s="14" t="b">
        <f t="array" aca="1" ref="AX13" ca="1">IF(H13,N13&gt;0,"")</f>
        <v>0</v>
      </c>
      <c r="AY13" s="17" t="str">
        <f t="shared" ca="1" si="24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5"/>
        <v>0</v>
      </c>
      <c r="BB13" s="17" t="str">
        <f t="shared" ref="BB13:BB24" ca="1" si="87">IF(BA13,S13=0,"")</f>
        <v/>
      </c>
      <c r="BC13" s="17" t="str">
        <f t="shared" ref="BC13:BC24" ca="1" si="88">IF(BA13,IF(N13&gt;0,AND(AZ13,Z13=0),FALSE),"")</f>
        <v/>
      </c>
      <c r="BD13" s="17" t="str">
        <f t="shared" ref="BD13:BD24" ca="1" si="89">IF(BA13,IF(N13&gt;0,AND(NOT(AZ13),Z13=0),FALSE),"")</f>
        <v/>
      </c>
      <c r="BE13" s="17" t="str">
        <f t="shared" ref="BE13:BE24" ca="1" si="90">IF(BA13,IF(AND(AW13,NOT(BB13),NOT(BC13),NOT(BD13)),AND(Z13=0,AC13=0),FALSE),"")</f>
        <v/>
      </c>
      <c r="BF13" s="17" t="str">
        <f t="shared" ref="BF13:BF24" ca="1" si="91">IF(BA13,IF(AND(AW13,NOT(BB13),NOT(BC13),NOT(BD13)),AND(Z13=0,OR(AC13&gt;0)),FALSE),"")</f>
        <v/>
      </c>
      <c r="BG13" s="17" t="str">
        <f t="shared" ref="BG13:BG24" ca="1" si="92">IF(BA13,IF(OR(BB13:BF13),FALSE,IF(Z13=0,FALSE,Z13&gt;0)),"")</f>
        <v/>
      </c>
      <c r="BH13" s="17" t="str">
        <f t="shared" ref="BH13:BH24" ca="1" si="93">IF(BA13,COUNTIF(BB13:BG13,TRUE)=1,"")</f>
        <v/>
      </c>
      <c r="BI13" s="17" t="str">
        <f t="shared" ref="BI13:BI19" ca="1" si="94">IF(BA13,IFERROR(MATCH(TRUE,BB13:BG13,0),7),"")</f>
        <v/>
      </c>
      <c r="BJ13" s="17" t="b">
        <f t="shared" ref="BJ13:BJ24" ca="1" si="95">DF13&lt;&gt;""</f>
        <v>1</v>
      </c>
      <c r="BK13" s="17" t="b">
        <f t="shared" ca="1" si="28"/>
        <v>1</v>
      </c>
      <c r="BL13" s="17" t="b">
        <f t="shared" ca="1" si="29"/>
        <v>0</v>
      </c>
      <c r="BM13" s="17" t="str">
        <f t="shared" ca="1" si="30"/>
        <v>I</v>
      </c>
      <c r="BN13" s="17" t="str">
        <f t="shared" ca="1" si="31"/>
        <v>E</v>
      </c>
      <c r="BO13" s="17" t="str">
        <f t="shared" ref="BO13:BO24" ca="1" si="96">IF($H13,IF(BM13="0","",IF(AND(AR13,N13=2),"D",IF(BM13="S","N",IF(AL13,"O",IF(AM13,"I","N"))))),"")</f>
        <v>I</v>
      </c>
      <c r="BP13" s="14" t="b">
        <f t="shared" ref="BP13:BP24" ca="1" si="97">INDIRECT(ADDRESS(2,ROW(A13)-1,,,_sheetname_dataframe))&lt;&gt;""</f>
        <v>1</v>
      </c>
      <c r="BQ13" s="15">
        <v>1</v>
      </c>
      <c r="BU13" s="14" t="s">
        <v>388</v>
      </c>
      <c r="BX13" s="16"/>
      <c r="BY13" s="16">
        <v>1</v>
      </c>
      <c r="BZ13" s="16">
        <v>6</v>
      </c>
      <c r="CA13" s="16"/>
      <c r="CB13" s="16"/>
      <c r="CC13" s="16"/>
      <c r="CD13" s="16"/>
      <c r="CE13" s="16"/>
      <c r="CF13" s="16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>VIE1: -32 LAB3: -10</v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>WAW1: 43 WAW2: 52 JAN2: 10</v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C13" s="14" t="str">
        <f ca="1">SUBSTITUTE(SUBSTITUTE(SUBSTITUTE(SUBSTITUTE(_xll.MCONCAT(DG13:DS13,"■"),"■■","■"),"■■","■"),"■■","■"),"■■","■")</f>
        <v>■The following cases have values below declared theorethical min: VIE1: -32, LAB3: -10■The following cases have values above declared theorethical max: WAW1: 43, WAW2: 52, JAN2: 10■</v>
      </c>
      <c r="DD13" s="14" t="str">
        <f t="shared" ref="DD13:DD24" ca="1" si="98">IF(MID(DC13,1,1)="■",MID(DC13,2,LEN(DC13)),DC13)</f>
        <v>The following cases have values below declared theorethical min: VIE1: -32, LAB3: -10■The following cases have values above declared theorethical max: WAW1: 43, WAW2: 52, JAN2: 10■</v>
      </c>
      <c r="DE13" s="14" t="str">
        <f t="shared" ref="DE13:DE24" ca="1" si="99">IF(DD13&lt;&gt;"",IF(MID(DD13,LEN(DD13),1)="■",MID(DD13,1,LEN(DD13)-1),DD13),"")</f>
        <v>The following cases have values below declared theorethical min: VIE1: -32, LAB3: -10■The following cases have values above declared theorethical max: WAW1: 43, WAW2: 52, JAN2: 10</v>
      </c>
      <c r="DF13" s="14" t="str">
        <f t="shared" ref="DF13:DF24" ca="1" si="100">IFERROR(IF(DE13&lt;&gt;"",SUBSTITUTE(DE13,"■",". "),""),"##INTERNAL_ERROR")</f>
        <v>The following cases have values below declared theorethical min: VIE1: -32, LAB3: -10. The following cases have values above declared theorethical max: WAW1: 43, WAW2: 52, JAN2: 10</v>
      </c>
      <c r="DG13" s="14" t="str">
        <f t="shared" ref="DG13:DG24" ca="1" si="101">IF(CN13&lt;&gt;0,"Variable name don't comply with the naming convention","")</f>
        <v/>
      </c>
      <c r="DH13" s="14" t="str">
        <f t="shared" ref="DH13:DH24" ca="1" si="102">IF(CO13&lt;&gt;"","Duplicated name. " &amp; IF(ISERROR(FIND(" ",CO13)),"Duplicate have index " &amp; CO13, "Duplicates have indices: "&amp;SUBSTITUTE(CO13," ",", ")),"")</f>
        <v/>
      </c>
      <c r="DI13" s="14" t="str">
        <f t="shared" ref="DI13:DI24" ca="1" si="103">IF(CP13&lt;&gt;"","Variable label exceed length 150","")</f>
        <v/>
      </c>
      <c r="DJ13" s="14" t="str">
        <f t="shared" ref="DJ13:DJ24" ca="1" si="104">IF(CQ13&lt;&gt;"","Duplicated variable label. " &amp; IF(ISERROR(FIND(" ",CQ13)),"Duplicate have index " &amp; CQ13, "Duplicates have indices: "&amp;SUBSTITUTE(CQ13," ",", ")),"")</f>
        <v/>
      </c>
      <c r="DK13" s="14" t="str">
        <f t="shared" ref="DK13:DK24" ca="1" si="105">IF(CR13&lt;&gt;"","The following cases have values below declared theorethical min: " &amp;SUBSTITUTE(CR13," ",", "),"")</f>
        <v>The following cases have values below declared theorethical min: VIE1: -32, LAB3: -10</v>
      </c>
      <c r="DL13" s="14" t="str">
        <f t="shared" ref="DL13:DL24" ca="1" si="106">IF(CS13&lt;&gt;"","The following cases have values above declared theorethical max: " &amp;SUBSTITUTE(CS13," ",", "),"")</f>
        <v>The following cases have values above declared theorethical max: WAW1: 43, WAW2: 52, JAN2: 10</v>
      </c>
      <c r="DM13" s="14" t="str">
        <f t="shared" ref="DM13:DM24" ca="1" si="107">IF(CT13&lt;&gt;"","There are some cases with values not explicitly declared in the labels dictionary: " &amp;SUBSTITUTE(CT13," ",", "),"")</f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ref="DO13:DO24" ca="1" si="108">IF(CV13&lt;&gt;"","The following records are missing in this required field: " &amp;SUBSTITUTE(CV13," ",", "),"")</f>
        <v/>
      </c>
      <c r="DP13" s="14" t="str">
        <f t="shared" ref="DP13:DP24" ca="1" si="109">IF(CW13&lt;&gt;"","The following cases have non-integer values: " &amp;SUBSTITUTE(CW13," ",", "),"")</f>
        <v/>
      </c>
      <c r="DQ13" s="14" t="str">
        <f t="shared" ref="DQ13:DQ24" ca="1" si="110">IF(CX13&lt;&gt;"","The following cases are non-numeric: " &amp;SUBSTITUTE(CX13," ",", "),"")</f>
        <v/>
      </c>
      <c r="DR13" s="14" t="str">
        <f t="shared" ca="1" si="34"/>
        <v/>
      </c>
      <c r="DS13" s="14" t="str">
        <f t="shared" ca="1" si="35"/>
        <v/>
      </c>
      <c r="DZ13" s="14" t="b">
        <f t="shared" ref="DZ13:DZ24" ca="1" si="111">OR(ED13&lt;&gt;"",EF13&lt;&gt;"",EG13&lt;&gt;"")</f>
        <v>1</v>
      </c>
      <c r="EA13" s="14" t="str">
        <f t="shared" ca="1" si="36"/>
        <v>Zmienna z max i min teor (num_maxmin)</v>
      </c>
      <c r="EB13" s="14" t="str">
        <f t="shared" ref="EB13:EB24" ca="1" si="112">IF(EE13&lt;&gt;"",EE13&amp;IF(ED13&lt;&gt;""," and "&amp;ED13,""),UPPER(MID(ED13,1,1)&amp;MID(ED13,2,LEN(ED13))))&amp; IF(OR(EF13&lt;&gt;"",EG13&lt;&gt;"")," and "&amp;IF(EF13&lt;&gt;"",LOWER(MID(EF13,1,1) &amp; MID(EF13,2,LEN(EF13))),"")&amp; IF(AND(EF13 &lt;&gt;"",EG13&lt;&gt;"")," and ","") &amp; IF(EG13&lt;&gt;"",LOWER(MID(EG13,1,1) &amp; MID(EG13,2,LEN(EG13))),""),"") &amp; IF(OR(EE13&lt;&gt;"",ED13&lt;&gt;"",EF13&lt;&gt;"",EG13&lt;&gt;""), ". ","")</f>
        <v xml:space="preserve">Values must be numeric and each value must be between 1 and 6. </v>
      </c>
      <c r="EC13" s="14" t="str">
        <f t="shared" ca="1" si="37"/>
        <v xml:space="preserve">Zmienna z max i min teor (num_maxmin): Values must be numeric and each value must be between 1 and 6. </v>
      </c>
      <c r="ED13" s="14" t="str">
        <f t="shared" ca="1" si="38"/>
        <v>each value must be between 1 and 6</v>
      </c>
      <c r="EE13" s="14" t="str">
        <f t="shared" ca="1" si="39"/>
        <v>Values must be numeric</v>
      </c>
      <c r="EF13" s="14" t="str">
        <f t="shared" ref="EF13:EF24" ca="1" si="113">IF($H13,AG13,"")</f>
        <v/>
      </c>
      <c r="EG13" s="14" t="str">
        <f t="shared" ref="EG13:EG24" ca="1" si="114">IF($H13,AJ13,"")</f>
        <v/>
      </c>
      <c r="EM13" s="14" t="b">
        <f t="shared" ref="EM13:EM24" ca="1" si="115">OR(EC13&lt;&gt;"",DF13&lt;&gt;"")</f>
        <v>1</v>
      </c>
      <c r="EN13" s="14">
        <f t="shared" ca="1" si="40"/>
        <v>10</v>
      </c>
      <c r="EO13" s="14" t="str">
        <f t="shared" ca="1" si="41"/>
        <v>num_maxmin</v>
      </c>
      <c r="EP13" s="14" t="str">
        <f t="shared" ref="EP13:EP24" ca="1" si="116">EC13</f>
        <v xml:space="preserve">Zmienna z max i min teor (num_maxmin): Values must be numeric and each value must be between 1 and 6. </v>
      </c>
      <c r="EQ13" s="14" t="str">
        <f t="shared" ref="EQ13:EQ24" ca="1" si="117">DF13</f>
        <v>The following cases have values below declared theorethical min: VIE1: -32, LAB3: -10. The following cases have values above declared theorethical max: WAW1: 43, WAW2: 52, JAN2: 10</v>
      </c>
    </row>
    <row r="14" spans="1:147" s="14" customFormat="1">
      <c r="B14" s="14" t="str">
        <f t="shared" ca="1" si="76"/>
        <v>There are some cases with values not explicitly declared in the labels dictionary: WAW1: 9, JAN1: 6, LAB2: -2. There are errors in the entered values in the following cases: LAB3</v>
      </c>
      <c r="C14" s="14">
        <f t="shared" ca="1" si="77"/>
        <v>11</v>
      </c>
      <c r="D14" s="14">
        <f t="shared" si="78"/>
        <v>12</v>
      </c>
      <c r="E14" s="14" t="str">
        <f t="shared" ca="1" si="0"/>
        <v>N</v>
      </c>
      <c r="F14" s="14" t="str">
        <f t="shared" ca="1" si="1"/>
        <v>fac4</v>
      </c>
      <c r="G14" s="14" t="str">
        <f t="shared" ca="1" si="2"/>
        <v>Faktor bez braków, ale z wartościami spoza zakresu</v>
      </c>
      <c r="H14" s="14" t="b">
        <f t="shared" ca="1" si="79"/>
        <v>1</v>
      </c>
      <c r="I14" s="14" t="str">
        <f ca="1">IF($H14,ADDRESS(3,(D14+1)*2-1,4,,"["&amp;wew!$G$7&amp;"]"&amp;_sheetname_labels)&amp;":"&amp;ADDRESS(2+ster!$B$20,(D14+1)*2-1,4),"")</f>
        <v>'[dane surowe2d_2.xlsm]labels'!Y3:Y36</v>
      </c>
      <c r="J14" s="14">
        <f t="array" aca="1" ref="J14" ca="1">IF(H14,MAX(0,MAX(IF(INDIRECT(I14)&lt;&gt;"",ROW(INDIRECT(I14)),""))-2),"")</f>
        <v>4</v>
      </c>
      <c r="K14" s="14" t="str">
        <f ca="1">IF($H14,IF($J14&gt;0,ADDRESS(3,(D14+1)*2-1,4,,"["&amp;wew!$G$7&amp;"]"&amp;_sheetname_labels)&amp;":"&amp;ADDRESS(2+J14,(D14+1)*2-1,4),""),"")</f>
        <v>'[dane surowe2d_2.xlsm]labels'!Y3:Y6</v>
      </c>
      <c r="L14" s="14" t="str">
        <f ca="1">IF($H14,IF($J14&gt;0,ADDRESS(3,(D14+1)*2,4,,"["&amp;wew!$G$7&amp;"]"&amp;_sheetname_labels)&amp;":"&amp;ADDRESS(2+J14,(D14+1)*2,4),""),"")</f>
        <v>'[dane surowe2d_2.xlsm]labels'!Z3:Z6</v>
      </c>
      <c r="M14" s="14">
        <f t="shared" ca="1" si="80"/>
        <v>0</v>
      </c>
      <c r="N14" s="14">
        <f t="shared" ca="1" si="4"/>
        <v>4</v>
      </c>
      <c r="O14" s="14" t="str">
        <f t="shared" ca="1" si="81"/>
        <v>fac4</v>
      </c>
      <c r="P14" s="14" t="str">
        <f t="shared" ca="1" si="82"/>
        <v>Faktor bez braków, ale z wartościami spoza zakresu</v>
      </c>
      <c r="Q14" s="14" t="str">
        <f ca="1">IF($BP14,ADDRESS(3,D14+1,4,,"["&amp;wew!$G$7&amp;"]"&amp;_sheetname_dataframe)&amp;":"&amp;ADDRESS(2+ster!$C$14,D14+1,4),"")</f>
        <v>'[dane surowe2d_2.xlsm]data_frame'!M3:M12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6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2</v>
      </c>
      <c r="V14" s="14">
        <f t="array" aca="1" ref="V14" ca="1">IF(H14,SUM((IFERROR(INDIRECT(Q14)="#ąś",TRUE))*(INDIRECT(ster!$D$14)&lt;&gt;"")),"")</f>
        <v>1</v>
      </c>
      <c r="W14" s="14">
        <f t="array" aca="1" ref="W14" ca="1">IF(H14,SUM(ISNUMBER(INDIRECT(Q14))*(INDIRECT(ster!$D$14)&lt;&gt;"")),"")</f>
        <v>6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-2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9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6</v>
      </c>
      <c r="AC14" s="17">
        <f t="array" aca="1" ref="AC14" ca="1">IF(H14,W14-AB14,"")</f>
        <v>0</v>
      </c>
      <c r="AD14" s="17">
        <f t="shared" ca="1" si="83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84"/>
        <v>1</v>
      </c>
      <c r="AM14" s="17" t="b">
        <f t="shared" ca="1" si="85"/>
        <v>0</v>
      </c>
      <c r="AN14" s="17">
        <f t="shared" ca="1" si="86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17"/>
        <v>0</v>
      </c>
      <c r="AR14" s="17" t="b">
        <f t="shared" ca="1" si="18"/>
        <v>1</v>
      </c>
      <c r="AS14" s="17" t="b">
        <f t="shared" ca="1" si="19"/>
        <v>0</v>
      </c>
      <c r="AT14" s="17" t="b">
        <f t="shared" ca="1" si="20"/>
        <v>0</v>
      </c>
      <c r="AU14" s="17" t="b">
        <f t="shared" ca="1" si="21"/>
        <v>1</v>
      </c>
      <c r="AV14" s="17" t="b">
        <f t="shared" ca="1" si="22"/>
        <v>0</v>
      </c>
      <c r="AW14" s="17" t="b">
        <f t="shared" ca="1" si="23"/>
        <v>1</v>
      </c>
      <c r="AX14" s="14" t="b">
        <f t="array" aca="1" ref="AX14" ca="1">IF(H14,N14&gt;0,"")</f>
        <v>1</v>
      </c>
      <c r="AY14" s="17" t="str">
        <f t="shared" ca="1" si="24"/>
        <v>C3:C6</v>
      </c>
      <c r="AZ14" s="17" t="b">
        <f t="array" aca="1" ref="AZ14" ca="1">IF(AY14&lt;&gt;"",SUM(1*ISERROR(MATCH(INDIRECT(AY14),INDIRECT(K14),0)))=0,"")</f>
        <v>1</v>
      </c>
      <c r="BA14" s="17" t="b">
        <f t="shared" ca="1" si="25"/>
        <v>1</v>
      </c>
      <c r="BB14" s="17" t="b">
        <f t="shared" ca="1" si="87"/>
        <v>0</v>
      </c>
      <c r="BC14" s="17" t="b">
        <f t="shared" ca="1" si="88"/>
        <v>1</v>
      </c>
      <c r="BD14" s="17" t="b">
        <f t="shared" ca="1" si="89"/>
        <v>0</v>
      </c>
      <c r="BE14" s="17" t="b">
        <f t="shared" ca="1" si="90"/>
        <v>0</v>
      </c>
      <c r="BF14" s="17" t="b">
        <f t="shared" ca="1" si="91"/>
        <v>0</v>
      </c>
      <c r="BG14" s="17" t="b">
        <f t="shared" ca="1" si="92"/>
        <v>0</v>
      </c>
      <c r="BH14" s="17" t="b">
        <f t="shared" ca="1" si="93"/>
        <v>1</v>
      </c>
      <c r="BI14" s="17">
        <f t="shared" ca="1" si="94"/>
        <v>2</v>
      </c>
      <c r="BJ14" s="17" t="b">
        <f t="shared" ca="1" si="95"/>
        <v>1</v>
      </c>
      <c r="BK14" s="17" t="str">
        <f t="shared" ca="1" si="28"/>
        <v/>
      </c>
      <c r="BL14" s="17" t="str">
        <f t="shared" ca="1" si="29"/>
        <v/>
      </c>
      <c r="BM14" s="17" t="str">
        <f t="shared" ca="1" si="30"/>
        <v>F</v>
      </c>
      <c r="BN14" s="17" t="str">
        <f t="shared" ca="1" si="31"/>
        <v>E</v>
      </c>
      <c r="BO14" s="17" t="str">
        <f t="shared" ca="1" si="96"/>
        <v>O</v>
      </c>
      <c r="BP14" s="14" t="b">
        <f t="shared" ca="1" si="97"/>
        <v>1</v>
      </c>
      <c r="BQ14" s="15">
        <v>1</v>
      </c>
      <c r="BV14" s="14">
        <v>1</v>
      </c>
      <c r="BX14" s="16"/>
      <c r="BY14" s="16"/>
      <c r="BZ14" s="16"/>
      <c r="CA14" s="16"/>
      <c r="CB14" s="16"/>
      <c r="CC14" s="16"/>
      <c r="CD14" s="16"/>
      <c r="CE14" s="16"/>
      <c r="CF14" s="16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>WAW1: 9 JAN1: 6 LAB2: -2</v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>LAB3</v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C14" s="14" t="str">
        <f ca="1">SUBSTITUTE(SUBSTITUTE(SUBSTITUTE(SUBSTITUTE(_xll.MCONCAT(DG14:DS14,"■"),"■■","■"),"■■","■"),"■■","■"),"■■","■")</f>
        <v>■There are some cases with values not explicitly declared in the labels dictionary: WAW1: 9, JAN1: 6, LAB2: -2■There are errors in the entered values in the following cases: LAB3■</v>
      </c>
      <c r="DD14" s="14" t="str">
        <f t="shared" ca="1" si="98"/>
        <v>There are some cases with values not explicitly declared in the labels dictionary: WAW1: 9, JAN1: 6, LAB2: -2■There are errors in the entered values in the following cases: LAB3■</v>
      </c>
      <c r="DE14" s="14" t="str">
        <f t="shared" ca="1" si="99"/>
        <v>There are some cases with values not explicitly declared in the labels dictionary: WAW1: 9, JAN1: 6, LAB2: -2■There are errors in the entered values in the following cases: LAB3</v>
      </c>
      <c r="DF14" s="14" t="str">
        <f t="shared" ca="1" si="100"/>
        <v>There are some cases with values not explicitly declared in the labels dictionary: WAW1: 9, JAN1: 6, LAB2: -2. There are errors in the entered values in the following cases: LAB3</v>
      </c>
      <c r="DG14" s="14" t="str">
        <f t="shared" ca="1" si="101"/>
        <v/>
      </c>
      <c r="DH14" s="14" t="str">
        <f t="shared" ca="1" si="102"/>
        <v/>
      </c>
      <c r="DI14" s="14" t="str">
        <f t="shared" ca="1" si="103"/>
        <v/>
      </c>
      <c r="DJ14" s="14" t="str">
        <f t="shared" ca="1" si="104"/>
        <v/>
      </c>
      <c r="DK14" s="14" t="str">
        <f t="shared" ca="1" si="105"/>
        <v/>
      </c>
      <c r="DL14" s="14" t="str">
        <f t="shared" ca="1" si="106"/>
        <v/>
      </c>
      <c r="DM14" s="14" t="str">
        <f t="shared" ca="1" si="107"/>
        <v>There are some cases with values not explicitly declared in the labels dictionary: WAW1: 9, JAN1: 6, LAB2: -2</v>
      </c>
      <c r="DN14" s="14" t="str">
        <f t="array" aca="1" ref="DN14" ca="1">IF(CU14&lt;&gt;"","There are errors in the entered values in the following cases: " &amp;SUBSTITUTE(CU14," ",", "),"")</f>
        <v>There are errors in the entered values in the following cases: LAB3</v>
      </c>
      <c r="DO14" s="14" t="str">
        <f t="shared" ca="1" si="108"/>
        <v/>
      </c>
      <c r="DP14" s="14" t="str">
        <f t="shared" ca="1" si="109"/>
        <v/>
      </c>
      <c r="DQ14" s="14" t="str">
        <f t="shared" ca="1" si="110"/>
        <v/>
      </c>
      <c r="DR14" s="14" t="str">
        <f t="shared" ca="1" si="34"/>
        <v/>
      </c>
      <c r="DS14" s="14" t="str">
        <f t="shared" ca="1" si="35"/>
        <v/>
      </c>
      <c r="DZ14" s="14" t="b">
        <f t="shared" ca="1" si="111"/>
        <v>0</v>
      </c>
      <c r="EA14" s="14" t="str">
        <f t="shared" ca="1" si="36"/>
        <v>Faktor bez braków, ale z wartościami spoza zakresu (fac4)</v>
      </c>
      <c r="EB14" s="14" t="str">
        <f t="shared" ca="1" si="112"/>
        <v xml:space="preserve">Values must be limited to predefinied list. </v>
      </c>
      <c r="EC14" s="14" t="str">
        <f t="shared" ca="1" si="37"/>
        <v xml:space="preserve">Faktor bez braków, ale z wartościami spoza zakresu (fac4): Values must be limited to predefinied list. </v>
      </c>
      <c r="ED14" s="14" t="str">
        <f t="shared" ca="1" si="38"/>
        <v/>
      </c>
      <c r="EE14" s="14" t="str">
        <f t="shared" ca="1" si="39"/>
        <v>Values must be limited to predefinied list</v>
      </c>
      <c r="EF14" s="14" t="str">
        <f t="shared" ca="1" si="113"/>
        <v/>
      </c>
      <c r="EG14" s="14" t="str">
        <f t="shared" ca="1" si="114"/>
        <v/>
      </c>
      <c r="EM14" s="14" t="b">
        <f t="shared" ca="1" si="115"/>
        <v>1</v>
      </c>
      <c r="EN14" s="14">
        <f t="shared" ca="1" si="40"/>
        <v>11</v>
      </c>
      <c r="EO14" s="14" t="str">
        <f t="shared" ca="1" si="41"/>
        <v>fac4</v>
      </c>
      <c r="EP14" s="14" t="str">
        <f t="shared" ca="1" si="116"/>
        <v xml:space="preserve">Faktor bez braków, ale z wartościami spoza zakresu (fac4): Values must be limited to predefinied list. </v>
      </c>
      <c r="EQ14" s="14" t="str">
        <f t="shared" ca="1" si="117"/>
        <v>There are some cases with values not explicitly declared in the labels dictionary: WAW1: 9, JAN1: 6, LAB2: -2. There are errors in the entered values in the following cases: LAB3</v>
      </c>
    </row>
    <row r="15" spans="1:147" s="14" customFormat="1">
      <c r="B15" s="14" t="str">
        <f t="shared" ca="1" si="76"/>
        <v>The following cases have non-integer values: WAW1: 0.14, LAB3: 0.98</v>
      </c>
      <c r="C15" s="14">
        <f t="shared" ca="1" si="77"/>
        <v>12</v>
      </c>
      <c r="D15" s="14">
        <f t="shared" si="78"/>
        <v>13</v>
      </c>
      <c r="E15" s="14" t="str">
        <f t="shared" ca="1" si="0"/>
        <v>I</v>
      </c>
      <c r="F15" s="14" t="str">
        <f t="shared" ca="1" si="1"/>
        <v>numdiscr</v>
      </c>
      <c r="G15" s="14" t="str">
        <f t="shared" ca="1" si="2"/>
        <v>Zmienna ciągła, ale dyskretna</v>
      </c>
      <c r="H15" s="14" t="b">
        <f t="shared" ca="1" si="79"/>
        <v>1</v>
      </c>
      <c r="I15" s="14" t="str">
        <f ca="1">IF($H15,ADDRESS(3,(D15+1)*2-1,4,,"["&amp;wew!$G$7&amp;"]"&amp;_sheetname_labels)&amp;":"&amp;ADDRESS(2+ster!$B$20,(D15+1)*2-1,4),"")</f>
        <v>'[dane surowe2d_2.xlsm]labels'!AA3:AA36</v>
      </c>
      <c r="J15" s="14">
        <f t="array" aca="1" ref="J15" ca="1">IF(H15,MAX(0,MAX(IF(INDIRECT(I15)&lt;&gt;"",ROW(INDIRECT(I15)),""))-2),"")</f>
        <v>0</v>
      </c>
      <c r="K15" s="14" t="str">
        <f ca="1">IF($H15,IF($J15&gt;0,ADDRESS(3,(D15+1)*2-1,4,,"["&amp;wew!$G$7&amp;"]"&amp;_sheetname_labels)&amp;":"&amp;ADDRESS(2+J15,(D15+1)*2-1,4),""),"")</f>
        <v/>
      </c>
      <c r="L15" s="14" t="str">
        <f ca="1">IF($H15,IF($J15&gt;0,ADDRESS(3,(D15+1)*2,4,,"["&amp;wew!$G$7&amp;"]"&amp;_sheetname_labels)&amp;":"&amp;ADDRESS(2+J15,(D15+1)*2,4),""),"")</f>
        <v/>
      </c>
      <c r="M15" s="14">
        <f t="shared" ca="1" si="80"/>
        <v>0</v>
      </c>
      <c r="N15" s="14">
        <f t="shared" ca="1" si="4"/>
        <v>0</v>
      </c>
      <c r="O15" s="14" t="str">
        <f t="shared" ca="1" si="81"/>
        <v>numdiscr</v>
      </c>
      <c r="P15" s="14" t="str">
        <f t="shared" ca="1" si="82"/>
        <v>Zmienna ciągła, ale dyskretna</v>
      </c>
      <c r="Q15" s="14" t="str">
        <f ca="1">IF($BP15,ADDRESS(3,D15+1,4,,"["&amp;wew!$G$7&amp;"]"&amp;_sheetname_dataframe)&amp;":"&amp;ADDRESS(2+ster!$C$14,D15+1,4),"")</f>
        <v>'[dane surowe2d_2.xlsm]data_frame'!N3:N12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9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9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0.14000000000000001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6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7</v>
      </c>
      <c r="AC15" s="17">
        <f t="array" aca="1" ref="AC15" ca="1">IF(H15,W15-AB15,"")</f>
        <v>2</v>
      </c>
      <c r="AD15" s="17">
        <f t="shared" ca="1" si="83"/>
        <v>3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1</v>
      </c>
      <c r="AL15" s="17" t="b">
        <f t="shared" ca="1" si="84"/>
        <v>0</v>
      </c>
      <c r="AM15" s="17" t="b">
        <f t="shared" ca="1" si="85"/>
        <v>1</v>
      </c>
      <c r="AN15" s="17">
        <f t="shared" ca="1" si="86"/>
        <v>2</v>
      </c>
      <c r="AO15" s="24" t="str">
        <f t="shared" ca="1" si="15"/>
        <v/>
      </c>
      <c r="AP15" s="24" t="str">
        <f t="shared" ca="1" si="16"/>
        <v/>
      </c>
      <c r="AQ15" s="17" t="b">
        <f t="shared" ca="1" si="17"/>
        <v>1</v>
      </c>
      <c r="AR15" s="17" t="b">
        <f t="shared" ca="1" si="18"/>
        <v>0</v>
      </c>
      <c r="AS15" s="17" t="b">
        <f t="shared" ca="1" si="19"/>
        <v>0</v>
      </c>
      <c r="AT15" s="17" t="b">
        <f t="shared" ca="1" si="20"/>
        <v>0</v>
      </c>
      <c r="AU15" s="17" t="b">
        <f t="shared" ca="1" si="21"/>
        <v>1</v>
      </c>
      <c r="AV15" s="17" t="b">
        <f t="shared" ca="1" si="22"/>
        <v>0</v>
      </c>
      <c r="AW15" s="17" t="b">
        <f t="shared" ca="1" si="23"/>
        <v>1</v>
      </c>
      <c r="AX15" s="14" t="b">
        <f t="array" aca="1" ref="AX15" ca="1">IF(H15,N15&gt;0,"")</f>
        <v>0</v>
      </c>
      <c r="AY15" s="17" t="str">
        <f t="shared" ca="1" si="24"/>
        <v/>
      </c>
      <c r="AZ15" s="17" t="str">
        <f t="array" aca="1" ref="AZ15" ca="1">IF(AY15&lt;&gt;"",SUM(1*ISERROR(MATCH(INDIRECT(AY15),INDIRECT(K15),0)))=0,"")</f>
        <v/>
      </c>
      <c r="BA15" s="17" t="b">
        <f t="shared" ca="1" si="25"/>
        <v>0</v>
      </c>
      <c r="BB15" s="17" t="str">
        <f t="shared" ca="1" si="87"/>
        <v/>
      </c>
      <c r="BC15" s="17" t="str">
        <f t="shared" ca="1" si="88"/>
        <v/>
      </c>
      <c r="BD15" s="17" t="str">
        <f t="shared" ca="1" si="89"/>
        <v/>
      </c>
      <c r="BE15" s="17" t="str">
        <f t="shared" ca="1" si="90"/>
        <v/>
      </c>
      <c r="BF15" s="17" t="str">
        <f t="shared" ca="1" si="91"/>
        <v/>
      </c>
      <c r="BG15" s="17" t="str">
        <f t="shared" ca="1" si="92"/>
        <v/>
      </c>
      <c r="BH15" s="17" t="str">
        <f t="shared" ca="1" si="93"/>
        <v/>
      </c>
      <c r="BI15" s="17" t="str">
        <f t="shared" ca="1" si="94"/>
        <v/>
      </c>
      <c r="BJ15" s="17" t="b">
        <f t="shared" ca="1" si="95"/>
        <v>1</v>
      </c>
      <c r="BK15" s="17" t="b">
        <f t="shared" ca="1" si="28"/>
        <v>0</v>
      </c>
      <c r="BL15" s="17" t="b">
        <f t="shared" ca="1" si="29"/>
        <v>1</v>
      </c>
      <c r="BM15" s="17" t="str">
        <f t="shared" ca="1" si="30"/>
        <v>N</v>
      </c>
      <c r="BN15" s="17" t="str">
        <f t="shared" ca="1" si="31"/>
        <v>E</v>
      </c>
      <c r="BO15" s="17" t="str">
        <f t="shared" ca="1" si="96"/>
        <v>I</v>
      </c>
      <c r="BP15" s="14" t="b">
        <f t="shared" ca="1" si="97"/>
        <v>1</v>
      </c>
      <c r="BQ15" s="15">
        <v>1</v>
      </c>
      <c r="BU15" s="14" t="s">
        <v>388</v>
      </c>
      <c r="BX15" s="16"/>
      <c r="BY15" s="16"/>
      <c r="BZ15" s="16"/>
      <c r="CA15" s="16">
        <v>1</v>
      </c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>WAW1: 0.14 LAB3: 0.98</v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■The following cases have non-integer values: WAW1: 0.14, LAB3: 0.98■</v>
      </c>
      <c r="DD15" s="14" t="str">
        <f t="shared" ca="1" si="98"/>
        <v>The following cases have non-integer values: WAW1: 0.14, LAB3: 0.98■</v>
      </c>
      <c r="DE15" s="14" t="str">
        <f t="shared" ca="1" si="99"/>
        <v>The following cases have non-integer values: WAW1: 0.14, LAB3: 0.98</v>
      </c>
      <c r="DF15" s="14" t="str">
        <f t="shared" ca="1" si="100"/>
        <v>The following cases have non-integer values: WAW1: 0.14, LAB3: 0.98</v>
      </c>
      <c r="DG15" s="14" t="str">
        <f t="shared" ca="1" si="101"/>
        <v/>
      </c>
      <c r="DH15" s="14" t="str">
        <f t="shared" ca="1" si="102"/>
        <v/>
      </c>
      <c r="DI15" s="14" t="str">
        <f t="shared" ca="1" si="103"/>
        <v/>
      </c>
      <c r="DJ15" s="14" t="str">
        <f t="shared" ca="1" si="104"/>
        <v/>
      </c>
      <c r="DK15" s="14" t="str">
        <f t="shared" ca="1" si="105"/>
        <v/>
      </c>
      <c r="DL15" s="14" t="str">
        <f t="shared" ca="1" si="106"/>
        <v/>
      </c>
      <c r="DM15" s="14" t="str">
        <f t="shared" ca="1" si="107"/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ca="1" si="108"/>
        <v/>
      </c>
      <c r="DP15" s="14" t="str">
        <f t="shared" ca="1" si="109"/>
        <v>The following cases have non-integer values: WAW1: 0.14, LAB3: 0.98</v>
      </c>
      <c r="DQ15" s="14" t="str">
        <f t="shared" ca="1" si="110"/>
        <v/>
      </c>
      <c r="DR15" s="14" t="str">
        <f t="shared" ca="1" si="34"/>
        <v/>
      </c>
      <c r="DS15" s="14" t="str">
        <f t="shared" ca="1" si="35"/>
        <v/>
      </c>
      <c r="DZ15" s="14" t="b">
        <f t="shared" ca="1" si="111"/>
        <v>0</v>
      </c>
      <c r="EA15" s="14" t="str">
        <f t="shared" ca="1" si="36"/>
        <v>Zmienna ciągła, ale dyskretna (numdiscr)</v>
      </c>
      <c r="EB15" s="14" t="str">
        <f t="shared" ca="1" si="112"/>
        <v xml:space="preserve">Values must be integers. </v>
      </c>
      <c r="EC15" s="14" t="str">
        <f t="shared" ca="1" si="37"/>
        <v xml:space="preserve">Zmienna ciągła, ale dyskretna (numdiscr): Values must be integers. </v>
      </c>
      <c r="ED15" s="14" t="str">
        <f t="shared" ca="1" si="38"/>
        <v/>
      </c>
      <c r="EE15" s="14" t="str">
        <f t="shared" ca="1" si="39"/>
        <v>Values must be integers</v>
      </c>
      <c r="EF15" s="14" t="str">
        <f t="shared" ca="1" si="113"/>
        <v/>
      </c>
      <c r="EG15" s="14" t="str">
        <f t="shared" ca="1" si="114"/>
        <v/>
      </c>
      <c r="EM15" s="14" t="b">
        <f t="shared" ca="1" si="115"/>
        <v>1</v>
      </c>
      <c r="EN15" s="14">
        <f t="shared" ca="1" si="40"/>
        <v>12</v>
      </c>
      <c r="EO15" s="14" t="str">
        <f t="shared" ca="1" si="41"/>
        <v>numdiscr</v>
      </c>
      <c r="EP15" s="14" t="str">
        <f t="shared" ca="1" si="116"/>
        <v xml:space="preserve">Zmienna ciągła, ale dyskretna (numdiscr): Values must be integers. </v>
      </c>
      <c r="EQ15" s="14" t="str">
        <f t="shared" ca="1" si="117"/>
        <v>The following cases have non-integer values: WAW1: 0.14, LAB3: 0.98</v>
      </c>
    </row>
    <row r="16" spans="1:147" s="14" customFormat="1">
      <c r="B16" s="14" t="str">
        <f t="shared" ca="1" si="76"/>
        <v>The following cases are non-numeric: WAW3: x</v>
      </c>
      <c r="C16" s="14">
        <f t="shared" ca="1" si="77"/>
        <v>13</v>
      </c>
      <c r="D16" s="14">
        <f t="shared" si="78"/>
        <v>14</v>
      </c>
      <c r="E16" s="14" t="str">
        <f t="shared" ca="1" si="0"/>
        <v>S</v>
      </c>
      <c r="F16" s="14" t="str">
        <f t="shared" ca="1" si="1"/>
        <v>dat1</v>
      </c>
      <c r="G16" s="14" t="str">
        <f t="shared" ca="1" si="2"/>
        <v>Taka moja data</v>
      </c>
      <c r="H16" s="14" t="b">
        <f t="shared" ca="1" si="79"/>
        <v>1</v>
      </c>
      <c r="I16" s="14" t="str">
        <f ca="1">IF($H16,ADDRESS(3,(D16+1)*2-1,4,,"["&amp;wew!$G$7&amp;"]"&amp;_sheetname_labels)&amp;":"&amp;ADDRESS(2+ster!$B$20,(D16+1)*2-1,4),"")</f>
        <v>'[dane surowe2d_2.xlsm]labels'!AC3:AC36</v>
      </c>
      <c r="J16" s="14">
        <f t="array" aca="1" ref="J16" ca="1">IF(H16,MAX(0,MAX(IF(INDIRECT(I16)&lt;&gt;"",ROW(INDIRECT(I16)),""))-2),"")</f>
        <v>0</v>
      </c>
      <c r="K16" s="14" t="str">
        <f ca="1">IF($H16,IF($J16&gt;0,ADDRESS(3,(D16+1)*2-1,4,,"["&amp;wew!$G$7&amp;"]"&amp;_sheetname_labels)&amp;":"&amp;ADDRESS(2+J16,(D16+1)*2-1,4),""),"")</f>
        <v/>
      </c>
      <c r="L16" s="14" t="str">
        <f ca="1">IF($H16,IF($J16&gt;0,ADDRESS(3,(D16+1)*2,4,,"["&amp;wew!$G$7&amp;"]"&amp;_sheetname_labels)&amp;":"&amp;ADDRESS(2+J16,(D16+1)*2,4),""),"")</f>
        <v/>
      </c>
      <c r="M16" s="14">
        <f t="shared" ca="1" si="80"/>
        <v>0</v>
      </c>
      <c r="N16" s="14">
        <f t="shared" ca="1" si="4"/>
        <v>0</v>
      </c>
      <c r="O16" s="14" t="str">
        <f t="shared" ca="1" si="81"/>
        <v>dat1</v>
      </c>
      <c r="P16" s="14" t="str">
        <f t="shared" ca="1" si="82"/>
        <v>Taka moja data</v>
      </c>
      <c r="Q16" s="14" t="str">
        <f ca="1">IF($BP16,ADDRESS(3,D16+1,4,,"["&amp;wew!$G$7&amp;"]"&amp;_sheetname_dataframe)&amp;":"&amp;ADDRESS(2+ster!$C$14,D16+1,4),"")</f>
        <v>'[dane surowe2d_2.xlsm]data_frame'!O3:O12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6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3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5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38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42773</v>
      </c>
      <c r="Z16" s="14">
        <f t="shared" ca="1" si="7"/>
        <v>1</v>
      </c>
      <c r="AA16" s="12">
        <f t="shared" ca="1" si="8"/>
        <v>0.83333333333333337</v>
      </c>
      <c r="AB16" s="17">
        <f t="array" aca="1" ref="AB16" ca="1">IF(H16,IF(W16&gt;0,SUM((INDIRECT(ster!$D$14)&lt;&gt;"")*IFERROR((INDIRECT(Q16)&lt;&gt;"")*(INDIRECT(Q16)=INT(INDIRECT(Q16))),0)),0),"")</f>
        <v>5</v>
      </c>
      <c r="AC16" s="17">
        <f t="array" aca="1" ref="AC16" ca="1">IF(H16,W16-AB16,"")</f>
        <v>0</v>
      </c>
      <c r="AD16" s="17">
        <f t="shared" ca="1" si="83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84"/>
        <v>0</v>
      </c>
      <c r="AM16" s="17" t="b">
        <f t="shared" ca="1" si="85"/>
        <v>1</v>
      </c>
      <c r="AN16" s="17">
        <f t="shared" ca="1" si="86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17"/>
        <v>0</v>
      </c>
      <c r="AR16" s="17" t="b">
        <f t="shared" ca="1" si="18"/>
        <v>0</v>
      </c>
      <c r="AS16" s="17" t="b">
        <f t="shared" ca="1" si="19"/>
        <v>0</v>
      </c>
      <c r="AT16" s="17" t="b">
        <f t="shared" ca="1" si="20"/>
        <v>0</v>
      </c>
      <c r="AU16" s="17" t="b">
        <f t="shared" ca="1" si="21"/>
        <v>0</v>
      </c>
      <c r="AV16" s="17" t="b">
        <f t="shared" ca="1" si="22"/>
        <v>1</v>
      </c>
      <c r="AW16" s="17" t="b">
        <f t="shared" ca="1" si="23"/>
        <v>0</v>
      </c>
      <c r="AX16" s="14" t="b">
        <f t="array" aca="1" ref="AX16" ca="1">IF(H16,N16&gt;0,"")</f>
        <v>0</v>
      </c>
      <c r="AY16" s="17" t="str">
        <f t="shared" ca="1" si="24"/>
        <v/>
      </c>
      <c r="AZ16" s="17" t="str">
        <f t="array" aca="1" ref="AZ16" ca="1">IF(AY16&lt;&gt;"",SUM(1*ISERROR(MATCH(INDIRECT(AY16),INDIRECT(K16),0)))=0,"")</f>
        <v/>
      </c>
      <c r="BA16" s="17" t="b">
        <f t="shared" ca="1" si="25"/>
        <v>0</v>
      </c>
      <c r="BB16" s="17" t="str">
        <f t="shared" ca="1" si="87"/>
        <v/>
      </c>
      <c r="BC16" s="17" t="str">
        <f t="shared" ca="1" si="88"/>
        <v/>
      </c>
      <c r="BD16" s="17" t="str">
        <f t="shared" ca="1" si="89"/>
        <v/>
      </c>
      <c r="BE16" s="17" t="str">
        <f t="shared" ca="1" si="90"/>
        <v/>
      </c>
      <c r="BF16" s="17" t="str">
        <f t="shared" ca="1" si="91"/>
        <v/>
      </c>
      <c r="BG16" s="17" t="str">
        <f t="shared" ca="1" si="92"/>
        <v/>
      </c>
      <c r="BH16" s="17" t="str">
        <f t="shared" ca="1" si="93"/>
        <v/>
      </c>
      <c r="BI16" s="17" t="str">
        <f t="shared" ca="1" si="94"/>
        <v/>
      </c>
      <c r="BJ16" s="17" t="b">
        <f t="shared" ca="1" si="95"/>
        <v>1</v>
      </c>
      <c r="BK16" s="17" t="str">
        <f t="shared" ca="1" si="28"/>
        <v/>
      </c>
      <c r="BL16" s="17" t="str">
        <f t="shared" ca="1" si="29"/>
        <v/>
      </c>
      <c r="BM16" s="17" t="str">
        <f t="shared" ca="1" si="30"/>
        <v>D</v>
      </c>
      <c r="BN16" s="17" t="str">
        <f t="shared" ca="1" si="31"/>
        <v>E</v>
      </c>
      <c r="BO16" s="17" t="str">
        <f t="shared" ca="1" si="96"/>
        <v>I</v>
      </c>
      <c r="BP16" s="14" t="b">
        <f t="shared" ca="1" si="97"/>
        <v>1</v>
      </c>
      <c r="BQ16" s="15">
        <v>1</v>
      </c>
      <c r="BU16" s="14" t="s">
        <v>389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>WAW3: x</v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■The following cases are non-numeric: WAW3: x■</v>
      </c>
      <c r="DD16" s="14" t="str">
        <f t="shared" ca="1" si="98"/>
        <v>The following cases are non-numeric: WAW3: x■</v>
      </c>
      <c r="DE16" s="14" t="str">
        <f t="shared" ca="1" si="99"/>
        <v>The following cases are non-numeric: WAW3: x</v>
      </c>
      <c r="DF16" s="14" t="str">
        <f t="shared" ca="1" si="100"/>
        <v>The following cases are non-numeric: WAW3: x</v>
      </c>
      <c r="DG16" s="14" t="str">
        <f t="shared" ca="1" si="101"/>
        <v/>
      </c>
      <c r="DH16" s="14" t="str">
        <f t="shared" ca="1" si="102"/>
        <v/>
      </c>
      <c r="DI16" s="14" t="str">
        <f t="shared" ca="1" si="103"/>
        <v/>
      </c>
      <c r="DJ16" s="14" t="str">
        <f t="shared" ca="1" si="104"/>
        <v/>
      </c>
      <c r="DK16" s="14" t="str">
        <f t="shared" ca="1" si="105"/>
        <v/>
      </c>
      <c r="DL16" s="14" t="str">
        <f t="shared" ca="1" si="106"/>
        <v/>
      </c>
      <c r="DM16" s="14" t="str">
        <f t="shared" ca="1" si="107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108"/>
        <v/>
      </c>
      <c r="DP16" s="14" t="str">
        <f t="shared" ca="1" si="109"/>
        <v/>
      </c>
      <c r="DQ16" s="14" t="str">
        <f t="shared" ca="1" si="110"/>
        <v>The following cases are non-numeric: WAW3: x</v>
      </c>
      <c r="DR16" s="14" t="str">
        <f t="shared" ca="1" si="34"/>
        <v/>
      </c>
      <c r="DS16" s="14" t="str">
        <f t="shared" ca="1" si="35"/>
        <v/>
      </c>
      <c r="DZ16" s="14" t="b">
        <f t="shared" ca="1" si="111"/>
        <v>0</v>
      </c>
      <c r="EA16" s="14" t="str">
        <f t="shared" ca="1" si="36"/>
        <v>Taka moja data (dat1)</v>
      </c>
      <c r="EB16" s="14" t="str">
        <f t="shared" ca="1" si="112"/>
        <v xml:space="preserve">Values must be numeric. </v>
      </c>
      <c r="EC16" s="14" t="str">
        <f t="shared" ca="1" si="37"/>
        <v xml:space="preserve">Taka moja data (dat1): Values must be numeric. </v>
      </c>
      <c r="ED16" s="14" t="str">
        <f t="shared" ca="1" si="38"/>
        <v/>
      </c>
      <c r="EE16" s="14" t="str">
        <f t="shared" ca="1" si="39"/>
        <v>Values must be numeric</v>
      </c>
      <c r="EF16" s="14" t="str">
        <f t="shared" ca="1" si="113"/>
        <v/>
      </c>
      <c r="EG16" s="14" t="str">
        <f t="shared" ca="1" si="114"/>
        <v/>
      </c>
      <c r="EM16" s="14" t="b">
        <f t="shared" ca="1" si="115"/>
        <v>1</v>
      </c>
      <c r="EN16" s="14">
        <f t="shared" ca="1" si="40"/>
        <v>13</v>
      </c>
      <c r="EO16" s="14" t="str">
        <f t="shared" ca="1" si="41"/>
        <v>dat1</v>
      </c>
      <c r="EP16" s="14" t="str">
        <f t="shared" ca="1" si="116"/>
        <v xml:space="preserve">Taka moja data (dat1): Values must be numeric. </v>
      </c>
      <c r="EQ16" s="14" t="str">
        <f t="shared" ca="1" si="117"/>
        <v>The following cases are non-numeric: WAW3: x</v>
      </c>
    </row>
    <row r="17" spans="2:147" s="14" customFormat="1">
      <c r="B17" s="14" t="str">
        <f t="shared" ca="1" si="76"/>
        <v/>
      </c>
      <c r="C17" s="14">
        <f t="shared" ca="1" si="77"/>
        <v>14</v>
      </c>
      <c r="D17" s="14">
        <f t="shared" si="78"/>
        <v>15</v>
      </c>
      <c r="E17" s="14" t="str">
        <f t="shared" ca="1" si="0"/>
        <v>I</v>
      </c>
      <c r="F17" s="14" t="str">
        <f t="shared" ca="1" si="1"/>
        <v>dat2</v>
      </c>
      <c r="G17" s="14" t="str">
        <f t="shared" ca="1" si="2"/>
        <v>Taka moja data</v>
      </c>
      <c r="H17" s="14" t="b">
        <f t="shared" ca="1" si="79"/>
        <v>1</v>
      </c>
      <c r="I17" s="14" t="str">
        <f ca="1">IF($H17,ADDRESS(3,(D17+1)*2-1,4,,"["&amp;wew!$G$7&amp;"]"&amp;_sheetname_labels)&amp;":"&amp;ADDRESS(2+ster!$B$20,(D17+1)*2-1,4),"")</f>
        <v>'[dane surowe2d_2.xlsm]labels'!AE3:AE36</v>
      </c>
      <c r="J17" s="14">
        <f t="array" aca="1" ref="J17" ca="1">IF(H17,MAX(0,MAX(IF(INDIRECT(I17)&lt;&gt;"",ROW(INDIRECT(I17)),""))-2),"")</f>
        <v>0</v>
      </c>
      <c r="K17" s="14" t="str">
        <f ca="1">IF($H17,IF($J17&gt;0,ADDRESS(3,(D17+1)*2-1,4,,"["&amp;wew!$G$7&amp;"]"&amp;_sheetname_labels)&amp;":"&amp;ADDRESS(2+J17,(D17+1)*2-1,4),""),"")</f>
        <v/>
      </c>
      <c r="L17" s="14" t="str">
        <f ca="1">IF($H17,IF($J17&gt;0,ADDRESS(3,(D17+1)*2,4,,"["&amp;wew!$G$7&amp;"]"&amp;_sheetname_labels)&amp;":"&amp;ADDRESS(2+J17,(D17+1)*2,4),""),"")</f>
        <v/>
      </c>
      <c r="M17" s="14">
        <f t="shared" ca="1" si="80"/>
        <v>0</v>
      </c>
      <c r="N17" s="14">
        <f t="shared" ca="1" si="4"/>
        <v>0</v>
      </c>
      <c r="O17" s="14" t="str">
        <f t="shared" ca="1" si="81"/>
        <v>dat2</v>
      </c>
      <c r="P17" s="14" t="str">
        <f t="shared" ca="1" si="82"/>
        <v>Taka moja data</v>
      </c>
      <c r="Q17" s="14" t="str">
        <f ca="1">IF($BP17,ADDRESS(3,D17+1,4,,"["&amp;wew!$G$7&amp;"]"&amp;_sheetname_dataframe)&amp;":"&amp;ADDRESS(2+ster!$C$14,D17+1,4),"")</f>
        <v>'[dane surowe2d_2.xlsm]data_frame'!P3:P12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5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4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5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38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42773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5</v>
      </c>
      <c r="AC17" s="17">
        <f t="array" aca="1" ref="AC17" ca="1">IF(H17,W17-AB17,"")</f>
        <v>0</v>
      </c>
      <c r="AD17" s="17">
        <f t="shared" ca="1" si="83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84"/>
        <v>0</v>
      </c>
      <c r="AM17" s="17" t="b">
        <f t="shared" ca="1" si="85"/>
        <v>1</v>
      </c>
      <c r="AN17" s="17">
        <f t="shared" ca="1" si="86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17"/>
        <v>0</v>
      </c>
      <c r="AR17" s="17" t="b">
        <f t="shared" ca="1" si="18"/>
        <v>0</v>
      </c>
      <c r="AS17" s="17" t="b">
        <f t="shared" ca="1" si="19"/>
        <v>0</v>
      </c>
      <c r="AT17" s="17" t="b">
        <f t="shared" ca="1" si="20"/>
        <v>0</v>
      </c>
      <c r="AU17" s="17" t="b">
        <f t="shared" ca="1" si="21"/>
        <v>0</v>
      </c>
      <c r="AV17" s="17" t="b">
        <f t="shared" ca="1" si="22"/>
        <v>1</v>
      </c>
      <c r="AW17" s="17" t="b">
        <f t="shared" ca="1" si="23"/>
        <v>1</v>
      </c>
      <c r="AX17" s="14" t="b">
        <f t="array" aca="1" ref="AX17" ca="1">IF(H17,N17&gt;0,"")</f>
        <v>0</v>
      </c>
      <c r="AY17" s="17" t="str">
        <f t="shared" ca="1" si="24"/>
        <v/>
      </c>
      <c r="AZ17" s="17" t="str">
        <f t="array" aca="1" ref="AZ17" ca="1">IF(AY17&lt;&gt;"",SUM(1*ISERROR(MATCH(INDIRECT(AY17),INDIRECT(K17),0)))=0,"")</f>
        <v/>
      </c>
      <c r="BA17" s="17" t="b">
        <f t="shared" ca="1" si="25"/>
        <v>0</v>
      </c>
      <c r="BB17" s="17" t="str">
        <f t="shared" ca="1" si="87"/>
        <v/>
      </c>
      <c r="BC17" s="17" t="str">
        <f t="shared" ca="1" si="88"/>
        <v/>
      </c>
      <c r="BD17" s="17" t="str">
        <f t="shared" ca="1" si="89"/>
        <v/>
      </c>
      <c r="BE17" s="17" t="str">
        <f t="shared" ca="1" si="90"/>
        <v/>
      </c>
      <c r="BF17" s="17" t="str">
        <f t="shared" ca="1" si="91"/>
        <v/>
      </c>
      <c r="BG17" s="17" t="str">
        <f t="shared" ca="1" si="92"/>
        <v/>
      </c>
      <c r="BH17" s="17" t="str">
        <f t="shared" ca="1" si="93"/>
        <v/>
      </c>
      <c r="BI17" s="17" t="str">
        <f t="shared" ca="1" si="94"/>
        <v/>
      </c>
      <c r="BJ17" s="17" t="b">
        <f t="shared" ca="1" si="95"/>
        <v>0</v>
      </c>
      <c r="BK17" s="17" t="str">
        <f t="shared" ca="1" si="28"/>
        <v/>
      </c>
      <c r="BL17" s="17" t="str">
        <f t="shared" ca="1" si="29"/>
        <v/>
      </c>
      <c r="BM17" s="17" t="str">
        <f t="shared" ca="1" si="30"/>
        <v>D</v>
      </c>
      <c r="BN17" s="17" t="str">
        <f t="shared" ca="1" si="31"/>
        <v>D</v>
      </c>
      <c r="BO17" s="17" t="str">
        <f t="shared" ca="1" si="96"/>
        <v>I</v>
      </c>
      <c r="BP17" s="14" t="b">
        <f t="shared" ca="1" si="97"/>
        <v>1</v>
      </c>
      <c r="BQ17" s="15">
        <v>1</v>
      </c>
      <c r="BU17" s="14" t="s">
        <v>389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98"/>
        <v/>
      </c>
      <c r="DE17" s="14" t="str">
        <f t="shared" ca="1" si="99"/>
        <v/>
      </c>
      <c r="DF17" s="14" t="str">
        <f t="shared" ca="1" si="100"/>
        <v/>
      </c>
      <c r="DG17" s="14" t="str">
        <f t="shared" ca="1" si="101"/>
        <v/>
      </c>
      <c r="DH17" s="14" t="str">
        <f t="shared" ca="1" si="102"/>
        <v/>
      </c>
      <c r="DI17" s="14" t="str">
        <f t="shared" ca="1" si="103"/>
        <v/>
      </c>
      <c r="DJ17" s="14" t="str">
        <f t="shared" ca="1" si="104"/>
        <v/>
      </c>
      <c r="DK17" s="14" t="str">
        <f t="shared" ca="1" si="105"/>
        <v/>
      </c>
      <c r="DL17" s="14" t="str">
        <f t="shared" ca="1" si="106"/>
        <v/>
      </c>
      <c r="DM17" s="14" t="str">
        <f t="shared" ca="1" si="107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108"/>
        <v/>
      </c>
      <c r="DP17" s="14" t="str">
        <f t="shared" ca="1" si="109"/>
        <v/>
      </c>
      <c r="DQ17" s="14" t="str">
        <f t="shared" ca="1" si="110"/>
        <v/>
      </c>
      <c r="DR17" s="14" t="str">
        <f t="shared" ca="1" si="34"/>
        <v/>
      </c>
      <c r="DS17" s="14" t="str">
        <f t="shared" ca="1" si="35"/>
        <v/>
      </c>
      <c r="DZ17" s="14" t="b">
        <f t="shared" ca="1" si="111"/>
        <v>0</v>
      </c>
      <c r="EA17" s="14" t="str">
        <f t="shared" ca="1" si="36"/>
        <v>Taka moja data (dat2)</v>
      </c>
      <c r="EB17" s="14" t="str">
        <f t="shared" ca="1" si="112"/>
        <v xml:space="preserve">Values must be numeric. </v>
      </c>
      <c r="EC17" s="14" t="str">
        <f t="shared" ca="1" si="37"/>
        <v xml:space="preserve">Taka moja data (dat2): Values must be numeric. </v>
      </c>
      <c r="ED17" s="14" t="str">
        <f t="shared" ca="1" si="38"/>
        <v/>
      </c>
      <c r="EE17" s="14" t="str">
        <f t="shared" ca="1" si="39"/>
        <v>Values must be numeric</v>
      </c>
      <c r="EF17" s="14" t="str">
        <f t="shared" ca="1" si="113"/>
        <v/>
      </c>
      <c r="EG17" s="14" t="str">
        <f t="shared" ca="1" si="114"/>
        <v/>
      </c>
      <c r="EM17" s="14" t="b">
        <f t="shared" ca="1" si="115"/>
        <v>1</v>
      </c>
      <c r="EN17" s="14">
        <f t="shared" ca="1" si="40"/>
        <v>14</v>
      </c>
      <c r="EO17" s="14" t="str">
        <f t="shared" ca="1" si="41"/>
        <v>dat2</v>
      </c>
      <c r="EP17" s="14" t="str">
        <f t="shared" ca="1" si="116"/>
        <v xml:space="preserve">Taka moja data (dat2): Values must be numeric. </v>
      </c>
      <c r="EQ17" s="14" t="str">
        <f t="shared" ca="1" si="117"/>
        <v/>
      </c>
    </row>
    <row r="18" spans="2:147" s="14" customFormat="1">
      <c r="B18" s="14" t="str">
        <f t="shared" ca="1" si="76"/>
        <v/>
      </c>
      <c r="C18" s="14">
        <f t="shared" ca="1" si="77"/>
        <v>15</v>
      </c>
      <c r="D18" s="14">
        <f t="shared" si="78"/>
        <v>16</v>
      </c>
      <c r="E18" s="14" t="str">
        <f t="shared" ca="1" si="0"/>
        <v>D</v>
      </c>
      <c r="F18" s="14" t="str">
        <f t="shared" ca="1" si="1"/>
        <v>dobule</v>
      </c>
      <c r="G18" s="14" t="str">
        <f t="shared" ca="1" si="2"/>
        <v>dwupoziomowa</v>
      </c>
      <c r="H18" s="14" t="b">
        <f t="shared" ca="1" si="79"/>
        <v>1</v>
      </c>
      <c r="I18" s="14" t="str">
        <f ca="1">IF($H18,ADDRESS(3,(D18+1)*2-1,4,,"["&amp;wew!$G$7&amp;"]"&amp;_sheetname_labels)&amp;":"&amp;ADDRESS(2+ster!$B$20,(D18+1)*2-1,4),"")</f>
        <v>'[dane surowe2d_2.xlsm]labels'!AG3:AG36</v>
      </c>
      <c r="J18" s="14">
        <f t="array" aca="1" ref="J18" ca="1">IF(H18,MAX(0,MAX(IF(INDIRECT(I18)&lt;&gt;"",ROW(INDIRECT(I18)),""))-2),"")</f>
        <v>2</v>
      </c>
      <c r="K18" s="14" t="str">
        <f ca="1">IF($H18,IF($J18&gt;0,ADDRESS(3,(D18+1)*2-1,4,,"["&amp;wew!$G$7&amp;"]"&amp;_sheetname_labels)&amp;":"&amp;ADDRESS(2+J18,(D18+1)*2-1,4),""),"")</f>
        <v>'[dane surowe2d_2.xlsm]labels'!AG3:AG4</v>
      </c>
      <c r="L18" s="14" t="str">
        <f ca="1">IF($H18,IF($J18&gt;0,ADDRESS(3,(D18+1)*2,4,,"["&amp;wew!$G$7&amp;"]"&amp;_sheetname_labels)&amp;":"&amp;ADDRESS(2+J18,(D18+1)*2,4),""),"")</f>
        <v>'[dane surowe2d_2.xlsm]labels'!AH3:AH4</v>
      </c>
      <c r="M18" s="14">
        <f t="shared" ca="1" si="80"/>
        <v>0</v>
      </c>
      <c r="N18" s="14">
        <f t="shared" ca="1" si="4"/>
        <v>2</v>
      </c>
      <c r="O18" s="14" t="str">
        <f t="shared" ca="1" si="81"/>
        <v>dobule</v>
      </c>
      <c r="P18" s="14" t="str">
        <f t="shared" ca="1" si="82"/>
        <v>dwupoziomowa</v>
      </c>
      <c r="Q18" s="14" t="str">
        <f ca="1">IF($BP18,ADDRESS(3,D18+1,4,,"["&amp;wew!$G$7&amp;"]"&amp;_sheetname_dataframe)&amp;":"&amp;ADDRESS(2+ster!$C$14,D18+1,4),"")</f>
        <v>'[dane surowe2d_2.xlsm]data_frame'!Q3:Q12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7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2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7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1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2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7</v>
      </c>
      <c r="AC18" s="17">
        <f t="array" aca="1" ref="AC18" ca="1">IF(H18,W18-AB18,"")</f>
        <v>0</v>
      </c>
      <c r="AD18" s="17">
        <f t="shared" ca="1" si="83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84"/>
        <v>1</v>
      </c>
      <c r="AM18" s="17" t="b">
        <f t="shared" ca="1" si="85"/>
        <v>0</v>
      </c>
      <c r="AN18" s="17">
        <f t="shared" ca="1" si="86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17"/>
        <v>0</v>
      </c>
      <c r="AR18" s="17" t="b">
        <f t="shared" ca="1" si="18"/>
        <v>1</v>
      </c>
      <c r="AS18" s="17" t="b">
        <f t="shared" ca="1" si="19"/>
        <v>0</v>
      </c>
      <c r="AT18" s="17" t="b">
        <f t="shared" ca="1" si="20"/>
        <v>0</v>
      </c>
      <c r="AU18" s="17" t="b">
        <f t="shared" ca="1" si="21"/>
        <v>1</v>
      </c>
      <c r="AV18" s="17" t="b">
        <f t="shared" ca="1" si="22"/>
        <v>0</v>
      </c>
      <c r="AW18" s="17" t="b">
        <f t="shared" ca="1" si="23"/>
        <v>1</v>
      </c>
      <c r="AX18" s="14" t="b">
        <f t="array" aca="1" ref="AX18" ca="1">IF(H18,N18&gt;0,"")</f>
        <v>1</v>
      </c>
      <c r="AY18" s="17" t="str">
        <f t="shared" ca="1" si="24"/>
        <v>C3:C4</v>
      </c>
      <c r="AZ18" s="17" t="b">
        <f t="array" aca="1" ref="AZ18" ca="1">IF(AY18&lt;&gt;"",SUM(1*ISERROR(MATCH(INDIRECT(AY18),INDIRECT(K18),0)))=0,"")</f>
        <v>1</v>
      </c>
      <c r="BA18" s="17" t="b">
        <f t="shared" ca="1" si="25"/>
        <v>1</v>
      </c>
      <c r="BB18" s="17" t="b">
        <f t="shared" ca="1" si="87"/>
        <v>0</v>
      </c>
      <c r="BC18" s="17" t="b">
        <f t="shared" ca="1" si="88"/>
        <v>1</v>
      </c>
      <c r="BD18" s="17" t="b">
        <f t="shared" ca="1" si="89"/>
        <v>0</v>
      </c>
      <c r="BE18" s="17" t="b">
        <f t="shared" ca="1" si="90"/>
        <v>0</v>
      </c>
      <c r="BF18" s="17" t="b">
        <f t="shared" ca="1" si="91"/>
        <v>0</v>
      </c>
      <c r="BG18" s="17" t="b">
        <f t="shared" ca="1" si="92"/>
        <v>0</v>
      </c>
      <c r="BH18" s="17" t="b">
        <f t="shared" ca="1" si="93"/>
        <v>1</v>
      </c>
      <c r="BI18" s="17">
        <f t="shared" ca="1" si="94"/>
        <v>2</v>
      </c>
      <c r="BJ18" s="17" t="b">
        <f t="shared" ca="1" si="95"/>
        <v>0</v>
      </c>
      <c r="BK18" s="17" t="str">
        <f t="shared" ca="1" si="28"/>
        <v/>
      </c>
      <c r="BL18" s="17" t="str">
        <f t="shared" ca="1" si="29"/>
        <v/>
      </c>
      <c r="BM18" s="17" t="str">
        <f t="shared" ca="1" si="30"/>
        <v>F</v>
      </c>
      <c r="BN18" s="17" t="str">
        <f t="shared" ca="1" si="31"/>
        <v>F</v>
      </c>
      <c r="BO18" s="17" t="str">
        <f t="shared" ca="1" si="96"/>
        <v>D</v>
      </c>
      <c r="BP18" s="14" t="b">
        <f t="shared" ca="1" si="97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98"/>
        <v/>
      </c>
      <c r="DE18" s="14" t="str">
        <f t="shared" ca="1" si="99"/>
        <v/>
      </c>
      <c r="DF18" s="14" t="str">
        <f t="shared" ca="1" si="100"/>
        <v/>
      </c>
      <c r="DG18" s="14" t="str">
        <f t="shared" ca="1" si="101"/>
        <v/>
      </c>
      <c r="DH18" s="14" t="str">
        <f t="shared" ca="1" si="102"/>
        <v/>
      </c>
      <c r="DI18" s="14" t="str">
        <f t="shared" ca="1" si="103"/>
        <v/>
      </c>
      <c r="DJ18" s="14" t="str">
        <f t="shared" ca="1" si="104"/>
        <v/>
      </c>
      <c r="DK18" s="14" t="str">
        <f t="shared" ca="1" si="105"/>
        <v/>
      </c>
      <c r="DL18" s="14" t="str">
        <f t="shared" ca="1" si="106"/>
        <v/>
      </c>
      <c r="DM18" s="14" t="str">
        <f t="shared" ca="1" si="107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108"/>
        <v/>
      </c>
      <c r="DP18" s="14" t="str">
        <f t="shared" ca="1" si="109"/>
        <v/>
      </c>
      <c r="DQ18" s="14" t="str">
        <f t="shared" ca="1" si="110"/>
        <v/>
      </c>
      <c r="DR18" s="14" t="str">
        <f t="shared" ca="1" si="34"/>
        <v/>
      </c>
      <c r="DS18" s="14" t="str">
        <f t="shared" ca="1" si="35"/>
        <v/>
      </c>
      <c r="DZ18" s="14" t="b">
        <f t="shared" ca="1" si="111"/>
        <v>0</v>
      </c>
      <c r="EA18" s="14" t="str">
        <f t="shared" ca="1" si="36"/>
        <v>dwupoziomowa (dobule)</v>
      </c>
      <c r="EB18" s="14" t="str">
        <f t="shared" ca="1" si="112"/>
        <v xml:space="preserve">Values must be limited to predefinied list. </v>
      </c>
      <c r="EC18" s="14" t="str">
        <f t="shared" ca="1" si="37"/>
        <v xml:space="preserve">dwupoziomowa (dobule): Values must be limited to predefinied list. </v>
      </c>
      <c r="ED18" s="14" t="str">
        <f t="shared" ca="1" si="38"/>
        <v/>
      </c>
      <c r="EE18" s="14" t="str">
        <f t="shared" ca="1" si="39"/>
        <v>Values must be limited to predefinied list</v>
      </c>
      <c r="EF18" s="14" t="str">
        <f t="shared" ca="1" si="113"/>
        <v/>
      </c>
      <c r="EG18" s="14" t="str">
        <f t="shared" ca="1" si="114"/>
        <v/>
      </c>
      <c r="EM18" s="14" t="b">
        <f t="shared" ca="1" si="115"/>
        <v>1</v>
      </c>
      <c r="EN18" s="14">
        <f t="shared" ca="1" si="40"/>
        <v>15</v>
      </c>
      <c r="EO18" s="14" t="str">
        <f t="shared" ca="1" si="41"/>
        <v>dobule</v>
      </c>
      <c r="EP18" s="14" t="str">
        <f t="shared" ca="1" si="116"/>
        <v xml:space="preserve">dwupoziomowa (dobule): Values must be limited to predefinied list. </v>
      </c>
      <c r="EQ18" s="14" t="str">
        <f t="shared" ca="1" si="117"/>
        <v/>
      </c>
    </row>
    <row r="19" spans="2:147" s="14" customFormat="1">
      <c r="B19" s="14" t="str">
        <f t="shared" ca="1" si="76"/>
        <v/>
      </c>
      <c r="C19" s="14">
        <f t="shared" ca="1" si="77"/>
        <v>16</v>
      </c>
      <c r="D19" s="14">
        <f t="shared" si="78"/>
        <v>17</v>
      </c>
      <c r="E19" s="14" t="str">
        <f t="shared" ca="1" si="0"/>
        <v>D</v>
      </c>
      <c r="F19" s="14" t="str">
        <f t="shared" ca="1" si="1"/>
        <v>dobule2</v>
      </c>
      <c r="G19" s="14" t="str">
        <f t="shared" ca="1" si="2"/>
        <v>dwupoziomowa2</v>
      </c>
      <c r="H19" s="14" t="b">
        <f t="shared" ca="1" si="79"/>
        <v>1</v>
      </c>
      <c r="I19" s="14" t="str">
        <f ca="1">IF($H19,ADDRESS(3,(D19+1)*2-1,4,,"["&amp;wew!$G$7&amp;"]"&amp;_sheetname_labels)&amp;":"&amp;ADDRESS(2+ster!$B$20,(D19+1)*2-1,4),"")</f>
        <v>'[dane surowe2d_2.xlsm]labels'!AI3:AI36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'[dane surowe2d_2.xlsm]labels'!AI3:AI4</v>
      </c>
      <c r="L19" s="14" t="str">
        <f ca="1">IF($H19,IF($J19&gt;0,ADDRESS(3,(D19+1)*2,4,,"["&amp;wew!$G$7&amp;"]"&amp;_sheetname_labels)&amp;":"&amp;ADDRESS(2+J19,(D19+1)*2,4),""),"")</f>
        <v>'[dane surowe2d_2.xlsm]labels'!AJ3:AJ4</v>
      </c>
      <c r="M19" s="14">
        <f t="shared" ca="1" si="80"/>
        <v>0</v>
      </c>
      <c r="N19" s="14">
        <f t="shared" ca="1" si="4"/>
        <v>2</v>
      </c>
      <c r="O19" s="14" t="str">
        <f t="shared" ca="1" si="81"/>
        <v>dobule2</v>
      </c>
      <c r="P19" s="14" t="str">
        <f t="shared" ca="1" si="82"/>
        <v>dwupoziomowa2</v>
      </c>
      <c r="Q19" s="14" t="str">
        <f ca="1">IF($BP19,ADDRESS(3,D19+1,4,,"["&amp;wew!$G$7&amp;"]"&amp;_sheetname_dataframe)&amp;":"&amp;ADDRESS(2+ster!$C$14,D19+1,4),"")</f>
        <v>'[dane surowe2d_2.xlsm]data_frame'!R3:R12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7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2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7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0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1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7</v>
      </c>
      <c r="AC19" s="17">
        <f t="array" aca="1" ref="AC19" ca="1">IF(H19,W19-AB19,"")</f>
        <v>0</v>
      </c>
      <c r="AD19" s="17">
        <f t="shared" ca="1" si="83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84"/>
        <v>1</v>
      </c>
      <c r="AM19" s="17" t="b">
        <f t="shared" ca="1" si="85"/>
        <v>0</v>
      </c>
      <c r="AN19" s="17">
        <f t="shared" ca="1" si="86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17"/>
        <v>0</v>
      </c>
      <c r="AR19" s="17" t="b">
        <f t="shared" ca="1" si="18"/>
        <v>1</v>
      </c>
      <c r="AS19" s="17" t="b">
        <f t="shared" ca="1" si="19"/>
        <v>0</v>
      </c>
      <c r="AT19" s="17" t="b">
        <f t="shared" ca="1" si="20"/>
        <v>0</v>
      </c>
      <c r="AU19" s="17" t="b">
        <f t="shared" ca="1" si="21"/>
        <v>1</v>
      </c>
      <c r="AV19" s="17" t="b">
        <f t="shared" ca="1" si="22"/>
        <v>0</v>
      </c>
      <c r="AW19" s="17" t="b">
        <f t="shared" ca="1" si="23"/>
        <v>1</v>
      </c>
      <c r="AX19" s="14" t="b">
        <f t="array" aca="1" ref="AX19" ca="1">IF(H19,N19&gt;0,"")</f>
        <v>1</v>
      </c>
      <c r="AY19" s="17" t="str">
        <f t="shared" ca="1" si="24"/>
        <v>C3:C4</v>
      </c>
      <c r="AZ19" s="17" t="b">
        <f t="array" aca="1" ref="AZ19" ca="1">IF(AY19&lt;&gt;"",SUM(1*ISERROR(MATCH(INDIRECT(AY19),INDIRECT(K19),0)))=0,"")</f>
        <v>0</v>
      </c>
      <c r="BA19" s="17" t="b">
        <f t="shared" ca="1" si="25"/>
        <v>1</v>
      </c>
      <c r="BB19" s="17" t="b">
        <f t="shared" ca="1" si="87"/>
        <v>0</v>
      </c>
      <c r="BC19" s="17" t="b">
        <f t="shared" ca="1" si="88"/>
        <v>0</v>
      </c>
      <c r="BD19" s="17" t="b">
        <f t="shared" ca="1" si="89"/>
        <v>1</v>
      </c>
      <c r="BE19" s="17" t="b">
        <f t="shared" ca="1" si="90"/>
        <v>0</v>
      </c>
      <c r="BF19" s="17" t="b">
        <f t="shared" ca="1" si="91"/>
        <v>0</v>
      </c>
      <c r="BG19" s="17" t="b">
        <f t="shared" ca="1" si="92"/>
        <v>0</v>
      </c>
      <c r="BH19" s="17" t="b">
        <f t="shared" ca="1" si="93"/>
        <v>1</v>
      </c>
      <c r="BI19" s="17">
        <f t="shared" ca="1" si="94"/>
        <v>3</v>
      </c>
      <c r="BJ19" s="17" t="b">
        <f t="shared" ca="1" si="95"/>
        <v>0</v>
      </c>
      <c r="BK19" s="17" t="str">
        <f t="shared" ca="1" si="28"/>
        <v/>
      </c>
      <c r="BL19" s="17" t="str">
        <f t="shared" ca="1" si="29"/>
        <v/>
      </c>
      <c r="BM19" s="17" t="str">
        <f t="shared" ca="1" si="30"/>
        <v>L</v>
      </c>
      <c r="BN19" s="17" t="str">
        <f t="shared" ca="1" si="31"/>
        <v>L</v>
      </c>
      <c r="BO19" s="17" t="str">
        <f t="shared" ca="1" si="96"/>
        <v>D</v>
      </c>
      <c r="BP19" s="14" t="b">
        <f t="shared" ca="1" si="97"/>
        <v>1</v>
      </c>
      <c r="BQ19" s="15">
        <v>1</v>
      </c>
      <c r="BS19" s="14" t="s">
        <v>551</v>
      </c>
      <c r="BV19" s="14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98"/>
        <v/>
      </c>
      <c r="DE19" s="14" t="str">
        <f t="shared" ca="1" si="99"/>
        <v/>
      </c>
      <c r="DF19" s="14" t="str">
        <f t="shared" ca="1" si="100"/>
        <v/>
      </c>
      <c r="DG19" s="14" t="str">
        <f t="shared" ca="1" si="101"/>
        <v/>
      </c>
      <c r="DH19" s="14" t="str">
        <f t="shared" ca="1" si="102"/>
        <v/>
      </c>
      <c r="DI19" s="14" t="str">
        <f t="shared" ca="1" si="103"/>
        <v/>
      </c>
      <c r="DJ19" s="14" t="str">
        <f t="shared" ca="1" si="104"/>
        <v/>
      </c>
      <c r="DK19" s="14" t="str">
        <f t="shared" ca="1" si="105"/>
        <v/>
      </c>
      <c r="DL19" s="14" t="str">
        <f t="shared" ca="1" si="106"/>
        <v/>
      </c>
      <c r="DM19" s="14" t="str">
        <f t="shared" ca="1" si="107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108"/>
        <v/>
      </c>
      <c r="DP19" s="14" t="str">
        <f t="shared" ca="1" si="109"/>
        <v/>
      </c>
      <c r="DQ19" s="14" t="str">
        <f t="shared" ca="1" si="110"/>
        <v/>
      </c>
      <c r="DR19" s="14" t="str">
        <f t="shared" ca="1" si="34"/>
        <v/>
      </c>
      <c r="DS19" s="14" t="str">
        <f t="shared" ca="1" si="35"/>
        <v/>
      </c>
      <c r="DZ19" s="14" t="b">
        <f t="shared" ca="1" si="111"/>
        <v>0</v>
      </c>
      <c r="EA19" s="14" t="str">
        <f t="shared" ca="1" si="36"/>
        <v>dwupoziomowa2 (dobule2)</v>
      </c>
      <c r="EB19" s="14" t="str">
        <f t="shared" ca="1" si="112"/>
        <v xml:space="preserve">Values must be limited to predefinied list. </v>
      </c>
      <c r="EC19" s="14" t="str">
        <f t="shared" ca="1" si="37"/>
        <v xml:space="preserve">dwupoziomowa2 (dobule2): Values must be limited to predefinied list. </v>
      </c>
      <c r="ED19" s="14" t="str">
        <f t="shared" ca="1" si="38"/>
        <v/>
      </c>
      <c r="EE19" s="14" t="str">
        <f t="shared" ca="1" si="39"/>
        <v>Values must be limited to predefinied list</v>
      </c>
      <c r="EF19" s="14" t="str">
        <f t="shared" ca="1" si="113"/>
        <v/>
      </c>
      <c r="EG19" s="14" t="str">
        <f t="shared" ca="1" si="114"/>
        <v/>
      </c>
      <c r="EM19" s="14" t="b">
        <f t="shared" ca="1" si="115"/>
        <v>1</v>
      </c>
      <c r="EN19" s="14">
        <f t="shared" ca="1" si="40"/>
        <v>16</v>
      </c>
      <c r="EO19" s="14" t="str">
        <f t="shared" ca="1" si="41"/>
        <v>dobule2</v>
      </c>
      <c r="EP19" s="14" t="str">
        <f t="shared" ca="1" si="116"/>
        <v xml:space="preserve">dwupoziomowa2 (dobule2): Values must be limited to predefinied list. </v>
      </c>
      <c r="EQ19" s="14" t="str">
        <f t="shared" ca="1" si="117"/>
        <v/>
      </c>
    </row>
    <row r="20" spans="2:147" s="14" customFormat="1">
      <c r="B20" s="14" t="str">
        <f t="shared" ref="B20" ca="1" si="118">DF20</f>
        <v>In the following cases Zmienna z walidacją must be even: WAW2: 6, WAW3: 8, JAN1: 6</v>
      </c>
      <c r="C20" s="14">
        <f t="shared" ref="C20" ca="1" si="119">IF(OFFSET(B20,-1,COLUMN(VariableExists)-2),OFFSET(B20,-1,1)+1,OFFSET(B20,-1,1))</f>
        <v>17</v>
      </c>
      <c r="D20" s="14">
        <f t="shared" ref="D20" si="120">ROW(A20)-2</f>
        <v>18</v>
      </c>
      <c r="E20" s="14" t="str">
        <f t="shared" ca="1" si="0"/>
        <v>I</v>
      </c>
      <c r="F20" s="14" t="str">
        <f t="shared" ca="1" si="1"/>
        <v>validacja1</v>
      </c>
      <c r="G20" s="14" t="str">
        <f t="shared" ca="1" si="2"/>
        <v>Zmienna z walidacją</v>
      </c>
      <c r="H20" s="14" t="b">
        <f t="shared" ref="H20" ca="1" si="121">IF(INDIRECT(ADDRESS(2,D20+1,,,_sheetname_dataframe))="",FALSE,MID(INDIRECT(ADDRESS(2,D20+1,,,_sheetname_dataframe)),1,1)&lt;&gt;".")</f>
        <v>1</v>
      </c>
      <c r="I20" s="14" t="str">
        <f ca="1">IF($H20,ADDRESS(3,(D20+1)*2-1,4,,"["&amp;wew!$G$7&amp;"]"&amp;_sheetname_labels)&amp;":"&amp;ADDRESS(2+ster!$B$20,(D20+1)*2-1,4),"")</f>
        <v>'[dane surowe2d_2.xlsm]labels'!AK3:AK36</v>
      </c>
      <c r="J20" s="14">
        <f t="array" aca="1" ref="J20" ca="1">IF(H20,MAX(0,MAX(IF(INDIRECT(I20)&lt;&gt;"",ROW(INDIRECT(I20)),""))-2),"")</f>
        <v>0</v>
      </c>
      <c r="K20" s="14" t="str">
        <f ca="1">IF($H20,IF($J20&gt;0,ADDRESS(3,(D20+1)*2-1,4,,"["&amp;wew!$G$7&amp;"]"&amp;_sheetname_labels)&amp;":"&amp;ADDRESS(2+J20,(D20+1)*2-1,4),""),"")</f>
        <v/>
      </c>
      <c r="L20" s="14" t="str">
        <f ca="1">IF($H20,IF($J20&gt;0,ADDRESS(3,(D20+1)*2,4,,"["&amp;wew!$G$7&amp;"]"&amp;_sheetname_labels)&amp;":"&amp;ADDRESS(2+J20,(D20+1)*2,4),""),"")</f>
        <v/>
      </c>
      <c r="M20" s="14">
        <f t="shared" ref="M20" ca="1" si="122">IF($H20,IF(J20&gt;0,COUNTA(INDIRECT(K20))-COUNT(INDIRECT(K20)),0),"")</f>
        <v>0</v>
      </c>
      <c r="N20" s="14">
        <f t="shared" ca="1" si="4"/>
        <v>0</v>
      </c>
      <c r="O20" s="14" t="str">
        <f t="shared" ref="O20" ca="1" si="123">IF(INDIRECT(ADDRESS(2,D20+1,,,_sheetname_dataframe))="","",INDIRECT(ADDRESS(2,D20+1,,,_sheetname_dataframe)))</f>
        <v>validacja1</v>
      </c>
      <c r="P20" s="14" t="str">
        <f t="shared" ref="P20" ca="1" si="124">IF(H20,IF(INDIRECT(ADDRESS(1,D20+1,,,_sheetname_dataframe))="","",INDIRECT(ADDRESS(1,D20+1,,,_sheetname_dataframe))),"")</f>
        <v>Zmienna z walidacją</v>
      </c>
      <c r="Q20" s="14" t="str">
        <f ca="1">IF($BP20,ADDRESS(3,D20+1,4,,"["&amp;wew!$G$7&amp;"]"&amp;_sheetname_dataframe)&amp;":"&amp;ADDRESS(2+ster!$C$14,D20+1,4),"")</f>
        <v>'[dane surowe2d_2.xlsm]data_frame'!S3:S12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9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9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1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8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9</v>
      </c>
      <c r="AC20" s="17">
        <f t="array" aca="1" ref="AC20" ca="1">IF(H20,W20-AB20,"")</f>
        <v>0</v>
      </c>
      <c r="AD20" s="17">
        <f t="shared" ref="AD20" ca="1" si="125">IF($H20,IF(AC20&lt;&gt;"",IF(AC20=0,1,IF(AC20/W20&lt;0.15,2,3)),0),"")</f>
        <v>1</v>
      </c>
      <c r="AE20" s="17" t="b">
        <f t="shared" ca="1" si="9"/>
        <v>1</v>
      </c>
      <c r="AF20" s="17" t="str">
        <f ca="1">IF(AE20,IF($H20,ADDRESS(3,D20+2,4,,"["&amp;wew!$G$7&amp;"]"&amp;_sheetname_dataframe)&amp;":"&amp;ADDRESS(2+ster!$C$14,D20+2,4),""),"")</f>
        <v>'[dane surowe2d_2.xlsm]data_frame'!T3:T12</v>
      </c>
      <c r="AG20" s="17" t="str">
        <f t="shared" ca="1" si="10"/>
        <v>Must be even</v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ref="AL20" ca="1" si="126">IF($H20,IF(BV20&lt;&gt;"",IF(OR(BM20="F",BM20="L",BM20="I",BM20="D"),BV20&lt;&gt;0)),"")</f>
        <v>0</v>
      </c>
      <c r="AM20" s="17" t="b">
        <f t="shared" ref="AM20" ca="1" si="127">IF($H20,AND(NOT(AL20),OR(IF(BW20&lt;&gt;"",IF(OR(BM20="F",BM20="L"),BW20&lt;&gt;0)),BM20="I",BM20="N",BM20="D")),"")</f>
        <v>1</v>
      </c>
      <c r="AN20" s="17">
        <f t="shared" ref="AN20" ca="1" si="128">IF(COUNTA(INDIRECT(Q20))=0,0, IF(AND(AO20&lt;&gt;"",X20&lt;AO20),1,IF(AND(AP20&lt;&gt;"",Y20&gt;AP20),1,IF(AND(AQ20,AC20&gt;0),2,0))))</f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17"/>
        <v>0</v>
      </c>
      <c r="AR20" s="17" t="b">
        <f t="shared" ca="1" si="18"/>
        <v>0</v>
      </c>
      <c r="AS20" s="17" t="b">
        <f t="shared" ca="1" si="19"/>
        <v>0</v>
      </c>
      <c r="AT20" s="17" t="b">
        <f t="shared" ca="1" si="20"/>
        <v>0</v>
      </c>
      <c r="AU20" s="17" t="b">
        <f t="shared" ca="1" si="21"/>
        <v>1</v>
      </c>
      <c r="AV20" s="17" t="b">
        <f t="shared" ca="1" si="22"/>
        <v>0</v>
      </c>
      <c r="AW20" s="17" t="b">
        <f t="shared" ca="1" si="23"/>
        <v>1</v>
      </c>
      <c r="AX20" s="14" t="b">
        <f t="array" aca="1" ref="AX20" ca="1">IF(H20,N20&gt;0,"")</f>
        <v>0</v>
      </c>
      <c r="AY20" s="17" t="str">
        <f t="shared" ca="1" si="24"/>
        <v/>
      </c>
      <c r="AZ20" s="17" t="str">
        <f t="array" aca="1" ref="AZ20" ca="1">IF(AY20&lt;&gt;"",SUM(1*ISERROR(MATCH(INDIRECT(AY20),INDIRECT(K20),0)))=0,"")</f>
        <v/>
      </c>
      <c r="BA20" s="17" t="b">
        <f t="shared" ca="1" si="25"/>
        <v>0</v>
      </c>
      <c r="BB20" s="17" t="str">
        <f t="shared" ref="BB20" ca="1" si="129">IF(BA20,S20=0,"")</f>
        <v/>
      </c>
      <c r="BC20" s="17" t="str">
        <f t="shared" ref="BC20" ca="1" si="130">IF(BA20,IF(N20&gt;0,AND(AZ20,Z20=0),FALSE),"")</f>
        <v/>
      </c>
      <c r="BD20" s="17" t="str">
        <f t="shared" ref="BD20" ca="1" si="131">IF(BA20,IF(N20&gt;0,AND(NOT(AZ20),Z20=0),FALSE),"")</f>
        <v/>
      </c>
      <c r="BE20" s="17" t="str">
        <f t="shared" ref="BE20" ca="1" si="132">IF(BA20,IF(AND(AW20,NOT(BB20),NOT(BC20),NOT(BD20)),AND(Z20=0,AC20=0),FALSE),"")</f>
        <v/>
      </c>
      <c r="BF20" s="17" t="str">
        <f t="shared" ref="BF20" ca="1" si="133">IF(BA20,IF(AND(AW20,NOT(BB20),NOT(BC20),NOT(BD20)),AND(Z20=0,OR(AC20&gt;0)),FALSE),"")</f>
        <v/>
      </c>
      <c r="BG20" s="17" t="str">
        <f t="shared" ref="BG20" ca="1" si="134">IF(BA20,IF(OR(BB20:BF20),FALSE,IF(Z20=0,FALSE,Z20&gt;0)),"")</f>
        <v/>
      </c>
      <c r="BH20" s="17" t="str">
        <f t="shared" ref="BH20" ca="1" si="135">IF(BA20,COUNTIF(BB20:BG20,TRUE)=1,"")</f>
        <v/>
      </c>
      <c r="BI20" s="17" t="str">
        <f t="shared" ref="BI20" ca="1" si="136">IF(BA20,IFERROR(MATCH(TRUE,BB20:BG20,0),7),"")</f>
        <v/>
      </c>
      <c r="BJ20" s="17" t="b">
        <f t="shared" ref="BJ20" ca="1" si="137">DF20&lt;&gt;""</f>
        <v>1</v>
      </c>
      <c r="BK20" s="17" t="b">
        <f t="shared" ca="1" si="28"/>
        <v>1</v>
      </c>
      <c r="BL20" s="17" t="b">
        <f t="shared" ca="1" si="29"/>
        <v>0</v>
      </c>
      <c r="BM20" s="17" t="str">
        <f t="shared" ca="1" si="30"/>
        <v>I</v>
      </c>
      <c r="BN20" s="17" t="str">
        <f t="shared" ca="1" si="31"/>
        <v>E</v>
      </c>
      <c r="BO20" s="17" t="str">
        <f t="shared" ref="BO20" ca="1" si="138">IF($H20,IF(BM20="0","",IF(AND(AR20,N20=2),"D",IF(BM20="S","N",IF(AL20,"O",IF(AM20,"I","N"))))),"")</f>
        <v>I</v>
      </c>
      <c r="BP20" s="14" t="b">
        <f t="shared" ref="BP20" ca="1" si="139">INDIRECT(ADDRESS(2,ROW(A20)-1,,,_sheetname_dataframe))&lt;&gt;""</f>
        <v>1</v>
      </c>
      <c r="BQ20" s="15"/>
      <c r="BS20" s="14" t="s">
        <v>529</v>
      </c>
      <c r="BU20" s="14" t="s">
        <v>388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>WAW2: 6 WAW3: 8 JAN1: 6</v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■In the following cases Zmienna z walidacją must be even: WAW2: 6, WAW3: 8, JAN1: 6■</v>
      </c>
      <c r="DD20" s="14" t="str">
        <f t="shared" ref="DD20" ca="1" si="140">IF(MID(DC20,1,1)="■",MID(DC20,2,LEN(DC20)),DC20)</f>
        <v>In the following cases Zmienna z walidacją must be even: WAW2: 6, WAW3: 8, JAN1: 6■</v>
      </c>
      <c r="DE20" s="14" t="str">
        <f t="shared" ref="DE20" ca="1" si="141">IF(DD20&lt;&gt;"",IF(MID(DD20,LEN(DD20),1)="■",MID(DD20,1,LEN(DD20)-1),DD20),"")</f>
        <v>In the following cases Zmienna z walidacją must be even: WAW2: 6, WAW3: 8, JAN1: 6</v>
      </c>
      <c r="DF20" s="14" t="str">
        <f t="shared" ref="DF20" ca="1" si="142">IFERROR(IF(DE20&lt;&gt;"",SUBSTITUTE(DE20,"■",". "),""),"##INTERNAL_ERROR")</f>
        <v>In the following cases Zmienna z walidacją must be even: WAW2: 6, WAW3: 8, JAN1: 6</v>
      </c>
      <c r="DG20" s="14" t="str">
        <f t="shared" ref="DG20" ca="1" si="143">IF(CN20&lt;&gt;0,"Variable name don't comply with the naming convention","")</f>
        <v/>
      </c>
      <c r="DH20" s="14" t="str">
        <f t="shared" ref="DH20" ca="1" si="144">IF(CO20&lt;&gt;"","Duplicated name. " &amp; IF(ISERROR(FIND(" ",CO20)),"Duplicate have index " &amp; CO20, "Duplicates have indices: "&amp;SUBSTITUTE(CO20," ",", ")),"")</f>
        <v/>
      </c>
      <c r="DI20" s="14" t="str">
        <f t="shared" ref="DI20" ca="1" si="145">IF(CP20&lt;&gt;"","Variable label exceed length 150","")</f>
        <v/>
      </c>
      <c r="DJ20" s="14" t="str">
        <f t="shared" ref="DJ20" ca="1" si="146">IF(CQ20&lt;&gt;"","Duplicated variable label. " &amp; IF(ISERROR(FIND(" ",CQ20)),"Duplicate have index " &amp; CQ20, "Duplicates have indices: "&amp;SUBSTITUTE(CQ20," ",", ")),"")</f>
        <v/>
      </c>
      <c r="DK20" s="14" t="str">
        <f t="shared" ref="DK20" ca="1" si="147">IF(CR20&lt;&gt;"","The following cases have values below declared theorethical min: " &amp;SUBSTITUTE(CR20," ",", "),"")</f>
        <v/>
      </c>
      <c r="DL20" s="14" t="str">
        <f t="shared" ref="DL20" ca="1" si="148">IF(CS20&lt;&gt;"","The following cases have values above declared theorethical max: " &amp;SUBSTITUTE(CS20," ",", "),"")</f>
        <v/>
      </c>
      <c r="DM20" s="14" t="str">
        <f t="shared" ref="DM20" ca="1" si="149">IF(CT20&lt;&gt;"","There are some cases with values not explicitly declared in the labels dictionary: " &amp;SUBSTITUTE(CT20," ",", "),"")</f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ref="DO20" ca="1" si="150">IF(CV20&lt;&gt;"","The following records are missing in this required field: " &amp;SUBSTITUTE(CV20," ",", "),"")</f>
        <v/>
      </c>
      <c r="DP20" s="14" t="str">
        <f t="shared" ref="DP20" ca="1" si="151">IF(CW20&lt;&gt;"","The following cases have non-integer values: " &amp;SUBSTITUTE(CW20," ",", "),"")</f>
        <v/>
      </c>
      <c r="DQ20" s="14" t="str">
        <f t="shared" ref="DQ20" ca="1" si="152">IF(CX20&lt;&gt;"","The following cases are non-numeric: " &amp;SUBSTITUTE(CX20," ",", "),"")</f>
        <v/>
      </c>
      <c r="DR20" s="14" t="str">
        <f t="shared" ca="1" si="34"/>
        <v>In the following cases Zmienna z walidacją must be even: WAW2: 6, WAW3: 8, JAN1: 6</v>
      </c>
      <c r="DS20" s="14" t="str">
        <f t="shared" ca="1" si="35"/>
        <v/>
      </c>
      <c r="DZ20" s="14" t="b">
        <f t="shared" ref="DZ20" ca="1" si="153">OR(ED20&lt;&gt;"",EF20&lt;&gt;"",EG20&lt;&gt;"")</f>
        <v>1</v>
      </c>
      <c r="EA20" s="14" t="str">
        <f t="shared" ca="1" si="36"/>
        <v>Zmienna z walidacją (validacja1)</v>
      </c>
      <c r="EB20" s="14" t="str">
        <f t="shared" ref="EB20" ca="1" si="154">IF(EE20&lt;&gt;"",EE20&amp;IF(ED20&lt;&gt;""," and "&amp;ED20,""),UPPER(MID(ED20,1,1)&amp;MID(ED20,2,LEN(ED20))))&amp; IF(OR(EF20&lt;&gt;"",EG20&lt;&gt;"")," and "&amp;IF(EF20&lt;&gt;"",LOWER(MID(EF20,1,1) &amp; MID(EF20,2,LEN(EF20))),"")&amp; IF(AND(EF20 &lt;&gt;"",EG20&lt;&gt;"")," and ","") &amp; IF(EG20&lt;&gt;"",LOWER(MID(EG20,1,1) &amp; MID(EG20,2,LEN(EG20))),""),"") &amp; IF(OR(EE20&lt;&gt;"",ED20&lt;&gt;"",EF20&lt;&gt;"",EG20&lt;&gt;""), ". ","")</f>
        <v xml:space="preserve">Values must be numeric and must be even. </v>
      </c>
      <c r="EC20" s="14" t="str">
        <f t="shared" ca="1" si="37"/>
        <v xml:space="preserve">Zmienna z walidacją (validacja1): Values must be numeric and must be even. </v>
      </c>
      <c r="ED20" s="14" t="str">
        <f t="shared" ca="1" si="38"/>
        <v/>
      </c>
      <c r="EE20" s="14" t="str">
        <f t="shared" ca="1" si="39"/>
        <v>Values must be numeric</v>
      </c>
      <c r="EF20" s="14" t="str">
        <f t="shared" ref="EF20" ca="1" si="155">IF($H20,AG20,"")</f>
        <v>Must be even</v>
      </c>
      <c r="EG20" s="14" t="str">
        <f t="shared" ref="EG20" ca="1" si="156">IF($H20,AJ20,"")</f>
        <v/>
      </c>
      <c r="EM20" s="14" t="b">
        <f t="shared" ref="EM20" ca="1" si="157">OR(EC20&lt;&gt;"",DF20&lt;&gt;"")</f>
        <v>1</v>
      </c>
      <c r="EN20" s="14">
        <f t="shared" ca="1" si="40"/>
        <v>17</v>
      </c>
      <c r="EO20" s="14" t="str">
        <f t="shared" ca="1" si="41"/>
        <v>validacja1</v>
      </c>
      <c r="EP20" s="14" t="str">
        <f t="shared" ref="EP20" ca="1" si="158">EC20</f>
        <v xml:space="preserve">Zmienna z walidacją (validacja1): Values must be numeric and must be even. </v>
      </c>
      <c r="EQ20" s="14" t="str">
        <f t="shared" ref="EQ20" ca="1" si="159">DF20</f>
        <v>In the following cases Zmienna z walidacją must be even: WAW2: 6, WAW3: 8, JAN1: 6</v>
      </c>
    </row>
    <row r="21" spans="2:147" s="14" customFormat="1">
      <c r="B21" s="14" t="str">
        <f t="shared" ref="B21" ca="1" si="160">DF21</f>
        <v/>
      </c>
      <c r="C21" s="14">
        <f t="shared" ref="C21" ca="1" si="161">IF(OFFSET(B21,-1,COLUMN(VariableExists)-2),OFFSET(B21,-1,1)+1,OFFSET(B21,-1,1))</f>
        <v>18</v>
      </c>
      <c r="D21" s="14">
        <f t="shared" ref="D21" si="162">ROW(A21)-2</f>
        <v>19</v>
      </c>
      <c r="E21" s="14" t="str">
        <f t="shared" ca="1" si="0"/>
        <v/>
      </c>
      <c r="F21" s="14" t="str">
        <f t="shared" ca="1" si="1"/>
        <v/>
      </c>
      <c r="G21" s="14" t="str">
        <f t="shared" ca="1" si="2"/>
        <v/>
      </c>
      <c r="H21" s="14" t="b">
        <f t="shared" ref="H21" ca="1" si="163">IF(INDIRECT(ADDRESS(2,D21+1,,,_sheetname_dataframe))="",FALSE,MID(INDIRECT(ADDRESS(2,D21+1,,,_sheetname_dataframe)),1,1)&lt;&gt;".")</f>
        <v>0</v>
      </c>
      <c r="I21" s="14" t="str">
        <f ca="1">IF($H21,ADDRESS(3,(D21+1)*2-1,4,,"["&amp;wew!$G$7&amp;"]"&amp;_sheetname_labels)&amp;":"&amp;ADDRESS(2+ster!$B$20,(D21+1)*2-1,4),"")</f>
        <v/>
      </c>
      <c r="J21" s="14" t="str">
        <f t="array" aca="1" ref="J21" ca="1">IF(H21,MAX(0,MAX(IF(INDIRECT(I21)&lt;&gt;"",ROW(INDIRECT(I21)),""))-2),"")</f>
        <v/>
      </c>
      <c r="K21" s="14" t="str">
        <f ca="1">IF($H21,IF($J21&gt;0,ADDRESS(3,(D21+1)*2-1,4,,"["&amp;wew!$G$7&amp;"]"&amp;_sheetname_labels)&amp;":"&amp;ADDRESS(2+J21,(D21+1)*2-1,4),""),"")</f>
        <v/>
      </c>
      <c r="L21" s="14" t="str">
        <f ca="1">IF($H21,IF($J21&gt;0,ADDRESS(3,(D21+1)*2,4,,"["&amp;wew!$G$7&amp;"]"&amp;_sheetname_labels)&amp;":"&amp;ADDRESS(2+J21,(D21+1)*2,4),""),"")</f>
        <v/>
      </c>
      <c r="M21" s="14" t="str">
        <f t="shared" ref="M21" ca="1" si="164">IF($H21,IF(J21&gt;0,COUNTA(INDIRECT(K21))-COUNT(INDIRECT(K21)),0),"")</f>
        <v/>
      </c>
      <c r="N21" s="14" t="str">
        <f t="shared" ca="1" si="4"/>
        <v/>
      </c>
      <c r="O21" s="14" t="str">
        <f t="shared" ref="O21" ca="1" si="165">IF(INDIRECT(ADDRESS(2,D21+1,,,_sheetname_dataframe))="","",INDIRECT(ADDRESS(2,D21+1,,,_sheetname_dataframe)))</f>
        <v>.validation</v>
      </c>
      <c r="P21" s="14" t="str">
        <f t="shared" ref="P21" ca="1" si="166">IF(H21,IF(INDIRECT(ADDRESS(1,D21+1,,,_sheetname_dataframe))="","",INDIRECT(ADDRESS(1,D21+1,,,_sheetname_dataframe))),"")</f>
        <v/>
      </c>
      <c r="Q21" s="14" t="str">
        <f ca="1">IF($BP21,ADDRESS(3,D21+1,4,,"["&amp;wew!$G$7&amp;"]"&amp;_sheetname_dataframe)&amp;":"&amp;ADDRESS(2+ster!$C$14,D21+1,4),"")</f>
        <v>'[dane surowe2d_2.xlsm]data_frame'!T3:T12</v>
      </c>
      <c r="R21" s="14" t="str">
        <f>IF($BP21,IF(MID(_xll.FORMULATEXT(INDEX(INDIRECT(Q21),1)),1,1)="=", _xll.FORMULATEXT(INDEX(INDIRECT(Q21),1),2,TRUE),""),"")</f>
        <v>=1*(INT(RC[-1]/2)&lt;&gt;RC[-1]/2)</v>
      </c>
      <c r="S21" s="14" t="str">
        <f t="array" aca="1" ref="S21" ca="1">IF(H21,SUM(IF((IFERROR(INDIRECT(Q21)&lt;&gt;"",FALSE))*(INDIRECT(ster!$D$14)&lt;&gt;""),1,0)),"")</f>
        <v/>
      </c>
      <c r="T21" s="14" t="str">
        <f t="array" aca="1" ref="T21" ca="1">IF(H21,IF(M21&gt;0,SUM(IFERROR(1*(MATCH(INDIRECT(Q21),INDIRECT(K21),0)&gt;0),0)*(INDIRECT(ster!$D$14)&lt;&gt;"")*NOT(ISNUMBER(INDIRECT(Q21)))),0),"")</f>
        <v/>
      </c>
      <c r="U21" s="14" t="str">
        <f t="array" aca="1" ref="U21" ca="1">IF(H21,SUM((IFERROR(INDIRECT(Q21)="",FALSE))*(INDIRECT(ster!$D$14)&lt;&gt;"")),"")</f>
        <v/>
      </c>
      <c r="V21" s="14" t="str">
        <f t="array" aca="1" ref="V21" ca="1">IF(H21,SUM((IFERROR(INDIRECT(Q21)="#ąś",TRUE))*(INDIRECT(ster!$D$14)&lt;&gt;"")),"")</f>
        <v/>
      </c>
      <c r="W21" s="14" t="str">
        <f t="array" aca="1" ref="W21" ca="1">IF(H21,SUM(ISNUMBER(INDIRECT(Q21))*(INDIRECT(ster!$D$14)&lt;&gt;"")),"")</f>
        <v/>
      </c>
      <c r="X21" s="14" t="str">
        <f t="array" aca="1" ref="X21" ca="1">IF(AND(H21,W21&gt;0),IF(wew!$B$3,MIN(IF((INDIRECT(ster!$D$14)&lt;&gt;"")*IFERROR(INDIRECT($Q21)&lt;&gt;"",FALSE),IFERROR(INDIRECT($Q21),"X"),"X")),"&lt;włącz podświetlanie wartości&gt;"),"—")</f>
        <v>—</v>
      </c>
      <c r="Y21" s="14" t="str">
        <f t="array" aca="1" ref="Y21" ca="1">IF(AND(H21,W21&gt;0),IF(wew!$B$3,MAX(IF((INDIRECT(ster!$D$14)&lt;&gt;"")*IFERROR(INDIRECT($Q21)&lt;&gt;"",FALSE),IFERROR(INDIRECT($Q21),"X"),"X")),"&lt;włącz podświetlanie wartości&gt;"),"—")</f>
        <v>—</v>
      </c>
      <c r="Z21" s="14" t="str">
        <f t="shared" ca="1" si="7"/>
        <v/>
      </c>
      <c r="AA21" s="12" t="str">
        <f t="shared" ca="1" si="8"/>
        <v/>
      </c>
      <c r="AB21" s="17" t="str">
        <f t="array" aca="1" ref="AB21" ca="1">IF(H21,IF(W21&gt;0,SUM((INDIRECT(ster!$D$14)&lt;&gt;"")*IFERROR((INDIRECT(Q21)&lt;&gt;"")*(INDIRECT(Q21)=INT(INDIRECT(Q21))),0)),0),"")</f>
        <v/>
      </c>
      <c r="AC21" s="17" t="str">
        <f t="array" aca="1" ref="AC21" ca="1">IF(H21,W21-AB21,"")</f>
        <v/>
      </c>
      <c r="AD21" s="17" t="str">
        <f t="shared" ref="AD21" ca="1" si="167">IF($H21,IF(AC21&lt;&gt;"",IF(AC21=0,1,IF(AC21/W21&lt;0.15,2,3)),0),"")</f>
        <v/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str">
        <f t="shared" ca="1" si="13"/>
        <v/>
      </c>
      <c r="AL21" s="17" t="str">
        <f t="shared" ref="AL21" ca="1" si="168">IF($H21,IF(BV21&lt;&gt;"",IF(OR(BM21="F",BM21="L",BM21="I",BM21="D"),BV21&lt;&gt;0)),"")</f>
        <v/>
      </c>
      <c r="AM21" s="17" t="str">
        <f t="shared" ref="AM21" ca="1" si="169">IF($H21,AND(NOT(AL21),OR(IF(BW21&lt;&gt;"",IF(OR(BM21="F",BM21="L"),BW21&lt;&gt;0)),BM21="I",BM21="N",BM21="D")),"")</f>
        <v/>
      </c>
      <c r="AN21" s="17">
        <f t="shared" ref="AN21" ca="1" si="170">IF(COUNTA(INDIRECT(Q21))=0,0, IF(AND(AO21&lt;&gt;"",X21&lt;AO21),1,IF(AND(AP21&lt;&gt;"",Y21&gt;AP21),1,IF(AND(AQ21,AC21&gt;0),2,0))))</f>
        <v>2</v>
      </c>
      <c r="AO21" s="24" t="str">
        <f t="shared" ca="1" si="15"/>
        <v/>
      </c>
      <c r="AP21" s="24" t="str">
        <f t="shared" ca="1" si="16"/>
        <v/>
      </c>
      <c r="AQ21" s="17" t="str">
        <f t="shared" ca="1" si="17"/>
        <v/>
      </c>
      <c r="AR21" s="17" t="str">
        <f t="shared" ca="1" si="18"/>
        <v/>
      </c>
      <c r="AS21" s="17" t="str">
        <f t="shared" ca="1" si="19"/>
        <v/>
      </c>
      <c r="AT21" s="17" t="str">
        <f t="shared" ca="1" si="20"/>
        <v/>
      </c>
      <c r="AU21" s="17" t="str">
        <f t="shared" ca="1" si="21"/>
        <v/>
      </c>
      <c r="AV21" s="17" t="str">
        <f t="shared" ca="1" si="22"/>
        <v/>
      </c>
      <c r="AW21" s="17" t="str">
        <f t="shared" ca="1" si="23"/>
        <v/>
      </c>
      <c r="AX21" s="14" t="str">
        <f t="array" aca="1" ref="AX21" ca="1">IF(H21,N21&gt;0,"")</f>
        <v/>
      </c>
      <c r="AY21" s="17" t="str">
        <f t="shared" ca="1" si="24"/>
        <v/>
      </c>
      <c r="AZ21" s="17" t="str">
        <f t="array" aca="1" ref="AZ21" ca="1">IF(AY21&lt;&gt;"",SUM(1*ISERROR(MATCH(INDIRECT(AY21),INDIRECT(K21),0)))=0,"")</f>
        <v/>
      </c>
      <c r="BA21" s="17" t="b">
        <f t="shared" ca="1" si="25"/>
        <v>0</v>
      </c>
      <c r="BB21" s="17" t="str">
        <f t="shared" ref="BB21" ca="1" si="171">IF(BA21,S21=0,"")</f>
        <v/>
      </c>
      <c r="BC21" s="17" t="str">
        <f t="shared" ref="BC21" ca="1" si="172">IF(BA21,IF(N21&gt;0,AND(AZ21,Z21=0),FALSE),"")</f>
        <v/>
      </c>
      <c r="BD21" s="17" t="str">
        <f t="shared" ref="BD21" ca="1" si="173">IF(BA21,IF(N21&gt;0,AND(NOT(AZ21),Z21=0),FALSE),"")</f>
        <v/>
      </c>
      <c r="BE21" s="17" t="str">
        <f t="shared" ref="BE21" ca="1" si="174">IF(BA21,IF(AND(AW21,NOT(BB21),NOT(BC21),NOT(BD21)),AND(Z21=0,AC21=0),FALSE),"")</f>
        <v/>
      </c>
      <c r="BF21" s="17" t="str">
        <f t="shared" ref="BF21" ca="1" si="175">IF(BA21,IF(AND(AW21,NOT(BB21),NOT(BC21),NOT(BD21)),AND(Z21=0,OR(AC21&gt;0)),FALSE),"")</f>
        <v/>
      </c>
      <c r="BG21" s="17" t="str">
        <f t="shared" ref="BG21" ca="1" si="176">IF(BA21,IF(OR(BB21:BF21),FALSE,IF(Z21=0,FALSE,Z21&gt;0)),"")</f>
        <v/>
      </c>
      <c r="BH21" s="17" t="str">
        <f t="shared" ref="BH21" ca="1" si="177">IF(BA21,COUNTIF(BB21:BG21,TRUE)=1,"")</f>
        <v/>
      </c>
      <c r="BI21" s="17" t="str">
        <f t="shared" ref="BI21" ca="1" si="178">IF(BA21,IFERROR(MATCH(TRUE,BB21:BG21,0),7),"")</f>
        <v/>
      </c>
      <c r="BJ21" s="17" t="b">
        <f t="shared" ref="BJ21" ca="1" si="179">DF21&lt;&gt;""</f>
        <v>0</v>
      </c>
      <c r="BK21" s="17" t="str">
        <f t="shared" ca="1" si="28"/>
        <v/>
      </c>
      <c r="BL21" s="17" t="str">
        <f t="shared" ca="1" si="29"/>
        <v/>
      </c>
      <c r="BM21" s="17" t="str">
        <f t="shared" ca="1" si="30"/>
        <v/>
      </c>
      <c r="BN21" s="17" t="str">
        <f t="shared" ca="1" si="31"/>
        <v/>
      </c>
      <c r="BO21" s="17" t="str">
        <f t="shared" ref="BO21" ca="1" si="180">IF($H21,IF(BM21="0","",IF(AND(AR21,N21=2),"D",IF(BM21="S","N",IF(AL21,"O",IF(AM21,"I","N"))))),"")</f>
        <v/>
      </c>
      <c r="BP21" s="14" t="b">
        <f t="shared" ref="BP21" ca="1" si="181">INDIRECT(ADDRESS(2,ROW(A21)-1,,,_sheetname_dataframe))&lt;&gt;""</f>
        <v>1</v>
      </c>
      <c r="BQ21" s="15"/>
      <c r="BS21" s="14" t="s">
        <v>554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ref="DD21" ca="1" si="182">IF(MID(DC21,1,1)="■",MID(DC21,2,LEN(DC21)),DC21)</f>
        <v/>
      </c>
      <c r="DE21" s="14" t="str">
        <f t="shared" ref="DE21" ca="1" si="183">IF(DD21&lt;&gt;"",IF(MID(DD21,LEN(DD21),1)="■",MID(DD21,1,LEN(DD21)-1),DD21),"")</f>
        <v/>
      </c>
      <c r="DF21" s="14" t="str">
        <f t="shared" ref="DF21" ca="1" si="184">IFERROR(IF(DE21&lt;&gt;"",SUBSTITUTE(DE21,"■",". "),""),"##INTERNAL_ERROR")</f>
        <v/>
      </c>
      <c r="DG21" s="14" t="str">
        <f t="shared" ref="DG21" ca="1" si="185">IF(CN21&lt;&gt;0,"Variable name don't comply with the naming convention","")</f>
        <v/>
      </c>
      <c r="DH21" s="14" t="str">
        <f t="shared" ref="DH21" ca="1" si="186">IF(CO21&lt;&gt;"","Duplicated name. " &amp; IF(ISERROR(FIND(" ",CO21)),"Duplicate have index " &amp; CO21, "Duplicates have indices: "&amp;SUBSTITUTE(CO21," ",", ")),"")</f>
        <v/>
      </c>
      <c r="DI21" s="14" t="str">
        <f t="shared" ref="DI21" ca="1" si="187">IF(CP21&lt;&gt;"","Variable label exceed length 150","")</f>
        <v/>
      </c>
      <c r="DJ21" s="14" t="str">
        <f t="shared" ref="DJ21" ca="1" si="188">IF(CQ21&lt;&gt;"","Duplicated variable label. " &amp; IF(ISERROR(FIND(" ",CQ21)),"Duplicate have index " &amp; CQ21, "Duplicates have indices: "&amp;SUBSTITUTE(CQ21," ",", ")),"")</f>
        <v/>
      </c>
      <c r="DK21" s="14" t="str">
        <f t="shared" ref="DK21" ca="1" si="189">IF(CR21&lt;&gt;"","The following cases have values below declared theorethical min: " &amp;SUBSTITUTE(CR21," ",", "),"")</f>
        <v/>
      </c>
      <c r="DL21" s="14" t="str">
        <f t="shared" ref="DL21" ca="1" si="190">IF(CS21&lt;&gt;"","The following cases have values above declared theorethical max: " &amp;SUBSTITUTE(CS21," ",", "),"")</f>
        <v/>
      </c>
      <c r="DM21" s="14" t="str">
        <f t="shared" ref="DM21" ca="1" si="191">IF(CT21&lt;&gt;"","There are some cases with values not explicitly declared in the labels dictionary: " &amp;SUBSTITUTE(CT21," ",", "),"")</f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ref="DO21" ca="1" si="192">IF(CV21&lt;&gt;"","The following records are missing in this required field: " &amp;SUBSTITUTE(CV21," ",", "),"")</f>
        <v/>
      </c>
      <c r="DP21" s="14" t="str">
        <f t="shared" ref="DP21" ca="1" si="193">IF(CW21&lt;&gt;"","The following cases have non-integer values: " &amp;SUBSTITUTE(CW21," ",", "),"")</f>
        <v/>
      </c>
      <c r="DQ21" s="14" t="str">
        <f t="shared" ref="DQ21" ca="1" si="194">IF(CX21&lt;&gt;"","The following cases are non-numeric: " &amp;SUBSTITUTE(CX21," ",", "),"")</f>
        <v/>
      </c>
      <c r="DR21" s="14" t="str">
        <f t="shared" ca="1" si="34"/>
        <v/>
      </c>
      <c r="DS21" s="14" t="str">
        <f t="shared" ca="1" si="35"/>
        <v/>
      </c>
      <c r="DZ21" s="14" t="b">
        <f t="shared" ref="DZ21" ca="1" si="195">OR(ED21&lt;&gt;"",EF21&lt;&gt;"",EG21&lt;&gt;"")</f>
        <v>0</v>
      </c>
      <c r="EA21" s="14" t="str">
        <f t="shared" ca="1" si="36"/>
        <v/>
      </c>
      <c r="EB21" s="14" t="str">
        <f t="shared" ref="EB21" ca="1" si="196">IF(EE21&lt;&gt;"",EE21&amp;IF(ED21&lt;&gt;""," and "&amp;ED21,""),UPPER(MID(ED21,1,1)&amp;MID(ED21,2,LEN(ED21))))&amp; IF(OR(EF21&lt;&gt;"",EG21&lt;&gt;"")," and "&amp;IF(EF21&lt;&gt;"",LOWER(MID(EF21,1,1) &amp; MID(EF21,2,LEN(EF21))),"")&amp; IF(AND(EF21 &lt;&gt;"",EG21&lt;&gt;"")," and ","") &amp; IF(EG21&lt;&gt;"",LOWER(MID(EG21,1,1) &amp; MID(EG21,2,LEN(EG21))),""),"") &amp; IF(OR(EE21&lt;&gt;"",ED21&lt;&gt;"",EF21&lt;&gt;"",EG21&lt;&gt;""), ". ","")</f>
        <v/>
      </c>
      <c r="EC21" s="14" t="str">
        <f t="shared" ca="1" si="37"/>
        <v/>
      </c>
      <c r="ED21" s="14" t="str">
        <f t="shared" ca="1" si="38"/>
        <v/>
      </c>
      <c r="EE21" s="14" t="str">
        <f t="shared" ca="1" si="39"/>
        <v/>
      </c>
      <c r="EF21" s="14" t="str">
        <f t="shared" ref="EF21" ca="1" si="197">IF($H21,AG21,"")</f>
        <v/>
      </c>
      <c r="EG21" s="14" t="str">
        <f t="shared" ref="EG21" ca="1" si="198">IF($H21,AJ21,"")</f>
        <v/>
      </c>
      <c r="EM21" s="14" t="b">
        <f t="shared" ref="EM21" ca="1" si="199">OR(EC21&lt;&gt;"",DF21&lt;&gt;"")</f>
        <v>0</v>
      </c>
      <c r="EN21" s="14" t="str">
        <f t="shared" ca="1" si="40"/>
        <v/>
      </c>
      <c r="EO21" s="14" t="str">
        <f t="shared" ca="1" si="41"/>
        <v/>
      </c>
      <c r="EP21" s="14" t="str">
        <f t="shared" ref="EP21" ca="1" si="200">EC21</f>
        <v/>
      </c>
      <c r="EQ21" s="14" t="str">
        <f t="shared" ref="EQ21" ca="1" si="201">DF21</f>
        <v/>
      </c>
    </row>
    <row r="22" spans="2:147" s="14" customFormat="1">
      <c r="B22" s="14" t="str">
        <f t="shared" ca="1" si="76"/>
        <v/>
      </c>
      <c r="C22" s="14">
        <f t="shared" ca="1" si="77"/>
        <v>18</v>
      </c>
      <c r="D22" s="14">
        <f t="shared" si="78"/>
        <v>20</v>
      </c>
      <c r="E22" s="14" t="str">
        <f t="shared" ca="1" si="0"/>
        <v>D</v>
      </c>
      <c r="F22" s="14" t="str">
        <f t="shared" ca="1" si="1"/>
        <v>new_var</v>
      </c>
      <c r="G22" s="14" t="str">
        <f t="shared" ca="1" si="2"/>
        <v>My new variable</v>
      </c>
      <c r="H22" s="14" t="b">
        <f t="shared" ca="1" si="79"/>
        <v>1</v>
      </c>
      <c r="I22" s="14" t="str">
        <f ca="1">IF($H22,ADDRESS(3,(D22+1)*2-1,4,,"["&amp;wew!$G$7&amp;"]"&amp;_sheetname_labels)&amp;":"&amp;ADDRESS(2+ster!$B$20,(D22+1)*2-1,4),"")</f>
        <v>'[dane surowe2d_2.xlsm]labels'!AO3:AO36</v>
      </c>
      <c r="J22" s="14">
        <f t="array" aca="1" ref="J22" ca="1">IF(H22,MAX(0,MAX(IF(INDIRECT(I22)&lt;&gt;"",ROW(INDIRECT(I22)),""))-2),"")</f>
        <v>2</v>
      </c>
      <c r="K22" s="14" t="str">
        <f ca="1">IF($H22,IF($J22&gt;0,ADDRESS(3,(D22+1)*2-1,4,,"["&amp;wew!$G$7&amp;"]"&amp;_sheetname_labels)&amp;":"&amp;ADDRESS(2+J22,(D22+1)*2-1,4),""),"")</f>
        <v>'[dane surowe2d_2.xlsm]labels'!AO3:AO4</v>
      </c>
      <c r="L22" s="14" t="str">
        <f ca="1">IF($H22,IF($J22&gt;0,ADDRESS(3,(D22+1)*2,4,,"["&amp;wew!$G$7&amp;"]"&amp;_sheetname_labels)&amp;":"&amp;ADDRESS(2+J22,(D22+1)*2,4),""),"")</f>
        <v>'[dane surowe2d_2.xlsm]labels'!AP3:AP4</v>
      </c>
      <c r="M22" s="14">
        <f t="shared" ca="1" si="80"/>
        <v>0</v>
      </c>
      <c r="N22" s="14">
        <f t="shared" ca="1" si="4"/>
        <v>2</v>
      </c>
      <c r="O22" s="14" t="str">
        <f t="shared" ca="1" si="81"/>
        <v>new_var</v>
      </c>
      <c r="P22" s="14" t="str">
        <f t="shared" ca="1" si="82"/>
        <v>My new variable</v>
      </c>
      <c r="Q22" s="14" t="str">
        <f ca="1">IF($BP22,ADDRESS(3,D22+1,4,,"["&amp;wew!$G$7&amp;"]"&amp;_sheetname_dataframe)&amp;":"&amp;ADDRESS(2+ster!$C$14,D22+1,4),"")</f>
        <v>'[dane surowe2d_2.xlsm]data_frame'!U3:U12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9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9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1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10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9</v>
      </c>
      <c r="AC22" s="17">
        <f t="array" aca="1" ref="AC22" ca="1">IF(H22,W22-AB22,"")</f>
        <v>0</v>
      </c>
      <c r="AD22" s="17">
        <f t="shared" ca="1" si="83"/>
        <v>1</v>
      </c>
      <c r="AE22" s="17" t="b">
        <f t="shared" ca="1" si="9"/>
        <v>0</v>
      </c>
      <c r="AF22" s="17" t="str">
        <f ca="1">IF(AE22,IF($H22,ADDRESS(3,D22+2,4,,"["&amp;wew!$G$7&amp;"]"&amp;_sheetname_dataframe)&amp;":"&amp;ADDRESS(2+ster!$C$14,D22+2,4),""),"")</f>
        <v/>
      </c>
      <c r="AG22" s="17" t="str">
        <f t="shared" ca="1" si="10"/>
        <v/>
      </c>
      <c r="AH22" s="17" t="b">
        <f t="shared" ca="1" si="11"/>
        <v>0</v>
      </c>
      <c r="AI22" s="17" t="str">
        <f ca="1">IF(AH22,IF($H22,ADDRESS(3,D22+3,4,,"["&amp;wew!$G$7&amp;"]"&amp;_sheetname_dataframe)&amp;":"&amp;ADDRESS(2+ster!$C$14,D22+3,4),""),"")</f>
        <v/>
      </c>
      <c r="AJ22" s="17" t="str">
        <f t="shared" ca="1" si="12"/>
        <v/>
      </c>
      <c r="AK22" s="17" t="b">
        <f t="shared" ca="1" si="13"/>
        <v>0</v>
      </c>
      <c r="AL22" s="17" t="b">
        <f t="shared" ca="1" si="84"/>
        <v>0</v>
      </c>
      <c r="AM22" s="17" t="b">
        <f t="shared" ca="1" si="85"/>
        <v>0</v>
      </c>
      <c r="AN22" s="17">
        <f t="shared" ca="1" si="86"/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17"/>
        <v>0</v>
      </c>
      <c r="AR22" s="17" t="b">
        <f t="shared" ca="1" si="18"/>
        <v>0</v>
      </c>
      <c r="AS22" s="17" t="b">
        <f t="shared" ca="1" si="19"/>
        <v>0</v>
      </c>
      <c r="AT22" s="17" t="b">
        <f t="shared" ca="1" si="20"/>
        <v>0</v>
      </c>
      <c r="AU22" s="17" t="b">
        <f t="shared" ca="1" si="21"/>
        <v>1</v>
      </c>
      <c r="AV22" s="17" t="b">
        <f t="shared" ca="1" si="22"/>
        <v>0</v>
      </c>
      <c r="AW22" s="17" t="b">
        <f t="shared" ca="1" si="23"/>
        <v>1</v>
      </c>
      <c r="AX22" s="14" t="b">
        <f t="array" aca="1" ref="AX22" ca="1">IF(H22,N22&gt;0,"")</f>
        <v>1</v>
      </c>
      <c r="AY22" s="17" t="str">
        <f t="shared" ca="1" si="24"/>
        <v>C3:C4</v>
      </c>
      <c r="AZ22" s="17" t="b">
        <f t="array" aca="1" ref="AZ22" ca="1">IF(AY22&lt;&gt;"",SUM(1*ISERROR(MATCH(INDIRECT(AY22),INDIRECT(K22),0)))=0,"")</f>
        <v>0</v>
      </c>
      <c r="BA22" s="17" t="b">
        <f t="shared" ca="1" si="25"/>
        <v>1</v>
      </c>
      <c r="BB22" s="17" t="b">
        <f t="shared" ca="1" si="87"/>
        <v>0</v>
      </c>
      <c r="BC22" s="17" t="b">
        <f t="shared" ca="1" si="88"/>
        <v>0</v>
      </c>
      <c r="BD22" s="17" t="b">
        <f t="shared" ca="1" si="89"/>
        <v>1</v>
      </c>
      <c r="BE22" s="17" t="b">
        <f t="shared" ca="1" si="90"/>
        <v>0</v>
      </c>
      <c r="BF22" s="17" t="b">
        <f t="shared" ca="1" si="91"/>
        <v>0</v>
      </c>
      <c r="BG22" s="17" t="b">
        <f t="shared" ca="1" si="92"/>
        <v>0</v>
      </c>
      <c r="BH22" s="17" t="b">
        <f t="shared" ca="1" si="93"/>
        <v>1</v>
      </c>
      <c r="BI22" s="17">
        <f t="shared" ref="BI22:BI24" ca="1" si="202">IF(BA22,IFERROR(MATCH(TRUE,BB22:BG22,0),7),"")</f>
        <v>3</v>
      </c>
      <c r="BJ22" s="17" t="b">
        <f t="shared" ca="1" si="95"/>
        <v>0</v>
      </c>
      <c r="BK22" s="17" t="str">
        <f t="shared" ca="1" si="28"/>
        <v/>
      </c>
      <c r="BL22" s="17" t="str">
        <f t="shared" ca="1" si="29"/>
        <v/>
      </c>
      <c r="BM22" s="17" t="str">
        <f t="shared" ca="1" si="30"/>
        <v>L</v>
      </c>
      <c r="BN22" s="17" t="str">
        <f t="shared" ca="1" si="31"/>
        <v>L</v>
      </c>
      <c r="BO22" s="17" t="str">
        <f t="shared" ca="1" si="96"/>
        <v>N</v>
      </c>
      <c r="BP22" s="14" t="b">
        <f t="shared" ca="1" si="97"/>
        <v>1</v>
      </c>
      <c r="BQ22" s="15"/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ca="1" si="98"/>
        <v/>
      </c>
      <c r="DE22" s="14" t="str">
        <f t="shared" ca="1" si="99"/>
        <v/>
      </c>
      <c r="DF22" s="14" t="str">
        <f t="shared" ca="1" si="100"/>
        <v/>
      </c>
      <c r="DG22" s="14" t="str">
        <f t="shared" ca="1" si="101"/>
        <v/>
      </c>
      <c r="DH22" s="14" t="str">
        <f t="shared" ca="1" si="102"/>
        <v/>
      </c>
      <c r="DI22" s="14" t="str">
        <f t="shared" ca="1" si="103"/>
        <v/>
      </c>
      <c r="DJ22" s="14" t="str">
        <f t="shared" ca="1" si="104"/>
        <v/>
      </c>
      <c r="DK22" s="14" t="str">
        <f t="shared" ca="1" si="105"/>
        <v/>
      </c>
      <c r="DL22" s="14" t="str">
        <f t="shared" ca="1" si="106"/>
        <v/>
      </c>
      <c r="DM22" s="14" t="str">
        <f t="shared" ca="1" si="107"/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ca="1" si="108"/>
        <v/>
      </c>
      <c r="DP22" s="14" t="str">
        <f t="shared" ca="1" si="109"/>
        <v/>
      </c>
      <c r="DQ22" s="14" t="str">
        <f t="shared" ca="1" si="110"/>
        <v/>
      </c>
      <c r="DR22" s="14" t="str">
        <f t="shared" ca="1" si="34"/>
        <v/>
      </c>
      <c r="DS22" s="14" t="str">
        <f t="shared" ca="1" si="35"/>
        <v/>
      </c>
      <c r="DZ22" s="14" t="b">
        <f t="shared" ca="1" si="111"/>
        <v>0</v>
      </c>
      <c r="EA22" s="14" t="str">
        <f t="shared" ca="1" si="36"/>
        <v>My new variable (new_var)</v>
      </c>
      <c r="EB22" s="14" t="str">
        <f t="shared" ca="1" si="112"/>
        <v xml:space="preserve">Values must be numeric. </v>
      </c>
      <c r="EC22" s="14" t="str">
        <f t="shared" ca="1" si="37"/>
        <v xml:space="preserve">My new variable (new_var): Values must be numeric. </v>
      </c>
      <c r="ED22" s="14" t="str">
        <f t="shared" ca="1" si="38"/>
        <v/>
      </c>
      <c r="EE22" s="14" t="str">
        <f t="shared" ca="1" si="39"/>
        <v>Values must be numeric</v>
      </c>
      <c r="EF22" s="14" t="str">
        <f t="shared" ca="1" si="113"/>
        <v/>
      </c>
      <c r="EG22" s="14" t="str">
        <f t="shared" ca="1" si="114"/>
        <v/>
      </c>
      <c r="EM22" s="14" t="b">
        <f t="shared" ca="1" si="115"/>
        <v>1</v>
      </c>
      <c r="EN22" s="14">
        <f t="shared" ca="1" si="40"/>
        <v>18</v>
      </c>
      <c r="EO22" s="14" t="str">
        <f t="shared" ca="1" si="41"/>
        <v>new_var</v>
      </c>
      <c r="EP22" s="14" t="str">
        <f t="shared" ca="1" si="116"/>
        <v xml:space="preserve">My new variable (new_var): Values must be numeric. </v>
      </c>
      <c r="EQ22" s="14" t="str">
        <f t="shared" ca="1" si="117"/>
        <v/>
      </c>
    </row>
    <row r="23" spans="2:147" s="14" customFormat="1">
      <c r="B23" s="14" t="str">
        <f t="shared" ca="1" si="76"/>
        <v>There are errors in the entered values in the following cases: LAB3</v>
      </c>
      <c r="C23" s="14">
        <f t="shared" ca="1" si="77"/>
        <v>19</v>
      </c>
      <c r="D23" s="14">
        <f t="shared" si="78"/>
        <v>21</v>
      </c>
      <c r="E23" s="14" t="str">
        <f t="shared" ca="1" si="0"/>
        <v>I</v>
      </c>
      <c r="F23" s="14" t="str">
        <f t="shared" ca="1" si="1"/>
        <v>num4</v>
      </c>
      <c r="G23" s="14" t="str">
        <f t="shared" ca="1" si="2"/>
        <v>Zmienna liczbowa bez braków ale z NA</v>
      </c>
      <c r="H23" s="14" t="b">
        <f t="shared" ca="1" si="79"/>
        <v>1</v>
      </c>
      <c r="I23" s="14" t="str">
        <f ca="1">IF($H23,ADDRESS(3,(D23+1)*2-1,4,,"["&amp;wew!$G$7&amp;"]"&amp;_sheetname_labels)&amp;":"&amp;ADDRESS(2+ster!$B$20,(D23+1)*2-1,4),"")</f>
        <v>'[dane surowe2d_2.xlsm]labels'!AQ3:AQ36</v>
      </c>
      <c r="J23" s="14">
        <f t="array" aca="1" ref="J23" ca="1">IF(H23,MAX(0,MAX(IF(INDIRECT(I23)&lt;&gt;"",ROW(INDIRECT(I23)),""))-2),"")</f>
        <v>2</v>
      </c>
      <c r="K23" s="14" t="str">
        <f ca="1">IF($H23,IF($J23&gt;0,ADDRESS(3,(D23+1)*2-1,4,,"["&amp;wew!$G$7&amp;"]"&amp;_sheetname_labels)&amp;":"&amp;ADDRESS(2+J23,(D23+1)*2-1,4),""),"")</f>
        <v>'[dane surowe2d_2.xlsm]labels'!AQ3:AQ4</v>
      </c>
      <c r="L23" s="14" t="str">
        <f ca="1">IF($H23,IF($J23&gt;0,ADDRESS(3,(D23+1)*2,4,,"["&amp;wew!$G$7&amp;"]"&amp;_sheetname_labels)&amp;":"&amp;ADDRESS(2+J23,(D23+1)*2,4),""),"")</f>
        <v>'[dane surowe2d_2.xlsm]labels'!AR3:AR4</v>
      </c>
      <c r="M23" s="14">
        <f t="shared" ca="1" si="80"/>
        <v>2</v>
      </c>
      <c r="N23" s="14">
        <f t="shared" ca="1" si="4"/>
        <v>0</v>
      </c>
      <c r="O23" s="14" t="str">
        <f t="shared" ca="1" si="81"/>
        <v>num4</v>
      </c>
      <c r="P23" s="14" t="str">
        <f t="shared" ca="1" si="82"/>
        <v>Zmienna liczbowa bez braków ale z NA</v>
      </c>
      <c r="Q23" s="14" t="str">
        <f ca="1">IF($BP23,ADDRESS(3,D23+1,4,,"["&amp;wew!$G$7&amp;"]"&amp;_sheetname_dataframe)&amp;":"&amp;ADDRESS(2+ster!$C$14,D23+1,4),"")</f>
        <v>'[dane surowe2d_2.xlsm]data_frame'!V3:V12</v>
      </c>
      <c r="R23" s="14" t="str">
        <f>IF($BP23,IF(MID(_xll.FORMULATEXT(INDEX(INDIRECT(Q23),1)),1,1)="=", _xll.FORMULATEXT(INDEX(INDIRECT(Q23),1),2,TRUE),""),"")</f>
        <v/>
      </c>
      <c r="S23" s="14">
        <f t="array" aca="1" ref="S23" ca="1">IF(H23,SUM(IF((IFERROR(INDIRECT(Q23)&lt;&gt;"",FALSE))*(INDIRECT(ster!$D$14)&lt;&gt;""),1,0)),"")</f>
        <v>8</v>
      </c>
      <c r="T23" s="14">
        <f t="array" aca="1" ref="T23" ca="1">IF(H23,IF(M23&gt;0,SUM(IFERROR(1*(MATCH(INDIRECT(Q23),INDIRECT(K23),0)&gt;0),0)*(INDIRECT(ster!$D$14)&lt;&gt;"")*NOT(ISNUMBER(INDIRECT(Q23)))),0),"")</f>
        <v>3</v>
      </c>
      <c r="U23" s="14">
        <f t="array" aca="1" ref="U23" ca="1">IF(H23,SUM((IFERROR(INDIRECT(Q23)="",FALSE))*(INDIRECT(ster!$D$14)&lt;&gt;"")),"")</f>
        <v>0</v>
      </c>
      <c r="V23" s="14">
        <f t="array" aca="1" ref="V23" ca="1">IF(H23,SUM((IFERROR(INDIRECT(Q23)="#ąś",TRUE))*(INDIRECT(ster!$D$14)&lt;&gt;"")),"")</f>
        <v>1</v>
      </c>
      <c r="W23" s="14">
        <f t="array" aca="1" ref="W23" ca="1">IF(H23,SUM(ISNUMBER(INDIRECT(Q23))*(INDIRECT(ster!$D$14)&lt;&gt;"")),"")</f>
        <v>5</v>
      </c>
      <c r="X23" s="14">
        <f t="array" aca="1" ref="X23" ca="1">IF(AND(H23,W23&gt;0),IF(wew!$B$3,MIN(IF((INDIRECT(ster!$D$14)&lt;&gt;"")*IFERROR(INDIRECT($Q23)&lt;&gt;"",FALSE),IFERROR(INDIRECT($Q23),"X"),"X")),"&lt;włącz podświetlanie wartości&gt;"),"—")</f>
        <v>1</v>
      </c>
      <c r="Y23" s="14">
        <f t="array" aca="1" ref="Y23" ca="1">IF(AND(H23,W23&gt;0),IF(wew!$B$3,MAX(IF((INDIRECT(ster!$D$14)&lt;&gt;"")*IFERROR(INDIRECT($Q23)&lt;&gt;"",FALSE),IFERROR(INDIRECT($Q23),"X"),"X")),"&lt;włącz podświetlanie wartości&gt;"),"—")</f>
        <v>4</v>
      </c>
      <c r="Z23" s="14">
        <f t="shared" ca="1" si="7"/>
        <v>0</v>
      </c>
      <c r="AA23" s="12">
        <f t="shared" ca="1" si="8"/>
        <v>0.625</v>
      </c>
      <c r="AB23" s="17">
        <f t="array" aca="1" ref="AB23" ca="1">IF(H23,IF(W23&gt;0,SUM((INDIRECT(ster!$D$14)&lt;&gt;"")*IFERROR((INDIRECT(Q23)&lt;&gt;"")*(INDIRECT(Q23)=INT(INDIRECT(Q23))),0)),0),"")</f>
        <v>5</v>
      </c>
      <c r="AC23" s="17">
        <f t="array" aca="1" ref="AC23" ca="1">IF(H23,W23-AB23,"")</f>
        <v>0</v>
      </c>
      <c r="AD23" s="17">
        <f t="shared" ca="1" si="83"/>
        <v>1</v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b">
        <f t="shared" ca="1" si="13"/>
        <v>0</v>
      </c>
      <c r="AL23" s="17" t="b">
        <f t="shared" ca="1" si="84"/>
        <v>0</v>
      </c>
      <c r="AM23" s="17" t="b">
        <f t="shared" ca="1" si="85"/>
        <v>1</v>
      </c>
      <c r="AN23" s="17">
        <f t="shared" ca="1" si="86"/>
        <v>0</v>
      </c>
      <c r="AO23" s="24" t="str">
        <f t="shared" ca="1" si="15"/>
        <v/>
      </c>
      <c r="AP23" s="24" t="str">
        <f t="shared" ca="1" si="16"/>
        <v/>
      </c>
      <c r="AQ23" s="17" t="b">
        <f t="shared" ca="1" si="17"/>
        <v>0</v>
      </c>
      <c r="AR23" s="17" t="b">
        <f t="shared" ca="1" si="18"/>
        <v>0</v>
      </c>
      <c r="AS23" s="17" t="b">
        <f t="shared" ca="1" si="19"/>
        <v>0</v>
      </c>
      <c r="AT23" s="17" t="b">
        <f t="shared" ca="1" si="20"/>
        <v>0</v>
      </c>
      <c r="AU23" s="17" t="b">
        <f t="shared" ca="1" si="21"/>
        <v>0</v>
      </c>
      <c r="AV23" s="17" t="b">
        <f t="shared" ca="1" si="22"/>
        <v>0</v>
      </c>
      <c r="AW23" s="17" t="b">
        <f t="shared" ca="1" si="23"/>
        <v>1</v>
      </c>
      <c r="AX23" s="14" t="b">
        <f t="array" aca="1" ref="AX23" ca="1">IF(H23,N23&gt;0,"")</f>
        <v>0</v>
      </c>
      <c r="AY23" s="17" t="str">
        <f t="shared" ca="1" si="24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5"/>
        <v>1</v>
      </c>
      <c r="BB23" s="17" t="b">
        <f t="shared" ca="1" si="87"/>
        <v>0</v>
      </c>
      <c r="BC23" s="17" t="b">
        <f t="shared" ca="1" si="88"/>
        <v>0</v>
      </c>
      <c r="BD23" s="17" t="b">
        <f t="shared" ca="1" si="89"/>
        <v>0</v>
      </c>
      <c r="BE23" s="17" t="b">
        <f t="shared" ca="1" si="90"/>
        <v>1</v>
      </c>
      <c r="BF23" s="17" t="b">
        <f t="shared" ca="1" si="91"/>
        <v>0</v>
      </c>
      <c r="BG23" s="17" t="b">
        <f t="shared" ca="1" si="92"/>
        <v>0</v>
      </c>
      <c r="BH23" s="17" t="b">
        <f t="shared" ca="1" si="93"/>
        <v>1</v>
      </c>
      <c r="BI23" s="17">
        <f t="shared" ca="1" si="202"/>
        <v>4</v>
      </c>
      <c r="BJ23" s="17" t="b">
        <f t="shared" ca="1" si="95"/>
        <v>1</v>
      </c>
      <c r="BK23" s="17" t="str">
        <f t="shared" ca="1" si="28"/>
        <v/>
      </c>
      <c r="BL23" s="17" t="str">
        <f t="shared" ca="1" si="29"/>
        <v/>
      </c>
      <c r="BM23" s="17" t="str">
        <f t="shared" ca="1" si="30"/>
        <v>I</v>
      </c>
      <c r="BN23" s="17" t="str">
        <f t="shared" ca="1" si="31"/>
        <v>E</v>
      </c>
      <c r="BO23" s="17" t="str">
        <f t="shared" ca="1" si="96"/>
        <v>I</v>
      </c>
      <c r="BP23" s="14" t="b">
        <f t="shared" ca="1" si="97"/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>LAB3</v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■There are errors in the entered values in the following cases: LAB3■</v>
      </c>
      <c r="DD23" s="14" t="str">
        <f t="shared" ca="1" si="98"/>
        <v>There are errors in the entered values in the following cases: LAB3■</v>
      </c>
      <c r="DE23" s="14" t="str">
        <f t="shared" ca="1" si="99"/>
        <v>There are errors in the entered values in the following cases: LAB3</v>
      </c>
      <c r="DF23" s="14" t="str">
        <f t="shared" ca="1" si="100"/>
        <v>There are errors in the entered values in the following cases: LAB3</v>
      </c>
      <c r="DG23" s="14" t="str">
        <f t="shared" ca="1" si="101"/>
        <v/>
      </c>
      <c r="DH23" s="14" t="str">
        <f t="shared" ca="1" si="102"/>
        <v/>
      </c>
      <c r="DI23" s="14" t="str">
        <f t="shared" ca="1" si="103"/>
        <v/>
      </c>
      <c r="DJ23" s="14" t="str">
        <f t="shared" ca="1" si="104"/>
        <v/>
      </c>
      <c r="DK23" s="14" t="str">
        <f t="shared" ca="1" si="105"/>
        <v/>
      </c>
      <c r="DL23" s="14" t="str">
        <f t="shared" ca="1" si="106"/>
        <v/>
      </c>
      <c r="DM23" s="14" t="str">
        <f t="shared" ca="1" si="107"/>
        <v/>
      </c>
      <c r="DN23" s="14" t="str">
        <f t="array" aca="1" ref="DN23" ca="1">IF(CU23&lt;&gt;"","There are errors in the entered values in the following cases: " &amp;SUBSTITUTE(CU23," ",", "),"")</f>
        <v>There are errors in the entered values in the following cases: LAB3</v>
      </c>
      <c r="DO23" s="14" t="str">
        <f t="shared" ca="1" si="108"/>
        <v/>
      </c>
      <c r="DP23" s="14" t="str">
        <f t="shared" ca="1" si="109"/>
        <v/>
      </c>
      <c r="DQ23" s="14" t="str">
        <f t="shared" ca="1" si="110"/>
        <v/>
      </c>
      <c r="DR23" s="14" t="str">
        <f t="shared" ca="1" si="34"/>
        <v/>
      </c>
      <c r="DS23" s="14" t="str">
        <f t="shared" ca="1" si="35"/>
        <v/>
      </c>
      <c r="DZ23" s="14" t="b">
        <f t="shared" ca="1" si="111"/>
        <v>0</v>
      </c>
      <c r="EA23" s="14" t="str">
        <f t="shared" ca="1" si="36"/>
        <v/>
      </c>
      <c r="EB23" s="14" t="str">
        <f t="shared" ca="1" si="112"/>
        <v/>
      </c>
      <c r="EC23" s="14" t="str">
        <f t="shared" ca="1" si="37"/>
        <v/>
      </c>
      <c r="ED23" s="14" t="str">
        <f t="shared" ca="1" si="38"/>
        <v/>
      </c>
      <c r="EE23" s="14" t="str">
        <f t="shared" ca="1" si="39"/>
        <v/>
      </c>
      <c r="EF23" s="14" t="str">
        <f t="shared" ca="1" si="113"/>
        <v/>
      </c>
      <c r="EG23" s="14" t="str">
        <f t="shared" ca="1" si="114"/>
        <v/>
      </c>
      <c r="EM23" s="14" t="b">
        <f t="shared" ca="1" si="115"/>
        <v>1</v>
      </c>
      <c r="EN23" s="14">
        <f t="shared" ca="1" si="40"/>
        <v>19</v>
      </c>
      <c r="EO23" s="14" t="str">
        <f t="shared" ca="1" si="41"/>
        <v>num4</v>
      </c>
      <c r="EP23" s="14" t="str">
        <f t="shared" ca="1" si="116"/>
        <v/>
      </c>
      <c r="EQ23" s="14" t="str">
        <f t="shared" ca="1" si="117"/>
        <v>There are errors in the entered values in the following cases: LAB3</v>
      </c>
    </row>
    <row r="24" spans="2:147" s="14" customFormat="1">
      <c r="B24" s="14" t="str">
        <f t="shared" ca="1" si="76"/>
        <v>The following records are missing in this required field: VIE1, LAB2</v>
      </c>
      <c r="C24" s="14">
        <f t="shared" ca="1" si="77"/>
        <v>20</v>
      </c>
      <c r="D24" s="14">
        <f t="shared" si="78"/>
        <v>22</v>
      </c>
      <c r="E24" s="14" t="str">
        <f t="shared" ca="1" si="0"/>
        <v>I</v>
      </c>
      <c r="F24" s="14" t="str">
        <f t="shared" ca="1" si="1"/>
        <v>required1</v>
      </c>
      <c r="G24" s="14" t="str">
        <f t="shared" ca="1" si="2"/>
        <v>Zmienna required</v>
      </c>
      <c r="H24" s="14" t="b">
        <f t="shared" ca="1" si="79"/>
        <v>1</v>
      </c>
      <c r="I24" s="14" t="str">
        <f ca="1">IF($H24,ADDRESS(3,(D24+1)*2-1,4,,"["&amp;wew!$G$7&amp;"]"&amp;_sheetname_labels)&amp;":"&amp;ADDRESS(2+ster!$B$20,(D24+1)*2-1,4),"")</f>
        <v>'[dane surowe2d_2.xlsm]labels'!AS3:AS36</v>
      </c>
      <c r="J24" s="14">
        <f t="array" aca="1" ref="J24" ca="1">IF(H24,MAX(0,MAX(IF(INDIRECT(I24)&lt;&gt;"",ROW(INDIRECT(I24)),""))-2),"")</f>
        <v>1</v>
      </c>
      <c r="K24" s="14" t="str">
        <f ca="1">IF($H24,IF($J24&gt;0,ADDRESS(3,(D24+1)*2-1,4,,"["&amp;wew!$G$7&amp;"]"&amp;_sheetname_labels)&amp;":"&amp;ADDRESS(2+J24,(D24+1)*2-1,4),""),"")</f>
        <v>'[dane surowe2d_2.xlsm]labels'!AS3:AS3</v>
      </c>
      <c r="L24" s="14" t="str">
        <f ca="1">IF($H24,IF($J24&gt;0,ADDRESS(3,(D24+1)*2,4,,"["&amp;wew!$G$7&amp;"]"&amp;_sheetname_labels)&amp;":"&amp;ADDRESS(2+J24,(D24+1)*2,4),""),"")</f>
        <v>'[dane surowe2d_2.xlsm]labels'!AT3:AT3</v>
      </c>
      <c r="M24" s="14">
        <f t="shared" ca="1" si="80"/>
        <v>1</v>
      </c>
      <c r="N24" s="14">
        <f t="shared" ca="1" si="4"/>
        <v>0</v>
      </c>
      <c r="O24" s="14" t="str">
        <f t="shared" ca="1" si="81"/>
        <v>required1</v>
      </c>
      <c r="P24" s="14" t="str">
        <f t="shared" ca="1" si="82"/>
        <v>Zmienna required</v>
      </c>
      <c r="Q24" s="14" t="str">
        <f ca="1">IF($BP24,ADDRESS(3,D24+1,4,,"["&amp;wew!$G$7&amp;"]"&amp;_sheetname_dataframe)&amp;":"&amp;ADDRESS(2+ster!$C$14,D24+1,4),"")</f>
        <v>'[dane surowe2d_2.xlsm]data_frame'!W3:W12</v>
      </c>
      <c r="R24" s="14" t="str">
        <f>IF($BP24,IF(MID(_xll.FORMULATEXT(INDEX(INDIRECT(Q24),1)),1,1)="=", _xll.FORMULATEXT(INDEX(INDIRECT(Q24),1),2,TRUE),""),"")</f>
        <v/>
      </c>
      <c r="S24" s="14">
        <f t="array" aca="1" ref="S24" ca="1">IF(H24,SUM(IF((IFERROR(INDIRECT(Q24)&lt;&gt;"",FALSE))*(INDIRECT(ster!$D$14)&lt;&gt;""),1,0)),"")</f>
        <v>8</v>
      </c>
      <c r="T24" s="14">
        <f t="array" aca="1" ref="T24" ca="1">IF(H24,IF(M24&gt;0,SUM(IFERROR(1*(MATCH(INDIRECT(Q24),INDIRECT(K24),0)&gt;0),0)*(INDIRECT(ster!$D$14)&lt;&gt;"")*NOT(ISNUMBER(INDIRECT(Q24)))),0),"")</f>
        <v>1</v>
      </c>
      <c r="U24" s="14">
        <f t="array" aca="1" ref="U24" ca="1">IF(H24,SUM((IFERROR(INDIRECT(Q24)="",FALSE))*(INDIRECT(ster!$D$14)&lt;&gt;"")),"")</f>
        <v>1</v>
      </c>
      <c r="V24" s="14">
        <f t="array" aca="1" ref="V24" ca="1">IF(H24,SUM((IFERROR(INDIRECT(Q24)="#ąś",TRUE))*(INDIRECT(ster!$D$14)&lt;&gt;"")),"")</f>
        <v>0</v>
      </c>
      <c r="W24" s="14">
        <f t="array" aca="1" ref="W24" ca="1">IF(H24,SUM(ISNUMBER(INDIRECT(Q24))*(INDIRECT(ster!$D$14)&lt;&gt;"")),"")</f>
        <v>7</v>
      </c>
      <c r="X24" s="14">
        <f t="array" aca="1" ref="X24" ca="1">IF(AND(H24,W24&gt;0),IF(wew!$B$3,MIN(IF((INDIRECT(ster!$D$14)&lt;&gt;"")*IFERROR(INDIRECT($Q24)&lt;&gt;"",FALSE),IFERROR(INDIRECT($Q24),"X"),"X")),"&lt;włącz podświetlanie wartości&gt;"),"—")</f>
        <v>1</v>
      </c>
      <c r="Y24" s="14">
        <f t="array" aca="1" ref="Y24" ca="1">IF(AND(H24,W24&gt;0),IF(wew!$B$3,MAX(IF((INDIRECT(ster!$D$14)&lt;&gt;"")*IFERROR(INDIRECT($Q24)&lt;&gt;"",FALSE),IFERROR(INDIRECT($Q24),"X"),"X")),"&lt;włącz podświetlanie wartości&gt;"),"—")</f>
        <v>2</v>
      </c>
      <c r="Z24" s="14">
        <f t="shared" ca="1" si="7"/>
        <v>0</v>
      </c>
      <c r="AA24" s="12">
        <f t="shared" ca="1" si="8"/>
        <v>0.875</v>
      </c>
      <c r="AB24" s="17">
        <f t="array" aca="1" ref="AB24" ca="1">IF(H24,IF(W24&gt;0,SUM((INDIRECT(ster!$D$14)&lt;&gt;"")*IFERROR((INDIRECT(Q24)&lt;&gt;"")*(INDIRECT(Q24)=INT(INDIRECT(Q24))),0)),0),"")</f>
        <v>7</v>
      </c>
      <c r="AC24" s="17">
        <f t="array" aca="1" ref="AC24" ca="1">IF(H24,W24-AB24,"")</f>
        <v>0</v>
      </c>
      <c r="AD24" s="17">
        <f t="shared" ca="1" si="83"/>
        <v>1</v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b">
        <f t="shared" ca="1" si="13"/>
        <v>0</v>
      </c>
      <c r="AL24" s="17" t="b">
        <f t="shared" ca="1" si="84"/>
        <v>0</v>
      </c>
      <c r="AM24" s="17" t="b">
        <f t="shared" ca="1" si="85"/>
        <v>1</v>
      </c>
      <c r="AN24" s="17">
        <f t="shared" ca="1" si="86"/>
        <v>0</v>
      </c>
      <c r="AO24" s="24" t="str">
        <f t="shared" ca="1" si="15"/>
        <v/>
      </c>
      <c r="AP24" s="24" t="str">
        <f t="shared" ca="1" si="16"/>
        <v/>
      </c>
      <c r="AQ24" s="17" t="b">
        <f t="shared" ca="1" si="17"/>
        <v>0</v>
      </c>
      <c r="AR24" s="17" t="b">
        <f t="shared" ca="1" si="18"/>
        <v>0</v>
      </c>
      <c r="AS24" s="17" t="b">
        <f t="shared" ca="1" si="19"/>
        <v>1</v>
      </c>
      <c r="AT24" s="17" t="b">
        <f t="shared" ca="1" si="20"/>
        <v>0</v>
      </c>
      <c r="AU24" s="17" t="b">
        <f t="shared" ca="1" si="21"/>
        <v>0</v>
      </c>
      <c r="AV24" s="17" t="b">
        <f t="shared" ca="1" si="22"/>
        <v>0</v>
      </c>
      <c r="AW24" s="17" t="b">
        <f t="shared" ca="1" si="23"/>
        <v>1</v>
      </c>
      <c r="AX24" s="14" t="b">
        <f t="array" aca="1" ref="AX24" ca="1">IF(H24,N24&gt;0,"")</f>
        <v>0</v>
      </c>
      <c r="AY24" s="17" t="str">
        <f t="shared" ca="1" si="24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5"/>
        <v>1</v>
      </c>
      <c r="BB24" s="17" t="b">
        <f t="shared" ca="1" si="87"/>
        <v>0</v>
      </c>
      <c r="BC24" s="17" t="b">
        <f t="shared" ca="1" si="88"/>
        <v>0</v>
      </c>
      <c r="BD24" s="17" t="b">
        <f t="shared" ca="1" si="89"/>
        <v>0</v>
      </c>
      <c r="BE24" s="17" t="b">
        <f t="shared" ca="1" si="90"/>
        <v>1</v>
      </c>
      <c r="BF24" s="17" t="b">
        <f t="shared" ca="1" si="91"/>
        <v>0</v>
      </c>
      <c r="BG24" s="17" t="b">
        <f t="shared" ca="1" si="92"/>
        <v>0</v>
      </c>
      <c r="BH24" s="17" t="b">
        <f t="shared" ca="1" si="93"/>
        <v>1</v>
      </c>
      <c r="BI24" s="17">
        <f t="shared" ca="1" si="202"/>
        <v>4</v>
      </c>
      <c r="BJ24" s="17" t="b">
        <f t="shared" ca="1" si="95"/>
        <v>1</v>
      </c>
      <c r="BK24" s="17" t="str">
        <f t="shared" ca="1" si="28"/>
        <v/>
      </c>
      <c r="BL24" s="17" t="str">
        <f t="shared" ca="1" si="29"/>
        <v/>
      </c>
      <c r="BM24" s="17" t="str">
        <f t="shared" ca="1" si="30"/>
        <v>I</v>
      </c>
      <c r="BN24" s="17" t="str">
        <f t="shared" ca="1" si="31"/>
        <v>E</v>
      </c>
      <c r="BO24" s="17" t="str">
        <f t="shared" ca="1" si="96"/>
        <v>I</v>
      </c>
      <c r="BP24" s="14" t="b">
        <f t="shared" ca="1" si="97"/>
        <v>1</v>
      </c>
      <c r="BQ24" s="15">
        <v>1</v>
      </c>
      <c r="BR24" s="14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>VIE1 LAB2</v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■The following records are missing in this required field: VIE1, LAB2■</v>
      </c>
      <c r="DD24" s="14" t="str">
        <f t="shared" ca="1" si="98"/>
        <v>The following records are missing in this required field: VIE1, LAB2■</v>
      </c>
      <c r="DE24" s="14" t="str">
        <f t="shared" ca="1" si="99"/>
        <v>The following records are missing in this required field: VIE1, LAB2</v>
      </c>
      <c r="DF24" s="14" t="str">
        <f t="shared" ca="1" si="100"/>
        <v>The following records are missing in this required field: VIE1, LAB2</v>
      </c>
      <c r="DG24" s="14" t="str">
        <f t="shared" ca="1" si="101"/>
        <v/>
      </c>
      <c r="DH24" s="14" t="str">
        <f t="shared" ca="1" si="102"/>
        <v/>
      </c>
      <c r="DI24" s="14" t="str">
        <f t="shared" ca="1" si="103"/>
        <v/>
      </c>
      <c r="DJ24" s="14" t="str">
        <f t="shared" ca="1" si="104"/>
        <v/>
      </c>
      <c r="DK24" s="14" t="str">
        <f t="shared" ca="1" si="105"/>
        <v/>
      </c>
      <c r="DL24" s="14" t="str">
        <f t="shared" ca="1" si="106"/>
        <v/>
      </c>
      <c r="DM24" s="14" t="str">
        <f t="shared" ca="1" si="107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108"/>
        <v>The following records are missing in this required field: VIE1, LAB2</v>
      </c>
      <c r="DP24" s="14" t="str">
        <f t="shared" ca="1" si="109"/>
        <v/>
      </c>
      <c r="DQ24" s="14" t="str">
        <f t="shared" ca="1" si="110"/>
        <v/>
      </c>
      <c r="DR24" s="14" t="str">
        <f t="shared" ca="1" si="34"/>
        <v/>
      </c>
      <c r="DS24" s="14" t="str">
        <f t="shared" ca="1" si="35"/>
        <v/>
      </c>
      <c r="DZ24" s="14" t="b">
        <f t="shared" ca="1" si="111"/>
        <v>0</v>
      </c>
      <c r="EA24" s="14" t="str">
        <f t="shared" ca="1" si="36"/>
        <v>Zmienna required (required1)</v>
      </c>
      <c r="EB24" s="14" t="str">
        <f t="shared" ca="1" si="112"/>
        <v xml:space="preserve">Values must benon-missing. </v>
      </c>
      <c r="EC24" s="14" t="str">
        <f t="shared" ca="1" si="37"/>
        <v xml:space="preserve">Zmienna required (required1): Values must benon-missing. </v>
      </c>
      <c r="ED24" s="14" t="str">
        <f t="shared" ca="1" si="38"/>
        <v/>
      </c>
      <c r="EE24" s="14" t="str">
        <f t="shared" ca="1" si="39"/>
        <v>Values must benon-missing</v>
      </c>
      <c r="EF24" s="14" t="str">
        <f t="shared" ca="1" si="113"/>
        <v/>
      </c>
      <c r="EG24" s="14" t="str">
        <f t="shared" ca="1" si="114"/>
        <v/>
      </c>
      <c r="EM24" s="14" t="b">
        <f t="shared" ca="1" si="115"/>
        <v>1</v>
      </c>
      <c r="EN24" s="14">
        <f t="shared" ca="1" si="40"/>
        <v>20</v>
      </c>
      <c r="EO24" s="14" t="str">
        <f t="shared" ca="1" si="41"/>
        <v>required1</v>
      </c>
      <c r="EP24" s="14" t="str">
        <f t="shared" ca="1" si="116"/>
        <v xml:space="preserve">Zmienna required (required1): Values must benon-missing. </v>
      </c>
      <c r="EQ24" s="14" t="str">
        <f t="shared" ca="1" si="117"/>
        <v>The following records are missing in this required field: VIE1, LAB2</v>
      </c>
    </row>
    <row r="25" spans="2:147" s="14" customFormat="1">
      <c r="B25" s="14" t="str">
        <f t="shared" ref="B25:B31" ca="1" si="203">DF25</f>
        <v/>
      </c>
      <c r="C25" s="14">
        <f t="shared" ref="C25:C31" ca="1" si="204">IF(OFFSET(B25,-1,COLUMN(VariableExists)-2),OFFSET(B25,-1,1)+1,OFFSET(B25,-1,1))</f>
        <v>21</v>
      </c>
      <c r="D25" s="14">
        <f t="shared" ref="D25:D31" si="205">ROW(A25)-2</f>
        <v>23</v>
      </c>
      <c r="E25" s="14" t="str">
        <f t="shared" ref="E25:E31" ca="1" si="206">IF(OR(G25="",ROW(G25)=2),"",IF(Z25&gt;0,"S",IF(AX25,IF(J25=2,"D","N"),"I")))</f>
        <v>I</v>
      </c>
      <c r="F25" s="14" t="str">
        <f t="shared" ref="F25:F31" ca="1" si="207">IF(H25,O25,"")</f>
        <v>form1</v>
      </c>
      <c r="G25" s="14" t="str">
        <f t="shared" ref="G25:G31" ca="1" si="208">IF(H25,P25,"")</f>
        <v>Zmienna z wartością losową 1</v>
      </c>
      <c r="H25" s="14" t="b">
        <f t="shared" ref="H25:H31" ca="1" si="209">IF(INDIRECT(ADDRESS(2,D25+1,,,_sheetname_dataframe))="",FALSE,MID(INDIRECT(ADDRESS(2,D25+1,,,_sheetname_dataframe)),1,1)&lt;&gt;".")</f>
        <v>1</v>
      </c>
      <c r="I25" s="14" t="str">
        <f ca="1">IF($H25,ADDRESS(3,(D25+1)*2-1,4,,"["&amp;wew!$G$7&amp;"]"&amp;_sheetname_labels)&amp;":"&amp;ADDRESS(2+ster!$B$20,(D25+1)*2-1,4),"")</f>
        <v>'[dane surowe2d_2.xlsm]labels'!AU3:AU36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ref="M25:M31" ca="1" si="210">IF($H25,IF(J25&gt;0,COUNTA(INDIRECT(K25))-COUNT(INDIRECT(K25)),0),"")</f>
        <v>0</v>
      </c>
      <c r="N25" s="14">
        <f t="shared" ref="N25:N31" ca="1" si="211">IF(H25,J25-M25,"")</f>
        <v>0</v>
      </c>
      <c r="O25" s="14" t="str">
        <f t="shared" ref="O25:O31" ca="1" si="212">IF(INDIRECT(ADDRESS(2,D25+1,,,_sheetname_dataframe))="","",INDIRECT(ADDRESS(2,D25+1,,,_sheetname_dataframe)))</f>
        <v>form1</v>
      </c>
      <c r="P25" s="14" t="str">
        <f t="shared" ref="P25:P31" ca="1" si="213">IF(H25,IF(INDIRECT(ADDRESS(1,D25+1,,,_sheetname_dataframe))="","",INDIRECT(ADDRESS(1,D25+1,,,_sheetname_dataframe))),"")</f>
        <v>Zmienna z wartością losową 1</v>
      </c>
      <c r="Q25" s="14" t="str">
        <f ca="1">IF($BP25,ADDRESS(3,D25+1,4,,"["&amp;wew!$G$7&amp;"]"&amp;_sheetname_dataframe)&amp;":"&amp;ADDRESS(2+ster!$C$14,D25+1,4),"")</f>
        <v>'[dane surowe2d_2.xlsm]data_frame'!X3:X12</v>
      </c>
      <c r="R25" s="14" t="str">
        <f>IF($BP25,IF(MID(_xll.FORMULATEXT(INDEX(INDIRECT(Q25),1)),1,1)="=", _xll.FORMULATEXT(INDEX(INDIRECT(Q25),1),2,TRUE),""),"")</f>
        <v>=INT(RAND()*10)</v>
      </c>
      <c r="S25" s="14">
        <f t="array" aca="1" ref="S25" ca="1">IF(H25,SUM(IF((IFERROR(INDIRECT(Q25)&lt;&gt;"",FALSE))*(INDIRECT(ster!$D$14)&lt;&gt;""),1,0)),"")</f>
        <v>9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9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0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7</v>
      </c>
      <c r="Z25" s="14">
        <f t="shared" ref="Z25:Z31" ca="1" si="214">IF(H25,S25-T25-W25,"")</f>
        <v>0</v>
      </c>
      <c r="AA25" s="12">
        <f t="shared" ref="AA25:AA31" ca="1" si="215">IF(H25,IF(S25&gt;0,W25/(S25),"—"),"")</f>
        <v>1</v>
      </c>
      <c r="AB25" s="17">
        <f t="array" aca="1" ref="AB25" ca="1">IF(H25,IF(W25&gt;0,SUM((INDIRECT(ster!$D$14)&lt;&gt;"")*IFERROR((INDIRECT(Q25)&lt;&gt;"")*(INDIRECT(Q25)=INT(INDIRECT(Q25))),0)),0),"")</f>
        <v>9</v>
      </c>
      <c r="AC25" s="17">
        <f t="array" aca="1" ref="AC25" ca="1">IF(H25,W25-AB25,"")</f>
        <v>0</v>
      </c>
      <c r="AD25" s="17">
        <f t="shared" ref="AD25:AD31" ca="1" si="216">IF($H25,IF(AC25&lt;&gt;"",IF(AC25=0,1,IF(AC25/W25&lt;0.15,2,3)),0),"")</f>
        <v>1</v>
      </c>
      <c r="AE25" s="17" t="b">
        <f t="shared" ref="AE25:AE31" ca="1" si="217">IF(H25,OFFSET(O25,1,0)=".validation",FALSE)</f>
        <v>0</v>
      </c>
      <c r="AF25" s="17" t="str">
        <f ca="1">IF(AE25,IF($H25,ADDRESS(3,D25+2,4,,"["&amp;wew!$G$7&amp;"]"&amp;_sheetname_dataframe)&amp;":"&amp;ADDRESS(2+ster!$C$14,D25+2,4),""),"")</f>
        <v/>
      </c>
      <c r="AG25" s="17" t="str">
        <f t="shared" ref="AG25:AG31" ca="1" si="218">IF(AE25,IF($H25,IF(INDIRECT(ADDRESS(1,D25+2,,,_sheetname_dataframe))="","",INDIRECT(ADDRESS(1,D25+2,,,_sheetname_dataframe))),""),"")</f>
        <v/>
      </c>
      <c r="AH25" s="17" t="b">
        <f t="shared" ref="AH25:AH31" ca="1" si="219">IF(H25,AND(AE25,OFFSET(O25,2,0)=".validation"),FALSE)</f>
        <v>0</v>
      </c>
      <c r="AI25" s="17" t="str">
        <f ca="1">IF(AH25,IF($H25,ADDRESS(3,D25+3,4,,"["&amp;wew!$G$7&amp;"]"&amp;_sheetname_dataframe)&amp;":"&amp;ADDRESS(2+ster!$C$14,D25+3,4),""),"")</f>
        <v/>
      </c>
      <c r="AJ25" s="17" t="str">
        <f t="shared" ref="AJ25:AJ31" ca="1" si="220">IF(AH25,IF($H25,IF(INDIRECT(ADDRESS(1,D25+3,,,_sheetname_dataframe))="","",INDIRECT(ADDRESS(1,D25+3,,,_sheetname_dataframe))),""),"")</f>
        <v/>
      </c>
      <c r="AK25" s="17" t="b">
        <f t="shared" ref="AK25:AK31" ca="1" si="221">IF(H25,OR(AQ25,AD25=2),"")</f>
        <v>0</v>
      </c>
      <c r="AL25" s="17" t="b">
        <f t="shared" ref="AL25:AL31" ca="1" si="222">IF($H25,IF(BV25&lt;&gt;"",IF(OR(BM25="F",BM25="L",BM25="I",BM25="D"),BV25&lt;&gt;0)),"")</f>
        <v>0</v>
      </c>
      <c r="AM25" s="17" t="b">
        <f t="shared" ref="AM25:AM31" ca="1" si="223">IF($H25,AND(NOT(AL25),OR(IF(BW25&lt;&gt;"",IF(OR(BM25="F",BM25="L"),BW25&lt;&gt;0)),BM25="I",BM25="N",BM25="D")),"")</f>
        <v>1</v>
      </c>
      <c r="AN25" s="17">
        <f t="shared" ref="AN25:AN31" ca="1" si="224">IF(COUNTA(INDIRECT(Q25))=0,0, IF(AND(AO25&lt;&gt;"",X25&lt;AO25),1,IF(AND(AP25&lt;&gt;"",Y25&gt;AP25),1,IF(AND(AQ25,AC25&gt;0),2,0))))</f>
        <v>0</v>
      </c>
      <c r="AO25" s="24" t="str">
        <f t="shared" ref="AO25:AO31" ca="1" si="225">IF($H25,IF(BY25&lt;&gt;"",IF(ISNUMBER(BY25),BY25,""),""),"")</f>
        <v/>
      </c>
      <c r="AP25" s="24" t="str">
        <f t="shared" ref="AP25:AP31" ca="1" si="226">IF($H25,IF(BZ25&lt;&gt;"",IF(ISNUMBER(BZ25),BZ25,""),""),"")</f>
        <v/>
      </c>
      <c r="AQ25" s="17" t="b">
        <f t="shared" ref="AQ25:AQ31" ca="1" si="227">IF(H25,IF(CA25&lt;&gt;"",CA25&lt;&gt;0,FALSE),"")</f>
        <v>0</v>
      </c>
      <c r="AR25" s="17" t="b">
        <f t="shared" ref="AR25:AR31" ca="1" si="228">IF(H25,IF(N25&gt;0,IF(BQ25&lt;&gt;"",BQ25&lt;&gt;0,FALSE),FALSE),"")</f>
        <v>0</v>
      </c>
      <c r="AS25" s="17" t="b">
        <f t="shared" ref="AS25:AS31" ca="1" si="229">IF(H25,IF(BR25&lt;&gt;"",BR25&lt;&gt;0,FALSE),"")</f>
        <v>0</v>
      </c>
      <c r="AT25" s="17" t="b">
        <f t="shared" ref="AT25:AT31" ca="1" si="230">IF(H25,IF(N25&gt;0,FALSE,IF(BU25&lt;&gt;"",MATCH(BU25,DataType,0)=1,FALSE)),"")</f>
        <v>0</v>
      </c>
      <c r="AU25" s="17" t="b">
        <f t="shared" ref="AU25:AU31" ca="1" si="231">IF(H25,IF(N25&gt;0,TRUE,IF(BU25&lt;&gt;"",MATCH(BU25,DataType,0)=2,FALSE)),"")</f>
        <v>0</v>
      </c>
      <c r="AV25" s="17" t="b">
        <f t="shared" ref="AV25:AV31" ca="1" si="232">IF(H25,IF(N25&gt;0,FALSE,IF(BU25&lt;&gt;"",MATCH(BU25,DataType,0)=3,FALSE)),"")</f>
        <v>0</v>
      </c>
      <c r="AW25" s="17" t="b">
        <f t="shared" ref="AW25:AW31" ca="1" si="233">IF(H25,IF(W25&gt;0,Z25=0,FALSE),"")</f>
        <v>1</v>
      </c>
      <c r="AX25" s="14" t="b">
        <f t="array" aca="1" ref="AX25" ca="1">IF(H25,N25&gt;0,"")</f>
        <v>0</v>
      </c>
      <c r="AY25" s="17" t="str">
        <f t="shared" ref="AY25:AY31" ca="1" si="234">IF(H25,IF(N25&gt;0,ADDRESS(ROW(VariablesOrigin)+1,COLUMN(VariablesOrigin)+1,4) &amp; ":" &amp; ADDRESS(ROW(VariablesOrigin)+N25,COLUMN(VariablesOrigin)+1,4),""),"")</f>
        <v/>
      </c>
      <c r="AZ25" s="17" t="str">
        <f t="array" aca="1" ref="AZ25" ca="1">IF(AY25&lt;&gt;"",SUM(1*ISERROR(MATCH(INDIRECT(AY25),INDIRECT(K25),0)))=0,"")</f>
        <v/>
      </c>
      <c r="BA25" s="17" t="b">
        <f t="shared" ref="BA25:BA31" ca="1" si="235">IF(H25,BU25="",FALSE)</f>
        <v>1</v>
      </c>
      <c r="BB25" s="17" t="b">
        <f t="shared" ref="BB25:BB31" ca="1" si="236">IF(BA25,S25=0,"")</f>
        <v>0</v>
      </c>
      <c r="BC25" s="17" t="b">
        <f t="shared" ref="BC25:BC31" ca="1" si="237">IF(BA25,IF(N25&gt;0,AND(AZ25,Z25=0),FALSE),"")</f>
        <v>0</v>
      </c>
      <c r="BD25" s="17" t="b">
        <f t="shared" ref="BD25:BD31" ca="1" si="238">IF(BA25,IF(N25&gt;0,AND(NOT(AZ25),Z25=0),FALSE),"")</f>
        <v>0</v>
      </c>
      <c r="BE25" s="17" t="b">
        <f t="shared" ref="BE25:BE31" ca="1" si="239">IF(BA25,IF(AND(AW25,NOT(BB25),NOT(BC25),NOT(BD25)),AND(Z25=0,AC25=0),FALSE),"")</f>
        <v>1</v>
      </c>
      <c r="BF25" s="17" t="b">
        <f t="shared" ref="BF25:BF31" ca="1" si="240">IF(BA25,IF(AND(AW25,NOT(BB25),NOT(BC25),NOT(BD25)),AND(Z25=0,OR(AC25&gt;0)),FALSE),"")</f>
        <v>0</v>
      </c>
      <c r="BG25" s="17" t="b">
        <f t="shared" ref="BG25:BG31" ca="1" si="241">IF(BA25,IF(OR(BB25:BF25),FALSE,IF(Z25=0,FALSE,Z25&gt;0)),"")</f>
        <v>0</v>
      </c>
      <c r="BH25" s="17" t="b">
        <f t="shared" ref="BH25:BH31" ca="1" si="242">IF(BA25,COUNTIF(BB25:BG25,TRUE)=1,"")</f>
        <v>1</v>
      </c>
      <c r="BI25" s="17">
        <f t="shared" ref="BI25:BI31" ca="1" si="243">IF(BA25,IFERROR(MATCH(TRUE,BB25:BG25,0),7),"")</f>
        <v>4</v>
      </c>
      <c r="BJ25" s="17" t="b">
        <f t="shared" ref="BJ25:BJ31" ca="1" si="244">DF25&lt;&gt;""</f>
        <v>0</v>
      </c>
      <c r="BK25" s="17" t="str">
        <f t="shared" ref="BK25:BK31" ca="1" si="245">IF(H25,IF(AND(NOT(BA25),AU25),AC25=0,""),"")</f>
        <v/>
      </c>
      <c r="BL25" s="17" t="str">
        <f t="shared" ref="BL25:BL31" ca="1" si="246">IF(H25,IF(AND(NOT(BA25),AU25),AC25&gt;0,""),"")</f>
        <v/>
      </c>
      <c r="BM25" s="17" t="str">
        <f t="shared" ref="BM25:BM31" ca="1" si="247">IF(H25,IF(BA25,CHOOSE(BI25,"0","F","L","I","N",IF(AA25&gt;0.5,"N","S"),"0"),CHOOSE(MATCH(BU25,DataType,0),"S",IF(BK25,"I","N"),"D"  )),"")</f>
        <v>I</v>
      </c>
      <c r="BN25" s="17" t="str">
        <f t="shared" ref="BN25:BN31" ca="1" si="248">IF(H25,IF(BJ25,"E",IF(BA25,CHOOSE(BI25,"0","F","L","I","N","S","0"),CHOOSE(MATCH(BU25,DataType,0),"S",IF(BK25,"I","N"),"D"  ))),"")</f>
        <v>I</v>
      </c>
      <c r="BO25" s="17" t="str">
        <f t="shared" ref="BO25:BO31" ca="1" si="249">IF($H25,IF(BM25="0","",IF(AND(AR25,N25=2),"D",IF(BM25="S","N",IF(AL25,"O",IF(AM25,"I","N"))))),"")</f>
        <v>I</v>
      </c>
      <c r="BP25" s="14" t="b">
        <f t="shared" ref="BP25:BP31" ca="1" si="250">INDIRECT(ADDRESS(2,ROW(A25)-1,,,_sheetname_dataframe))&lt;&gt;""</f>
        <v>1</v>
      </c>
      <c r="BQ25" s="35">
        <v>1</v>
      </c>
      <c r="BS25" s="14" t="s">
        <v>538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ref="DD25:DD31" ca="1" si="251">IF(MID(DC25,1,1)="■",MID(DC25,2,LEN(DC25)),DC25)</f>
        <v/>
      </c>
      <c r="DE25" s="14" t="str">
        <f t="shared" ref="DE25:DE31" ca="1" si="252">IF(DD25&lt;&gt;"",IF(MID(DD25,LEN(DD25),1)="■",MID(DD25,1,LEN(DD25)-1),DD25),"")</f>
        <v/>
      </c>
      <c r="DF25" s="14" t="str">
        <f t="shared" ref="DF25:DF31" ca="1" si="253">IFERROR(IF(DE25&lt;&gt;"",SUBSTITUTE(DE25,"■",". "),""),"##INTERNAL_ERROR")</f>
        <v/>
      </c>
      <c r="DG25" s="14" t="str">
        <f t="shared" ref="DG25:DG31" ca="1" si="254">IF(CN25&lt;&gt;0,"Variable name don't comply with the naming convention","")</f>
        <v/>
      </c>
      <c r="DH25" s="14" t="str">
        <f t="shared" ref="DH25:DH31" ca="1" si="255">IF(CO25&lt;&gt;"","Duplicated name. " &amp; IF(ISERROR(FIND(" ",CO25)),"Duplicate have index " &amp; CO25, "Duplicates have indices: "&amp;SUBSTITUTE(CO25," ",", ")),"")</f>
        <v/>
      </c>
      <c r="DI25" s="14" t="str">
        <f t="shared" ref="DI25:DI31" ca="1" si="256">IF(CP25&lt;&gt;"","Variable label exceed length 150","")</f>
        <v/>
      </c>
      <c r="DJ25" s="14" t="str">
        <f t="shared" ref="DJ25:DJ31" ca="1" si="257">IF(CQ25&lt;&gt;"","Duplicated variable label. " &amp; IF(ISERROR(FIND(" ",CQ25)),"Duplicate have index " &amp; CQ25, "Duplicates have indices: "&amp;SUBSTITUTE(CQ25," ",", ")),"")</f>
        <v/>
      </c>
      <c r="DK25" s="14" t="str">
        <f t="shared" ref="DK25:DK31" ca="1" si="258">IF(CR25&lt;&gt;"","The following cases have values below declared theorethical min: " &amp;SUBSTITUTE(CR25," ",", "),"")</f>
        <v/>
      </c>
      <c r="DL25" s="14" t="str">
        <f t="shared" ref="DL25:DL31" ca="1" si="259">IF(CS25&lt;&gt;"","The following cases have values above declared theorethical max: " &amp;SUBSTITUTE(CS25," ",", "),"")</f>
        <v/>
      </c>
      <c r="DM25" s="14" t="str">
        <f t="shared" ref="DM25:DM31" ca="1" si="260">IF(CT25&lt;&gt;"","There are some cases with values not explicitly declared in the labels dictionary: " &amp;SUBSTITUTE(CT25," ",", "),"")</f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ref="DO25:DO31" ca="1" si="261">IF(CV25&lt;&gt;"","The following records are missing in this required field: " &amp;SUBSTITUTE(CV25," ",", "),"")</f>
        <v/>
      </c>
      <c r="DP25" s="14" t="str">
        <f t="shared" ref="DP25:DP31" ca="1" si="262">IF(CW25&lt;&gt;"","The following cases have non-integer values: " &amp;SUBSTITUTE(CW25," ",", "),"")</f>
        <v/>
      </c>
      <c r="DQ25" s="14" t="str">
        <f t="shared" ref="DQ25:DQ31" ca="1" si="263">IF(CX25&lt;&gt;"","The following cases are non-numeric: " &amp;SUBSTITUTE(CX25," ",", "),"")</f>
        <v/>
      </c>
      <c r="DR25" s="14" t="str">
        <f t="shared" ref="DR25:DR31" ca="1" si="264">IF(CY25&lt;&gt;"","In the following cases " &amp; P25 &amp; " " &amp; LOWER(MID(AG25,1,1)) &amp; MID(AG25,2,LEN(AG25)) &amp; ": " &amp;SUBSTITUTE(CY25," ",", "),"")</f>
        <v/>
      </c>
      <c r="DS25" s="14" t="str">
        <f t="shared" ref="DS25:DS31" ca="1" si="265">IF(CZ25&lt;&gt;"","In the following cases " &amp; P25 &amp; " " &amp; LOWER(MID(AJ25,1,1)) &amp; MID(AJ25,2,LEN(AJ25)) &amp; ": " &amp;SUBSTITUTE(CZ25," ",", "),"")</f>
        <v/>
      </c>
      <c r="DZ25" s="14" t="b">
        <f t="shared" ref="DZ25:DZ31" ca="1" si="266">OR(ED25&lt;&gt;"",EF25&lt;&gt;"",EG25&lt;&gt;"")</f>
        <v>0</v>
      </c>
      <c r="EA25" s="14" t="str">
        <f t="shared" ref="EA25:EA31" ca="1" si="267">IF(EB25&lt;&gt;"",G25 &amp; " (" &amp; F25 &amp; ")","")</f>
        <v/>
      </c>
      <c r="EB25" s="14" t="str">
        <f t="shared" ref="EB25:EB31" ca="1" si="268">IF(EE25&lt;&gt;"",EE25&amp;IF(ED25&lt;&gt;""," and "&amp;ED25,""),UPPER(MID(ED25,1,1)&amp;MID(ED25,2,LEN(ED25))))&amp; IF(OR(EF25&lt;&gt;"",EG25&lt;&gt;"")," and "&amp;IF(EF25&lt;&gt;"",LOWER(MID(EF25,1,1) &amp; MID(EF25,2,LEN(EF25))),"")&amp; IF(AND(EF25 &lt;&gt;"",EG25&lt;&gt;"")," and ","") &amp; IF(EG25&lt;&gt;"",LOWER(MID(EG25,1,1) &amp; MID(EG25,2,LEN(EG25))),""),"") &amp; IF(OR(EE25&lt;&gt;"",ED25&lt;&gt;"",EF25&lt;&gt;"",EG25&lt;&gt;""), ". ","")</f>
        <v/>
      </c>
      <c r="EC25" s="14" t="str">
        <f t="shared" ref="EC25:EC31" ca="1" si="269">IF(EB25&lt;&gt;"",G25 &amp; " (" &amp; F25 &amp; "): " &amp; EB25,"")</f>
        <v/>
      </c>
      <c r="ED25" s="14" t="str">
        <f t="shared" ref="ED25:ED31" ca="1" si="270">IF(H25,IF(W25&gt;0,IF(AND(AO25&lt;&gt;"",AP25&lt;&gt;""),"each value must be between " &amp; IF( AV25,IFERROR(TEXT(AO25,"rrrr-mm-dd") &amp;" (" &amp; AO25 &amp;")",AO25),AO25) &amp; " and " &amp; IF( AV25,IFERROR(TEXT(AP25,"rrrr-mm-dd") &amp;" (" &amp; AP25 &amp;")",AP25),AP25),IF(AO25&lt;&gt;"","each value must be above " &amp; IF( AV25,IFERROR(TEXT(AO25,"rrrr-mm-dd") &amp;" (" &amp; AO25 &amp;")",AO25),AO25), IF(AP25&lt;&gt;"","each value must be below " &amp; IF( AV25,IFERROR(TEXT(AP25,"rrrr-mm-dd") &amp;" (" &amp; AP25 &amp;")",AP25),AP25),""))),""),"")</f>
        <v/>
      </c>
      <c r="EE25" s="14" t="str">
        <f t="shared" ref="EE25:EE31" ca="1" si="271">IF(H25,IF(OR(AQ25,AU25,AV25,AS25,AR25),
   "Values must be" &amp;
   IF(AR25," limited to predefinied list", IF(AQ25, " integers",IF(OR(AU25,AV25)," numeric",""))) &amp;
   IF(AS25,IF(OR(AR25,AQ25,AU25,AV25), " and ","") &amp; "non-missing",""),
""),"")</f>
        <v/>
      </c>
      <c r="EF25" s="14" t="str">
        <f t="shared" ref="EF25:EF31" ca="1" si="272">IF($H25,AG25,"")</f>
        <v/>
      </c>
      <c r="EG25" s="14" t="str">
        <f t="shared" ref="EG25:EG31" ca="1" si="273">IF($H25,AJ25,"")</f>
        <v/>
      </c>
      <c r="EM25" s="14" t="b">
        <f t="shared" ref="EM25:EM31" ca="1" si="274">OR(EC25&lt;&gt;"",DF25&lt;&gt;"")</f>
        <v>0</v>
      </c>
      <c r="EN25" s="14" t="str">
        <f t="shared" ref="EN25:EN31" ca="1" si="275">IF(EM25,C25,"")</f>
        <v/>
      </c>
      <c r="EO25" s="14" t="str">
        <f t="shared" ref="EO25:EO31" ca="1" si="276">IF(EM25,F25,"")</f>
        <v/>
      </c>
      <c r="EP25" s="14" t="str">
        <f t="shared" ref="EP25:EP31" ca="1" si="277">EC25</f>
        <v/>
      </c>
      <c r="EQ25" s="14" t="str">
        <f t="shared" ref="EQ25:EQ31" ca="1" si="278">DF25</f>
        <v/>
      </c>
    </row>
    <row r="26" spans="2:147" s="14" customFormat="1">
      <c r="B26" s="14" t="str">
        <f t="shared" ca="1" si="203"/>
        <v/>
      </c>
      <c r="C26" s="14">
        <f t="shared" ca="1" si="204"/>
        <v>22</v>
      </c>
      <c r="D26" s="14">
        <f t="shared" si="205"/>
        <v>24</v>
      </c>
      <c r="E26" s="14" t="str">
        <f t="shared" ca="1" si="206"/>
        <v>I</v>
      </c>
      <c r="F26" s="14" t="str">
        <f t="shared" ca="1" si="207"/>
        <v>form2</v>
      </c>
      <c r="G26" s="14" t="str">
        <f t="shared" ca="1" si="208"/>
        <v>Zmienna z wartością losową 2</v>
      </c>
      <c r="H26" s="14" t="b">
        <f t="shared" ca="1" si="209"/>
        <v>1</v>
      </c>
      <c r="I26" s="14" t="str">
        <f ca="1">IF($H26,ADDRESS(3,(D26+1)*2-1,4,,"["&amp;wew!$G$7&amp;"]"&amp;_sheetname_labels)&amp;":"&amp;ADDRESS(2+ster!$B$20,(D26+1)*2-1,4),"")</f>
        <v>'[dane surowe2d_2.xlsm]labels'!AW3:AW36</v>
      </c>
      <c r="J26" s="14">
        <f t="array" aca="1" ref="J26" ca="1">IF(H26,MAX(0,MAX(IF(INDIRECT(I26)&lt;&gt;"",ROW(INDIRECT(I26)),""))-2),"")</f>
        <v>0</v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>
        <f t="shared" ca="1" si="210"/>
        <v>0</v>
      </c>
      <c r="N26" s="14">
        <f t="shared" ca="1" si="211"/>
        <v>0</v>
      </c>
      <c r="O26" s="14" t="str">
        <f t="shared" ca="1" si="212"/>
        <v>form2</v>
      </c>
      <c r="P26" s="14" t="str">
        <f t="shared" ca="1" si="213"/>
        <v>Zmienna z wartością losową 2</v>
      </c>
      <c r="Q26" s="14" t="str">
        <f ca="1">IF($BP26,ADDRESS(3,D26+1,4,,"["&amp;wew!$G$7&amp;"]"&amp;_sheetname_dataframe)&amp;":"&amp;ADDRESS(2+ster!$C$14,D26+1,4),"")</f>
        <v>'[dane surowe2d_2.xlsm]data_frame'!Y3:Y12</v>
      </c>
      <c r="R26" s="14" t="str">
        <f>IF($BP26,IF(MID(_xll.FORMULATEXT(INDEX(INDIRECT(Q26),1)),1,1)="=", _xll.FORMULATEXT(INDEX(INDIRECT(Q26),1),2,TRUE),""),"")</f>
        <v>=INT(RAND()*10)</v>
      </c>
      <c r="S26" s="14">
        <f t="array" aca="1" ref="S26" ca="1">IF(H26,SUM(IF((IFERROR(INDIRECT(Q26)&lt;&gt;"",FALSE))*(INDIRECT(ster!$D$14)&lt;&gt;""),1,0)),"")</f>
        <v>9</v>
      </c>
      <c r="T26" s="14">
        <f t="array" aca="1" ref="T26" ca="1">IF(H26,IF(M26&gt;0,SUM(IFERROR(1*(MATCH(INDIRECT(Q26),INDIRECT(K26),0)&gt;0),0)*(INDIRECT(ster!$D$14)&lt;&gt;"")*NOT(ISNUMBER(INDIRECT(Q26)))),0),"")</f>
        <v>0</v>
      </c>
      <c r="U26" s="14">
        <f t="array" aca="1" ref="U26" ca="1">IF(H26,SUM((IFERROR(INDIRECT(Q26)="",FALSE))*(INDIRECT(ster!$D$14)&lt;&gt;"")),"")</f>
        <v>0</v>
      </c>
      <c r="V26" s="14">
        <f t="array" aca="1" ref="V26" ca="1">IF(H26,SUM((IFERROR(INDIRECT(Q26)="#ąś",TRUE))*(INDIRECT(ster!$D$14)&lt;&gt;"")),"")</f>
        <v>0</v>
      </c>
      <c r="W26" s="14">
        <f t="array" aca="1" ref="W26" ca="1">IF(H26,SUM(ISNUMBER(INDIRECT(Q26))*(INDIRECT(ster!$D$14)&lt;&gt;"")),"")</f>
        <v>9</v>
      </c>
      <c r="X26" s="14">
        <f t="array" aca="1" ref="X26" ca="1">IF(AND(H26,W26&gt;0),IF(wew!$B$3,MIN(IF((INDIRECT(ster!$D$14)&lt;&gt;"")*IFERROR(INDIRECT($Q26)&lt;&gt;"",FALSE),IFERROR(INDIRECT($Q26),"X"),"X")),"&lt;włącz podświetlanie wartości&gt;"),"—")</f>
        <v>0</v>
      </c>
      <c r="Y26" s="14">
        <f t="array" aca="1" ref="Y26" ca="1">IF(AND(H26,W26&gt;0),IF(wew!$B$3,MAX(IF((INDIRECT(ster!$D$14)&lt;&gt;"")*IFERROR(INDIRECT($Q26)&lt;&gt;"",FALSE),IFERROR(INDIRECT($Q26),"X"),"X")),"&lt;włącz podświetlanie wartości&gt;"),"—")</f>
        <v>9</v>
      </c>
      <c r="Z26" s="14">
        <f t="shared" ca="1" si="214"/>
        <v>0</v>
      </c>
      <c r="AA26" s="12">
        <f t="shared" ca="1" si="215"/>
        <v>1</v>
      </c>
      <c r="AB26" s="17">
        <f t="array" aca="1" ref="AB26" ca="1">IF(H26,IF(W26&gt;0,SUM((INDIRECT(ster!$D$14)&lt;&gt;"")*IFERROR((INDIRECT(Q26)&lt;&gt;"")*(INDIRECT(Q26)=INT(INDIRECT(Q26))),0)),0),"")</f>
        <v>9</v>
      </c>
      <c r="AC26" s="17">
        <f t="array" aca="1" ref="AC26" ca="1">IF(H26,W26-AB26,"")</f>
        <v>0</v>
      </c>
      <c r="AD26" s="17">
        <f t="shared" ca="1" si="216"/>
        <v>1</v>
      </c>
      <c r="AE26" s="17" t="b">
        <f t="shared" ca="1" si="217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218"/>
        <v/>
      </c>
      <c r="AH26" s="17" t="b">
        <f t="shared" ca="1" si="219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220"/>
        <v/>
      </c>
      <c r="AK26" s="17" t="b">
        <f t="shared" ca="1" si="221"/>
        <v>0</v>
      </c>
      <c r="AL26" s="17" t="b">
        <f t="shared" ca="1" si="222"/>
        <v>0</v>
      </c>
      <c r="AM26" s="17" t="b">
        <f t="shared" ca="1" si="223"/>
        <v>1</v>
      </c>
      <c r="AN26" s="17">
        <f t="shared" ca="1" si="224"/>
        <v>0</v>
      </c>
      <c r="AO26" s="24" t="str">
        <f t="shared" ca="1" si="225"/>
        <v/>
      </c>
      <c r="AP26" s="24" t="str">
        <f t="shared" ca="1" si="226"/>
        <v/>
      </c>
      <c r="AQ26" s="17" t="b">
        <f t="shared" ca="1" si="227"/>
        <v>0</v>
      </c>
      <c r="AR26" s="17" t="b">
        <f t="shared" ca="1" si="228"/>
        <v>0</v>
      </c>
      <c r="AS26" s="17" t="b">
        <f t="shared" ca="1" si="229"/>
        <v>0</v>
      </c>
      <c r="AT26" s="17" t="b">
        <f t="shared" ca="1" si="230"/>
        <v>0</v>
      </c>
      <c r="AU26" s="17" t="b">
        <f t="shared" ca="1" si="231"/>
        <v>0</v>
      </c>
      <c r="AV26" s="17" t="b">
        <f t="shared" ca="1" si="232"/>
        <v>0</v>
      </c>
      <c r="AW26" s="17" t="b">
        <f t="shared" ca="1" si="233"/>
        <v>1</v>
      </c>
      <c r="AX26" s="14" t="b">
        <f t="array" aca="1" ref="AX26" ca="1">IF(H26,N26&gt;0,"")</f>
        <v>0</v>
      </c>
      <c r="AY26" s="17" t="str">
        <f t="shared" ca="1" si="234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35"/>
        <v>1</v>
      </c>
      <c r="BB26" s="17" t="b">
        <f t="shared" ca="1" si="236"/>
        <v>0</v>
      </c>
      <c r="BC26" s="17" t="b">
        <f t="shared" ca="1" si="237"/>
        <v>0</v>
      </c>
      <c r="BD26" s="17" t="b">
        <f t="shared" ca="1" si="238"/>
        <v>0</v>
      </c>
      <c r="BE26" s="17" t="b">
        <f t="shared" ca="1" si="239"/>
        <v>1</v>
      </c>
      <c r="BF26" s="17" t="b">
        <f t="shared" ca="1" si="240"/>
        <v>0</v>
      </c>
      <c r="BG26" s="17" t="b">
        <f t="shared" ca="1" si="241"/>
        <v>0</v>
      </c>
      <c r="BH26" s="17" t="b">
        <f t="shared" ca="1" si="242"/>
        <v>1</v>
      </c>
      <c r="BI26" s="17">
        <f t="shared" ca="1" si="243"/>
        <v>4</v>
      </c>
      <c r="BJ26" s="17" t="b">
        <f t="shared" ca="1" si="244"/>
        <v>0</v>
      </c>
      <c r="BK26" s="17" t="str">
        <f t="shared" ca="1" si="245"/>
        <v/>
      </c>
      <c r="BL26" s="17" t="str">
        <f t="shared" ca="1" si="246"/>
        <v/>
      </c>
      <c r="BM26" s="17" t="str">
        <f t="shared" ca="1" si="247"/>
        <v>I</v>
      </c>
      <c r="BN26" s="17" t="str">
        <f t="shared" ca="1" si="248"/>
        <v>I</v>
      </c>
      <c r="BO26" s="17" t="str">
        <f t="shared" ca="1" si="249"/>
        <v>I</v>
      </c>
      <c r="BP26" s="14" t="b">
        <f t="shared" ca="1" si="250"/>
        <v>1</v>
      </c>
      <c r="BQ26" s="35">
        <v>1</v>
      </c>
      <c r="BS26" s="14" t="s">
        <v>539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51"/>
        <v/>
      </c>
      <c r="DE26" s="14" t="str">
        <f t="shared" ca="1" si="252"/>
        <v/>
      </c>
      <c r="DF26" s="14" t="str">
        <f t="shared" ca="1" si="253"/>
        <v/>
      </c>
      <c r="DG26" s="14" t="str">
        <f t="shared" ca="1" si="254"/>
        <v/>
      </c>
      <c r="DH26" s="14" t="str">
        <f t="shared" ca="1" si="255"/>
        <v/>
      </c>
      <c r="DI26" s="14" t="str">
        <f t="shared" ca="1" si="256"/>
        <v/>
      </c>
      <c r="DJ26" s="14" t="str">
        <f t="shared" ca="1" si="257"/>
        <v/>
      </c>
      <c r="DK26" s="14" t="str">
        <f t="shared" ca="1" si="258"/>
        <v/>
      </c>
      <c r="DL26" s="14" t="str">
        <f t="shared" ca="1" si="259"/>
        <v/>
      </c>
      <c r="DM26" s="14" t="str">
        <f t="shared" ca="1" si="260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61"/>
        <v/>
      </c>
      <c r="DP26" s="14" t="str">
        <f t="shared" ca="1" si="262"/>
        <v/>
      </c>
      <c r="DQ26" s="14" t="str">
        <f t="shared" ca="1" si="263"/>
        <v/>
      </c>
      <c r="DR26" s="14" t="str">
        <f t="shared" ca="1" si="264"/>
        <v/>
      </c>
      <c r="DS26" s="14" t="str">
        <f t="shared" ca="1" si="265"/>
        <v/>
      </c>
      <c r="DZ26" s="14" t="b">
        <f t="shared" ca="1" si="266"/>
        <v>0</v>
      </c>
      <c r="EA26" s="14" t="str">
        <f t="shared" ca="1" si="267"/>
        <v/>
      </c>
      <c r="EB26" s="14" t="str">
        <f t="shared" ca="1" si="268"/>
        <v/>
      </c>
      <c r="EC26" s="14" t="str">
        <f t="shared" ca="1" si="269"/>
        <v/>
      </c>
      <c r="ED26" s="14" t="str">
        <f t="shared" ca="1" si="270"/>
        <v/>
      </c>
      <c r="EE26" s="14" t="str">
        <f t="shared" ca="1" si="271"/>
        <v/>
      </c>
      <c r="EF26" s="14" t="str">
        <f t="shared" ca="1" si="272"/>
        <v/>
      </c>
      <c r="EG26" s="14" t="str">
        <f t="shared" ca="1" si="273"/>
        <v/>
      </c>
      <c r="EM26" s="14" t="b">
        <f t="shared" ca="1" si="274"/>
        <v>0</v>
      </c>
      <c r="EN26" s="14" t="str">
        <f t="shared" ca="1" si="275"/>
        <v/>
      </c>
      <c r="EO26" s="14" t="str">
        <f t="shared" ca="1" si="276"/>
        <v/>
      </c>
      <c r="EP26" s="14" t="str">
        <f t="shared" ca="1" si="277"/>
        <v/>
      </c>
      <c r="EQ26" s="14" t="str">
        <f t="shared" ca="1" si="278"/>
        <v/>
      </c>
    </row>
    <row r="27" spans="2:147" s="14" customFormat="1">
      <c r="B27" s="14" t="str">
        <f t="shared" ca="1" si="203"/>
        <v/>
      </c>
      <c r="C27" s="14">
        <f t="shared" ca="1" si="204"/>
        <v>23</v>
      </c>
      <c r="D27" s="14">
        <f t="shared" si="205"/>
        <v>25</v>
      </c>
      <c r="E27" s="14" t="str">
        <f t="shared" ca="1" si="206"/>
        <v>I</v>
      </c>
      <c r="F27" s="14" t="str">
        <f t="shared" ca="1" si="207"/>
        <v>form3</v>
      </c>
      <c r="G27" s="14" t="str">
        <f t="shared" ca="1" si="208"/>
        <v>Zmienna z wartością losową 3</v>
      </c>
      <c r="H27" s="14" t="b">
        <f t="shared" ca="1" si="209"/>
        <v>1</v>
      </c>
      <c r="I27" s="14" t="str">
        <f ca="1">IF($H27,ADDRESS(3,(D27+1)*2-1,4,,"["&amp;wew!$G$7&amp;"]"&amp;_sheetname_labels)&amp;":"&amp;ADDRESS(2+ster!$B$20,(D27+1)*2-1,4),"")</f>
        <v>'[dane surowe2d_2.xlsm]labels'!AY3:AY36</v>
      </c>
      <c r="J27" s="14">
        <f t="array" aca="1" ref="J27" ca="1">IF(H27,MAX(0,MAX(IF(INDIRECT(I27)&lt;&gt;"",ROW(INDIRECT(I27)),""))-2),"")</f>
        <v>0</v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>
        <f t="shared" ca="1" si="210"/>
        <v>0</v>
      </c>
      <c r="N27" s="14">
        <f t="shared" ca="1" si="211"/>
        <v>0</v>
      </c>
      <c r="O27" s="14" t="str">
        <f t="shared" ca="1" si="212"/>
        <v>form3</v>
      </c>
      <c r="P27" s="14" t="str">
        <f t="shared" ca="1" si="213"/>
        <v>Zmienna z wartością losową 3</v>
      </c>
      <c r="Q27" s="14" t="str">
        <f ca="1">IF($BP27,ADDRESS(3,D27+1,4,,"["&amp;wew!$G$7&amp;"]"&amp;_sheetname_dataframe)&amp;":"&amp;ADDRESS(2+ster!$C$14,D27+1,4),"")</f>
        <v>'[dane surowe2d_2.xlsm]data_frame'!Z3:Z12</v>
      </c>
      <c r="R27" s="14" t="str">
        <f>IF($BP27,IF(MID(_xll.FORMULATEXT(INDEX(INDIRECT(Q27),1)),1,1)="=", _xll.FORMULATEXT(INDEX(INDIRECT(Q27),1),2,TRUE),""),"")</f>
        <v>=INT(RAND()*10)</v>
      </c>
      <c r="S27" s="14">
        <f t="array" aca="1" ref="S27" ca="1">IF(H27,SUM(IF((IFERROR(INDIRECT(Q27)&lt;&gt;"",FALSE))*(INDIRECT(ster!$D$14)&lt;&gt;""),1,0)),"")</f>
        <v>9</v>
      </c>
      <c r="T27" s="14">
        <f t="array" aca="1" ref="T27" ca="1">IF(H27,IF(M27&gt;0,SUM(IFERROR(1*(MATCH(INDIRECT(Q27),INDIRECT(K27),0)&gt;0),0)*(INDIRECT(ster!$D$14)&lt;&gt;"")*NOT(ISNUMBER(INDIRECT(Q27)))),0),"")</f>
        <v>0</v>
      </c>
      <c r="U27" s="14">
        <f t="array" aca="1" ref="U27" ca="1">IF(H27,SUM((IFERROR(INDIRECT(Q27)="",FALSE))*(INDIRECT(ster!$D$14)&lt;&gt;"")),"")</f>
        <v>0</v>
      </c>
      <c r="V27" s="14">
        <f t="array" aca="1" ref="V27" ca="1">IF(H27,SUM((IFERROR(INDIRECT(Q27)="#ąś",TRUE))*(INDIRECT(ster!$D$14)&lt;&gt;"")),"")</f>
        <v>0</v>
      </c>
      <c r="W27" s="14">
        <f t="array" aca="1" ref="W27" ca="1">IF(H27,SUM(ISNUMBER(INDIRECT(Q27))*(INDIRECT(ster!$D$14)&lt;&gt;"")),"")</f>
        <v>9</v>
      </c>
      <c r="X27" s="14">
        <f t="array" aca="1" ref="X27" ca="1">IF(AND(H27,W27&gt;0),IF(wew!$B$3,MIN(IF((INDIRECT(ster!$D$14)&lt;&gt;"")*IFERROR(INDIRECT($Q27)&lt;&gt;"",FALSE),IFERROR(INDIRECT($Q27),"X"),"X")),"&lt;włącz podświetlanie wartości&gt;"),"—")</f>
        <v>0</v>
      </c>
      <c r="Y27" s="14">
        <f t="array" aca="1" ref="Y27" ca="1">IF(AND(H27,W27&gt;0),IF(wew!$B$3,MAX(IF((INDIRECT(ster!$D$14)&lt;&gt;"")*IFERROR(INDIRECT($Q27)&lt;&gt;"",FALSE),IFERROR(INDIRECT($Q27),"X"),"X")),"&lt;włącz podświetlanie wartości&gt;"),"—")</f>
        <v>7</v>
      </c>
      <c r="Z27" s="14">
        <f t="shared" ca="1" si="214"/>
        <v>0</v>
      </c>
      <c r="AA27" s="12">
        <f t="shared" ca="1" si="215"/>
        <v>1</v>
      </c>
      <c r="AB27" s="17">
        <f t="array" aca="1" ref="AB27" ca="1">IF(H27,IF(W27&gt;0,SUM((INDIRECT(ster!$D$14)&lt;&gt;"")*IFERROR((INDIRECT(Q27)&lt;&gt;"")*(INDIRECT(Q27)=INT(INDIRECT(Q27))),0)),0),"")</f>
        <v>9</v>
      </c>
      <c r="AC27" s="17">
        <f t="array" aca="1" ref="AC27" ca="1">IF(H27,W27-AB27,"")</f>
        <v>0</v>
      </c>
      <c r="AD27" s="17">
        <f t="shared" ca="1" si="216"/>
        <v>1</v>
      </c>
      <c r="AE27" s="17" t="b">
        <f t="shared" ca="1" si="217"/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ca="1" si="218"/>
        <v/>
      </c>
      <c r="AH27" s="17" t="b">
        <f t="shared" ca="1" si="219"/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ca="1" si="220"/>
        <v/>
      </c>
      <c r="AK27" s="17" t="b">
        <f t="shared" ca="1" si="221"/>
        <v>0</v>
      </c>
      <c r="AL27" s="17" t="b">
        <f t="shared" ca="1" si="222"/>
        <v>0</v>
      </c>
      <c r="AM27" s="17" t="b">
        <f t="shared" ca="1" si="223"/>
        <v>1</v>
      </c>
      <c r="AN27" s="17">
        <f t="shared" ca="1" si="224"/>
        <v>0</v>
      </c>
      <c r="AO27" s="24" t="str">
        <f t="shared" ca="1" si="225"/>
        <v/>
      </c>
      <c r="AP27" s="24" t="str">
        <f t="shared" ca="1" si="226"/>
        <v/>
      </c>
      <c r="AQ27" s="17" t="b">
        <f t="shared" ca="1" si="227"/>
        <v>0</v>
      </c>
      <c r="AR27" s="17" t="b">
        <f t="shared" ca="1" si="228"/>
        <v>0</v>
      </c>
      <c r="AS27" s="17" t="b">
        <f t="shared" ca="1" si="229"/>
        <v>0</v>
      </c>
      <c r="AT27" s="17" t="b">
        <f t="shared" ca="1" si="230"/>
        <v>0</v>
      </c>
      <c r="AU27" s="17" t="b">
        <f t="shared" ca="1" si="231"/>
        <v>0</v>
      </c>
      <c r="AV27" s="17" t="b">
        <f t="shared" ca="1" si="232"/>
        <v>0</v>
      </c>
      <c r="AW27" s="17" t="b">
        <f t="shared" ca="1" si="233"/>
        <v>1</v>
      </c>
      <c r="AX27" s="14" t="b">
        <f t="array" aca="1" ref="AX27" ca="1">IF(H27,N27&gt;0,"")</f>
        <v>0</v>
      </c>
      <c r="AY27" s="17" t="str">
        <f t="shared" ca="1" si="234"/>
        <v/>
      </c>
      <c r="AZ27" s="17" t="str">
        <f t="array" aca="1" ref="AZ27" ca="1">IF(AY27&lt;&gt;"",SUM(1*ISERROR(MATCH(INDIRECT(AY27),INDIRECT(K27),0)))=0,"")</f>
        <v/>
      </c>
      <c r="BA27" s="17" t="b">
        <f t="shared" ca="1" si="235"/>
        <v>1</v>
      </c>
      <c r="BB27" s="17" t="b">
        <f t="shared" ca="1" si="236"/>
        <v>0</v>
      </c>
      <c r="BC27" s="17" t="b">
        <f t="shared" ca="1" si="237"/>
        <v>0</v>
      </c>
      <c r="BD27" s="17" t="b">
        <f t="shared" ca="1" si="238"/>
        <v>0</v>
      </c>
      <c r="BE27" s="17" t="b">
        <f t="shared" ca="1" si="239"/>
        <v>1</v>
      </c>
      <c r="BF27" s="17" t="b">
        <f t="shared" ca="1" si="240"/>
        <v>0</v>
      </c>
      <c r="BG27" s="17" t="b">
        <f t="shared" ca="1" si="241"/>
        <v>0</v>
      </c>
      <c r="BH27" s="17" t="b">
        <f t="shared" ca="1" si="242"/>
        <v>1</v>
      </c>
      <c r="BI27" s="17">
        <f t="shared" ca="1" si="243"/>
        <v>4</v>
      </c>
      <c r="BJ27" s="17" t="b">
        <f t="shared" ca="1" si="244"/>
        <v>0</v>
      </c>
      <c r="BK27" s="17" t="str">
        <f t="shared" ca="1" si="245"/>
        <v/>
      </c>
      <c r="BL27" s="17" t="str">
        <f t="shared" ca="1" si="246"/>
        <v/>
      </c>
      <c r="BM27" s="17" t="str">
        <f t="shared" ca="1" si="247"/>
        <v>I</v>
      </c>
      <c r="BN27" s="17" t="str">
        <f t="shared" ca="1" si="248"/>
        <v>I</v>
      </c>
      <c r="BO27" s="17" t="str">
        <f t="shared" ca="1" si="249"/>
        <v>I</v>
      </c>
      <c r="BP27" s="14" t="b">
        <f t="shared" ca="1" si="250"/>
        <v>1</v>
      </c>
      <c r="BQ27" s="35">
        <v>1</v>
      </c>
      <c r="BS27" s="14" t="s">
        <v>540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ca="1" si="251"/>
        <v/>
      </c>
      <c r="DE27" s="14" t="str">
        <f t="shared" ca="1" si="252"/>
        <v/>
      </c>
      <c r="DF27" s="14" t="str">
        <f t="shared" ca="1" si="253"/>
        <v/>
      </c>
      <c r="DG27" s="14" t="str">
        <f t="shared" ca="1" si="254"/>
        <v/>
      </c>
      <c r="DH27" s="14" t="str">
        <f t="shared" ca="1" si="255"/>
        <v/>
      </c>
      <c r="DI27" s="14" t="str">
        <f t="shared" ca="1" si="256"/>
        <v/>
      </c>
      <c r="DJ27" s="14" t="str">
        <f t="shared" ca="1" si="257"/>
        <v/>
      </c>
      <c r="DK27" s="14" t="str">
        <f t="shared" ca="1" si="258"/>
        <v/>
      </c>
      <c r="DL27" s="14" t="str">
        <f t="shared" ca="1" si="259"/>
        <v/>
      </c>
      <c r="DM27" s="14" t="str">
        <f t="shared" ca="1" si="260"/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ca="1" si="261"/>
        <v/>
      </c>
      <c r="DP27" s="14" t="str">
        <f t="shared" ca="1" si="262"/>
        <v/>
      </c>
      <c r="DQ27" s="14" t="str">
        <f t="shared" ca="1" si="263"/>
        <v/>
      </c>
      <c r="DR27" s="14" t="str">
        <f t="shared" ca="1" si="264"/>
        <v/>
      </c>
      <c r="DS27" s="14" t="str">
        <f t="shared" ca="1" si="265"/>
        <v/>
      </c>
      <c r="DZ27" s="14" t="b">
        <f t="shared" ca="1" si="266"/>
        <v>0</v>
      </c>
      <c r="EA27" s="14" t="str">
        <f t="shared" ca="1" si="267"/>
        <v/>
      </c>
      <c r="EB27" s="14" t="str">
        <f t="shared" ca="1" si="268"/>
        <v/>
      </c>
      <c r="EC27" s="14" t="str">
        <f t="shared" ca="1" si="269"/>
        <v/>
      </c>
      <c r="ED27" s="14" t="str">
        <f t="shared" ca="1" si="270"/>
        <v/>
      </c>
      <c r="EE27" s="14" t="str">
        <f t="shared" ca="1" si="271"/>
        <v/>
      </c>
      <c r="EF27" s="14" t="str">
        <f t="shared" ca="1" si="272"/>
        <v/>
      </c>
      <c r="EG27" s="14" t="str">
        <f t="shared" ca="1" si="273"/>
        <v/>
      </c>
      <c r="EM27" s="14" t="b">
        <f t="shared" ca="1" si="274"/>
        <v>0</v>
      </c>
      <c r="EN27" s="14" t="str">
        <f t="shared" ca="1" si="275"/>
        <v/>
      </c>
      <c r="EO27" s="14" t="str">
        <f t="shared" ca="1" si="276"/>
        <v/>
      </c>
      <c r="EP27" s="14" t="str">
        <f t="shared" ca="1" si="277"/>
        <v/>
      </c>
      <c r="EQ27" s="14" t="str">
        <f t="shared" ca="1" si="278"/>
        <v/>
      </c>
    </row>
    <row r="28" spans="2:147" s="14" customFormat="1">
      <c r="B28" s="14" t="str">
        <f t="shared" ca="1" si="203"/>
        <v/>
      </c>
      <c r="C28" s="14">
        <f t="shared" ca="1" si="204"/>
        <v>24</v>
      </c>
      <c r="D28" s="14">
        <f t="shared" si="205"/>
        <v>26</v>
      </c>
      <c r="E28" s="14" t="str">
        <f t="shared" ca="1" si="206"/>
        <v>I</v>
      </c>
      <c r="F28" s="14" t="str">
        <f t="shared" ca="1" si="207"/>
        <v>form4</v>
      </c>
      <c r="G28" s="14" t="str">
        <f t="shared" ca="1" si="208"/>
        <v>Zmienna z wartością losową 4</v>
      </c>
      <c r="H28" s="14" t="b">
        <f t="shared" ca="1" si="209"/>
        <v>1</v>
      </c>
      <c r="I28" s="14" t="str">
        <f ca="1">IF($H28,ADDRESS(3,(D28+1)*2-1,4,,"["&amp;wew!$G$7&amp;"]"&amp;_sheetname_labels)&amp;":"&amp;ADDRESS(2+ster!$B$20,(D28+1)*2-1,4),"")</f>
        <v>'[dane surowe2d_2.xlsm]labels'!BA3:BA36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210"/>
        <v>0</v>
      </c>
      <c r="N28" s="14">
        <f t="shared" ca="1" si="211"/>
        <v>0</v>
      </c>
      <c r="O28" s="14" t="str">
        <f t="shared" ca="1" si="212"/>
        <v>form4</v>
      </c>
      <c r="P28" s="14" t="str">
        <f t="shared" ca="1" si="213"/>
        <v>Zmienna z wartością losową 4</v>
      </c>
      <c r="Q28" s="14" t="str">
        <f ca="1">IF($BP28,ADDRESS(3,D28+1,4,,"["&amp;wew!$G$7&amp;"]"&amp;_sheetname_dataframe)&amp;":"&amp;ADDRESS(2+ster!$C$14,D28+1,4),"")</f>
        <v>'[dane surowe2d_2.xlsm]data_frame'!AA3:AA12</v>
      </c>
      <c r="R28" s="14" t="str">
        <f>IF($BP28,IF(MID(_xll.FORMULATEXT(INDEX(INDIRECT(Q28),1)),1,1)="=", _xll.FORMULATEXT(INDEX(INDIRECT(Q28),1),2,TRUE),""),"")</f>
        <v>=INT(RAND()*10)</v>
      </c>
      <c r="S28" s="14">
        <f t="array" aca="1" ref="S28" ca="1">IF(H28,SUM(IF((IFERROR(INDIRECT(Q28)&lt;&gt;"",FALSE))*(INDIRECT(ster!$D$14)&lt;&gt;""),1,0)),"")</f>
        <v>9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9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8</v>
      </c>
      <c r="Z28" s="14">
        <f t="shared" ca="1" si="214"/>
        <v>0</v>
      </c>
      <c r="AA28" s="12">
        <f t="shared" ca="1" si="215"/>
        <v>1</v>
      </c>
      <c r="AB28" s="17">
        <f t="array" aca="1" ref="AB28" ca="1">IF(H28,IF(W28&gt;0,SUM((INDIRECT(ster!$D$14)&lt;&gt;"")*IFERROR((INDIRECT(Q28)&lt;&gt;"")*(INDIRECT(Q28)=INT(INDIRECT(Q28))),0)),0),"")</f>
        <v>9</v>
      </c>
      <c r="AC28" s="17">
        <f t="array" aca="1" ref="AC28" ca="1">IF(H28,W28-AB28,"")</f>
        <v>0</v>
      </c>
      <c r="AD28" s="17">
        <f t="shared" ca="1" si="216"/>
        <v>1</v>
      </c>
      <c r="AE28" s="17" t="b">
        <f t="shared" ca="1" si="217"/>
        <v>0</v>
      </c>
      <c r="AF28" s="17" t="str">
        <f ca="1">IF(AE28,IF($H28,ADDRESS(3,D28+2,4,,"["&amp;wew!$G$7&amp;"]"&amp;_sheetname_dataframe)&amp;":"&amp;ADDRESS(2+ster!$C$14,D28+2,4),""),"")</f>
        <v/>
      </c>
      <c r="AG28" s="17" t="str">
        <f t="shared" ca="1" si="218"/>
        <v/>
      </c>
      <c r="AH28" s="17" t="b">
        <f t="shared" ca="1" si="219"/>
        <v>0</v>
      </c>
      <c r="AI28" s="17" t="str">
        <f ca="1">IF(AH28,IF($H28,ADDRESS(3,D28+3,4,,"["&amp;wew!$G$7&amp;"]"&amp;_sheetname_dataframe)&amp;":"&amp;ADDRESS(2+ster!$C$14,D28+3,4),""),"")</f>
        <v/>
      </c>
      <c r="AJ28" s="17" t="str">
        <f t="shared" ca="1" si="220"/>
        <v/>
      </c>
      <c r="AK28" s="17" t="b">
        <f t="shared" ca="1" si="221"/>
        <v>0</v>
      </c>
      <c r="AL28" s="17" t="b">
        <f t="shared" ca="1" si="222"/>
        <v>0</v>
      </c>
      <c r="AM28" s="17" t="b">
        <f t="shared" ca="1" si="223"/>
        <v>1</v>
      </c>
      <c r="AN28" s="17">
        <f t="shared" ca="1" si="224"/>
        <v>0</v>
      </c>
      <c r="AO28" s="24" t="str">
        <f t="shared" ca="1" si="225"/>
        <v/>
      </c>
      <c r="AP28" s="24" t="str">
        <f t="shared" ca="1" si="226"/>
        <v/>
      </c>
      <c r="AQ28" s="17" t="b">
        <f t="shared" ca="1" si="227"/>
        <v>0</v>
      </c>
      <c r="AR28" s="17" t="b">
        <f t="shared" ca="1" si="228"/>
        <v>0</v>
      </c>
      <c r="AS28" s="17" t="b">
        <f t="shared" ca="1" si="229"/>
        <v>0</v>
      </c>
      <c r="AT28" s="17" t="b">
        <f t="shared" ca="1" si="230"/>
        <v>0</v>
      </c>
      <c r="AU28" s="17" t="b">
        <f t="shared" ca="1" si="231"/>
        <v>0</v>
      </c>
      <c r="AV28" s="17" t="b">
        <f t="shared" ca="1" si="232"/>
        <v>0</v>
      </c>
      <c r="AW28" s="17" t="b">
        <f t="shared" ca="1" si="233"/>
        <v>1</v>
      </c>
      <c r="AX28" s="14" t="b">
        <f t="array" aca="1" ref="AX28" ca="1">IF(H28,N28&gt;0,"")</f>
        <v>0</v>
      </c>
      <c r="AY28" s="17" t="str">
        <f t="shared" ca="1" si="234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235"/>
        <v>1</v>
      </c>
      <c r="BB28" s="17" t="b">
        <f t="shared" ca="1" si="236"/>
        <v>0</v>
      </c>
      <c r="BC28" s="17" t="b">
        <f t="shared" ca="1" si="237"/>
        <v>0</v>
      </c>
      <c r="BD28" s="17" t="b">
        <f t="shared" ca="1" si="238"/>
        <v>0</v>
      </c>
      <c r="BE28" s="17" t="b">
        <f t="shared" ca="1" si="239"/>
        <v>1</v>
      </c>
      <c r="BF28" s="17" t="b">
        <f t="shared" ca="1" si="240"/>
        <v>0</v>
      </c>
      <c r="BG28" s="17" t="b">
        <f t="shared" ca="1" si="241"/>
        <v>0</v>
      </c>
      <c r="BH28" s="17" t="b">
        <f t="shared" ca="1" si="242"/>
        <v>1</v>
      </c>
      <c r="BI28" s="17">
        <f t="shared" ca="1" si="243"/>
        <v>4</v>
      </c>
      <c r="BJ28" s="17" t="b">
        <f t="shared" ca="1" si="244"/>
        <v>0</v>
      </c>
      <c r="BK28" s="17" t="str">
        <f t="shared" ca="1" si="245"/>
        <v/>
      </c>
      <c r="BL28" s="17" t="str">
        <f t="shared" ca="1" si="246"/>
        <v/>
      </c>
      <c r="BM28" s="17" t="str">
        <f t="shared" ca="1" si="247"/>
        <v>I</v>
      </c>
      <c r="BN28" s="17" t="str">
        <f t="shared" ca="1" si="248"/>
        <v>I</v>
      </c>
      <c r="BO28" s="17" t="str">
        <f t="shared" ca="1" si="249"/>
        <v>I</v>
      </c>
      <c r="BP28" s="14" t="b">
        <f t="shared" ca="1" si="250"/>
        <v>1</v>
      </c>
      <c r="BQ28" s="35">
        <v>1</v>
      </c>
      <c r="BS28" s="14" t="s">
        <v>541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251"/>
        <v/>
      </c>
      <c r="DE28" s="14" t="str">
        <f t="shared" ca="1" si="252"/>
        <v/>
      </c>
      <c r="DF28" s="14" t="str">
        <f t="shared" ca="1" si="253"/>
        <v/>
      </c>
      <c r="DG28" s="14" t="str">
        <f t="shared" ca="1" si="254"/>
        <v/>
      </c>
      <c r="DH28" s="14" t="str">
        <f t="shared" ca="1" si="255"/>
        <v/>
      </c>
      <c r="DI28" s="14" t="str">
        <f t="shared" ca="1" si="256"/>
        <v/>
      </c>
      <c r="DJ28" s="14" t="str">
        <f t="shared" ca="1" si="257"/>
        <v/>
      </c>
      <c r="DK28" s="14" t="str">
        <f t="shared" ca="1" si="258"/>
        <v/>
      </c>
      <c r="DL28" s="14" t="str">
        <f t="shared" ca="1" si="259"/>
        <v/>
      </c>
      <c r="DM28" s="14" t="str">
        <f t="shared" ca="1" si="260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261"/>
        <v/>
      </c>
      <c r="DP28" s="14" t="str">
        <f t="shared" ca="1" si="262"/>
        <v/>
      </c>
      <c r="DQ28" s="14" t="str">
        <f t="shared" ca="1" si="263"/>
        <v/>
      </c>
      <c r="DR28" s="14" t="str">
        <f t="shared" ca="1" si="264"/>
        <v/>
      </c>
      <c r="DS28" s="14" t="str">
        <f t="shared" ca="1" si="265"/>
        <v/>
      </c>
      <c r="DZ28" s="14" t="b">
        <f t="shared" ca="1" si="266"/>
        <v>0</v>
      </c>
      <c r="EA28" s="14" t="str">
        <f t="shared" ca="1" si="267"/>
        <v/>
      </c>
      <c r="EB28" s="14" t="str">
        <f t="shared" ca="1" si="268"/>
        <v/>
      </c>
      <c r="EC28" s="14" t="str">
        <f t="shared" ca="1" si="269"/>
        <v/>
      </c>
      <c r="ED28" s="14" t="str">
        <f t="shared" ca="1" si="270"/>
        <v/>
      </c>
      <c r="EE28" s="14" t="str">
        <f t="shared" ca="1" si="271"/>
        <v/>
      </c>
      <c r="EF28" s="14" t="str">
        <f t="shared" ca="1" si="272"/>
        <v/>
      </c>
      <c r="EG28" s="14" t="str">
        <f t="shared" ca="1" si="273"/>
        <v/>
      </c>
      <c r="EM28" s="14" t="b">
        <f t="shared" ca="1" si="274"/>
        <v>0</v>
      </c>
      <c r="EN28" s="14" t="str">
        <f t="shared" ca="1" si="275"/>
        <v/>
      </c>
      <c r="EO28" s="14" t="str">
        <f t="shared" ca="1" si="276"/>
        <v/>
      </c>
      <c r="EP28" s="14" t="str">
        <f t="shared" ca="1" si="277"/>
        <v/>
      </c>
      <c r="EQ28" s="14" t="str">
        <f t="shared" ca="1" si="278"/>
        <v/>
      </c>
    </row>
    <row r="29" spans="2:147" s="14" customFormat="1">
      <c r="B29" s="14" t="str">
        <f t="shared" ref="B29" ca="1" si="279">DF29</f>
        <v/>
      </c>
      <c r="C29" s="14">
        <f t="shared" ref="C29" ca="1" si="280">IF(OFFSET(B29,-1,COLUMN(VariableExists)-2),OFFSET(B29,-1,1)+1,OFFSET(B29,-1,1))</f>
        <v>25</v>
      </c>
      <c r="D29" s="14">
        <f t="shared" ref="D29" si="281">ROW(A29)-2</f>
        <v>27</v>
      </c>
      <c r="E29" s="14" t="str">
        <f t="shared" ref="E29" ca="1" si="282">IF(OR(G29="",ROW(G29)=2),"",IF(Z29&gt;0,"S",IF(AX29,IF(J29=2,"D","N"),"I")))</f>
        <v>I</v>
      </c>
      <c r="F29" s="14" t="str">
        <f t="shared" ref="F29" ca="1" si="283">IF(H29,O29,"")</f>
        <v>form_err_ret1</v>
      </c>
      <c r="G29" s="14" t="str">
        <f t="shared" ref="G29" ca="1" si="284">IF(H29,P29,"")</f>
        <v>Zmienna wyliczana zwracajaca cos dziwnego1</v>
      </c>
      <c r="H29" s="14" t="b">
        <f t="shared" ref="H29" ca="1" si="285">IF(INDIRECT(ADDRESS(2,D29+1,,,_sheetname_dataframe))="",FALSE,MID(INDIRECT(ADDRESS(2,D29+1,,,_sheetname_dataframe)),1,1)&lt;&gt;".")</f>
        <v>1</v>
      </c>
      <c r="I29" s="14" t="str">
        <f ca="1">IF($H29,ADDRESS(3,(D29+1)*2-1,4,,"["&amp;wew!$G$7&amp;"]"&amp;_sheetname_labels)&amp;":"&amp;ADDRESS(2+ster!$B$20,(D29+1)*2-1,4),"")</f>
        <v>'[dane surowe2d_2.xlsm]labels'!BC3:BC36</v>
      </c>
      <c r="J29" s="14">
        <f t="array" aca="1" ref="J29" ca="1">IF(H29,MAX(0,MAX(IF(INDIRECT(I29)&lt;&gt;"",ROW(INDIRECT(I29)),""))-2),"")</f>
        <v>0</v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>
        <f t="shared" ref="M29" ca="1" si="286">IF($H29,IF(J29&gt;0,COUNTA(INDIRECT(K29))-COUNT(INDIRECT(K29)),0),"")</f>
        <v>0</v>
      </c>
      <c r="N29" s="14">
        <f t="shared" ref="N29" ca="1" si="287">IF(H29,J29-M29,"")</f>
        <v>0</v>
      </c>
      <c r="O29" s="14" t="str">
        <f t="shared" ref="O29" ca="1" si="288">IF(INDIRECT(ADDRESS(2,D29+1,,,_sheetname_dataframe))="","",INDIRECT(ADDRESS(2,D29+1,,,_sheetname_dataframe)))</f>
        <v>form_err_ret1</v>
      </c>
      <c r="P29" s="14" t="str">
        <f t="shared" ref="P29" ca="1" si="289">IF(H29,IF(INDIRECT(ADDRESS(1,D29+1,,,_sheetname_dataframe))="","",INDIRECT(ADDRESS(1,D29+1,,,_sheetname_dataframe))),"")</f>
        <v>Zmienna wyliczana zwracajaca cos dziwnego1</v>
      </c>
      <c r="Q29" s="14" t="str">
        <f ca="1">IF($BP29,ADDRESS(3,D29+1,4,,"["&amp;wew!$G$7&amp;"]"&amp;_sheetname_dataframe)&amp;":"&amp;ADDRESS(2+ster!$C$14,D29+1,4),"")</f>
        <v>'[dane surowe2d_2.xlsm]data_frame'!AB3:AB12</v>
      </c>
      <c r="R29" s="14" t="str">
        <f>IF($BP29,IF(MID(_xll.FORMULATEXT(INDEX(INDIRECT(Q29),1)),1,1)="=", _xll.FORMULATEXT(INDEX(INDIRECT(Q29),1),2,TRUE),""),"")</f>
        <v/>
      </c>
      <c r="S29" s="14">
        <f t="array" aca="1" ref="S29" ca="1">IF(H29,SUM(IF((IFERROR(INDIRECT(Q29)&lt;&gt;"",FALSE))*(INDIRECT(ster!$D$14)&lt;&gt;""),1,0)),"")</f>
        <v>9</v>
      </c>
      <c r="T29" s="14">
        <f t="array" aca="1" ref="T29" ca="1">IF(H29,IF(M29&gt;0,SUM(IFERROR(1*(MATCH(INDIRECT(Q29),INDIRECT(K29),0)&gt;0),0)*(INDIRECT(ster!$D$14)&lt;&gt;"")*NOT(ISNUMBER(INDIRECT(Q29)))),0),"")</f>
        <v>0</v>
      </c>
      <c r="U29" s="14">
        <f t="array" aca="1" ref="U29" ca="1">IF(H29,SUM((IFERROR(INDIRECT(Q29)="",FALSE))*(INDIRECT(ster!$D$14)&lt;&gt;"")),"")</f>
        <v>0</v>
      </c>
      <c r="V29" s="14">
        <f t="array" aca="1" ref="V29" ca="1">IF(H29,SUM((IFERROR(INDIRECT(Q29)="#ąś",TRUE))*(INDIRECT(ster!$D$14)&lt;&gt;"")),"")</f>
        <v>0</v>
      </c>
      <c r="W29" s="14">
        <f t="array" aca="1" ref="W29" ca="1">IF(H29,SUM(ISNUMBER(INDIRECT(Q29))*(INDIRECT(ster!$D$14)&lt;&gt;"")),"")</f>
        <v>9</v>
      </c>
      <c r="X29" s="14">
        <f t="array" aca="1" ref="X29" ca="1">IF(AND(H29,W29&gt;0),IF(wew!$B$3,MIN(IF((INDIRECT(ster!$D$14)&lt;&gt;"")*IFERROR(INDIRECT($Q29)&lt;&gt;"",FALSE),IFERROR(INDIRECT($Q29),"X"),"X")),"&lt;włącz podświetlanie wartości&gt;"),"—")</f>
        <v>10</v>
      </c>
      <c r="Y29" s="14">
        <f t="array" aca="1" ref="Y29" ca="1">IF(AND(H29,W29&gt;0),IF(wew!$B$3,MAX(IF((INDIRECT(ster!$D$14)&lt;&gt;"")*IFERROR(INDIRECT($Q29)&lt;&gt;"",FALSE),IFERROR(INDIRECT($Q29),"X"),"X")),"&lt;włącz podświetlanie wartości&gt;"),"—")</f>
        <v>21</v>
      </c>
      <c r="Z29" s="14">
        <f t="shared" ref="Z29" ca="1" si="290">IF(H29,S29-T29-W29,"")</f>
        <v>0</v>
      </c>
      <c r="AA29" s="12">
        <f t="shared" ref="AA29" ca="1" si="291">IF(H29,IF(S29&gt;0,W29/(S29),"—"),"")</f>
        <v>1</v>
      </c>
      <c r="AB29" s="17">
        <f t="array" aca="1" ref="AB29" ca="1">IF(H29,IF(W29&gt;0,SUM((INDIRECT(ster!$D$14)&lt;&gt;"")*IFERROR((INDIRECT(Q29)&lt;&gt;"")*(INDIRECT(Q29)=INT(INDIRECT(Q29))),0)),0),"")</f>
        <v>9</v>
      </c>
      <c r="AC29" s="17">
        <f t="array" aca="1" ref="AC29" ca="1">IF(H29,W29-AB29,"")</f>
        <v>0</v>
      </c>
      <c r="AD29" s="17">
        <f t="shared" ref="AD29" ca="1" si="292">IF($H29,IF(AC29&lt;&gt;"",IF(AC29=0,1,IF(AC29/W29&lt;0.15,2,3)),0),"")</f>
        <v>1</v>
      </c>
      <c r="AE29" s="17" t="b">
        <f t="shared" ref="AE29" ca="1" si="293">IF(H29,OFFSET(O29,1,0)=".validation",FALSE)</f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ref="AG29" ca="1" si="294">IF(AE29,IF($H29,IF(INDIRECT(ADDRESS(1,D29+2,,,_sheetname_dataframe))="","",INDIRECT(ADDRESS(1,D29+2,,,_sheetname_dataframe))),""),"")</f>
        <v/>
      </c>
      <c r="AH29" s="17" t="b">
        <f t="shared" ref="AH29" ca="1" si="295">IF(H29,AND(AE29,OFFSET(O29,2,0)=".validation"),FALSE)</f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ref="AJ29" ca="1" si="296">IF(AH29,IF($H29,IF(INDIRECT(ADDRESS(1,D29+3,,,_sheetname_dataframe))="","",INDIRECT(ADDRESS(1,D29+3,,,_sheetname_dataframe))),""),"")</f>
        <v/>
      </c>
      <c r="AK29" s="17" t="b">
        <f t="shared" ref="AK29" ca="1" si="297">IF(H29,OR(AQ29,AD29=2),"")</f>
        <v>0</v>
      </c>
      <c r="AL29" s="17" t="b">
        <f t="shared" ref="AL29" ca="1" si="298">IF($H29,IF(BV29&lt;&gt;"",IF(OR(BM29="F",BM29="L",BM29="I",BM29="D"),BV29&lt;&gt;0)),"")</f>
        <v>0</v>
      </c>
      <c r="AM29" s="17" t="b">
        <f t="shared" ref="AM29" ca="1" si="299">IF($H29,AND(NOT(AL29),OR(IF(BW29&lt;&gt;"",IF(OR(BM29="F",BM29="L"),BW29&lt;&gt;0)),BM29="I",BM29="N",BM29="D")),"")</f>
        <v>1</v>
      </c>
      <c r="AN29" s="17">
        <f t="shared" ref="AN29" ca="1" si="300">IF(COUNTA(INDIRECT(Q29))=0,0, IF(AND(AO29&lt;&gt;"",X29&lt;AO29),1,IF(AND(AP29&lt;&gt;"",Y29&gt;AP29),1,IF(AND(AQ29,AC29&gt;0),2,0))))</f>
        <v>0</v>
      </c>
      <c r="AO29" s="24" t="str">
        <f t="shared" ref="AO29" ca="1" si="301">IF($H29,IF(BY29&lt;&gt;"",IF(ISNUMBER(BY29),BY29,""),""),"")</f>
        <v/>
      </c>
      <c r="AP29" s="24" t="str">
        <f t="shared" ref="AP29" ca="1" si="302">IF($H29,IF(BZ29&lt;&gt;"",IF(ISNUMBER(BZ29),BZ29,""),""),"")</f>
        <v/>
      </c>
      <c r="AQ29" s="17" t="b">
        <f t="shared" ref="AQ29" ca="1" si="303">IF(H29,IF(CA29&lt;&gt;"",CA29&lt;&gt;0,FALSE),"")</f>
        <v>0</v>
      </c>
      <c r="AR29" s="17" t="b">
        <f t="shared" ref="AR29" ca="1" si="304">IF(H29,IF(N29&gt;0,IF(BQ29&lt;&gt;"",BQ29&lt;&gt;0,FALSE),FALSE),"")</f>
        <v>0</v>
      </c>
      <c r="AS29" s="17" t="b">
        <f t="shared" ref="AS29" ca="1" si="305">IF(H29,IF(BR29&lt;&gt;"",BR29&lt;&gt;0,FALSE),"")</f>
        <v>0</v>
      </c>
      <c r="AT29" s="17" t="b">
        <f t="shared" ref="AT29" ca="1" si="306">IF(H29,IF(N29&gt;0,FALSE,IF(BU29&lt;&gt;"",MATCH(BU29,DataType,0)=1,FALSE)),"")</f>
        <v>0</v>
      </c>
      <c r="AU29" s="17" t="b">
        <f t="shared" ref="AU29" ca="1" si="307">IF(H29,IF(N29&gt;0,TRUE,IF(BU29&lt;&gt;"",MATCH(BU29,DataType,0)=2,FALSE)),"")</f>
        <v>0</v>
      </c>
      <c r="AV29" s="17" t="b">
        <f t="shared" ref="AV29" ca="1" si="308">IF(H29,IF(N29&gt;0,FALSE,IF(BU29&lt;&gt;"",MATCH(BU29,DataType,0)=3,FALSE)),"")</f>
        <v>0</v>
      </c>
      <c r="AW29" s="17" t="b">
        <f t="shared" ref="AW29" ca="1" si="309">IF(H29,IF(W29&gt;0,Z29=0,FALSE),"")</f>
        <v>1</v>
      </c>
      <c r="AX29" s="14" t="b">
        <f t="array" aca="1" ref="AX29" ca="1">IF(H29,N29&gt;0,"")</f>
        <v>0</v>
      </c>
      <c r="AY29" s="17" t="str">
        <f t="shared" ref="AY29" ca="1" si="310">IF(H29,IF(N29&gt;0,ADDRESS(ROW(VariablesOrigin)+1,COLUMN(VariablesOrigin)+1,4) &amp; ":" &amp; ADDRESS(ROW(VariablesOrigin)+N29,COLUMN(VariablesOrigin)+1,4),""),"")</f>
        <v/>
      </c>
      <c r="AZ29" s="17" t="str">
        <f t="array" aca="1" ref="AZ29" ca="1">IF(AY29&lt;&gt;"",SUM(1*ISERROR(MATCH(INDIRECT(AY29),INDIRECT(K29),0)))=0,"")</f>
        <v/>
      </c>
      <c r="BA29" s="17" t="b">
        <f t="shared" ref="BA29" ca="1" si="311">IF(H29,BU29="",FALSE)</f>
        <v>1</v>
      </c>
      <c r="BB29" s="17" t="b">
        <f t="shared" ref="BB29" ca="1" si="312">IF(BA29,S29=0,"")</f>
        <v>0</v>
      </c>
      <c r="BC29" s="17" t="b">
        <f t="shared" ref="BC29" ca="1" si="313">IF(BA29,IF(N29&gt;0,AND(AZ29,Z29=0),FALSE),"")</f>
        <v>0</v>
      </c>
      <c r="BD29" s="17" t="b">
        <f t="shared" ref="BD29" ca="1" si="314">IF(BA29,IF(N29&gt;0,AND(NOT(AZ29),Z29=0),FALSE),"")</f>
        <v>0</v>
      </c>
      <c r="BE29" s="17" t="b">
        <f t="shared" ref="BE29" ca="1" si="315">IF(BA29,IF(AND(AW29,NOT(BB29),NOT(BC29),NOT(BD29)),AND(Z29=0,AC29=0),FALSE),"")</f>
        <v>1</v>
      </c>
      <c r="BF29" s="17" t="b">
        <f t="shared" ref="BF29" ca="1" si="316">IF(BA29,IF(AND(AW29,NOT(BB29),NOT(BC29),NOT(BD29)),AND(Z29=0,OR(AC29&gt;0)),FALSE),"")</f>
        <v>0</v>
      </c>
      <c r="BG29" s="17" t="b">
        <f t="shared" ref="BG29" ca="1" si="317">IF(BA29,IF(OR(BB29:BF29),FALSE,IF(Z29=0,FALSE,Z29&gt;0)),"")</f>
        <v>0</v>
      </c>
      <c r="BH29" s="17" t="b">
        <f t="shared" ref="BH29" ca="1" si="318">IF(BA29,COUNTIF(BB29:BG29,TRUE)=1,"")</f>
        <v>1</v>
      </c>
      <c r="BI29" s="17">
        <f t="shared" ref="BI29" ca="1" si="319">IF(BA29,IFERROR(MATCH(TRUE,BB29:BG29,0),7),"")</f>
        <v>4</v>
      </c>
      <c r="BJ29" s="17" t="b">
        <f t="shared" ref="BJ29" ca="1" si="320">DF29&lt;&gt;""</f>
        <v>0</v>
      </c>
      <c r="BK29" s="17" t="str">
        <f t="shared" ref="BK29" ca="1" si="321">IF(H29,IF(AND(NOT(BA29),AU29),AC29=0,""),"")</f>
        <v/>
      </c>
      <c r="BL29" s="17" t="str">
        <f t="shared" ref="BL29" ca="1" si="322">IF(H29,IF(AND(NOT(BA29),AU29),AC29&gt;0,""),"")</f>
        <v/>
      </c>
      <c r="BM29" s="17" t="str">
        <f t="shared" ref="BM29" ca="1" si="323">IF(H29,IF(BA29,CHOOSE(BI29,"0","F","L","I","N",IF(AA29&gt;0.5,"N","S"),"0"),CHOOSE(MATCH(BU29,DataType,0),"S",IF(BK29,"I","N"),"D"  )),"")</f>
        <v>I</v>
      </c>
      <c r="BN29" s="17" t="str">
        <f t="shared" ref="BN29" ca="1" si="324">IF(H29,IF(BJ29,"E",IF(BA29,CHOOSE(BI29,"0","F","L","I","N","S","0"),CHOOSE(MATCH(BU29,DataType,0),"S",IF(BK29,"I","N"),"D"  ))),"")</f>
        <v>I</v>
      </c>
      <c r="BO29" s="17" t="str">
        <f t="shared" ref="BO29" ca="1" si="325">IF($H29,IF(BM29="0","",IF(AND(AR29,N29=2),"D",IF(BM29="S","N",IF(AL29,"O",IF(AM29,"I","N"))))),"")</f>
        <v>I</v>
      </c>
      <c r="BP29" s="14" t="b">
        <f t="shared" ref="BP29" ca="1" si="326">INDIRECT(ADDRESS(2,ROW(A29)-1,,,_sheetname_dataframe))&lt;&gt;""</f>
        <v>1</v>
      </c>
      <c r="BQ29" s="35"/>
      <c r="BS29" s="14" t="s">
        <v>545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ref="DD29" ca="1" si="327">IF(MID(DC29,1,1)="■",MID(DC29,2,LEN(DC29)),DC29)</f>
        <v/>
      </c>
      <c r="DE29" s="14" t="str">
        <f t="shared" ref="DE29" ca="1" si="328">IF(DD29&lt;&gt;"",IF(MID(DD29,LEN(DD29),1)="■",MID(DD29,1,LEN(DD29)-1),DD29),"")</f>
        <v/>
      </c>
      <c r="DF29" s="14" t="str">
        <f t="shared" ref="DF29" ca="1" si="329">IFERROR(IF(DE29&lt;&gt;"",SUBSTITUTE(DE29,"■",". "),""),"##INTERNAL_ERROR")</f>
        <v/>
      </c>
      <c r="DG29" s="14" t="str">
        <f t="shared" ref="DG29" ca="1" si="330">IF(CN29&lt;&gt;0,"Variable name don't comply with the naming convention","")</f>
        <v/>
      </c>
      <c r="DH29" s="14" t="str">
        <f t="shared" ref="DH29" ca="1" si="331">IF(CO29&lt;&gt;"","Duplicated name. " &amp; IF(ISERROR(FIND(" ",CO29)),"Duplicate have index " &amp; CO29, "Duplicates have indices: "&amp;SUBSTITUTE(CO29," ",", ")),"")</f>
        <v/>
      </c>
      <c r="DI29" s="14" t="str">
        <f t="shared" ref="DI29" ca="1" si="332">IF(CP29&lt;&gt;"","Variable label exceed length 150","")</f>
        <v/>
      </c>
      <c r="DJ29" s="14" t="str">
        <f t="shared" ref="DJ29" ca="1" si="333">IF(CQ29&lt;&gt;"","Duplicated variable label. " &amp; IF(ISERROR(FIND(" ",CQ29)),"Duplicate have index " &amp; CQ29, "Duplicates have indices: "&amp;SUBSTITUTE(CQ29," ",", ")),"")</f>
        <v/>
      </c>
      <c r="DK29" s="14" t="str">
        <f t="shared" ref="DK29" ca="1" si="334">IF(CR29&lt;&gt;"","The following cases have values below declared theorethical min: " &amp;SUBSTITUTE(CR29," ",", "),"")</f>
        <v/>
      </c>
      <c r="DL29" s="14" t="str">
        <f t="shared" ref="DL29" ca="1" si="335">IF(CS29&lt;&gt;"","The following cases have values above declared theorethical max: " &amp;SUBSTITUTE(CS29," ",", "),"")</f>
        <v/>
      </c>
      <c r="DM29" s="14" t="str">
        <f t="shared" ref="DM29" ca="1" si="336">IF(CT29&lt;&gt;"","There are some cases with values not explicitly declared in the labels dictionary: " &amp;SUBSTITUTE(CT29," ",", "),"")</f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ref="DO29" ca="1" si="337">IF(CV29&lt;&gt;"","The following records are missing in this required field: " &amp;SUBSTITUTE(CV29," ",", "),"")</f>
        <v/>
      </c>
      <c r="DP29" s="14" t="str">
        <f t="shared" ref="DP29" ca="1" si="338">IF(CW29&lt;&gt;"","The following cases have non-integer values: " &amp;SUBSTITUTE(CW29," ",", "),"")</f>
        <v/>
      </c>
      <c r="DQ29" s="14" t="str">
        <f t="shared" ref="DQ29" ca="1" si="339">IF(CX29&lt;&gt;"","The following cases are non-numeric: " &amp;SUBSTITUTE(CX29," ",", "),"")</f>
        <v/>
      </c>
      <c r="DR29" s="14" t="str">
        <f t="shared" ref="DR29" ca="1" si="340">IF(CY29&lt;&gt;"","In the following cases " &amp; P29 &amp; " " &amp; LOWER(MID(AG29,1,1)) &amp; MID(AG29,2,LEN(AG29)) &amp; ": " &amp;SUBSTITUTE(CY29," ",", "),"")</f>
        <v/>
      </c>
      <c r="DS29" s="14" t="str">
        <f t="shared" ref="DS29" ca="1" si="341">IF(CZ29&lt;&gt;"","In the following cases " &amp; P29 &amp; " " &amp; LOWER(MID(AJ29,1,1)) &amp; MID(AJ29,2,LEN(AJ29)) &amp; ": " &amp;SUBSTITUTE(CZ29," ",", "),"")</f>
        <v/>
      </c>
      <c r="DZ29" s="14" t="b">
        <f t="shared" ref="DZ29" ca="1" si="342">OR(ED29&lt;&gt;"",EF29&lt;&gt;"",EG29&lt;&gt;"")</f>
        <v>0</v>
      </c>
      <c r="EA29" s="14" t="str">
        <f t="shared" ref="EA29" ca="1" si="343">IF(EB29&lt;&gt;"",G29 &amp; " (" &amp; F29 &amp; ")","")</f>
        <v/>
      </c>
      <c r="EB29" s="14" t="str">
        <f t="shared" ref="EB29" ca="1" si="344">IF(EE29&lt;&gt;"",EE29&amp;IF(ED29&lt;&gt;""," and "&amp;ED29,""),UPPER(MID(ED29,1,1)&amp;MID(ED29,2,LEN(ED29))))&amp; IF(OR(EF29&lt;&gt;"",EG29&lt;&gt;"")," and "&amp;IF(EF29&lt;&gt;"",LOWER(MID(EF29,1,1) &amp; MID(EF29,2,LEN(EF29))),"")&amp; IF(AND(EF29 &lt;&gt;"",EG29&lt;&gt;"")," and ","") &amp; IF(EG29&lt;&gt;"",LOWER(MID(EG29,1,1) &amp; MID(EG29,2,LEN(EG29))),""),"") &amp; IF(OR(EE29&lt;&gt;"",ED29&lt;&gt;"",EF29&lt;&gt;"",EG29&lt;&gt;""), ". ","")</f>
        <v/>
      </c>
      <c r="EC29" s="14" t="str">
        <f t="shared" ref="EC29" ca="1" si="345">IF(EB29&lt;&gt;"",G29 &amp; " (" &amp; F29 &amp; "): " &amp; EB29,"")</f>
        <v/>
      </c>
      <c r="ED29" s="14" t="str">
        <f t="shared" ref="ED29" ca="1" si="346">IF(H29,IF(W29&gt;0,IF(AND(AO29&lt;&gt;"",AP29&lt;&gt;""),"each value must be between " &amp; IF( AV29,IFERROR(TEXT(AO29,"rrrr-mm-dd") &amp;" (" &amp; AO29 &amp;")",AO29),AO29) &amp; " and " &amp; IF( AV29,IFERROR(TEXT(AP29,"rrrr-mm-dd") &amp;" (" &amp; AP29 &amp;")",AP29),AP29),IF(AO29&lt;&gt;"","each value must be above " &amp; IF( AV29,IFERROR(TEXT(AO29,"rrrr-mm-dd") &amp;" (" &amp; AO29 &amp;")",AO29),AO29), IF(AP29&lt;&gt;"","each value must be below " &amp; IF( AV29,IFERROR(TEXT(AP29,"rrrr-mm-dd") &amp;" (" &amp; AP29 &amp;")",AP29),AP29),""))),""),"")</f>
        <v/>
      </c>
      <c r="EE29" s="14" t="str">
        <f t="shared" ref="EE29" ca="1" si="347">IF(H29,IF(OR(AQ29,AU29,AV29,AS29,AR29),
   "Values must be" &amp;
   IF(AR29," limited to predefinied list", IF(AQ29, " integers",IF(OR(AU29,AV29)," numeric",""))) &amp;
   IF(AS29,IF(OR(AR29,AQ29,AU29,AV29), " and ","") &amp; "non-missing",""),
""),"")</f>
        <v/>
      </c>
      <c r="EF29" s="14" t="str">
        <f t="shared" ref="EF29" ca="1" si="348">IF($H29,AG29,"")</f>
        <v/>
      </c>
      <c r="EG29" s="14" t="str">
        <f t="shared" ref="EG29" ca="1" si="349">IF($H29,AJ29,"")</f>
        <v/>
      </c>
      <c r="EM29" s="14" t="b">
        <f t="shared" ref="EM29" ca="1" si="350">OR(EC29&lt;&gt;"",DF29&lt;&gt;"")</f>
        <v>0</v>
      </c>
      <c r="EN29" s="14" t="str">
        <f t="shared" ref="EN29" ca="1" si="351">IF(EM29,C29,"")</f>
        <v/>
      </c>
      <c r="EO29" s="14" t="str">
        <f t="shared" ref="EO29" ca="1" si="352">IF(EM29,F29,"")</f>
        <v/>
      </c>
      <c r="EP29" s="14" t="str">
        <f t="shared" ref="EP29" ca="1" si="353">EC29</f>
        <v/>
      </c>
      <c r="EQ29" s="14" t="str">
        <f t="shared" ref="EQ29" ca="1" si="354">DF29</f>
        <v/>
      </c>
    </row>
    <row r="30" spans="2:147" s="14" customFormat="1">
      <c r="B30" s="14" t="str">
        <f t="shared" ref="B30" ca="1" si="355">DF30</f>
        <v/>
      </c>
      <c r="C30" s="14">
        <f t="shared" ref="C30" ca="1" si="356">IF(OFFSET(B30,-1,COLUMN(VariableExists)-2),OFFSET(B30,-1,1)+1,OFFSET(B30,-1,1))</f>
        <v>26</v>
      </c>
      <c r="D30" s="14">
        <f t="shared" ref="D30" si="357">ROW(A30)-2</f>
        <v>28</v>
      </c>
      <c r="E30" s="14" t="str">
        <f t="shared" ref="E30" ca="1" si="358">IF(OR(G30="",ROW(G30)=2),"",IF(Z30&gt;0,"S",IF(AX30,IF(J30=2,"D","N"),"I")))</f>
        <v>I</v>
      </c>
      <c r="F30" s="14" t="str">
        <f t="shared" ref="F30" ca="1" si="359">IF(H30,O30,"")</f>
        <v>form_err_ret2</v>
      </c>
      <c r="G30" s="14" t="str">
        <f t="shared" ref="G30" ca="1" si="360">IF(H30,P30,"")</f>
        <v>Zmienna wyliczana zwracajaca cos dziwnego2</v>
      </c>
      <c r="H30" s="14" t="b">
        <f t="shared" ref="H30" ca="1" si="361">IF(INDIRECT(ADDRESS(2,D30+1,,,_sheetname_dataframe))="",FALSE,MID(INDIRECT(ADDRESS(2,D30+1,,,_sheetname_dataframe)),1,1)&lt;&gt;".")</f>
        <v>1</v>
      </c>
      <c r="I30" s="14" t="str">
        <f ca="1">IF($H30,ADDRESS(3,(D30+1)*2-1,4,,"["&amp;wew!$G$7&amp;"]"&amp;_sheetname_labels)&amp;":"&amp;ADDRESS(2+ster!$B$20,(D30+1)*2-1,4),"")</f>
        <v>'[dane surowe2d_2.xlsm]labels'!BE3:BE36</v>
      </c>
      <c r="J30" s="14">
        <f t="array" aca="1" ref="J30" ca="1">IF(H30,MAX(0,MAX(IF(INDIRECT(I30)&lt;&gt;"",ROW(INDIRECT(I30)),""))-2),"")</f>
        <v>0</v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>
        <f t="shared" ref="M30" ca="1" si="362">IF($H30,IF(J30&gt;0,COUNTA(INDIRECT(K30))-COUNT(INDIRECT(K30)),0),"")</f>
        <v>0</v>
      </c>
      <c r="N30" s="14">
        <f t="shared" ref="N30" ca="1" si="363">IF(H30,J30-M30,"")</f>
        <v>0</v>
      </c>
      <c r="O30" s="14" t="str">
        <f t="shared" ref="O30" ca="1" si="364">IF(INDIRECT(ADDRESS(2,D30+1,,,_sheetname_dataframe))="","",INDIRECT(ADDRESS(2,D30+1,,,_sheetname_dataframe)))</f>
        <v>form_err_ret2</v>
      </c>
      <c r="P30" s="14" t="str">
        <f t="shared" ref="P30" ca="1" si="365">IF(H30,IF(INDIRECT(ADDRESS(1,D30+1,,,_sheetname_dataframe))="","",INDIRECT(ADDRESS(1,D30+1,,,_sheetname_dataframe))),"")</f>
        <v>Zmienna wyliczana zwracajaca cos dziwnego2</v>
      </c>
      <c r="Q30" s="14" t="str">
        <f ca="1">IF($BP30,ADDRESS(3,D30+1,4,,"["&amp;wew!$G$7&amp;"]"&amp;_sheetname_dataframe)&amp;":"&amp;ADDRESS(2+ster!$C$14,D30+1,4),"")</f>
        <v>'[dane surowe2d_2.xlsm]data_frame'!AC3:AC12</v>
      </c>
      <c r="R30" s="14" t="str">
        <f>IF($BP30,IF(MID(_xll.FORMULATEXT(INDEX(INDIRECT(Q30),1)),1,1)="=", _xll.FORMULATEXT(INDEX(INDIRECT(Q30),1),2,TRUE),""),"")</f>
        <v/>
      </c>
      <c r="S30" s="14">
        <f t="array" aca="1" ref="S30" ca="1">IF(H30,SUM(IF((IFERROR(INDIRECT(Q30)&lt;&gt;"",FALSE))*(INDIRECT(ster!$D$14)&lt;&gt;""),1,0)),"")</f>
        <v>9</v>
      </c>
      <c r="T30" s="14">
        <f t="array" aca="1" ref="T30" ca="1">IF(H30,IF(M30&gt;0,SUM(IFERROR(1*(MATCH(INDIRECT(Q30),INDIRECT(K30),0)&gt;0),0)*(INDIRECT(ster!$D$14)&lt;&gt;"")*NOT(ISNUMBER(INDIRECT(Q30)))),0),"")</f>
        <v>0</v>
      </c>
      <c r="U30" s="14">
        <f t="array" aca="1" ref="U30" ca="1">IF(H30,SUM((IFERROR(INDIRECT(Q30)="",FALSE))*(INDIRECT(ster!$D$14)&lt;&gt;"")),"")</f>
        <v>0</v>
      </c>
      <c r="V30" s="14">
        <f t="array" aca="1" ref="V30" ca="1">IF(H30,SUM((IFERROR(INDIRECT(Q30)="#ąś",TRUE))*(INDIRECT(ster!$D$14)&lt;&gt;"")),"")</f>
        <v>0</v>
      </c>
      <c r="W30" s="14">
        <f t="array" aca="1" ref="W30" ca="1">IF(H30,SUM(ISNUMBER(INDIRECT(Q30))*(INDIRECT(ster!$D$14)&lt;&gt;"")),"")</f>
        <v>9</v>
      </c>
      <c r="X30" s="14">
        <f t="array" aca="1" ref="X30" ca="1">IF(AND(H30,W30&gt;0),IF(wew!$B$3,MIN(IF((INDIRECT(ster!$D$14)&lt;&gt;"")*IFERROR(INDIRECT($Q30)&lt;&gt;"",FALSE),IFERROR(INDIRECT($Q30),"X"),"X")),"&lt;włącz podświetlanie wartości&gt;"),"—")</f>
        <v>9</v>
      </c>
      <c r="Y30" s="14">
        <f t="array" aca="1" ref="Y30" ca="1">IF(AND(H30,W30&gt;0),IF(wew!$B$3,MAX(IF((INDIRECT(ster!$D$14)&lt;&gt;"")*IFERROR(INDIRECT($Q30)&lt;&gt;"",FALSE),IFERROR(INDIRECT($Q30),"X"),"X")),"&lt;włącz podświetlanie wartości&gt;"),"—")</f>
        <v>25</v>
      </c>
      <c r="Z30" s="14">
        <f t="shared" ref="Z30" ca="1" si="366">IF(H30,S30-T30-W30,"")</f>
        <v>0</v>
      </c>
      <c r="AA30" s="12">
        <f t="shared" ref="AA30" ca="1" si="367">IF(H30,IF(S30&gt;0,W30/(S30),"—"),"")</f>
        <v>1</v>
      </c>
      <c r="AB30" s="17">
        <f t="array" aca="1" ref="AB30" ca="1">IF(H30,IF(W30&gt;0,SUM((INDIRECT(ster!$D$14)&lt;&gt;"")*IFERROR((INDIRECT(Q30)&lt;&gt;"")*(INDIRECT(Q30)=INT(INDIRECT(Q30))),0)),0),"")</f>
        <v>9</v>
      </c>
      <c r="AC30" s="17">
        <f t="array" aca="1" ref="AC30" ca="1">IF(H30,W30-AB30,"")</f>
        <v>0</v>
      </c>
      <c r="AD30" s="17">
        <f t="shared" ref="AD30" ca="1" si="368">IF($H30,IF(AC30&lt;&gt;"",IF(AC30=0,1,IF(AC30/W30&lt;0.15,2,3)),0),"")</f>
        <v>1</v>
      </c>
      <c r="AE30" s="17" t="b">
        <f t="shared" ref="AE30" ca="1" si="369">IF(H30,OFFSET(O30,1,0)=".validation",FALSE)</f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ref="AG30" ca="1" si="370">IF(AE30,IF($H30,IF(INDIRECT(ADDRESS(1,D30+2,,,_sheetname_dataframe))="","",INDIRECT(ADDRESS(1,D30+2,,,_sheetname_dataframe))),""),"")</f>
        <v/>
      </c>
      <c r="AH30" s="17" t="b">
        <f t="shared" ref="AH30" ca="1" si="371">IF(H30,AND(AE30,OFFSET(O30,2,0)=".validation"),FALSE)</f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ref="AJ30" ca="1" si="372">IF(AH30,IF($H30,IF(INDIRECT(ADDRESS(1,D30+3,,,_sheetname_dataframe))="","",INDIRECT(ADDRESS(1,D30+3,,,_sheetname_dataframe))),""),"")</f>
        <v/>
      </c>
      <c r="AK30" s="17" t="b">
        <f t="shared" ref="AK30" ca="1" si="373">IF(H30,OR(AQ30,AD30=2),"")</f>
        <v>0</v>
      </c>
      <c r="AL30" s="17" t="b">
        <f t="shared" ref="AL30" ca="1" si="374">IF($H30,IF(BV30&lt;&gt;"",IF(OR(BM30="F",BM30="L",BM30="I",BM30="D"),BV30&lt;&gt;0)),"")</f>
        <v>0</v>
      </c>
      <c r="AM30" s="17" t="b">
        <f t="shared" ref="AM30" ca="1" si="375">IF($H30,AND(NOT(AL30),OR(IF(BW30&lt;&gt;"",IF(OR(BM30="F",BM30="L"),BW30&lt;&gt;0)),BM30="I",BM30="N",BM30="D")),"")</f>
        <v>1</v>
      </c>
      <c r="AN30" s="17">
        <f t="shared" ref="AN30" ca="1" si="376">IF(COUNTA(INDIRECT(Q30))=0,0, IF(AND(AO30&lt;&gt;"",X30&lt;AO30),1,IF(AND(AP30&lt;&gt;"",Y30&gt;AP30),1,IF(AND(AQ30,AC30&gt;0),2,0))))</f>
        <v>0</v>
      </c>
      <c r="AO30" s="24" t="str">
        <f t="shared" ref="AO30" ca="1" si="377">IF($H30,IF(BY30&lt;&gt;"",IF(ISNUMBER(BY30),BY30,""),""),"")</f>
        <v/>
      </c>
      <c r="AP30" s="24" t="str">
        <f t="shared" ref="AP30" ca="1" si="378">IF($H30,IF(BZ30&lt;&gt;"",IF(ISNUMBER(BZ30),BZ30,""),""),"")</f>
        <v/>
      </c>
      <c r="AQ30" s="17" t="b">
        <f t="shared" ref="AQ30" ca="1" si="379">IF(H30,IF(CA30&lt;&gt;"",CA30&lt;&gt;0,FALSE),"")</f>
        <v>0</v>
      </c>
      <c r="AR30" s="17" t="b">
        <f t="shared" ref="AR30" ca="1" si="380">IF(H30,IF(N30&gt;0,IF(BQ30&lt;&gt;"",BQ30&lt;&gt;0,FALSE),FALSE),"")</f>
        <v>0</v>
      </c>
      <c r="AS30" s="17" t="b">
        <f t="shared" ref="AS30" ca="1" si="381">IF(H30,IF(BR30&lt;&gt;"",BR30&lt;&gt;0,FALSE),"")</f>
        <v>0</v>
      </c>
      <c r="AT30" s="17" t="b">
        <f t="shared" ref="AT30" ca="1" si="382">IF(H30,IF(N30&gt;0,FALSE,IF(BU30&lt;&gt;"",MATCH(BU30,DataType,0)=1,FALSE)),"")</f>
        <v>0</v>
      </c>
      <c r="AU30" s="17" t="b">
        <f t="shared" ref="AU30" ca="1" si="383">IF(H30,IF(N30&gt;0,TRUE,IF(BU30&lt;&gt;"",MATCH(BU30,DataType,0)=2,FALSE)),"")</f>
        <v>0</v>
      </c>
      <c r="AV30" s="17" t="b">
        <f t="shared" ref="AV30" ca="1" si="384">IF(H30,IF(N30&gt;0,FALSE,IF(BU30&lt;&gt;"",MATCH(BU30,DataType,0)=3,FALSE)),"")</f>
        <v>0</v>
      </c>
      <c r="AW30" s="17" t="b">
        <f t="shared" ref="AW30" ca="1" si="385">IF(H30,IF(W30&gt;0,Z30=0,FALSE),"")</f>
        <v>1</v>
      </c>
      <c r="AX30" s="14" t="b">
        <f t="array" aca="1" ref="AX30" ca="1">IF(H30,N30&gt;0,"")</f>
        <v>0</v>
      </c>
      <c r="AY30" s="17" t="str">
        <f t="shared" ref="AY30" ca="1" si="386">IF(H30,IF(N30&gt;0,ADDRESS(ROW(VariablesOrigin)+1,COLUMN(VariablesOrigin)+1,4) &amp; ":" &amp; ADDRESS(ROW(VariablesOrigin)+N30,COLUMN(VariablesOrigin)+1,4),""),"")</f>
        <v/>
      </c>
      <c r="AZ30" s="17" t="str">
        <f t="array" aca="1" ref="AZ30" ca="1">IF(AY30&lt;&gt;"",SUM(1*ISERROR(MATCH(INDIRECT(AY30),INDIRECT(K30),0)))=0,"")</f>
        <v/>
      </c>
      <c r="BA30" s="17" t="b">
        <f t="shared" ref="BA30" ca="1" si="387">IF(H30,BU30="",FALSE)</f>
        <v>1</v>
      </c>
      <c r="BB30" s="17" t="b">
        <f t="shared" ref="BB30" ca="1" si="388">IF(BA30,S30=0,"")</f>
        <v>0</v>
      </c>
      <c r="BC30" s="17" t="b">
        <f t="shared" ref="BC30" ca="1" si="389">IF(BA30,IF(N30&gt;0,AND(AZ30,Z30=0),FALSE),"")</f>
        <v>0</v>
      </c>
      <c r="BD30" s="17" t="b">
        <f t="shared" ref="BD30" ca="1" si="390">IF(BA30,IF(N30&gt;0,AND(NOT(AZ30),Z30=0),FALSE),"")</f>
        <v>0</v>
      </c>
      <c r="BE30" s="17" t="b">
        <f t="shared" ref="BE30" ca="1" si="391">IF(BA30,IF(AND(AW30,NOT(BB30),NOT(BC30),NOT(BD30)),AND(Z30=0,AC30=0),FALSE),"")</f>
        <v>1</v>
      </c>
      <c r="BF30" s="17" t="b">
        <f t="shared" ref="BF30" ca="1" si="392">IF(BA30,IF(AND(AW30,NOT(BB30),NOT(BC30),NOT(BD30)),AND(Z30=0,OR(AC30&gt;0)),FALSE),"")</f>
        <v>0</v>
      </c>
      <c r="BG30" s="17" t="b">
        <f t="shared" ref="BG30" ca="1" si="393">IF(BA30,IF(OR(BB30:BF30),FALSE,IF(Z30=0,FALSE,Z30&gt;0)),"")</f>
        <v>0</v>
      </c>
      <c r="BH30" s="17" t="b">
        <f t="shared" ref="BH30" ca="1" si="394">IF(BA30,COUNTIF(BB30:BG30,TRUE)=1,"")</f>
        <v>1</v>
      </c>
      <c r="BI30" s="17">
        <f t="shared" ref="BI30" ca="1" si="395">IF(BA30,IFERROR(MATCH(TRUE,BB30:BG30,0),7),"")</f>
        <v>4</v>
      </c>
      <c r="BJ30" s="17" t="b">
        <f t="shared" ref="BJ30" ca="1" si="396">DF30&lt;&gt;""</f>
        <v>0</v>
      </c>
      <c r="BK30" s="17" t="str">
        <f t="shared" ref="BK30" ca="1" si="397">IF(H30,IF(AND(NOT(BA30),AU30),AC30=0,""),"")</f>
        <v/>
      </c>
      <c r="BL30" s="17" t="str">
        <f t="shared" ref="BL30" ca="1" si="398">IF(H30,IF(AND(NOT(BA30),AU30),AC30&gt;0,""),"")</f>
        <v/>
      </c>
      <c r="BM30" s="17" t="str">
        <f t="shared" ref="BM30" ca="1" si="399">IF(H30,IF(BA30,CHOOSE(BI30,"0","F","L","I","N",IF(AA30&gt;0.5,"N","S"),"0"),CHOOSE(MATCH(BU30,DataType,0),"S",IF(BK30,"I","N"),"D"  )),"")</f>
        <v>I</v>
      </c>
      <c r="BN30" s="17" t="str">
        <f t="shared" ref="BN30" ca="1" si="400">IF(H30,IF(BJ30,"E",IF(BA30,CHOOSE(BI30,"0","F","L","I","N","S","0"),CHOOSE(MATCH(BU30,DataType,0),"S",IF(BK30,"I","N"),"D"  ))),"")</f>
        <v>I</v>
      </c>
      <c r="BO30" s="17" t="str">
        <f t="shared" ref="BO30" ca="1" si="401">IF($H30,IF(BM30="0","",IF(AND(AR30,N30=2),"D",IF(BM30="S","N",IF(AL30,"O",IF(AM30,"I","N"))))),"")</f>
        <v>I</v>
      </c>
      <c r="BP30" s="14" t="b">
        <f t="shared" ref="BP30" ca="1" si="402">INDIRECT(ADDRESS(2,ROW(A30)-1,,,_sheetname_dataframe))&lt;&gt;""</f>
        <v>1</v>
      </c>
      <c r="BQ30" s="35"/>
      <c r="BS30" s="14" t="s">
        <v>550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ref="DD30" ca="1" si="403">IF(MID(DC30,1,1)="■",MID(DC30,2,LEN(DC30)),DC30)</f>
        <v/>
      </c>
      <c r="DE30" s="14" t="str">
        <f t="shared" ref="DE30" ca="1" si="404">IF(DD30&lt;&gt;"",IF(MID(DD30,LEN(DD30),1)="■",MID(DD30,1,LEN(DD30)-1),DD30),"")</f>
        <v/>
      </c>
      <c r="DF30" s="14" t="str">
        <f t="shared" ref="DF30" ca="1" si="405">IFERROR(IF(DE30&lt;&gt;"",SUBSTITUTE(DE30,"■",". "),""),"##INTERNAL_ERROR")</f>
        <v/>
      </c>
      <c r="DG30" s="14" t="str">
        <f t="shared" ref="DG30" ca="1" si="406">IF(CN30&lt;&gt;0,"Variable name don't comply with the naming convention","")</f>
        <v/>
      </c>
      <c r="DH30" s="14" t="str">
        <f t="shared" ref="DH30" ca="1" si="407">IF(CO30&lt;&gt;"","Duplicated name. " &amp; IF(ISERROR(FIND(" ",CO30)),"Duplicate have index " &amp; CO30, "Duplicates have indices: "&amp;SUBSTITUTE(CO30," ",", ")),"")</f>
        <v/>
      </c>
      <c r="DI30" s="14" t="str">
        <f t="shared" ref="DI30" ca="1" si="408">IF(CP30&lt;&gt;"","Variable label exceed length 150","")</f>
        <v/>
      </c>
      <c r="DJ30" s="14" t="str">
        <f t="shared" ref="DJ30" ca="1" si="409">IF(CQ30&lt;&gt;"","Duplicated variable label. " &amp; IF(ISERROR(FIND(" ",CQ30)),"Duplicate have index " &amp; CQ30, "Duplicates have indices: "&amp;SUBSTITUTE(CQ30," ",", ")),"")</f>
        <v/>
      </c>
      <c r="DK30" s="14" t="str">
        <f t="shared" ref="DK30" ca="1" si="410">IF(CR30&lt;&gt;"","The following cases have values below declared theorethical min: " &amp;SUBSTITUTE(CR30," ",", "),"")</f>
        <v/>
      </c>
      <c r="DL30" s="14" t="str">
        <f t="shared" ref="DL30" ca="1" si="411">IF(CS30&lt;&gt;"","The following cases have values above declared theorethical max: " &amp;SUBSTITUTE(CS30," ",", "),"")</f>
        <v/>
      </c>
      <c r="DM30" s="14" t="str">
        <f t="shared" ref="DM30" ca="1" si="412">IF(CT30&lt;&gt;"","There are some cases with values not explicitly declared in the labels dictionary: " &amp;SUBSTITUTE(CT30," ",", "),"")</f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ref="DO30" ca="1" si="413">IF(CV30&lt;&gt;"","The following records are missing in this required field: " &amp;SUBSTITUTE(CV30," ",", "),"")</f>
        <v/>
      </c>
      <c r="DP30" s="14" t="str">
        <f t="shared" ref="DP30" ca="1" si="414">IF(CW30&lt;&gt;"","The following cases have non-integer values: " &amp;SUBSTITUTE(CW30," ",", "),"")</f>
        <v/>
      </c>
      <c r="DQ30" s="14" t="str">
        <f t="shared" ref="DQ30" ca="1" si="415">IF(CX30&lt;&gt;"","The following cases are non-numeric: " &amp;SUBSTITUTE(CX30," ",", "),"")</f>
        <v/>
      </c>
      <c r="DR30" s="14" t="str">
        <f t="shared" ref="DR30" ca="1" si="416">IF(CY30&lt;&gt;"","In the following cases " &amp; P30 &amp; " " &amp; LOWER(MID(AG30,1,1)) &amp; MID(AG30,2,LEN(AG30)) &amp; ": " &amp;SUBSTITUTE(CY30," ",", "),"")</f>
        <v/>
      </c>
      <c r="DS30" s="14" t="str">
        <f t="shared" ref="DS30" ca="1" si="417">IF(CZ30&lt;&gt;"","In the following cases " &amp; P30 &amp; " " &amp; LOWER(MID(AJ30,1,1)) &amp; MID(AJ30,2,LEN(AJ30)) &amp; ": " &amp;SUBSTITUTE(CZ30," ",", "),"")</f>
        <v/>
      </c>
      <c r="DZ30" s="14" t="b">
        <f t="shared" ref="DZ30" ca="1" si="418">OR(ED30&lt;&gt;"",EF30&lt;&gt;"",EG30&lt;&gt;"")</f>
        <v>0</v>
      </c>
      <c r="EA30" s="14" t="str">
        <f t="shared" ref="EA30" ca="1" si="419">IF(EB30&lt;&gt;"",G30 &amp; " (" &amp; F30 &amp; ")","")</f>
        <v/>
      </c>
      <c r="EB30" s="14" t="str">
        <f t="shared" ref="EB30" ca="1" si="420">IF(EE30&lt;&gt;"",EE30&amp;IF(ED30&lt;&gt;""," and "&amp;ED30,""),UPPER(MID(ED30,1,1)&amp;MID(ED30,2,LEN(ED30))))&amp; IF(OR(EF30&lt;&gt;"",EG30&lt;&gt;"")," and "&amp;IF(EF30&lt;&gt;"",LOWER(MID(EF30,1,1) &amp; MID(EF30,2,LEN(EF30))),"")&amp; IF(AND(EF30 &lt;&gt;"",EG30&lt;&gt;"")," and ","") &amp; IF(EG30&lt;&gt;"",LOWER(MID(EG30,1,1) &amp; MID(EG30,2,LEN(EG30))),""),"") &amp; IF(OR(EE30&lt;&gt;"",ED30&lt;&gt;"",EF30&lt;&gt;"",EG30&lt;&gt;""), ". ","")</f>
        <v/>
      </c>
      <c r="EC30" s="14" t="str">
        <f t="shared" ref="EC30" ca="1" si="421">IF(EB30&lt;&gt;"",G30 &amp; " (" &amp; F30 &amp; "): " &amp; EB30,"")</f>
        <v/>
      </c>
      <c r="ED30" s="14" t="str">
        <f t="shared" ref="ED30" ca="1" si="422">IF(H30,IF(W30&gt;0,IF(AND(AO30&lt;&gt;"",AP30&lt;&gt;""),"each value must be between " &amp; IF( AV30,IFERROR(TEXT(AO30,"rrrr-mm-dd") &amp;" (" &amp; AO30 &amp;")",AO30),AO30) &amp; " and " &amp; IF( AV30,IFERROR(TEXT(AP30,"rrrr-mm-dd") &amp;" (" &amp; AP30 &amp;")",AP30),AP30),IF(AO30&lt;&gt;"","each value must be above " &amp; IF( AV30,IFERROR(TEXT(AO30,"rrrr-mm-dd") &amp;" (" &amp; AO30 &amp;")",AO30),AO30), IF(AP30&lt;&gt;"","each value must be below " &amp; IF( AV30,IFERROR(TEXT(AP30,"rrrr-mm-dd") &amp;" (" &amp; AP30 &amp;")",AP30),AP30),""))),""),"")</f>
        <v/>
      </c>
      <c r="EE30" s="14" t="str">
        <f t="shared" ref="EE30" ca="1" si="423">IF(H30,IF(OR(AQ30,AU30,AV30,AS30,AR30),
   "Values must be" &amp;
   IF(AR30," limited to predefinied list", IF(AQ30, " integers",IF(OR(AU30,AV30)," numeric",""))) &amp;
   IF(AS30,IF(OR(AR30,AQ30,AU30,AV30), " and ","") &amp; "non-missing",""),
""),"")</f>
        <v/>
      </c>
      <c r="EF30" s="14" t="str">
        <f t="shared" ref="EF30" ca="1" si="424">IF($H30,AG30,"")</f>
        <v/>
      </c>
      <c r="EG30" s="14" t="str">
        <f t="shared" ref="EG30" ca="1" si="425">IF($H30,AJ30,"")</f>
        <v/>
      </c>
      <c r="EM30" s="14" t="b">
        <f t="shared" ref="EM30" ca="1" si="426">OR(EC30&lt;&gt;"",DF30&lt;&gt;"")</f>
        <v>0</v>
      </c>
      <c r="EN30" s="14" t="str">
        <f t="shared" ref="EN30" ca="1" si="427">IF(EM30,C30,"")</f>
        <v/>
      </c>
      <c r="EO30" s="14" t="str">
        <f t="shared" ref="EO30" ca="1" si="428">IF(EM30,F30,"")</f>
        <v/>
      </c>
      <c r="EP30" s="14" t="str">
        <f t="shared" ref="EP30" ca="1" si="429">EC30</f>
        <v/>
      </c>
      <c r="EQ30" s="14" t="str">
        <f t="shared" ref="EQ30" ca="1" si="430">DF30</f>
        <v/>
      </c>
    </row>
    <row r="31" spans="2:147" s="14" customFormat="1">
      <c r="B31" s="14" t="str">
        <f t="shared" ca="1" si="203"/>
        <v/>
      </c>
      <c r="C31" s="14">
        <f t="shared" ca="1" si="204"/>
        <v>27</v>
      </c>
      <c r="D31" s="14">
        <f t="shared" si="205"/>
        <v>29</v>
      </c>
      <c r="E31" s="14" t="str">
        <f t="shared" ca="1" si="206"/>
        <v>I</v>
      </c>
      <c r="F31" s="14" t="str">
        <f t="shared" ca="1" si="207"/>
        <v>form5</v>
      </c>
      <c r="G31" s="14" t="str">
        <f t="shared" ca="1" si="208"/>
        <v>Suma</v>
      </c>
      <c r="H31" s="14" t="b">
        <f t="shared" ca="1" si="209"/>
        <v>1</v>
      </c>
      <c r="I31" s="14" t="str">
        <f ca="1">IF($H31,ADDRESS(3,(D31+1)*2-1,4,,"["&amp;wew!$G$7&amp;"]"&amp;_sheetname_labels)&amp;":"&amp;ADDRESS(2+ster!$B$20,(D31+1)*2-1,4),"")</f>
        <v>'[dane surowe2d_2.xlsm]labels'!BG3:BG36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210"/>
        <v>0</v>
      </c>
      <c r="N31" s="14">
        <f t="shared" ca="1" si="211"/>
        <v>0</v>
      </c>
      <c r="O31" s="14" t="str">
        <f t="shared" ca="1" si="212"/>
        <v>form5</v>
      </c>
      <c r="P31" s="14" t="str">
        <f t="shared" ca="1" si="213"/>
        <v>Suma</v>
      </c>
      <c r="Q31" s="14" t="str">
        <f ca="1">IF($BP31,ADDRESS(3,D31+1,4,,"["&amp;wew!$G$7&amp;"]"&amp;_sheetname_dataframe)&amp;":"&amp;ADDRESS(2+ster!$C$14,D31+1,4),"")</f>
        <v>'[dane surowe2d_2.xlsm]data_frame'!AD3:AD12</v>
      </c>
      <c r="R31" s="14" t="str">
        <f>IF($BP31,IF(MID(_xll.FORMULATEXT(INDEX(INDIRECT(Q31),1)),1,1)="=", _xll.FORMULATEXT(INDEX(INDIRECT(Q31),1),2,TRUE),""),"")</f>
        <v>=SUM(RC[-4]:RC[-1])</v>
      </c>
      <c r="S31" s="14">
        <f t="array" aca="1" ref="S31" ca="1">IF(H31,SUM(IF((IFERROR(INDIRECT(Q31)&lt;&gt;"",FALSE))*(INDIRECT(ster!$D$14)&lt;&gt;""),1,0)),"")</f>
        <v>9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0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9</v>
      </c>
      <c r="X31" s="14">
        <f t="array" aca="1" ref="X31" ca="1">IF(AND(H31,W31&gt;0),IF(wew!$B$3,MIN(IF((INDIRECT(ster!$D$14)&lt;&gt;"")*IFERROR(INDIRECT($Q31)&lt;&gt;"",FALSE),IFERROR(INDIRECT($Q31),"X"),"X")),"&lt;włącz podświetlanie wartości&gt;"),"—")</f>
        <v>9</v>
      </c>
      <c r="Y31" s="14">
        <f t="array" aca="1" ref="Y31" ca="1">IF(AND(H31,W31&gt;0),IF(wew!$B$3,MAX(IF((INDIRECT(ster!$D$14)&lt;&gt;"")*IFERROR(INDIRECT($Q31)&lt;&gt;"",FALSE),IFERROR(INDIRECT($Q31),"X"),"X")),"&lt;włącz podświetlanie wartości&gt;"),"—")</f>
        <v>20</v>
      </c>
      <c r="Z31" s="14">
        <f t="shared" ca="1" si="214"/>
        <v>0</v>
      </c>
      <c r="AA31" s="12">
        <f t="shared" ca="1" si="215"/>
        <v>1</v>
      </c>
      <c r="AB31" s="17">
        <f t="array" aca="1" ref="AB31" ca="1">IF(H31,IF(W31&gt;0,SUM((INDIRECT(ster!$D$14)&lt;&gt;"")*IFERROR((INDIRECT(Q31)&lt;&gt;"")*(INDIRECT(Q31)=INT(INDIRECT(Q31))),0)),0),"")</f>
        <v>9</v>
      </c>
      <c r="AC31" s="17">
        <f t="array" aca="1" ref="AC31" ca="1">IF(H31,W31-AB31,"")</f>
        <v>0</v>
      </c>
      <c r="AD31" s="17">
        <f t="shared" ca="1" si="216"/>
        <v>1</v>
      </c>
      <c r="AE31" s="17" t="b">
        <f t="shared" ca="1" si="217"/>
        <v>0</v>
      </c>
      <c r="AF31" s="17" t="str">
        <f ca="1">IF(AE31,IF($H31,ADDRESS(3,D31+2,4,,"["&amp;wew!$G$7&amp;"]"&amp;_sheetname_dataframe)&amp;":"&amp;ADDRESS(2+ster!$C$14,D31+2,4),""),"")</f>
        <v/>
      </c>
      <c r="AG31" s="17" t="str">
        <f t="shared" ca="1" si="218"/>
        <v/>
      </c>
      <c r="AH31" s="17" t="b">
        <f t="shared" ca="1" si="219"/>
        <v>0</v>
      </c>
      <c r="AI31" s="17" t="str">
        <f ca="1">IF(AH31,IF($H31,ADDRESS(3,D31+3,4,,"["&amp;wew!$G$7&amp;"]"&amp;_sheetname_dataframe)&amp;":"&amp;ADDRESS(2+ster!$C$14,D31+3,4),""),"")</f>
        <v/>
      </c>
      <c r="AJ31" s="17" t="str">
        <f t="shared" ca="1" si="220"/>
        <v/>
      </c>
      <c r="AK31" s="17" t="b">
        <f t="shared" ca="1" si="221"/>
        <v>0</v>
      </c>
      <c r="AL31" s="17" t="b">
        <f t="shared" ca="1" si="222"/>
        <v>0</v>
      </c>
      <c r="AM31" s="17" t="b">
        <f t="shared" ca="1" si="223"/>
        <v>1</v>
      </c>
      <c r="AN31" s="17">
        <f t="shared" ca="1" si="224"/>
        <v>0</v>
      </c>
      <c r="AO31" s="24" t="str">
        <f t="shared" ca="1" si="225"/>
        <v/>
      </c>
      <c r="AP31" s="24" t="str">
        <f t="shared" ca="1" si="226"/>
        <v/>
      </c>
      <c r="AQ31" s="17" t="b">
        <f t="shared" ca="1" si="227"/>
        <v>0</v>
      </c>
      <c r="AR31" s="17" t="b">
        <f t="shared" ca="1" si="228"/>
        <v>0</v>
      </c>
      <c r="AS31" s="17" t="b">
        <f t="shared" ca="1" si="229"/>
        <v>0</v>
      </c>
      <c r="AT31" s="17" t="b">
        <f t="shared" ca="1" si="230"/>
        <v>0</v>
      </c>
      <c r="AU31" s="17" t="b">
        <f t="shared" ca="1" si="231"/>
        <v>0</v>
      </c>
      <c r="AV31" s="17" t="b">
        <f t="shared" ca="1" si="232"/>
        <v>0</v>
      </c>
      <c r="AW31" s="17" t="b">
        <f t="shared" ca="1" si="233"/>
        <v>1</v>
      </c>
      <c r="AX31" s="14" t="b">
        <f t="array" aca="1" ref="AX31" ca="1">IF(H31,N31&gt;0,"")</f>
        <v>0</v>
      </c>
      <c r="AY31" s="17" t="str">
        <f t="shared" ca="1" si="234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235"/>
        <v>1</v>
      </c>
      <c r="BB31" s="17" t="b">
        <f t="shared" ca="1" si="236"/>
        <v>0</v>
      </c>
      <c r="BC31" s="17" t="b">
        <f t="shared" ca="1" si="237"/>
        <v>0</v>
      </c>
      <c r="BD31" s="17" t="b">
        <f t="shared" ca="1" si="238"/>
        <v>0</v>
      </c>
      <c r="BE31" s="17" t="b">
        <f t="shared" ca="1" si="239"/>
        <v>1</v>
      </c>
      <c r="BF31" s="17" t="b">
        <f t="shared" ca="1" si="240"/>
        <v>0</v>
      </c>
      <c r="BG31" s="17" t="b">
        <f t="shared" ca="1" si="241"/>
        <v>0</v>
      </c>
      <c r="BH31" s="17" t="b">
        <f t="shared" ca="1" si="242"/>
        <v>1</v>
      </c>
      <c r="BI31" s="17">
        <f t="shared" ca="1" si="243"/>
        <v>4</v>
      </c>
      <c r="BJ31" s="17" t="b">
        <f t="shared" ca="1" si="244"/>
        <v>0</v>
      </c>
      <c r="BK31" s="17" t="str">
        <f t="shared" ca="1" si="245"/>
        <v/>
      </c>
      <c r="BL31" s="17" t="str">
        <f t="shared" ca="1" si="246"/>
        <v/>
      </c>
      <c r="BM31" s="17" t="str">
        <f t="shared" ca="1" si="247"/>
        <v>I</v>
      </c>
      <c r="BN31" s="17" t="str">
        <f t="shared" ca="1" si="248"/>
        <v>I</v>
      </c>
      <c r="BO31" s="17" t="str">
        <f t="shared" ca="1" si="249"/>
        <v>I</v>
      </c>
      <c r="BP31" s="14" t="b">
        <f t="shared" ca="1" si="250"/>
        <v>1</v>
      </c>
      <c r="BQ31" s="35"/>
      <c r="BS31" s="14" t="s">
        <v>544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251"/>
        <v/>
      </c>
      <c r="DE31" s="14" t="str">
        <f t="shared" ca="1" si="252"/>
        <v/>
      </c>
      <c r="DF31" s="14" t="str">
        <f t="shared" ca="1" si="253"/>
        <v/>
      </c>
      <c r="DG31" s="14" t="str">
        <f t="shared" ca="1" si="254"/>
        <v/>
      </c>
      <c r="DH31" s="14" t="str">
        <f t="shared" ca="1" si="255"/>
        <v/>
      </c>
      <c r="DI31" s="14" t="str">
        <f t="shared" ca="1" si="256"/>
        <v/>
      </c>
      <c r="DJ31" s="14" t="str">
        <f t="shared" ca="1" si="257"/>
        <v/>
      </c>
      <c r="DK31" s="14" t="str">
        <f t="shared" ca="1" si="258"/>
        <v/>
      </c>
      <c r="DL31" s="14" t="str">
        <f t="shared" ca="1" si="259"/>
        <v/>
      </c>
      <c r="DM31" s="14" t="str">
        <f t="shared" ca="1" si="260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261"/>
        <v/>
      </c>
      <c r="DP31" s="14" t="str">
        <f t="shared" ca="1" si="262"/>
        <v/>
      </c>
      <c r="DQ31" s="14" t="str">
        <f t="shared" ca="1" si="263"/>
        <v/>
      </c>
      <c r="DR31" s="14" t="str">
        <f t="shared" ca="1" si="264"/>
        <v/>
      </c>
      <c r="DS31" s="14" t="str">
        <f t="shared" ca="1" si="265"/>
        <v/>
      </c>
      <c r="DZ31" s="14" t="b">
        <f t="shared" ca="1" si="266"/>
        <v>0</v>
      </c>
      <c r="EA31" s="14" t="str">
        <f t="shared" ca="1" si="267"/>
        <v/>
      </c>
      <c r="EB31" s="14" t="str">
        <f t="shared" ca="1" si="268"/>
        <v/>
      </c>
      <c r="EC31" s="14" t="str">
        <f t="shared" ca="1" si="269"/>
        <v/>
      </c>
      <c r="ED31" s="14" t="str">
        <f t="shared" ca="1" si="270"/>
        <v/>
      </c>
      <c r="EE31" s="14" t="str">
        <f t="shared" ca="1" si="271"/>
        <v/>
      </c>
      <c r="EF31" s="14" t="str">
        <f t="shared" ca="1" si="272"/>
        <v/>
      </c>
      <c r="EG31" s="14" t="str">
        <f t="shared" ca="1" si="273"/>
        <v/>
      </c>
      <c r="EM31" s="14" t="b">
        <f t="shared" ca="1" si="274"/>
        <v>0</v>
      </c>
      <c r="EN31" s="14" t="str">
        <f t="shared" ca="1" si="275"/>
        <v/>
      </c>
      <c r="EO31" s="14" t="str">
        <f t="shared" ca="1" si="276"/>
        <v/>
      </c>
      <c r="EP31" s="14" t="str">
        <f t="shared" ca="1" si="277"/>
        <v/>
      </c>
      <c r="EQ31" s="14" t="str">
        <f t="shared" ca="1" si="278"/>
        <v/>
      </c>
    </row>
  </sheetData>
  <protectedRanges>
    <protectedRange sqref="CB32:CF1030489" name="Grupy"/>
    <protectedRange sqref="E2:E31" name="TypZmiennej"/>
  </protectedRanges>
  <customSheetViews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1">
    <cfRule type="expression" dxfId="26" priority="17">
      <formula>$H2</formula>
    </cfRule>
  </conditionalFormatting>
  <conditionalFormatting sqref="C2:C31">
    <cfRule type="expression" dxfId="25" priority="2" stopIfTrue="1">
      <formula>OR($E2="P",$E2="O")</formula>
    </cfRule>
  </conditionalFormatting>
  <conditionalFormatting sqref="BW2:BW31">
    <cfRule type="expression" dxfId="24" priority="5">
      <formula>IF($H2,OR(BM2="F",BM2="L"),FALSE)</formula>
    </cfRule>
  </conditionalFormatting>
  <conditionalFormatting sqref="BR2:BS31">
    <cfRule type="expression" dxfId="23" priority="1">
      <formula>$H2</formula>
    </cfRule>
  </conditionalFormatting>
  <conditionalFormatting sqref="BU2:BU31">
    <cfRule type="expression" dxfId="22" priority="370">
      <formula>AND($H2,$N2=0)</formula>
    </cfRule>
  </conditionalFormatting>
  <conditionalFormatting sqref="C2:BP31">
    <cfRule type="expression" dxfId="21" priority="372" stopIfTrue="1">
      <formula>$BM2=""</formula>
    </cfRule>
    <cfRule type="expression" dxfId="20" priority="373" stopIfTrue="1">
      <formula>IF($H2,$BO2="O",FALSE)</formula>
    </cfRule>
    <cfRule type="expression" dxfId="19" priority="374">
      <formula>$Z2&gt;0</formula>
    </cfRule>
    <cfRule type="expression" dxfId="18" priority="375" stopIfTrue="1">
      <formula>IF($H2,$BO2="I",FALSE)</formula>
    </cfRule>
    <cfRule type="expression" dxfId="17" priority="376" stopIfTrue="1">
      <formula>IF($H2,$BO2="",FALSE)</formula>
    </cfRule>
    <cfRule type="expression" dxfId="16" priority="377" stopIfTrue="1">
      <formula>IF($H2,$BO2="N",FALSE)</formula>
    </cfRule>
    <cfRule type="expression" dxfId="15" priority="378" stopIfTrue="1">
      <formula>IF($H2,$BO2="D",FALSE)</formula>
    </cfRule>
  </conditionalFormatting>
  <conditionalFormatting sqref="CB2:CE31">
    <cfRule type="expression" dxfId="14" priority="386" stopIfTrue="1">
      <formula>IF($H2,AND($BM2&lt;&gt;"0",$BM2&lt;&gt;"E"))</formula>
    </cfRule>
  </conditionalFormatting>
  <conditionalFormatting sqref="BX2:BX31">
    <cfRule type="expression" dxfId="13" priority="387" stopIfTrue="1">
      <formula>IF($H2,$BO2="I")</formula>
    </cfRule>
  </conditionalFormatting>
  <conditionalFormatting sqref="BY2:CA31">
    <cfRule type="expression" dxfId="12" priority="388" stopIfTrue="1">
      <formula>IF($H2,OR($BM2="I",$BM2="L",$BM2="N",$BM2="D"))</formula>
    </cfRule>
  </conditionalFormatting>
  <conditionalFormatting sqref="BQ2:BQ31">
    <cfRule type="expression" dxfId="11" priority="389">
      <formula>IF($H2,NOT($AX2),TRUE)</formula>
    </cfRule>
    <cfRule type="expression" dxfId="10" priority="390" stopIfTrue="1">
      <formula>IF($H2,$AX2)</formula>
    </cfRule>
  </conditionalFormatting>
  <conditionalFormatting sqref="BV2:BV31">
    <cfRule type="expression" dxfId="9" priority="391">
      <formula>(H2)*OR(BM2="I")</formula>
    </cfRule>
    <cfRule type="expression" dxfId="8" priority="392">
      <formula>(H2)*OR(BM2="F",BM2="L")</formula>
    </cfRule>
  </conditionalFormatting>
  <conditionalFormatting sqref="BV2:BW31">
    <cfRule type="expression" dxfId="7" priority="393" stopIfTrue="1">
      <formula>IF($H2,AND($BV2&lt;&gt;0,$BW2&lt;&gt;0),FALSE)</formula>
    </cfRule>
  </conditionalFormatting>
  <dataValidations count="1">
    <dataValidation type="list" allowBlank="1" showInputMessage="1" showErrorMessage="1" sqref="BU2:BU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B0700225-2463-44C9-9C4E-A79FCDA233AE}"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394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29</v>
      </c>
      <c r="C12">
        <f t="array" ref="C12">MAX(IF(data_frame!2:2&lt;&gt;"",COLUMN(data_frame!2:2),""))</f>
        <v>30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9</v>
      </c>
      <c r="C14">
        <f t="array" aca="1" ref="C14" ca="1">MAX(IF(INDIRECT(wew!R9 &amp; "!A:A")&lt;&gt;"",ROW(  INDIRECT(wew!R9 &amp; "!A:A")),""))-2</f>
        <v>10</v>
      </c>
      <c r="D14" t="str">
        <f ca="1">ADDRESS(3,1,4,,_sheetname_dataframe) &amp; ":" &amp; ADDRESS(CaseCnt+2,1,4)</f>
        <v>data_frame!A3:A12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23</v>
      </c>
      <c r="D16">
        <f ca="1">MAX(INDIRECT(wew!R7 &amp; "!AI2:iv"&amp;1+C12))</f>
        <v>23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34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R15" sqref="R1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520</v>
      </c>
    </row>
    <row r="3" spans="1:18">
      <c r="A3" s="5">
        <v>4</v>
      </c>
      <c r="B3" s="16" t="b">
        <v>1</v>
      </c>
      <c r="C3" s="14"/>
      <c r="D3" s="36">
        <v>84714452</v>
      </c>
    </row>
    <row r="5" spans="1:18">
      <c r="C5" s="14"/>
    </row>
    <row r="6" spans="1:18">
      <c r="B6" s="15" t="s">
        <v>204</v>
      </c>
      <c r="C6" s="14" t="s">
        <v>413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'[dane surowe2d_2.xlsm]variables'!BO2:BO31</v>
      </c>
      <c r="G7" t="str">
        <f ca="1">NewZal!H2</f>
        <v>dane surowe2d_2.xlsm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variables!CB2:CH31</v>
      </c>
      <c r="O7" s="15" t="s">
        <v>387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variables!CB2:CB31</v>
      </c>
      <c r="O8" s="15" t="s">
        <v>388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'[dane surowe2d_2.xlsm]variables'!X2:X31</v>
      </c>
      <c r="G9" t="str">
        <f ca="1">IF(ISERROR(FIND(".xlsm",G7)),"???",MID(G7,1,LEN(G7)-5))</f>
        <v>dane surowe2d_2</v>
      </c>
      <c r="J9">
        <f>J8+1</f>
        <v>1</v>
      </c>
      <c r="K9" s="14" t="str">
        <f t="shared" si="0"/>
        <v>variables!CC2:CC31</v>
      </c>
      <c r="O9" s="15" t="s">
        <v>389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variables!CD2:CD31</v>
      </c>
    </row>
    <row r="11" spans="1:18">
      <c r="C11" s="16" t="str">
        <f ca="1">ADDRESS(ROW(MaxStatistics),COLUMN(MaxStatistics),4,,$G$15) &amp;":"&amp; ADDRESS(ROW(MaxStatistics)+VariableCount-1,COLUMN(MaxStatistics),4)</f>
        <v>'[dane surowe2d_2.xlsm]variables'!Y2:Y31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variables!CE2:CE31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variables!CF2:CF31</v>
      </c>
    </row>
    <row r="13" spans="1:18">
      <c r="C13" s="14" t="str">
        <f ca="1">NewZal!$T$14</f>
        <v>'[dane surowe2d_2.xlsm]variables'!$G$2:$G$31</v>
      </c>
      <c r="G13" s="14" t="s">
        <v>315</v>
      </c>
      <c r="J13" s="14">
        <f t="shared" si="1"/>
        <v>5</v>
      </c>
      <c r="K13" s="14" t="str">
        <f t="shared" si="0"/>
        <v>variables!CG2:CG31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variables!CH2:CH31</v>
      </c>
    </row>
    <row r="15" spans="1:18">
      <c r="C15" s="14" t="str">
        <f ca="1">NewZal!$T$13</f>
        <v>'[dane surowe2d_2.xlsm]variables'!$F$2:$F$31</v>
      </c>
      <c r="G15" t="str">
        <f ca="1">NewZal!T2 &amp; _sheetname_var</f>
        <v>[dane surowe2d_2.xlsm]variables</v>
      </c>
      <c r="J15" s="14">
        <f t="shared" si="1"/>
        <v>7</v>
      </c>
      <c r="K15" s="14" t="str">
        <f t="shared" si="0"/>
        <v>variables!CI2:CI31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'[dane surowe2d_2.xlsm]variables'!AO2:AO31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'[dane surowe2d_2.xlsm]variables'!AP2:AP31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'[dane surowe2d_2.xlsm]variables'!AQ2:AQ31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'[dane surowe2d_2.xlsm]variables'!AK2:AK31</v>
      </c>
    </row>
    <row r="24" spans="2:4">
      <c r="C24" s="15" t="s">
        <v>412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'[dane surowe2d_2.xlsm]variables'!DF2:DF31</v>
      </c>
    </row>
    <row r="26" spans="2:4">
      <c r="C26" s="15" t="s">
        <v>423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'[dane surowe2d_2.xlsm]variables'!AE2:AE31</v>
      </c>
    </row>
    <row r="28" spans="2:4">
      <c r="C28" s="15" t="s">
        <v>430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'[dane surowe2d_2.xlsm]variables'!AH2:AH31</v>
      </c>
    </row>
    <row r="30" spans="2:4">
      <c r="C30" s="15" t="s">
        <v>431</v>
      </c>
    </row>
    <row r="31" spans="2:4">
      <c r="C31" s="16" t="str">
        <f ca="1">ADDRESS(ROW(LabelCount),COLUMN(LabelCount),4,,$G$15) &amp;":"&amp; ADDRESS(ROW(LabelCount)+VariableCount-1,COLUMN(LabelCount),4)</f>
        <v>'[dane surowe2d_2.xlsm]variables'!N2:N31</v>
      </c>
    </row>
    <row r="32" spans="2:4">
      <c r="C32" s="15" t="s">
        <v>398</v>
      </c>
    </row>
    <row r="33" spans="3:4">
      <c r="C33" s="16" t="str">
        <f ca="1">ADDRESS(ROW(LevelValues),COLUMN(LevelValues),4,,$G$15) &amp;":"&amp; ADDRESS(ROW(LevelValues)+VariableCount-1,COLUMN(LevelValues),4)</f>
        <v>'[dane surowe2d_2.xlsm]variables'!K2:K31</v>
      </c>
      <c r="D33" s="16"/>
    </row>
    <row r="34" spans="3:4">
      <c r="C34" s="15" t="s">
        <v>400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'[dane surowe2d_2.xlsm]variables'!BM2:BM31</v>
      </c>
    </row>
    <row r="36" spans="3:4">
      <c r="C36" s="15" t="s">
        <v>401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'[dane surowe2d_2.xlsm]variables'!BM2:BM31</v>
      </c>
    </row>
    <row r="38" spans="3:4">
      <c r="C38" s="15" t="s">
        <v>402</v>
      </c>
    </row>
    <row r="39" spans="3:4">
      <c r="C39" s="16" t="str">
        <f ca="1">ADDRESS(ROW(ForceLabels),COLUMN(ForceLabels),4,,$G$15) &amp;":"&amp; ADDRESS(ROW(ForceLabels)+VariableCount-1,COLUMN(ForceLabels),4)</f>
        <v>'[dane surowe2d_2.xlsm]variables'!AR2:AR31</v>
      </c>
    </row>
    <row r="40" spans="3:4">
      <c r="C40" s="15" t="s">
        <v>399</v>
      </c>
    </row>
    <row r="41" spans="3:4">
      <c r="C41" s="16" t="str">
        <f ca="1">ADDRESS(ROW(VariableClass),COLUMN(VariableClass),4,,$G$15) &amp;":"&amp; ADDRESS(ROW(VariableClass)+VariableCount-1,COLUMN(VariableClass),4)</f>
        <v>'[dane surowe2d_2.xlsm]variables'!BN2:BN31</v>
      </c>
    </row>
    <row r="42" spans="3:4">
      <c r="C42" s="15" t="s">
        <v>440</v>
      </c>
    </row>
    <row r="43" spans="3:4">
      <c r="C43" s="16" t="str">
        <f ca="1">ADDRESS(ROW(Required),COLUMN(Required),4,,$G$15) &amp;":"&amp; ADDRESS(ROW(Required)+VariableCount-1,COLUMN(Required),4)</f>
        <v>'[dane surowe2d_2.xlsm]variables'!BR2:BR31</v>
      </c>
    </row>
  </sheetData>
  <customSheetViews>
    <customSheetView guid="{B0700225-2463-44C9-9C4E-A79FCDA233AE}">
      <selection activeCell="C5" sqref="C5"/>
      <pageMargins left="0.7" right="0.7" top="0.75" bottom="0.75" header="0.3" footer="0.3"/>
    </customSheetView>
    <customSheetView guid="{E6351D91-D2AA-41F8-B6F1-38581D57FD08}" state="hidden">
      <selection activeCell="C9" sqref="C9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20" sqref="B20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'[dane surowe2d_2.xlsm]data_frame'!$A$1</v>
      </c>
      <c r="C2" s="14">
        <f t="shared" ref="C2:C12" ca="1" si="1">FIND("]",B2)</f>
        <v>23</v>
      </c>
      <c r="D2" s="14">
        <f t="shared" ref="D2:D12" ca="1" si="2">FIND("!",B2)</f>
        <v>35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'[dane surowe2d_2.xlsm]labels'!$A$1</v>
      </c>
      <c r="C3" s="14">
        <f t="shared" ca="1" si="1"/>
        <v>23</v>
      </c>
      <c r="D3" s="14">
        <f t="shared" ca="1" si="2"/>
        <v>31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'[dane surowe2d_2.xlsm]variables'!$BO$2</v>
      </c>
      <c r="C4" s="14">
        <f t="shared" ca="1" si="1"/>
        <v>23</v>
      </c>
      <c r="D4" s="14">
        <f t="shared" ca="1" si="2"/>
        <v>34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'[dane surowe2d_2.xlsm]variables'!$BX$2</v>
      </c>
      <c r="C5" s="14">
        <f t="shared" ca="1" si="1"/>
        <v>23</v>
      </c>
      <c r="D5" s="14">
        <f t="shared" ca="1" si="2"/>
        <v>34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'[dane surowe2d_2.xlsm]variables'!$CB$1</v>
      </c>
      <c r="C6" s="14">
        <f t="shared" ca="1" si="1"/>
        <v>23</v>
      </c>
      <c r="D6" s="14">
        <f t="shared" ca="1" si="2"/>
        <v>34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'[dane surowe2d_2.xlsm]grupy'!$C$4</v>
      </c>
      <c r="C7" s="14">
        <f t="shared" ca="1" si="1"/>
        <v>23</v>
      </c>
      <c r="D7" s="14">
        <f t="shared" ca="1" si="2"/>
        <v>30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'[dane surowe2d_2.xlsm]ster'!$B$3</v>
      </c>
      <c r="C8" s="14">
        <f t="shared" ca="1" si="1"/>
        <v>23</v>
      </c>
      <c r="D8" s="14">
        <f t="shared" ca="1" si="2"/>
        <v>29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'[dane surowe2d_2.xlsm]ster'!$B$5</v>
      </c>
      <c r="C9" s="14">
        <f t="shared" ca="1" si="1"/>
        <v>23</v>
      </c>
      <c r="D9" s="14">
        <f t="shared" ca="1" si="2"/>
        <v>29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'[dane surowe2d_2.xlsm]ster'!$C$3</v>
      </c>
      <c r="C10" s="14">
        <f t="shared" ca="1" si="1"/>
        <v>23</v>
      </c>
      <c r="D10" s="14">
        <f t="shared" ca="1" si="2"/>
        <v>29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'[dane surowe2d_2.xlsm]ster'!$D$3</v>
      </c>
      <c r="C11" s="14">
        <f t="shared" ca="1" si="1"/>
        <v>23</v>
      </c>
      <c r="D11" s="14">
        <f t="shared" ca="1" si="2"/>
        <v>29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399</v>
      </c>
      <c r="B12" t="str">
        <f t="shared" ca="1" si="0"/>
        <v>'[dane surowe2d_2.xlsm]variables'!$BN$2</v>
      </c>
      <c r="C12">
        <f t="shared" ca="1" si="1"/>
        <v>23</v>
      </c>
      <c r="D12">
        <f t="shared" ca="1" si="2"/>
        <v>34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400</v>
      </c>
      <c r="B13" s="14" t="str">
        <f t="shared" ref="B13" ca="1" si="5">CELL("address",INDIRECT(A13))</f>
        <v>'[dane surowe2d_2.xlsm]variables'!$BM$2</v>
      </c>
      <c r="C13" s="14">
        <f t="shared" ref="C13" ca="1" si="6">FIND("]",B13)</f>
        <v>23</v>
      </c>
      <c r="D13" s="14">
        <f t="shared" ref="D13" ca="1" si="7">FIND("!",B13)</f>
        <v>34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414</v>
      </c>
      <c r="B14" s="14" t="str">
        <f t="shared" ref="B14" ca="1" si="10">CELL("address",INDIRECT(A14))</f>
        <v>'[dane surowe2d_2.xlsm]variables'!$BQ$2</v>
      </c>
      <c r="C14" s="14">
        <f t="shared" ref="C14" ca="1" si="11">FIND("]",B14)</f>
        <v>23</v>
      </c>
      <c r="D14" s="14">
        <f t="shared" ref="D14" ca="1" si="12">FIND("!",B14)</f>
        <v>34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415</v>
      </c>
      <c r="B15" s="14" t="str">
        <f t="shared" ref="B15:B16" ca="1" si="15">CELL("address",INDIRECT(A15))</f>
        <v>'[dane surowe2d_2.xlsm]variables'!$BY$2</v>
      </c>
      <c r="C15" s="14">
        <f t="shared" ref="C15:C16" ca="1" si="16">FIND("]",B15)</f>
        <v>23</v>
      </c>
      <c r="D15" s="14">
        <f t="shared" ref="D15:D16" ca="1" si="17">FIND("!",B15)</f>
        <v>34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416</v>
      </c>
      <c r="B16" s="14" t="str">
        <f t="shared" ca="1" si="15"/>
        <v>'[dane surowe2d_2.xlsm]variables'!$BZ$2</v>
      </c>
      <c r="C16" s="14">
        <f t="shared" ca="1" si="16"/>
        <v>23</v>
      </c>
      <c r="D16" s="14">
        <f t="shared" ca="1" si="17"/>
        <v>34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417</v>
      </c>
      <c r="B17" s="14" t="str">
        <f t="shared" ref="B17:B19" ca="1" si="20">CELL("address",INDIRECT(A17))</f>
        <v>'[dane surowe2d_2.xlsm]variables'!$CA$2</v>
      </c>
      <c r="C17" s="14">
        <f t="shared" ref="C17:C19" ca="1" si="21">FIND("]",B17)</f>
        <v>23</v>
      </c>
      <c r="D17" s="14">
        <f t="shared" ref="D17:D19" ca="1" si="22">FIND("!",B17)</f>
        <v>34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439</v>
      </c>
      <c r="B18" s="14" t="str">
        <f t="shared" ca="1" si="20"/>
        <v>'[dane surowe2d_2.xlsm]variables'!$BR$2</v>
      </c>
      <c r="C18">
        <f t="shared" ca="1" si="21"/>
        <v>23</v>
      </c>
      <c r="D18">
        <f t="shared" ca="1" si="22"/>
        <v>34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453</v>
      </c>
      <c r="B19" t="str">
        <f t="shared" ca="1" si="20"/>
        <v>'[dane surowe2d_2.xlsm]wew'!$A$3</v>
      </c>
      <c r="C19">
        <f t="shared" ca="1" si="21"/>
        <v>23</v>
      </c>
      <c r="D19">
        <f t="shared" ca="1" si="22"/>
        <v>28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523</v>
      </c>
      <c r="B20" s="14" t="str">
        <f t="shared" ref="B20:B21" ca="1" si="25">CELL("address",INDIRECT(A20))</f>
        <v>'[dane surowe2d_2.xlsm]variables'!$R$2</v>
      </c>
      <c r="C20" s="14">
        <f t="shared" ref="C20:C21" ca="1" si="26">FIND("]",B20)</f>
        <v>23</v>
      </c>
      <c r="D20" s="14">
        <f t="shared" ref="D20:D21" ca="1" si="27">FIND("!",B20)</f>
        <v>34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524</v>
      </c>
      <c r="B21" s="14" t="str">
        <f t="shared" ca="1" si="25"/>
        <v>'[dane surowe2d_2.xlsm]variables'!$BS$2</v>
      </c>
      <c r="C21" s="14">
        <f t="shared" ca="1" si="26"/>
        <v>23</v>
      </c>
      <c r="D21" s="14">
        <f t="shared" ca="1" si="27"/>
        <v>34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dcterms:created xsi:type="dcterms:W3CDTF">1996-10-14T23:33:28Z</dcterms:created>
  <dcterms:modified xsi:type="dcterms:W3CDTF">2019-03-17T17:25:57Z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