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643a306adc8471e" Type="http://schemas.microsoft.com/office/2006/relationships/ui/extensibility" Target="customUI/customUI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3645" windowHeight="2370" activeTab="1"/>
  </bookViews>
  <sheets>
    <sheet name="NewZal" sheetId="24" r:id="rId1"/>
    <sheet name="data_frame" sheetId="1" r:id="rId2"/>
    <sheet name="labels" sheetId="2" r:id="rId3"/>
    <sheet name="variables" sheetId="3" r:id="rId4"/>
    <sheet name="grupy" sheetId="9" r:id="rId5"/>
    <sheet name="ster" sheetId="7" r:id="rId6"/>
    <sheet name="wew" sheetId="25" r:id="rId7"/>
    <sheet name="pointers" sheetId="26" r:id="rId8"/>
  </sheets>
  <functionGroups>
    <functionGroup name="Morefunc"/>
    <functionGroup name="RExcel"/>
  </functionGroups>
  <definedNames>
    <definedName name="_CELL_ADDRESS_NAME">NewZal!$X$2</definedName>
    <definedName name="_FirstInputCol">variables!$BP$1</definedName>
    <definedName name="_FirstRowTemplate">variables!$D$2:$GD$2</definedName>
    <definedName name="_Flag_HighlightValues">wew!$B$3</definedName>
    <definedName name="_LastInputCol">variables!$CD$1</definedName>
    <definedName name="_sheetname_dataframe">wew!$R$9</definedName>
    <definedName name="_sheetname_labels">wew!$R$8</definedName>
    <definedName name="_sheetname_var">wew!$R$7</definedName>
    <definedName name="_Wew_ForceDiscrete">INDIRECT(wew!$C$21)</definedName>
    <definedName name="_WEW_ForceLabels">INDIRECT(wew!$C$39)</definedName>
    <definedName name="_Wew_ForceMax">INDIRECT(wew!$C$19)</definedName>
    <definedName name="_Wew_ForceMin">INDIRECT(wew!$C$17)</definedName>
    <definedName name="_WEW_IntendedVariableClass">INDIRECT(wew!$C$35)</definedName>
    <definedName name="_WEW_IsUserValidationEntered">INDIRECT(wew!$C$27)</definedName>
    <definedName name="_WEW_IsUserValidationEntered2">INDIRECT(wew!$C$29)</definedName>
    <definedName name="_WEW_LabelCount">INDIRECT(wew!$C$31)</definedName>
    <definedName name="_WEW_Max">INDIRECT(wew!$C$11)</definedName>
    <definedName name="_WEW_Measure">INDIRECT(wew!$C$7)</definedName>
    <definedName name="_WEW_Min">INDIRECT(wew!$C$9)</definedName>
    <definedName name="_WEW_Required">INDIRECT(wew!$C$43)</definedName>
    <definedName name="_WEW_Typ_Niecalk">INDIRECT(wew!$C$23)</definedName>
    <definedName name="_WEW_TypValueErr">INDIRECT(wew!$C$25)</definedName>
    <definedName name="_WEW_valuelabels">INDIRECT(wew!$C$33)</definedName>
    <definedName name="_WEW_VariableClass">INDIRECT(wew!$C$41)</definedName>
    <definedName name="CaseCnt">ster!$C$14</definedName>
    <definedName name="CustomerFolder">ster!$B$3</definedName>
    <definedName name="DataOrigin">data_frame!$A$1</definedName>
    <definedName name="DataType">wew!$O$7:$O$9</definedName>
    <definedName name="DBLongName">ster!$C$3</definedName>
    <definedName name="ErrorString">variables!$DD$2</definedName>
    <definedName name="ForceDiscrete">variables!$AP$2</definedName>
    <definedName name="ForceInteger">variables!$BY$2</definedName>
    <definedName name="ForceLabels">variables!$AQ$2</definedName>
    <definedName name="IntendedVariableClass">variables!$BL$2</definedName>
    <definedName name="IsUserValidationEntered">variables!$AD$2</definedName>
    <definedName name="IsUserValidationEntered2">variables!$AG$2</definedName>
    <definedName name="LabelCount">variables!$N$2</definedName>
    <definedName name="LabelOrigin">labels!$A$1</definedName>
    <definedName name="LevelLabels">variables!$L$2</definedName>
    <definedName name="LevelValues">variables!$K$2</definedName>
    <definedName name="LongNames">variables!$G$2</definedName>
    <definedName name="MaxLabelCount">ster!$B$20</definedName>
    <definedName name="MaxStatistics">variables!$X$2</definedName>
    <definedName name="MaxTeor">variables!$AO$2</definedName>
    <definedName name="Measure">variables!$BN$2</definedName>
    <definedName name="MinStatistics">variables!$W$2</definedName>
    <definedName name="MinTeor">variables!$AN$2</definedName>
    <definedName name="OnlyLabelledValues">variables!$BP$2</definedName>
    <definedName name="PathPrefix">wew!$G$13</definedName>
    <definedName name="PointerColumn">wew!$Q$7</definedName>
    <definedName name="Required">variables!$BQ$2</definedName>
    <definedName name="RFileName">ster!$O$24</definedName>
    <definedName name="RObjName">ster!$D$3</definedName>
    <definedName name="SelectNonIntegers">variables!$AJ$2</definedName>
    <definedName name="ServerIP">ster!$O$26</definedName>
    <definedName name="ServerPort">ster!$O$28</definedName>
    <definedName name="SPSSFileName">ster!$O$22</definedName>
    <definedName name="SPSSNames">variables!$F$2</definedName>
    <definedName name="SubcustomerFolder">ster!$B$5</definedName>
    <definedName name="TheoreticalMax">variables!$BX$2</definedName>
    <definedName name="TheoreticalMin">variables!$BW$2</definedName>
    <definedName name="Units">variables!$BV$2</definedName>
    <definedName name="VariableClass">variables!$BM$2</definedName>
    <definedName name="VariableCount">ster!$C$12</definedName>
    <definedName name="VariableExists">variables!$H$2</definedName>
    <definedName name="VariableGroupNames">grupy!$C$4</definedName>
    <definedName name="VariableGroupsColumn">variables!$BZ$1</definedName>
    <definedName name="VariablesOrigin">variables!$B$2</definedName>
    <definedName name="Version">wew!$A$3</definedName>
    <definedName name="Z_E6351D91_D2AA_41F8_B6F1_38581D57FD08_.wvu.Cols" localSheetId="3" hidden="1">variables!$O:$T,variables!$Z:$Z,variables!$BO:$BV</definedName>
  </definedNames>
  <calcPr calcId="125725" calcMode="manual" calcOnSave="0"/>
  <customWorkbookViews>
    <customWorkbookView name="dev" guid="{B0700225-2463-44C9-9C4E-A79FCDA233AE}" maximized="1" xWindow="1" yWindow="1" windowWidth="1362" windowHeight="549" activeSheetId="25"/>
    <customWorkbookView name="usr" guid="{E6351D91-D2AA-41F8-B6F1-38581D57FD08}" maximized="1" xWindow="1" yWindow="1" windowWidth="1916" windowHeight="863" activeSheetId="7"/>
  </customWorkbookViews>
</workbook>
</file>

<file path=xl/calcChain.xml><?xml version="1.0" encoding="utf-8"?>
<calcChain xmlns="http://schemas.openxmlformats.org/spreadsheetml/2006/main">
  <c r="T4" i="1"/>
  <c r="T5"/>
  <c r="T6"/>
  <c r="T7"/>
  <c r="T8"/>
  <c r="T9"/>
  <c r="T10"/>
  <c r="T11"/>
  <c r="T12"/>
  <c r="T3"/>
  <c r="AT1" i="2"/>
  <c r="AK1"/>
  <c r="AL1"/>
  <c r="AM1"/>
  <c r="AN1"/>
  <c r="AO1"/>
  <c r="AP1"/>
  <c r="AQ1"/>
  <c r="AR1"/>
  <c r="AS1"/>
  <c r="AT2" l="1"/>
  <c r="AL2"/>
  <c r="AK2"/>
  <c r="AM2"/>
  <c r="AN2"/>
  <c r="AO2"/>
  <c r="AP2"/>
  <c r="AQ2"/>
  <c r="AR2"/>
  <c r="AS2"/>
  <c r="D20" i="3"/>
  <c r="BO20"/>
  <c r="H20"/>
  <c r="O20"/>
  <c r="BO21"/>
  <c r="CO20" l="1" a="1"/>
  <c r="CO20" s="1"/>
  <c r="DH20" s="1"/>
  <c r="AZ20"/>
  <c r="AR20"/>
  <c r="CT20" s="1" a="1"/>
  <c r="CT20" s="1"/>
  <c r="DM20" s="1"/>
  <c r="AP20"/>
  <c r="AO20"/>
  <c r="AN20"/>
  <c r="AK20"/>
  <c r="F20"/>
  <c r="D21"/>
  <c r="P20"/>
  <c r="CL20"/>
  <c r="H21"/>
  <c r="O21"/>
  <c r="V1" i="2"/>
  <c r="W1"/>
  <c r="X1"/>
  <c r="Y1"/>
  <c r="Z1"/>
  <c r="AA1"/>
  <c r="AB1"/>
  <c r="AC1"/>
  <c r="AD1"/>
  <c r="AE1"/>
  <c r="AF1"/>
  <c r="AG1"/>
  <c r="AH1"/>
  <c r="AI1"/>
  <c r="AJ1"/>
  <c r="AX21" i="3" l="1"/>
  <c r="P21"/>
  <c r="CL21"/>
  <c r="DE20"/>
  <c r="CN20" a="1"/>
  <c r="CN20" s="1"/>
  <c r="DG20" s="1"/>
  <c r="G20"/>
  <c r="AD20"/>
  <c r="CU20" a="1"/>
  <c r="CU20" s="1"/>
  <c r="DN20" s="1"/>
  <c r="DE21"/>
  <c r="CN21" a="1"/>
  <c r="CN21" s="1"/>
  <c r="DG21" s="1"/>
  <c r="CO21" a="1"/>
  <c r="CO21" s="1"/>
  <c r="DH21" s="1"/>
  <c r="AZ21"/>
  <c r="AR21"/>
  <c r="CT21" s="1" a="1"/>
  <c r="CT21" s="1"/>
  <c r="DM21" s="1"/>
  <c r="AP21"/>
  <c r="AO21"/>
  <c r="AN21"/>
  <c r="AK21"/>
  <c r="G21"/>
  <c r="F21"/>
  <c r="V2" i="2"/>
  <c r="W2"/>
  <c r="X2"/>
  <c r="Y2"/>
  <c r="Z2"/>
  <c r="AA2"/>
  <c r="AB2"/>
  <c r="AC2"/>
  <c r="AD2"/>
  <c r="AE2"/>
  <c r="AF2"/>
  <c r="AG2"/>
  <c r="AH2"/>
  <c r="AI2"/>
  <c r="AJ2"/>
  <c r="M12" i="1"/>
  <c r="H12"/>
  <c r="G12"/>
  <c r="F12"/>
  <c r="E12"/>
  <c r="C12"/>
  <c r="J9"/>
  <c r="A1"/>
  <c r="AF20" i="3"/>
  <c r="ED20" l="1"/>
  <c r="CU21" a="1"/>
  <c r="CU21" s="1"/>
  <c r="DN21" s="1"/>
  <c r="D13"/>
  <c r="AQS1" i="2"/>
  <c r="BO3" i="3"/>
  <c r="BO4"/>
  <c r="BO5"/>
  <c r="BO6"/>
  <c r="BO7"/>
  <c r="BO8"/>
  <c r="BO9"/>
  <c r="BO10"/>
  <c r="BO11"/>
  <c r="BO12"/>
  <c r="BO13"/>
  <c r="BO14"/>
  <c r="BO15"/>
  <c r="BO16"/>
  <c r="BO17"/>
  <c r="BO18"/>
  <c r="BO19"/>
  <c r="BO22"/>
  <c r="BO23"/>
  <c r="BO24"/>
  <c r="AQT1" i="2"/>
  <c r="AQU1"/>
  <c r="AQV1"/>
  <c r="U1"/>
  <c r="T1"/>
  <c r="S1"/>
  <c r="R1"/>
  <c r="Q1"/>
  <c r="P1"/>
  <c r="O1"/>
  <c r="N1"/>
  <c r="M1"/>
  <c r="L1"/>
  <c r="K1"/>
  <c r="J1"/>
  <c r="I1"/>
  <c r="H1"/>
  <c r="G1"/>
  <c r="F1"/>
  <c r="E1"/>
  <c r="B19" i="26"/>
  <c r="F19"/>
  <c r="G19"/>
  <c r="H13" i="3"/>
  <c r="C19" i="26" l="1"/>
  <c r="D19"/>
  <c r="E19"/>
  <c r="E2" i="2"/>
  <c r="F2"/>
  <c r="G2"/>
  <c r="H2"/>
  <c r="I2"/>
  <c r="J2"/>
  <c r="K2"/>
  <c r="L2"/>
  <c r="M2"/>
  <c r="N2"/>
  <c r="O2"/>
  <c r="P2"/>
  <c r="Q2"/>
  <c r="R2"/>
  <c r="S2"/>
  <c r="T2"/>
  <c r="U2"/>
  <c r="AQV2"/>
  <c r="AQU2"/>
  <c r="AQT2"/>
  <c r="AQS2"/>
  <c r="P13" i="3"/>
  <c r="O13"/>
  <c r="F13" l="1"/>
  <c r="G13"/>
  <c r="AK13"/>
  <c r="AN13" l="1"/>
  <c r="AO13"/>
  <c r="AP13"/>
  <c r="AR13"/>
  <c r="AZ13"/>
  <c r="CN13" a="1"/>
  <c r="CN13"/>
  <c r="CO13" a="1"/>
  <c r="CO13"/>
  <c r="CT13" a="1"/>
  <c r="CT13"/>
  <c r="CU13" a="1"/>
  <c r="CU13"/>
  <c r="DG13"/>
  <c r="DH13"/>
  <c r="DM13"/>
  <c r="DN13"/>
  <c r="D14"/>
  <c r="CL13"/>
  <c r="H14"/>
  <c r="DE13" l="1"/>
  <c r="P14"/>
  <c r="O14"/>
  <c r="AD13" l="1"/>
  <c r="F14"/>
  <c r="G14"/>
  <c r="AE13" l="1"/>
  <c r="AF13"/>
  <c r="ED13" s="1"/>
  <c r="CW13" a="1"/>
  <c r="CW13" s="1"/>
  <c r="DP13" s="1"/>
  <c r="AN14"/>
  <c r="AO14"/>
  <c r="AP14"/>
  <c r="AR14"/>
  <c r="AZ14"/>
  <c r="CN14" a="1"/>
  <c r="CN14"/>
  <c r="CO14" a="1"/>
  <c r="CO14"/>
  <c r="CT14" a="1"/>
  <c r="CT14"/>
  <c r="CU14" a="1"/>
  <c r="CU14"/>
  <c r="DG14"/>
  <c r="DH14"/>
  <c r="DM14"/>
  <c r="DN14"/>
  <c r="D15"/>
  <c r="CL14"/>
  <c r="H15"/>
  <c r="DE14" l="1"/>
  <c r="AK15" l="1"/>
  <c r="AN15"/>
  <c r="AO15"/>
  <c r="AP15"/>
  <c r="AR15"/>
  <c r="AZ15"/>
  <c r="CO15" a="1"/>
  <c r="CO15"/>
  <c r="CT15" a="1"/>
  <c r="CT15"/>
  <c r="DH15"/>
  <c r="DM15"/>
  <c r="D16"/>
  <c r="P15"/>
  <c r="O15"/>
  <c r="H16"/>
  <c r="CL15"/>
  <c r="DE15" l="1"/>
  <c r="AG13"/>
  <c r="AD14"/>
  <c r="F15"/>
  <c r="G15"/>
  <c r="CN15" a="1"/>
  <c r="CN15" s="1"/>
  <c r="DG15" s="1"/>
  <c r="AE14" l="1"/>
  <c r="AF14"/>
  <c r="ED14" s="1"/>
  <c r="CW14" a="1"/>
  <c r="CW14" s="1"/>
  <c r="DP14" s="1"/>
  <c r="AH13"/>
  <c r="AI13"/>
  <c r="EE13" s="1"/>
  <c r="CX13" a="1"/>
  <c r="CX13" s="1"/>
  <c r="DQ13" s="1"/>
  <c r="AK16"/>
  <c r="AN16"/>
  <c r="AO16"/>
  <c r="AP16"/>
  <c r="AR16"/>
  <c r="AZ16"/>
  <c r="CO16" a="1"/>
  <c r="CO16"/>
  <c r="CT16" a="1"/>
  <c r="CT16"/>
  <c r="CU16" a="1"/>
  <c r="CU16"/>
  <c r="DH16"/>
  <c r="DM16"/>
  <c r="DN16"/>
  <c r="D17"/>
  <c r="P16"/>
  <c r="O16"/>
  <c r="H17"/>
  <c r="CL16"/>
  <c r="DE16" l="1"/>
  <c r="AG14"/>
  <c r="AD15"/>
  <c r="F16"/>
  <c r="G16"/>
  <c r="CN16" a="1"/>
  <c r="CN16" s="1"/>
  <c r="DG16" s="1"/>
  <c r="AE15" l="1"/>
  <c r="AF15"/>
  <c r="ED15" s="1"/>
  <c r="CW15" a="1"/>
  <c r="CW15" s="1"/>
  <c r="DP15" s="1"/>
  <c r="AH14"/>
  <c r="AI14"/>
  <c r="EE14" s="1"/>
  <c r="CX14" a="1"/>
  <c r="CX14" s="1"/>
  <c r="DQ14" s="1"/>
  <c r="AK17"/>
  <c r="AN17"/>
  <c r="AO17"/>
  <c r="AP17"/>
  <c r="AR17"/>
  <c r="AZ17"/>
  <c r="CO17" a="1"/>
  <c r="CO17"/>
  <c r="CT17" a="1"/>
  <c r="CT17"/>
  <c r="CU17" a="1"/>
  <c r="CU17"/>
  <c r="DH17"/>
  <c r="DM17"/>
  <c r="DN17"/>
  <c r="D18"/>
  <c r="P17"/>
  <c r="O17"/>
  <c r="H18"/>
  <c r="CL17"/>
  <c r="DE17" l="1"/>
  <c r="AG15"/>
  <c r="AD16"/>
  <c r="F17"/>
  <c r="G17"/>
  <c r="CN17" a="1"/>
  <c r="CN17" s="1"/>
  <c r="DG17" s="1"/>
  <c r="AE16" l="1"/>
  <c r="AF16"/>
  <c r="ED16" s="1"/>
  <c r="CW16" a="1"/>
  <c r="CW16" s="1"/>
  <c r="DP16" s="1"/>
  <c r="AH15"/>
  <c r="AI15"/>
  <c r="EE15" s="1"/>
  <c r="CX15" a="1"/>
  <c r="CX15" s="1"/>
  <c r="DQ15" s="1"/>
  <c r="AN18"/>
  <c r="AO18"/>
  <c r="AP18"/>
  <c r="AR18"/>
  <c r="AZ18"/>
  <c r="CO18" a="1"/>
  <c r="CO18"/>
  <c r="CT18" a="1"/>
  <c r="CT18"/>
  <c r="CU18" a="1"/>
  <c r="CU18"/>
  <c r="DH18"/>
  <c r="DM18"/>
  <c r="DN18"/>
  <c r="D19"/>
  <c r="P18"/>
  <c r="O18"/>
  <c r="H19"/>
  <c r="CL18"/>
  <c r="DE18" l="1"/>
  <c r="AG16"/>
  <c r="AD17"/>
  <c r="F18"/>
  <c r="G18"/>
  <c r="CN18" a="1"/>
  <c r="CN18" s="1"/>
  <c r="DG18" s="1"/>
  <c r="AE17" l="1"/>
  <c r="AF17"/>
  <c r="ED17" s="1"/>
  <c r="CW17" a="1"/>
  <c r="CW17" s="1"/>
  <c r="DP17" s="1"/>
  <c r="AH16"/>
  <c r="AI16"/>
  <c r="EE16" s="1"/>
  <c r="CX16" a="1"/>
  <c r="CX16" s="1"/>
  <c r="DQ16" s="1"/>
  <c r="AN19"/>
  <c r="AO19"/>
  <c r="AP19"/>
  <c r="AR19"/>
  <c r="AZ19"/>
  <c r="CO19" a="1"/>
  <c r="CO19"/>
  <c r="CT19" a="1"/>
  <c r="CT19"/>
  <c r="CU19" a="1"/>
  <c r="CU19"/>
  <c r="DH19"/>
  <c r="DM19"/>
  <c r="DN19"/>
  <c r="D22"/>
  <c r="P19"/>
  <c r="O19"/>
  <c r="H22"/>
  <c r="CL19"/>
  <c r="DE19" l="1"/>
  <c r="AG17"/>
  <c r="AD18"/>
  <c r="F19"/>
  <c r="G19"/>
  <c r="CN19" a="1"/>
  <c r="CN19" s="1"/>
  <c r="DG19" s="1"/>
  <c r="AE18" l="1"/>
  <c r="AF18"/>
  <c r="ED18" s="1"/>
  <c r="CW18" a="1"/>
  <c r="CW18" s="1"/>
  <c r="DP18" s="1"/>
  <c r="AH17"/>
  <c r="AI17"/>
  <c r="EE17" s="1"/>
  <c r="CX17" a="1"/>
  <c r="CX17" s="1"/>
  <c r="DQ17" s="1"/>
  <c r="AN22"/>
  <c r="AO22"/>
  <c r="AP22"/>
  <c r="AR22"/>
  <c r="AZ22"/>
  <c r="CO22" a="1"/>
  <c r="CO22"/>
  <c r="CT22" a="1"/>
  <c r="CT22"/>
  <c r="CU22" a="1"/>
  <c r="CU22"/>
  <c r="DH22"/>
  <c r="DM22"/>
  <c r="DN22"/>
  <c r="D23"/>
  <c r="P22"/>
  <c r="O22"/>
  <c r="H23"/>
  <c r="CL22"/>
  <c r="AG20" l="1"/>
  <c r="AD21"/>
  <c r="DE22"/>
  <c r="AG18"/>
  <c r="AD19"/>
  <c r="F22"/>
  <c r="G22"/>
  <c r="CN22" a="1"/>
  <c r="CN22" s="1"/>
  <c r="DG22" s="1"/>
  <c r="CX20" l="1" a="1"/>
  <c r="CX20" s="1"/>
  <c r="DQ20" s="1"/>
  <c r="AI20"/>
  <c r="EE20" s="1"/>
  <c r="AH20"/>
  <c r="CW21" a="1"/>
  <c r="CW21" s="1"/>
  <c r="DP21" s="1"/>
  <c r="AF21"/>
  <c r="ED21" s="1"/>
  <c r="AE21"/>
  <c r="AE19"/>
  <c r="AF19"/>
  <c r="ED19" s="1"/>
  <c r="CW19" a="1"/>
  <c r="CW19" s="1"/>
  <c r="DP19" s="1"/>
  <c r="AH18"/>
  <c r="AI18"/>
  <c r="EE18" s="1"/>
  <c r="CX18" a="1"/>
  <c r="CX18" s="1"/>
  <c r="DQ18" s="1"/>
  <c r="AK23"/>
  <c r="AN23"/>
  <c r="AO23"/>
  <c r="AP23"/>
  <c r="AR23"/>
  <c r="AZ23"/>
  <c r="CO23" a="1"/>
  <c r="CO23"/>
  <c r="CT23" a="1"/>
  <c r="CT23"/>
  <c r="CU23" a="1"/>
  <c r="CU23"/>
  <c r="DH23"/>
  <c r="DM23"/>
  <c r="DN23"/>
  <c r="D24"/>
  <c r="P23"/>
  <c r="O23"/>
  <c r="H24"/>
  <c r="CL23"/>
  <c r="AG21" l="1"/>
  <c r="DE23"/>
  <c r="AG19"/>
  <c r="AD22"/>
  <c r="F23"/>
  <c r="G23"/>
  <c r="CN23" a="1"/>
  <c r="CN23" s="1"/>
  <c r="DG23" s="1"/>
  <c r="CX21" l="1" a="1"/>
  <c r="CX21" s="1"/>
  <c r="DQ21" s="1"/>
  <c r="AI21"/>
  <c r="EE21" s="1"/>
  <c r="AH21"/>
  <c r="AE22"/>
  <c r="AF22"/>
  <c r="ED22" s="1"/>
  <c r="CW22" a="1"/>
  <c r="CW22" s="1"/>
  <c r="DP22" s="1"/>
  <c r="AH19"/>
  <c r="AI19"/>
  <c r="EE19" s="1"/>
  <c r="CX19" a="1"/>
  <c r="CX19" s="1"/>
  <c r="DQ19" s="1"/>
  <c r="AD24"/>
  <c r="AE24"/>
  <c r="AF24"/>
  <c r="AG24"/>
  <c r="AH24"/>
  <c r="AI24"/>
  <c r="AK24"/>
  <c r="AN24"/>
  <c r="AO24"/>
  <c r="AP24"/>
  <c r="AR24"/>
  <c r="AZ24"/>
  <c r="CO24" a="1"/>
  <c r="CO24"/>
  <c r="CU24" a="1"/>
  <c r="CU24"/>
  <c r="CW24" a="1"/>
  <c r="CW24"/>
  <c r="CX24" a="1"/>
  <c r="CX24"/>
  <c r="DH24"/>
  <c r="DN24"/>
  <c r="DP24"/>
  <c r="DQ24"/>
  <c r="ED24"/>
  <c r="EE24"/>
  <c r="P24"/>
  <c r="G24" l="1"/>
  <c r="CN24" a="1"/>
  <c r="CN24" s="1"/>
  <c r="DG24" s="1"/>
  <c r="J9" i="24"/>
  <c r="O24" i="3"/>
  <c r="J32" i="24"/>
  <c r="J23"/>
  <c r="J22"/>
  <c r="J21"/>
  <c r="J20"/>
  <c r="J19"/>
  <c r="J17"/>
  <c r="J16"/>
  <c r="J18"/>
  <c r="J15"/>
  <c r="J14"/>
  <c r="J13"/>
  <c r="CL24" i="3"/>
  <c r="DE24" l="1"/>
  <c r="F24"/>
  <c r="AG22"/>
  <c r="AD23"/>
  <c r="AE23" l="1"/>
  <c r="AF23"/>
  <c r="ED23" s="1"/>
  <c r="AG23"/>
  <c r="CW23" a="1"/>
  <c r="CW23" s="1"/>
  <c r="DP23" s="1"/>
  <c r="AH22"/>
  <c r="AI22"/>
  <c r="EE22" s="1"/>
  <c r="CX22" a="1"/>
  <c r="CX22" s="1"/>
  <c r="DQ22" s="1"/>
  <c r="AH23" l="1"/>
  <c r="AI23"/>
  <c r="EE23" s="1"/>
  <c r="CX23" a="1"/>
  <c r="CX23" s="1"/>
  <c r="DQ23" s="1"/>
  <c r="D3"/>
  <c r="B18" i="26"/>
  <c r="F18"/>
  <c r="G18"/>
  <c r="O3" i="3"/>
  <c r="H3"/>
  <c r="C18" i="26" l="1"/>
  <c r="D18"/>
  <c r="E18"/>
  <c r="AR3" i="3"/>
  <c r="CT3" s="1" a="1"/>
  <c r="CT3" s="1"/>
  <c r="F3"/>
  <c r="AK3"/>
  <c r="AN3"/>
  <c r="AO3"/>
  <c r="AP3"/>
  <c r="AZ3"/>
  <c r="P3"/>
  <c r="CL3"/>
  <c r="DM3" l="1"/>
  <c r="G3"/>
  <c r="CN3" a="1"/>
  <c r="CN3"/>
  <c r="CO3" a="1"/>
  <c r="CO3"/>
  <c r="CU3" a="1"/>
  <c r="CU3"/>
  <c r="DE3"/>
  <c r="DG3"/>
  <c r="DH3"/>
  <c r="DN3"/>
  <c r="D4" l="1"/>
  <c r="H4"/>
  <c r="O4"/>
  <c r="AD3" l="1"/>
  <c r="AR4"/>
  <c r="CT4" s="1" a="1"/>
  <c r="CT4" s="1"/>
  <c r="F4"/>
  <c r="AK4"/>
  <c r="AN4"/>
  <c r="AO4"/>
  <c r="AP4"/>
  <c r="AZ4"/>
  <c r="P4"/>
  <c r="CL4"/>
  <c r="CW3" l="1" a="1"/>
  <c r="CW3" s="1"/>
  <c r="DP3" s="1"/>
  <c r="AE3"/>
  <c r="AF3"/>
  <c r="ED3" s="1"/>
  <c r="DM4"/>
  <c r="G4"/>
  <c r="CN4" a="1"/>
  <c r="CN4"/>
  <c r="CO4" a="1"/>
  <c r="CO4"/>
  <c r="CU4" a="1"/>
  <c r="CU4"/>
  <c r="DE4"/>
  <c r="DG4"/>
  <c r="DH4"/>
  <c r="DN4"/>
  <c r="D5"/>
  <c r="H5"/>
  <c r="O5"/>
  <c r="AG3" l="1"/>
  <c r="AR5"/>
  <c r="CT5" s="1" a="1"/>
  <c r="CT5" s="1"/>
  <c r="AD4"/>
  <c r="CW4" s="1" a="1"/>
  <c r="CW4" s="1"/>
  <c r="DP4" s="1"/>
  <c r="F5"/>
  <c r="AK5"/>
  <c r="AN5"/>
  <c r="AO5"/>
  <c r="AP5"/>
  <c r="AZ5"/>
  <c r="P5"/>
  <c r="CL5"/>
  <c r="AH3" l="1"/>
  <c r="AI3"/>
  <c r="EE3" s="1"/>
  <c r="CX3" a="1"/>
  <c r="CX3" s="1"/>
  <c r="DQ3" s="1"/>
  <c r="DM5"/>
  <c r="G5"/>
  <c r="AE4"/>
  <c r="AF4"/>
  <c r="ED4" s="1"/>
  <c r="CN5" a="1"/>
  <c r="CN5"/>
  <c r="CO5" a="1"/>
  <c r="CO5"/>
  <c r="CU5" a="1"/>
  <c r="CU5"/>
  <c r="DE5"/>
  <c r="DG5"/>
  <c r="DH5"/>
  <c r="DN5"/>
  <c r="D6"/>
  <c r="H6"/>
  <c r="O6"/>
  <c r="AX6" l="1"/>
  <c r="AR6"/>
  <c r="CT6" s="1" a="1"/>
  <c r="CT6" s="1"/>
  <c r="AG4"/>
  <c r="AD5"/>
  <c r="CW5" s="1" a="1"/>
  <c r="CW5" s="1"/>
  <c r="DP5" s="1"/>
  <c r="F6"/>
  <c r="AK6"/>
  <c r="AN6"/>
  <c r="AO6"/>
  <c r="AP6"/>
  <c r="AZ6"/>
  <c r="P6"/>
  <c r="CL6"/>
  <c r="DM6" l="1"/>
  <c r="AH4"/>
  <c r="AI4"/>
  <c r="EE4" s="1"/>
  <c r="CX4" a="1"/>
  <c r="CX4" s="1"/>
  <c r="DQ4" s="1"/>
  <c r="G6"/>
  <c r="AE5"/>
  <c r="AF5"/>
  <c r="ED5" s="1"/>
  <c r="CN6" a="1"/>
  <c r="CN6"/>
  <c r="CO6" a="1"/>
  <c r="CO6"/>
  <c r="CU6" a="1"/>
  <c r="CU6"/>
  <c r="DE6"/>
  <c r="DG6"/>
  <c r="DH6"/>
  <c r="DN6"/>
  <c r="D7"/>
  <c r="H7"/>
  <c r="O7"/>
  <c r="AR7" l="1"/>
  <c r="AG5"/>
  <c r="AD6"/>
  <c r="CW6" s="1" a="1"/>
  <c r="CW6" s="1"/>
  <c r="DP6" s="1"/>
  <c r="F7"/>
  <c r="AN7"/>
  <c r="AO7"/>
  <c r="AP7"/>
  <c r="AZ7"/>
  <c r="P7"/>
  <c r="CL7"/>
  <c r="AH5" l="1"/>
  <c r="AI5"/>
  <c r="EE5" s="1"/>
  <c r="CX5" a="1"/>
  <c r="CX5" s="1"/>
  <c r="DQ5" s="1"/>
  <c r="G7"/>
  <c r="AE6"/>
  <c r="AF6"/>
  <c r="ED6" s="1"/>
  <c r="CN7" a="1"/>
  <c r="CN7"/>
  <c r="CO7" a="1"/>
  <c r="CO7"/>
  <c r="DE7"/>
  <c r="DG7"/>
  <c r="DH7"/>
  <c r="D8"/>
  <c r="H8"/>
  <c r="O8"/>
  <c r="AR8" l="1"/>
  <c r="AG6"/>
  <c r="AD7"/>
  <c r="CW7" s="1" a="1"/>
  <c r="CW7" s="1"/>
  <c r="DP7" s="1"/>
  <c r="F8"/>
  <c r="AK8"/>
  <c r="AN8"/>
  <c r="AO8"/>
  <c r="AP8"/>
  <c r="AZ8"/>
  <c r="BH8" s="1"/>
  <c r="P8"/>
  <c r="CL8"/>
  <c r="AH6" l="1"/>
  <c r="AI6"/>
  <c r="EE6" s="1"/>
  <c r="CX6" a="1"/>
  <c r="CX6" s="1"/>
  <c r="DQ6" s="1"/>
  <c r="G8"/>
  <c r="AE7"/>
  <c r="AF7"/>
  <c r="ED7" s="1"/>
  <c r="CN8" a="1"/>
  <c r="CN8"/>
  <c r="CO8" a="1"/>
  <c r="CO8"/>
  <c r="DE8"/>
  <c r="DG8"/>
  <c r="DH8"/>
  <c r="D9"/>
  <c r="H9"/>
  <c r="O9"/>
  <c r="AR9" l="1"/>
  <c r="CT9" s="1" a="1"/>
  <c r="CT9" s="1"/>
  <c r="AG7"/>
  <c r="AD8"/>
  <c r="F9"/>
  <c r="AN9"/>
  <c r="AO9"/>
  <c r="AP9"/>
  <c r="AZ9"/>
  <c r="P9"/>
  <c r="CL9"/>
  <c r="AH7" l="1"/>
  <c r="AI7"/>
  <c r="EE7" s="1"/>
  <c r="CX7" a="1"/>
  <c r="CX7" s="1"/>
  <c r="DQ7" s="1"/>
  <c r="G9"/>
  <c r="CN9" a="1"/>
  <c r="CN9"/>
  <c r="CO9" a="1"/>
  <c r="CO9"/>
  <c r="CU9" a="1"/>
  <c r="CU9"/>
  <c r="DE9"/>
  <c r="DG9"/>
  <c r="DH9"/>
  <c r="DN9"/>
  <c r="D10"/>
  <c r="AF8"/>
  <c r="H10"/>
  <c r="O10"/>
  <c r="ED8" l="1"/>
  <c r="AR10"/>
  <c r="AG8"/>
  <c r="AD9"/>
  <c r="CW9" s="1" a="1"/>
  <c r="CW9" s="1"/>
  <c r="DP9" s="1"/>
  <c r="F10"/>
  <c r="AK10"/>
  <c r="AN10"/>
  <c r="AO10"/>
  <c r="AP10"/>
  <c r="AZ10"/>
  <c r="P10"/>
  <c r="CL10"/>
  <c r="CT10" l="1" a="1"/>
  <c r="CT10" s="1"/>
  <c r="DM10" s="1"/>
  <c r="G10"/>
  <c r="AE9"/>
  <c r="AF9"/>
  <c r="ED9" s="1"/>
  <c r="CN10" a="1"/>
  <c r="CN10"/>
  <c r="CO10" a="1"/>
  <c r="CO10"/>
  <c r="CU10" a="1"/>
  <c r="CU10"/>
  <c r="DE10"/>
  <c r="DG10"/>
  <c r="DH10"/>
  <c r="DN10"/>
  <c r="D11"/>
  <c r="AI8"/>
  <c r="H11"/>
  <c r="O11"/>
  <c r="EE8" l="1"/>
  <c r="AR11"/>
  <c r="AG9"/>
  <c r="AD10"/>
  <c r="CW10" s="1" a="1"/>
  <c r="CW10" s="1"/>
  <c r="DP10" s="1"/>
  <c r="F11"/>
  <c r="AN11"/>
  <c r="AO11"/>
  <c r="AP11"/>
  <c r="AZ11"/>
  <c r="P11"/>
  <c r="CL11"/>
  <c r="AH9" l="1"/>
  <c r="AI9"/>
  <c r="EE9" s="1"/>
  <c r="CX9" a="1"/>
  <c r="CX9" s="1"/>
  <c r="DQ9" s="1"/>
  <c r="G11"/>
  <c r="AE10"/>
  <c r="AF10"/>
  <c r="ED10" s="1"/>
  <c r="CN11" a="1"/>
  <c r="CN11"/>
  <c r="CO11" a="1"/>
  <c r="CO11"/>
  <c r="CU11" a="1"/>
  <c r="CU11"/>
  <c r="DE11"/>
  <c r="DG11"/>
  <c r="DH11"/>
  <c r="DN11"/>
  <c r="D12"/>
  <c r="H12"/>
  <c r="O12"/>
  <c r="AR12" l="1"/>
  <c r="CT12" s="1" a="1"/>
  <c r="CT12" s="1"/>
  <c r="AG10"/>
  <c r="AD11"/>
  <c r="CW11" s="1" a="1"/>
  <c r="CW11" s="1"/>
  <c r="DP11" s="1"/>
  <c r="F12"/>
  <c r="AK12"/>
  <c r="AN12"/>
  <c r="AO12"/>
  <c r="AP12"/>
  <c r="AZ12"/>
  <c r="P12"/>
  <c r="CL12"/>
  <c r="DM12" l="1"/>
  <c r="AH10"/>
  <c r="AI10"/>
  <c r="EE10" s="1"/>
  <c r="CX10" a="1"/>
  <c r="CX10" s="1"/>
  <c r="DQ10" s="1"/>
  <c r="G12"/>
  <c r="AE11"/>
  <c r="AF11"/>
  <c r="ED11" s="1"/>
  <c r="CN12" a="1"/>
  <c r="CN12"/>
  <c r="CO12" a="1"/>
  <c r="CO12"/>
  <c r="CU12" a="1"/>
  <c r="CU12"/>
  <c r="DE12"/>
  <c r="DG12"/>
  <c r="DH12"/>
  <c r="DN12"/>
  <c r="AG11" l="1"/>
  <c r="AD12"/>
  <c r="CW12" s="1" a="1"/>
  <c r="CW12" s="1"/>
  <c r="DP12" s="1"/>
  <c r="AH11" l="1"/>
  <c r="AI11"/>
  <c r="EE11" s="1"/>
  <c r="CX11" a="1"/>
  <c r="CX11" s="1"/>
  <c r="DQ11" s="1"/>
  <c r="AE12"/>
  <c r="AF12"/>
  <c r="ED12" s="1"/>
  <c r="AG12" l="1"/>
  <c r="AH12" l="1"/>
  <c r="AI12"/>
  <c r="EE12" s="1"/>
  <c r="CX12" a="1"/>
  <c r="CX12" s="1"/>
  <c r="DQ12" s="1"/>
  <c r="BO2"/>
  <c r="C14" i="7" a="1"/>
  <c r="C14" l="1"/>
  <c r="K15" i="24" s="1"/>
  <c r="C12" i="7" a="1"/>
  <c r="C12"/>
  <c r="AZ14" i="24"/>
  <c r="AZ13"/>
  <c r="D2" i="3"/>
  <c r="C3" i="7"/>
  <c r="J9" i="25"/>
  <c r="J10"/>
  <c r="J11"/>
  <c r="J12"/>
  <c r="J13"/>
  <c r="J14"/>
  <c r="J15"/>
  <c r="X4" i="24"/>
  <c r="X5"/>
  <c r="X6"/>
  <c r="X7"/>
  <c r="X8"/>
  <c r="X9"/>
  <c r="X10"/>
  <c r="X11"/>
  <c r="J70"/>
  <c r="J69"/>
  <c r="J48"/>
  <c r="J47"/>
  <c r="J41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14"/>
  <c r="A15"/>
  <c r="A13"/>
  <c r="AD35"/>
  <c r="AE35"/>
  <c r="AO35"/>
  <c r="AF35"/>
  <c r="AJ35"/>
  <c r="AK35"/>
  <c r="AM35"/>
  <c r="AN35"/>
  <c r="AZ35"/>
  <c r="BI35"/>
  <c r="BJ35"/>
  <c r="BP35"/>
  <c r="BW35"/>
  <c r="BX35"/>
  <c r="BY35"/>
  <c r="AG35"/>
  <c r="AH35"/>
  <c r="AI35"/>
  <c r="AL35"/>
  <c r="CI35"/>
  <c r="CJ35"/>
  <c r="CN35"/>
  <c r="CO35"/>
  <c r="CP35"/>
  <c r="CQ35"/>
  <c r="CR35"/>
  <c r="DR35"/>
  <c r="DS35"/>
  <c r="DT35"/>
  <c r="DU35"/>
  <c r="DV35"/>
  <c r="AD34"/>
  <c r="AE34"/>
  <c r="AJ34"/>
  <c r="AF34"/>
  <c r="AO34"/>
  <c r="AN34"/>
  <c r="AM34"/>
  <c r="AK34"/>
  <c r="CZ35"/>
  <c r="DJ35"/>
  <c r="CY35"/>
  <c r="DI35"/>
  <c r="CX35"/>
  <c r="DH35"/>
  <c r="CW35"/>
  <c r="DG35"/>
  <c r="CV35"/>
  <c r="DF35"/>
  <c r="AZ34"/>
  <c r="BI34"/>
  <c r="BJ34"/>
  <c r="BP34"/>
  <c r="BW34"/>
  <c r="BX34"/>
  <c r="BY34"/>
  <c r="AG34"/>
  <c r="AH34"/>
  <c r="AI34"/>
  <c r="AL34"/>
  <c r="CI34"/>
  <c r="CJ34"/>
  <c r="CN34"/>
  <c r="CO34"/>
  <c r="CP34"/>
  <c r="CQ34"/>
  <c r="CR34"/>
  <c r="DR34"/>
  <c r="DS34"/>
  <c r="DT34"/>
  <c r="DU34"/>
  <c r="DV34"/>
  <c r="D29"/>
  <c r="AD29"/>
  <c r="AE29"/>
  <c r="AF29"/>
  <c r="AO29"/>
  <c r="AN29"/>
  <c r="AM29"/>
  <c r="AK29"/>
  <c r="AJ29"/>
  <c r="CZ34"/>
  <c r="DJ34"/>
  <c r="CY34"/>
  <c r="DI34"/>
  <c r="CX34"/>
  <c r="DH34"/>
  <c r="CW34"/>
  <c r="DG34"/>
  <c r="CV34"/>
  <c r="DF34"/>
  <c r="AZ29"/>
  <c r="BI29"/>
  <c r="BJ29"/>
  <c r="BP29"/>
  <c r="BX29"/>
  <c r="BY29"/>
  <c r="AG29"/>
  <c r="AH29"/>
  <c r="AI29"/>
  <c r="AL29"/>
  <c r="CI29"/>
  <c r="CJ29"/>
  <c r="CN29"/>
  <c r="CO29"/>
  <c r="CP29"/>
  <c r="CQ29"/>
  <c r="CR29"/>
  <c r="DR29"/>
  <c r="DS29"/>
  <c r="DT29"/>
  <c r="DU29"/>
  <c r="DV29"/>
  <c r="D30"/>
  <c r="AD30"/>
  <c r="AE30"/>
  <c r="AF30"/>
  <c r="AK30"/>
  <c r="AO30"/>
  <c r="AN30"/>
  <c r="AM30"/>
  <c r="AJ30"/>
  <c r="CZ29"/>
  <c r="DJ29"/>
  <c r="CY29"/>
  <c r="DI29"/>
  <c r="CX29"/>
  <c r="DH29"/>
  <c r="CW29"/>
  <c r="DG29"/>
  <c r="CV29"/>
  <c r="DF29"/>
  <c r="AZ30"/>
  <c r="BI30"/>
  <c r="BJ30"/>
  <c r="BP30"/>
  <c r="BX30"/>
  <c r="BY30"/>
  <c r="AG30"/>
  <c r="AH30"/>
  <c r="AI30"/>
  <c r="AL30"/>
  <c r="CI30"/>
  <c r="CJ30"/>
  <c r="CN30"/>
  <c r="CO30"/>
  <c r="CP30"/>
  <c r="CQ30"/>
  <c r="CR30"/>
  <c r="DR30"/>
  <c r="DS30"/>
  <c r="DT30"/>
  <c r="DU30"/>
  <c r="DV30"/>
  <c r="D33"/>
  <c r="AD33"/>
  <c r="AE33"/>
  <c r="AF33"/>
  <c r="AO33"/>
  <c r="AN33"/>
  <c r="AM33"/>
  <c r="AK33"/>
  <c r="AJ33"/>
  <c r="CZ30"/>
  <c r="DJ30"/>
  <c r="CY30"/>
  <c r="DI30"/>
  <c r="CX30"/>
  <c r="DH30"/>
  <c r="CW30"/>
  <c r="DG30"/>
  <c r="CV30"/>
  <c r="DF30"/>
  <c r="AZ33"/>
  <c r="BI33"/>
  <c r="BJ33"/>
  <c r="BP33"/>
  <c r="BX33"/>
  <c r="BY33"/>
  <c r="AG33"/>
  <c r="AH33"/>
  <c r="AI33"/>
  <c r="AL33"/>
  <c r="CI33"/>
  <c r="CJ33"/>
  <c r="CN33"/>
  <c r="CO33"/>
  <c r="CP33"/>
  <c r="CQ33"/>
  <c r="CR33"/>
  <c r="DR33"/>
  <c r="DS33"/>
  <c r="DT33"/>
  <c r="DU33"/>
  <c r="DV33"/>
  <c r="D36"/>
  <c r="AD36"/>
  <c r="AE36"/>
  <c r="AF36"/>
  <c r="AN36"/>
  <c r="AO36"/>
  <c r="AM36"/>
  <c r="AK36"/>
  <c r="AJ36"/>
  <c r="CZ33"/>
  <c r="DJ33"/>
  <c r="CY33"/>
  <c r="DI33"/>
  <c r="CX33"/>
  <c r="DH33"/>
  <c r="CW33"/>
  <c r="DG33"/>
  <c r="CV33"/>
  <c r="DF33"/>
  <c r="AZ36"/>
  <c r="BI36"/>
  <c r="BJ36"/>
  <c r="BP36"/>
  <c r="BX36"/>
  <c r="BY36"/>
  <c r="AG36"/>
  <c r="AH36"/>
  <c r="AI36"/>
  <c r="AL36"/>
  <c r="CI36"/>
  <c r="CJ36"/>
  <c r="CN36"/>
  <c r="CO36"/>
  <c r="CP36"/>
  <c r="CQ36"/>
  <c r="CR36"/>
  <c r="DR36"/>
  <c r="DS36"/>
  <c r="DT36"/>
  <c r="DU36"/>
  <c r="DV36"/>
  <c r="CZ36"/>
  <c r="DJ36"/>
  <c r="CY36"/>
  <c r="DI36"/>
  <c r="CX36"/>
  <c r="DH36"/>
  <c r="CW36"/>
  <c r="DG36"/>
  <c r="CV36"/>
  <c r="DF36"/>
  <c r="K70"/>
  <c r="D14"/>
  <c r="D15"/>
  <c r="D16"/>
  <c r="D17"/>
  <c r="D18"/>
  <c r="D19"/>
  <c r="D20"/>
  <c r="D21"/>
  <c r="D22"/>
  <c r="D23"/>
  <c r="D24"/>
  <c r="D25"/>
  <c r="D26"/>
  <c r="D27"/>
  <c r="D28"/>
  <c r="D31"/>
  <c r="D32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H57"/>
  <c r="H56"/>
  <c r="H55"/>
  <c r="DV97"/>
  <c r="DJ97"/>
  <c r="DU97"/>
  <c r="CY97"/>
  <c r="DT97"/>
  <c r="CX97"/>
  <c r="DS97"/>
  <c r="CW97"/>
  <c r="DR97"/>
  <c r="CV97"/>
  <c r="DQ97"/>
  <c r="CU97"/>
  <c r="DP97"/>
  <c r="CT97"/>
  <c r="DO97"/>
  <c r="CS97"/>
  <c r="CR97"/>
  <c r="CQ97"/>
  <c r="CP97"/>
  <c r="CO97"/>
  <c r="CN97"/>
  <c r="CM97"/>
  <c r="CL97"/>
  <c r="CK97"/>
  <c r="CJ97"/>
  <c r="CI97"/>
  <c r="DC97"/>
  <c r="DG97"/>
  <c r="DE97"/>
  <c r="DI97"/>
  <c r="DD97"/>
  <c r="DF97"/>
  <c r="DH97"/>
  <c r="CZ97"/>
  <c r="BJ97"/>
  <c r="BI97"/>
  <c r="AT97"/>
  <c r="AS97"/>
  <c r="AV97"/>
  <c r="AE97"/>
  <c r="AD97"/>
  <c r="CE97"/>
  <c r="U97"/>
  <c r="B97"/>
  <c r="DV96"/>
  <c r="CZ96"/>
  <c r="DU96"/>
  <c r="CY96"/>
  <c r="DT96"/>
  <c r="CX96"/>
  <c r="DS96"/>
  <c r="CW96"/>
  <c r="DR96"/>
  <c r="CV96"/>
  <c r="DQ96"/>
  <c r="CU96"/>
  <c r="DP96"/>
  <c r="CT96"/>
  <c r="DO96"/>
  <c r="CS96"/>
  <c r="CR96"/>
  <c r="CQ96"/>
  <c r="CP96"/>
  <c r="CO96"/>
  <c r="CN96"/>
  <c r="CM96"/>
  <c r="CL96"/>
  <c r="CK96"/>
  <c r="CJ96"/>
  <c r="CI96"/>
  <c r="DJ96"/>
  <c r="AZ97"/>
  <c r="AO97"/>
  <c r="BV97"/>
  <c r="DG96"/>
  <c r="DE96"/>
  <c r="DH96"/>
  <c r="DC96"/>
  <c r="DD96"/>
  <c r="DF96"/>
  <c r="DI96"/>
  <c r="DB97"/>
  <c r="AK97"/>
  <c r="AM97"/>
  <c r="AU97"/>
  <c r="BA97"/>
  <c r="BX97"/>
  <c r="AF97"/>
  <c r="AJ97"/>
  <c r="AN97"/>
  <c r="AR97"/>
  <c r="AW97"/>
  <c r="BB97"/>
  <c r="BP97"/>
  <c r="BW97"/>
  <c r="BJ96"/>
  <c r="BI96"/>
  <c r="AT96"/>
  <c r="AS96"/>
  <c r="AU96"/>
  <c r="AE96"/>
  <c r="AD96"/>
  <c r="CE96"/>
  <c r="U96"/>
  <c r="B96"/>
  <c r="DV95"/>
  <c r="CZ95"/>
  <c r="DU95"/>
  <c r="CY95"/>
  <c r="DT95"/>
  <c r="CX95"/>
  <c r="DS95"/>
  <c r="CW95"/>
  <c r="DR95"/>
  <c r="CV95"/>
  <c r="DQ95"/>
  <c r="CU95"/>
  <c r="DP95"/>
  <c r="CT95"/>
  <c r="DO95"/>
  <c r="CS95"/>
  <c r="DH95"/>
  <c r="CR95"/>
  <c r="CQ95"/>
  <c r="CP95"/>
  <c r="CO95"/>
  <c r="CN95"/>
  <c r="CM95"/>
  <c r="CL95"/>
  <c r="CK95"/>
  <c r="CJ95"/>
  <c r="CI95"/>
  <c r="BD97"/>
  <c r="BX96"/>
  <c r="AH96"/>
  <c r="AO96"/>
  <c r="BV96"/>
  <c r="BC97"/>
  <c r="DD95"/>
  <c r="DF95"/>
  <c r="DE95"/>
  <c r="DG95"/>
  <c r="DI95"/>
  <c r="DJ95"/>
  <c r="DC95"/>
  <c r="DB96"/>
  <c r="BS97"/>
  <c r="BT97"/>
  <c r="BQ97"/>
  <c r="BR97"/>
  <c r="CD97"/>
  <c r="CA97"/>
  <c r="BK97"/>
  <c r="AX97"/>
  <c r="AY97"/>
  <c r="AQ97"/>
  <c r="BY97"/>
  <c r="AL97"/>
  <c r="AH97"/>
  <c r="AG97"/>
  <c r="AF96"/>
  <c r="AJ96"/>
  <c r="AN96"/>
  <c r="AR96"/>
  <c r="AW96"/>
  <c r="AV96"/>
  <c r="AZ96"/>
  <c r="BB96"/>
  <c r="BP96"/>
  <c r="BW96"/>
  <c r="AK96"/>
  <c r="AM96"/>
  <c r="BA96"/>
  <c r="BJ95"/>
  <c r="BI95"/>
  <c r="AT95"/>
  <c r="AS95"/>
  <c r="AU95"/>
  <c r="AE95"/>
  <c r="AD95"/>
  <c r="CE95"/>
  <c r="DV94"/>
  <c r="CZ94"/>
  <c r="DU94"/>
  <c r="CY94"/>
  <c r="DT94"/>
  <c r="CX94"/>
  <c r="DS94"/>
  <c r="CW94"/>
  <c r="DR94"/>
  <c r="CV94"/>
  <c r="DQ94"/>
  <c r="CU94"/>
  <c r="DP94"/>
  <c r="CT94"/>
  <c r="DO94"/>
  <c r="CS94"/>
  <c r="CR94"/>
  <c r="CQ94"/>
  <c r="CP94"/>
  <c r="CO94"/>
  <c r="CN94"/>
  <c r="CM94"/>
  <c r="CL94"/>
  <c r="CK94"/>
  <c r="CJ94"/>
  <c r="CI94"/>
  <c r="AG96"/>
  <c r="BY96"/>
  <c r="AI96"/>
  <c r="BX95"/>
  <c r="AH95"/>
  <c r="AO95"/>
  <c r="AF95"/>
  <c r="AJ95"/>
  <c r="AN95"/>
  <c r="AV95"/>
  <c r="BC96"/>
  <c r="DG94"/>
  <c r="DE94"/>
  <c r="DI94"/>
  <c r="DF94"/>
  <c r="DH94"/>
  <c r="DJ94"/>
  <c r="DB95"/>
  <c r="DD94"/>
  <c r="DC94"/>
  <c r="AI97"/>
  <c r="BH97" a="1"/>
  <c r="BH97"/>
  <c r="T97"/>
  <c r="BS96"/>
  <c r="BT96"/>
  <c r="BQ96"/>
  <c r="BR96"/>
  <c r="CD96"/>
  <c r="AY96"/>
  <c r="AQ96"/>
  <c r="CA96"/>
  <c r="BK96"/>
  <c r="AX96"/>
  <c r="AR95"/>
  <c r="AW95"/>
  <c r="B95"/>
  <c r="U95"/>
  <c r="AK95"/>
  <c r="AM95"/>
  <c r="BA95"/>
  <c r="BV95"/>
  <c r="BD96"/>
  <c r="CH97"/>
  <c r="CF97"/>
  <c r="CG97"/>
  <c r="CC97"/>
  <c r="AP97"/>
  <c r="BL97"/>
  <c r="BE97"/>
  <c r="AZ95"/>
  <c r="BB95"/>
  <c r="BP95"/>
  <c r="BW95"/>
  <c r="BJ94"/>
  <c r="BI94"/>
  <c r="AT94"/>
  <c r="AS94"/>
  <c r="AU94"/>
  <c r="AE94"/>
  <c r="AD94"/>
  <c r="CE94"/>
  <c r="DV93"/>
  <c r="CZ93"/>
  <c r="DU93"/>
  <c r="CY93"/>
  <c r="DT93"/>
  <c r="CX93"/>
  <c r="DS93"/>
  <c r="CW93"/>
  <c r="DR93"/>
  <c r="CV93"/>
  <c r="DQ93"/>
  <c r="CU93"/>
  <c r="DP93"/>
  <c r="CT93"/>
  <c r="DO93"/>
  <c r="CS93"/>
  <c r="CR93"/>
  <c r="CQ93"/>
  <c r="CP93"/>
  <c r="CO93"/>
  <c r="CN93"/>
  <c r="CM93"/>
  <c r="CL93"/>
  <c r="CK93"/>
  <c r="CJ93"/>
  <c r="CI93"/>
  <c r="AG95"/>
  <c r="DJ93"/>
  <c r="AL96"/>
  <c r="BY95"/>
  <c r="AL95"/>
  <c r="AZ94"/>
  <c r="AO94"/>
  <c r="AF94"/>
  <c r="AJ94"/>
  <c r="AN94"/>
  <c r="AV94"/>
  <c r="BD95"/>
  <c r="BC95"/>
  <c r="DI93"/>
  <c r="DH93"/>
  <c r="DD93"/>
  <c r="DG93"/>
  <c r="DB94"/>
  <c r="DE93"/>
  <c r="DF93"/>
  <c r="DC93"/>
  <c r="BH96" a="1"/>
  <c r="BH96"/>
  <c r="T96"/>
  <c r="BS95"/>
  <c r="BT95"/>
  <c r="BQ95"/>
  <c r="BR95"/>
  <c r="CD95"/>
  <c r="CA95"/>
  <c r="BK95"/>
  <c r="AX95"/>
  <c r="AY95"/>
  <c r="AQ95"/>
  <c r="CH96"/>
  <c r="CF96"/>
  <c r="CG96"/>
  <c r="CC96"/>
  <c r="BL96"/>
  <c r="BE96"/>
  <c r="AP96"/>
  <c r="B94"/>
  <c r="U94"/>
  <c r="AK94"/>
  <c r="AM94"/>
  <c r="BA94"/>
  <c r="BD94"/>
  <c r="BV94"/>
  <c r="BX94"/>
  <c r="BF97"/>
  <c r="BZ97"/>
  <c r="BG97"/>
  <c r="AR94"/>
  <c r="AW94"/>
  <c r="BB94"/>
  <c r="BP94"/>
  <c r="BW94"/>
  <c r="BJ93"/>
  <c r="BI93"/>
  <c r="AT93"/>
  <c r="AS93"/>
  <c r="AU93"/>
  <c r="AE93"/>
  <c r="AD93"/>
  <c r="CE93"/>
  <c r="DV92"/>
  <c r="CZ92"/>
  <c r="DU92"/>
  <c r="CY92"/>
  <c r="DT92"/>
  <c r="CX92"/>
  <c r="DS92"/>
  <c r="CW92"/>
  <c r="DR92"/>
  <c r="CV92"/>
  <c r="DQ92"/>
  <c r="CU92"/>
  <c r="DP92"/>
  <c r="CT92"/>
  <c r="DO92"/>
  <c r="CS92"/>
  <c r="CR92"/>
  <c r="CQ92"/>
  <c r="CP92"/>
  <c r="CO92"/>
  <c r="CN92"/>
  <c r="CM92"/>
  <c r="CL92"/>
  <c r="CK92"/>
  <c r="CJ92"/>
  <c r="CI92"/>
  <c r="AI95"/>
  <c r="BX93"/>
  <c r="AH93"/>
  <c r="AO93"/>
  <c r="AF93"/>
  <c r="AJ93"/>
  <c r="AN93"/>
  <c r="AV93"/>
  <c r="BC94"/>
  <c r="DI92"/>
  <c r="DH92"/>
  <c r="DJ92"/>
  <c r="DD92"/>
  <c r="DG92"/>
  <c r="DB93"/>
  <c r="DC92"/>
  <c r="DE92"/>
  <c r="DF92"/>
  <c r="BH95" a="1"/>
  <c r="BH95"/>
  <c r="T95"/>
  <c r="BS94"/>
  <c r="BT94"/>
  <c r="BQ94"/>
  <c r="BR94"/>
  <c r="CD94"/>
  <c r="CA94"/>
  <c r="BK94"/>
  <c r="AX94"/>
  <c r="AY94"/>
  <c r="AQ94"/>
  <c r="BY94"/>
  <c r="AL94"/>
  <c r="AH94"/>
  <c r="AG94"/>
  <c r="AR93"/>
  <c r="AW93"/>
  <c r="AZ93"/>
  <c r="B93"/>
  <c r="U93"/>
  <c r="AK93"/>
  <c r="AM93"/>
  <c r="BA93"/>
  <c r="BV93"/>
  <c r="BZ96"/>
  <c r="BG96"/>
  <c r="BF96"/>
  <c r="CC95"/>
  <c r="CH95"/>
  <c r="CF95"/>
  <c r="CG95"/>
  <c r="AP95"/>
  <c r="BL95"/>
  <c r="BE95"/>
  <c r="BB93"/>
  <c r="BP93"/>
  <c r="BW93"/>
  <c r="BJ92"/>
  <c r="BI92"/>
  <c r="AT92"/>
  <c r="AS92"/>
  <c r="AU92"/>
  <c r="AE92"/>
  <c r="AD92"/>
  <c r="CE92"/>
  <c r="U92"/>
  <c r="B92"/>
  <c r="DV91"/>
  <c r="CZ91"/>
  <c r="DU91"/>
  <c r="CY91"/>
  <c r="DT91"/>
  <c r="CX91"/>
  <c r="DS91"/>
  <c r="CW91"/>
  <c r="DR91"/>
  <c r="CV91"/>
  <c r="DQ91"/>
  <c r="CU91"/>
  <c r="DP91"/>
  <c r="CT91"/>
  <c r="DO91"/>
  <c r="CS91"/>
  <c r="CR91"/>
  <c r="CQ91"/>
  <c r="CP91"/>
  <c r="CO91"/>
  <c r="CN91"/>
  <c r="CM91"/>
  <c r="CL91"/>
  <c r="CK91"/>
  <c r="CJ91"/>
  <c r="CI91"/>
  <c r="BY93"/>
  <c r="AI93"/>
  <c r="AG93"/>
  <c r="DI91"/>
  <c r="DJ91"/>
  <c r="BX92"/>
  <c r="BY92"/>
  <c r="AL92"/>
  <c r="AO92"/>
  <c r="BV92"/>
  <c r="BC93"/>
  <c r="DE91"/>
  <c r="DG91"/>
  <c r="DF91"/>
  <c r="DH91"/>
  <c r="DC91"/>
  <c r="DD91"/>
  <c r="DB92"/>
  <c r="AI94"/>
  <c r="AG92"/>
  <c r="AM92"/>
  <c r="AF92"/>
  <c r="AJ92"/>
  <c r="AN92"/>
  <c r="AR92"/>
  <c r="AW92"/>
  <c r="AV92"/>
  <c r="AZ92"/>
  <c r="BB92"/>
  <c r="BP92"/>
  <c r="BW92"/>
  <c r="BD93"/>
  <c r="BH94" a="1"/>
  <c r="BH94"/>
  <c r="T94"/>
  <c r="BS93"/>
  <c r="BT93"/>
  <c r="BQ93"/>
  <c r="BR93"/>
  <c r="BF95"/>
  <c r="BZ95"/>
  <c r="BG95"/>
  <c r="CD93"/>
  <c r="CA93"/>
  <c r="BK93"/>
  <c r="AX93"/>
  <c r="AY93"/>
  <c r="AQ93"/>
  <c r="CG94"/>
  <c r="CC94"/>
  <c r="CH94"/>
  <c r="CF94"/>
  <c r="AP94"/>
  <c r="BL94"/>
  <c r="BE94"/>
  <c r="AK92"/>
  <c r="BA92"/>
  <c r="BJ91"/>
  <c r="BI91"/>
  <c r="AT91"/>
  <c r="AS91"/>
  <c r="AU91"/>
  <c r="AE91"/>
  <c r="AD91"/>
  <c r="CE91"/>
  <c r="DV90"/>
  <c r="CZ90"/>
  <c r="DU90"/>
  <c r="CY90"/>
  <c r="DT90"/>
  <c r="CX90"/>
  <c r="DS90"/>
  <c r="CW90"/>
  <c r="DR90"/>
  <c r="CV90"/>
  <c r="DQ90"/>
  <c r="CU90"/>
  <c r="DP90"/>
  <c r="CT90"/>
  <c r="DO90"/>
  <c r="CS90"/>
  <c r="CR90"/>
  <c r="CQ90"/>
  <c r="CP90"/>
  <c r="CO90"/>
  <c r="CN90"/>
  <c r="CM90"/>
  <c r="CL90"/>
  <c r="CK90"/>
  <c r="CJ90"/>
  <c r="CI90"/>
  <c r="AL93"/>
  <c r="AH92"/>
  <c r="BX91"/>
  <c r="AG91"/>
  <c r="AO91"/>
  <c r="AF91"/>
  <c r="AJ91"/>
  <c r="AN91"/>
  <c r="AV91"/>
  <c r="BC92"/>
  <c r="DG90"/>
  <c r="DJ90"/>
  <c r="DH90"/>
  <c r="DI90"/>
  <c r="DB91"/>
  <c r="DE90"/>
  <c r="DF90"/>
  <c r="DC90"/>
  <c r="DD90"/>
  <c r="BY91"/>
  <c r="AL91"/>
  <c r="BH93" a="1"/>
  <c r="BH93"/>
  <c r="T93"/>
  <c r="BF94"/>
  <c r="BZ94"/>
  <c r="BG94"/>
  <c r="BS92"/>
  <c r="BT92"/>
  <c r="BQ92"/>
  <c r="BR92"/>
  <c r="CD92"/>
  <c r="AY92"/>
  <c r="CA92"/>
  <c r="BK92"/>
  <c r="AX92"/>
  <c r="AQ92"/>
  <c r="B91"/>
  <c r="U91"/>
  <c r="AK91"/>
  <c r="AM91"/>
  <c r="BA91"/>
  <c r="BV91"/>
  <c r="BD92"/>
  <c r="AI92"/>
  <c r="CG93"/>
  <c r="CC93"/>
  <c r="CH93"/>
  <c r="CF93"/>
  <c r="BL93"/>
  <c r="BE93"/>
  <c r="AP93"/>
  <c r="AR91"/>
  <c r="AW91"/>
  <c r="AZ91"/>
  <c r="BB91"/>
  <c r="BP91"/>
  <c r="BW91"/>
  <c r="BJ90"/>
  <c r="BI90"/>
  <c r="AT90"/>
  <c r="AS90"/>
  <c r="AU90"/>
  <c r="AE90"/>
  <c r="AD90"/>
  <c r="CE90"/>
  <c r="DV89"/>
  <c r="CZ89"/>
  <c r="DU89"/>
  <c r="CY89"/>
  <c r="DT89"/>
  <c r="CX89"/>
  <c r="DS89"/>
  <c r="CW89"/>
  <c r="DR89"/>
  <c r="CV89"/>
  <c r="DQ89"/>
  <c r="CU89"/>
  <c r="DP89"/>
  <c r="CT89"/>
  <c r="DO89"/>
  <c r="CS89"/>
  <c r="CR89"/>
  <c r="CQ89"/>
  <c r="CP89"/>
  <c r="CO89"/>
  <c r="CN89"/>
  <c r="CM89"/>
  <c r="CL89"/>
  <c r="CK89"/>
  <c r="CJ89"/>
  <c r="CI89"/>
  <c r="AH91"/>
  <c r="DI89"/>
  <c r="DJ89"/>
  <c r="BX90"/>
  <c r="AH90"/>
  <c r="AO90"/>
  <c r="AF90"/>
  <c r="AJ90"/>
  <c r="AN90"/>
  <c r="BD91"/>
  <c r="BC91"/>
  <c r="AV90"/>
  <c r="DE89"/>
  <c r="DG89"/>
  <c r="DC89"/>
  <c r="DD89"/>
  <c r="DF89"/>
  <c r="DH89"/>
  <c r="DB90"/>
  <c r="AI91"/>
  <c r="BY90"/>
  <c r="AL90"/>
  <c r="BH92" a="1"/>
  <c r="BH92"/>
  <c r="T92"/>
  <c r="BS91"/>
  <c r="BT91"/>
  <c r="BQ91"/>
  <c r="BR91"/>
  <c r="CG92"/>
  <c r="CC92"/>
  <c r="CH92"/>
  <c r="CF92"/>
  <c r="BL92"/>
  <c r="BE92"/>
  <c r="AP92"/>
  <c r="B90"/>
  <c r="U90"/>
  <c r="AK90"/>
  <c r="AM90"/>
  <c r="BA90"/>
  <c r="BV90"/>
  <c r="CD91"/>
  <c r="CA91"/>
  <c r="BK91"/>
  <c r="AX91"/>
  <c r="AY91"/>
  <c r="AQ91"/>
  <c r="BF93"/>
  <c r="BZ93"/>
  <c r="BG93"/>
  <c r="AR90"/>
  <c r="AW90"/>
  <c r="AZ90"/>
  <c r="BB90"/>
  <c r="BP90"/>
  <c r="BW90"/>
  <c r="BJ89"/>
  <c r="BI89"/>
  <c r="AT89"/>
  <c r="AS89"/>
  <c r="AU89"/>
  <c r="AE89"/>
  <c r="AD89"/>
  <c r="CE89"/>
  <c r="DV88"/>
  <c r="CZ88"/>
  <c r="DU88"/>
  <c r="CY88"/>
  <c r="DT88"/>
  <c r="CX88"/>
  <c r="DS88"/>
  <c r="CW88"/>
  <c r="DR88"/>
  <c r="CV88"/>
  <c r="DQ88"/>
  <c r="CU88"/>
  <c r="DP88"/>
  <c r="CT88"/>
  <c r="DO88"/>
  <c r="CS88"/>
  <c r="CR88"/>
  <c r="CQ88"/>
  <c r="CP88"/>
  <c r="CO88"/>
  <c r="CN88"/>
  <c r="CM88"/>
  <c r="CL88"/>
  <c r="CK88"/>
  <c r="CJ88"/>
  <c r="CI88"/>
  <c r="AG90"/>
  <c r="DJ88"/>
  <c r="DI88"/>
  <c r="DH88"/>
  <c r="DG88"/>
  <c r="BC90"/>
  <c r="BX89"/>
  <c r="BY89"/>
  <c r="AL89"/>
  <c r="AO89"/>
  <c r="AF89"/>
  <c r="AJ89"/>
  <c r="AN89"/>
  <c r="DC88"/>
  <c r="DE88"/>
  <c r="DD88"/>
  <c r="DF88"/>
  <c r="AV89"/>
  <c r="DB89"/>
  <c r="AI90"/>
  <c r="BH91" a="1"/>
  <c r="BH91"/>
  <c r="T91"/>
  <c r="BS90"/>
  <c r="BT90"/>
  <c r="BQ90"/>
  <c r="BR90"/>
  <c r="BZ92"/>
  <c r="BG92"/>
  <c r="BF92"/>
  <c r="B89"/>
  <c r="U89"/>
  <c r="AK89"/>
  <c r="AM89"/>
  <c r="BA89"/>
  <c r="BV89"/>
  <c r="BD90"/>
  <c r="CD90"/>
  <c r="CA90"/>
  <c r="BK90"/>
  <c r="AX90"/>
  <c r="AY90"/>
  <c r="AQ90"/>
  <c r="CH91"/>
  <c r="CF91"/>
  <c r="CG91"/>
  <c r="CC91"/>
  <c r="AP91"/>
  <c r="BL91"/>
  <c r="BE91"/>
  <c r="AR89"/>
  <c r="AW89"/>
  <c r="AZ89"/>
  <c r="BB89"/>
  <c r="BP89"/>
  <c r="BW89"/>
  <c r="BJ88"/>
  <c r="BI88"/>
  <c r="AT88"/>
  <c r="AS88"/>
  <c r="AU88"/>
  <c r="AE88"/>
  <c r="AD88"/>
  <c r="CE88"/>
  <c r="U88"/>
  <c r="B88"/>
  <c r="DV87"/>
  <c r="CZ87"/>
  <c r="DU87"/>
  <c r="CY87"/>
  <c r="DT87"/>
  <c r="CX87"/>
  <c r="DS87"/>
  <c r="CW87"/>
  <c r="DR87"/>
  <c r="CV87"/>
  <c r="DQ87"/>
  <c r="CU87"/>
  <c r="DP87"/>
  <c r="CT87"/>
  <c r="DO87"/>
  <c r="CS87"/>
  <c r="CR87"/>
  <c r="CQ87"/>
  <c r="CP87"/>
  <c r="CO87"/>
  <c r="CN87"/>
  <c r="CM87"/>
  <c r="CL87"/>
  <c r="CK87"/>
  <c r="CJ87"/>
  <c r="CI87"/>
  <c r="BC89"/>
  <c r="AG89"/>
  <c r="AH89"/>
  <c r="BX88"/>
  <c r="AH88"/>
  <c r="AO88"/>
  <c r="DB88"/>
  <c r="BD89"/>
  <c r="DG87"/>
  <c r="DJ87"/>
  <c r="DC87"/>
  <c r="DE87"/>
  <c r="DD87"/>
  <c r="DF87"/>
  <c r="DH87"/>
  <c r="DI87"/>
  <c r="AI89"/>
  <c r="AG88"/>
  <c r="CD89"/>
  <c r="CA89"/>
  <c r="BK89"/>
  <c r="AY89"/>
  <c r="AQ89"/>
  <c r="AX89"/>
  <c r="CG90"/>
  <c r="CC90"/>
  <c r="CH90"/>
  <c r="CF90"/>
  <c r="AP90"/>
  <c r="BL90"/>
  <c r="BE90"/>
  <c r="AF88"/>
  <c r="AJ88"/>
  <c r="AN88"/>
  <c r="AR88"/>
  <c r="AW88"/>
  <c r="AV88"/>
  <c r="AZ88"/>
  <c r="BB88"/>
  <c r="BP88"/>
  <c r="BW88"/>
  <c r="BH90" a="1"/>
  <c r="BH90"/>
  <c r="T90"/>
  <c r="BS89"/>
  <c r="BT89"/>
  <c r="BQ89"/>
  <c r="BR89"/>
  <c r="BF91"/>
  <c r="BZ91"/>
  <c r="BG91"/>
  <c r="AK88"/>
  <c r="AM88"/>
  <c r="BA88"/>
  <c r="BV88"/>
  <c r="BJ87"/>
  <c r="BI87"/>
  <c r="AT87"/>
  <c r="AS87"/>
  <c r="AU87"/>
  <c r="AE87"/>
  <c r="AD87"/>
  <c r="CE87"/>
  <c r="DV86"/>
  <c r="DJ86"/>
  <c r="DU86"/>
  <c r="CY86"/>
  <c r="DT86"/>
  <c r="CX86"/>
  <c r="DS86"/>
  <c r="CW86"/>
  <c r="DR86"/>
  <c r="CV86"/>
  <c r="DQ86"/>
  <c r="CU86"/>
  <c r="DP86"/>
  <c r="CT86"/>
  <c r="DO86"/>
  <c r="CS86"/>
  <c r="CR86"/>
  <c r="CQ86"/>
  <c r="CP86"/>
  <c r="CO86"/>
  <c r="CN86"/>
  <c r="CM86"/>
  <c r="CL86"/>
  <c r="CK86"/>
  <c r="CJ86"/>
  <c r="CI86"/>
  <c r="BY88"/>
  <c r="AI88"/>
  <c r="DH86"/>
  <c r="BX87"/>
  <c r="AH87"/>
  <c r="AO87"/>
  <c r="AF87"/>
  <c r="AJ87"/>
  <c r="AN87"/>
  <c r="BC88"/>
  <c r="AV87"/>
  <c r="DD86"/>
  <c r="DF86"/>
  <c r="DG86"/>
  <c r="DI86"/>
  <c r="DC86"/>
  <c r="DE86"/>
  <c r="CZ86"/>
  <c r="DB87"/>
  <c r="BY87"/>
  <c r="AI87"/>
  <c r="BH89" a="1"/>
  <c r="BH89"/>
  <c r="T89"/>
  <c r="BS88"/>
  <c r="BT88"/>
  <c r="BQ88"/>
  <c r="BR88"/>
  <c r="CD88"/>
  <c r="AY88"/>
  <c r="AQ88"/>
  <c r="CA88"/>
  <c r="BK88"/>
  <c r="AX88"/>
  <c r="BF90"/>
  <c r="BZ90"/>
  <c r="BG90"/>
  <c r="CH89"/>
  <c r="CF89"/>
  <c r="CG89"/>
  <c r="CC89"/>
  <c r="AP89"/>
  <c r="BL89"/>
  <c r="BE89"/>
  <c r="AR87"/>
  <c r="AW87"/>
  <c r="AZ87"/>
  <c r="B87"/>
  <c r="U87"/>
  <c r="AK87"/>
  <c r="AM87"/>
  <c r="BA87"/>
  <c r="BV87"/>
  <c r="BD88"/>
  <c r="BB87"/>
  <c r="BP87"/>
  <c r="BW87"/>
  <c r="BJ86"/>
  <c r="BI86"/>
  <c r="AT86"/>
  <c r="AS86"/>
  <c r="AU86"/>
  <c r="AE86"/>
  <c r="AD86"/>
  <c r="CE86"/>
  <c r="U86"/>
  <c r="B86"/>
  <c r="DV85"/>
  <c r="CZ85"/>
  <c r="DU85"/>
  <c r="CY85"/>
  <c r="DT85"/>
  <c r="CX85"/>
  <c r="DS85"/>
  <c r="CW85"/>
  <c r="DR85"/>
  <c r="CV85"/>
  <c r="DQ85"/>
  <c r="CU85"/>
  <c r="DP85"/>
  <c r="CT85"/>
  <c r="DO85"/>
  <c r="CS85"/>
  <c r="CR85"/>
  <c r="CQ85"/>
  <c r="CP85"/>
  <c r="CO85"/>
  <c r="CN85"/>
  <c r="CM85"/>
  <c r="CL85"/>
  <c r="CK85"/>
  <c r="CJ85"/>
  <c r="CI85"/>
  <c r="AL88"/>
  <c r="AG87"/>
  <c r="DH85"/>
  <c r="DJ85"/>
  <c r="BX86"/>
  <c r="AH86"/>
  <c r="AO86"/>
  <c r="BV86"/>
  <c r="BC87"/>
  <c r="DI85"/>
  <c r="DE85"/>
  <c r="DB86"/>
  <c r="DC85"/>
  <c r="DD85"/>
  <c r="DF85"/>
  <c r="DG85"/>
  <c r="AL87"/>
  <c r="AG86"/>
  <c r="BY86"/>
  <c r="AI86"/>
  <c r="CD87"/>
  <c r="CA87"/>
  <c r="BK87"/>
  <c r="AX87"/>
  <c r="AY87"/>
  <c r="AQ87"/>
  <c r="CG88"/>
  <c r="CC88"/>
  <c r="CH88"/>
  <c r="CF88"/>
  <c r="BL88"/>
  <c r="BE88"/>
  <c r="AP88"/>
  <c r="AF86"/>
  <c r="AJ86"/>
  <c r="AN86"/>
  <c r="AR86"/>
  <c r="AW86"/>
  <c r="AV86"/>
  <c r="AZ86"/>
  <c r="BB86"/>
  <c r="BP86"/>
  <c r="BW86"/>
  <c r="BH88" a="1"/>
  <c r="BH88"/>
  <c r="T88"/>
  <c r="BS87"/>
  <c r="BT87"/>
  <c r="BQ87"/>
  <c r="BR87"/>
  <c r="BF89"/>
  <c r="BZ89"/>
  <c r="BG89"/>
  <c r="AK86"/>
  <c r="AM86"/>
  <c r="BA86"/>
  <c r="BD87"/>
  <c r="BJ85"/>
  <c r="BI85"/>
  <c r="AT85"/>
  <c r="AS85"/>
  <c r="AU85"/>
  <c r="AE85"/>
  <c r="AD85"/>
  <c r="CE85"/>
  <c r="DV84"/>
  <c r="CZ84"/>
  <c r="DU84"/>
  <c r="CY84"/>
  <c r="DT84"/>
  <c r="CX84"/>
  <c r="DS84"/>
  <c r="CW84"/>
  <c r="DR84"/>
  <c r="CV84"/>
  <c r="DQ84"/>
  <c r="CU84"/>
  <c r="DP84"/>
  <c r="CT84"/>
  <c r="DO84"/>
  <c r="CS84"/>
  <c r="DI84"/>
  <c r="CR84"/>
  <c r="CQ84"/>
  <c r="CP84"/>
  <c r="CO84"/>
  <c r="CN84"/>
  <c r="CM84"/>
  <c r="CL84"/>
  <c r="CK84"/>
  <c r="CJ84"/>
  <c r="CI84"/>
  <c r="DJ84"/>
  <c r="BX85"/>
  <c r="AG85"/>
  <c r="AO85"/>
  <c r="AF85"/>
  <c r="AJ85"/>
  <c r="AN85"/>
  <c r="BC86"/>
  <c r="DG84"/>
  <c r="DH84"/>
  <c r="DC84"/>
  <c r="DF84"/>
  <c r="DD84"/>
  <c r="DE84"/>
  <c r="AV85"/>
  <c r="DB85"/>
  <c r="AL86"/>
  <c r="BH87" a="1"/>
  <c r="BH87"/>
  <c r="T87"/>
  <c r="BS86"/>
  <c r="BT86"/>
  <c r="BQ86"/>
  <c r="BR86"/>
  <c r="CD86"/>
  <c r="AY86"/>
  <c r="AQ86"/>
  <c r="CA86"/>
  <c r="BK86"/>
  <c r="AX86"/>
  <c r="AR85"/>
  <c r="AW85"/>
  <c r="B85"/>
  <c r="U85"/>
  <c r="AK85"/>
  <c r="AM85"/>
  <c r="BA85"/>
  <c r="BV85"/>
  <c r="BD86"/>
  <c r="BZ88"/>
  <c r="BG88"/>
  <c r="BF88"/>
  <c r="CC87"/>
  <c r="CH87"/>
  <c r="CF87"/>
  <c r="CG87"/>
  <c r="BL87"/>
  <c r="BE87"/>
  <c r="AP87"/>
  <c r="AZ85"/>
  <c r="BB85"/>
  <c r="BP85"/>
  <c r="BW85"/>
  <c r="BJ84"/>
  <c r="BI84"/>
  <c r="AT84"/>
  <c r="AS84"/>
  <c r="AU84"/>
  <c r="AE84"/>
  <c r="AD84"/>
  <c r="CE84"/>
  <c r="DV83"/>
  <c r="CZ83"/>
  <c r="DU83"/>
  <c r="CY83"/>
  <c r="DT83"/>
  <c r="CX83"/>
  <c r="DS83"/>
  <c r="CW83"/>
  <c r="DR83"/>
  <c r="CV83"/>
  <c r="DQ83"/>
  <c r="CU83"/>
  <c r="DP83"/>
  <c r="CT83"/>
  <c r="DO83"/>
  <c r="CS83"/>
  <c r="CR83"/>
  <c r="CQ83"/>
  <c r="CP83"/>
  <c r="CO83"/>
  <c r="CN83"/>
  <c r="CM83"/>
  <c r="CL83"/>
  <c r="CK83"/>
  <c r="CJ83"/>
  <c r="CI83"/>
  <c r="BY85"/>
  <c r="AL85"/>
  <c r="AH85"/>
  <c r="BC85"/>
  <c r="B84"/>
  <c r="U84"/>
  <c r="BX84"/>
  <c r="BY84"/>
  <c r="AI84"/>
  <c r="AO84"/>
  <c r="DB84"/>
  <c r="DG83"/>
  <c r="DE83"/>
  <c r="DI83"/>
  <c r="DD83"/>
  <c r="DF83"/>
  <c r="DH83"/>
  <c r="DC83"/>
  <c r="DJ83"/>
  <c r="BD85"/>
  <c r="AG84"/>
  <c r="CD85"/>
  <c r="CA85"/>
  <c r="BK85"/>
  <c r="AX85"/>
  <c r="AY85"/>
  <c r="AQ85"/>
  <c r="CH86"/>
  <c r="CG86"/>
  <c r="CC86"/>
  <c r="CF86"/>
  <c r="BL86"/>
  <c r="BE86"/>
  <c r="AP86"/>
  <c r="AF84"/>
  <c r="AJ84"/>
  <c r="AN84"/>
  <c r="AR84"/>
  <c r="AW84"/>
  <c r="AV84"/>
  <c r="AZ84"/>
  <c r="BB84"/>
  <c r="BP84"/>
  <c r="BW84"/>
  <c r="BH86" a="1"/>
  <c r="BH86"/>
  <c r="T86"/>
  <c r="BS85"/>
  <c r="BT85"/>
  <c r="BQ85"/>
  <c r="BR85"/>
  <c r="BF87"/>
  <c r="BZ87"/>
  <c r="BG87"/>
  <c r="AK84"/>
  <c r="AM84"/>
  <c r="BA84"/>
  <c r="BV84"/>
  <c r="BJ83"/>
  <c r="BI83"/>
  <c r="AT83"/>
  <c r="AS83"/>
  <c r="AU83"/>
  <c r="AE83"/>
  <c r="AD83"/>
  <c r="CE83"/>
  <c r="DV82"/>
  <c r="CZ82"/>
  <c r="DU82"/>
  <c r="CY82"/>
  <c r="DT82"/>
  <c r="CX82"/>
  <c r="DS82"/>
  <c r="CW82"/>
  <c r="DR82"/>
  <c r="CV82"/>
  <c r="DQ82"/>
  <c r="CU82"/>
  <c r="DP82"/>
  <c r="CT82"/>
  <c r="DO82"/>
  <c r="CS82"/>
  <c r="CR82"/>
  <c r="CQ82"/>
  <c r="CP82"/>
  <c r="CO82"/>
  <c r="CN82"/>
  <c r="CM82"/>
  <c r="CL82"/>
  <c r="CK82"/>
  <c r="CJ82"/>
  <c r="CI82"/>
  <c r="AI85"/>
  <c r="DG82"/>
  <c r="DJ82"/>
  <c r="AH84"/>
  <c r="DF82"/>
  <c r="DH82"/>
  <c r="DI82"/>
  <c r="BX83"/>
  <c r="BY83"/>
  <c r="AI83"/>
  <c r="AO83"/>
  <c r="AF83"/>
  <c r="AJ83"/>
  <c r="AN83"/>
  <c r="BC84"/>
  <c r="AV83"/>
  <c r="DC82"/>
  <c r="DB83"/>
  <c r="DD82"/>
  <c r="DE82"/>
  <c r="AL84"/>
  <c r="BH85" a="1"/>
  <c r="BH85"/>
  <c r="T85"/>
  <c r="BS84"/>
  <c r="BT84"/>
  <c r="BQ84"/>
  <c r="BR84"/>
  <c r="CD84"/>
  <c r="AY84"/>
  <c r="AQ84"/>
  <c r="CA84"/>
  <c r="BK84"/>
  <c r="AX84"/>
  <c r="AZ83"/>
  <c r="B83"/>
  <c r="U83"/>
  <c r="AK83"/>
  <c r="AM83"/>
  <c r="BA83"/>
  <c r="BV83"/>
  <c r="BD84"/>
  <c r="BZ86"/>
  <c r="BG86"/>
  <c r="BF86"/>
  <c r="CG85"/>
  <c r="CC85"/>
  <c r="CH85"/>
  <c r="CF85"/>
  <c r="BL85"/>
  <c r="BE85"/>
  <c r="AP85"/>
  <c r="AR83"/>
  <c r="AW83"/>
  <c r="BB83"/>
  <c r="BP83"/>
  <c r="BW83"/>
  <c r="BJ82"/>
  <c r="BI82"/>
  <c r="AT82"/>
  <c r="AS82"/>
  <c r="AU82"/>
  <c r="AE82"/>
  <c r="AD82"/>
  <c r="CE82"/>
  <c r="U82"/>
  <c r="B82"/>
  <c r="DV81"/>
  <c r="CZ81"/>
  <c r="DU81"/>
  <c r="CY81"/>
  <c r="DT81"/>
  <c r="CX81"/>
  <c r="DS81"/>
  <c r="CW81"/>
  <c r="DR81"/>
  <c r="CV81"/>
  <c r="DQ81"/>
  <c r="CU81"/>
  <c r="DP81"/>
  <c r="CT81"/>
  <c r="DO81"/>
  <c r="CS81"/>
  <c r="CR81"/>
  <c r="CQ81"/>
  <c r="CP81"/>
  <c r="CO81"/>
  <c r="CN81"/>
  <c r="CM81"/>
  <c r="CL81"/>
  <c r="CK81"/>
  <c r="CJ81"/>
  <c r="CI81"/>
  <c r="DH81"/>
  <c r="AH83"/>
  <c r="DI81"/>
  <c r="AG83"/>
  <c r="DJ81"/>
  <c r="BX82"/>
  <c r="AH82"/>
  <c r="AO82"/>
  <c r="BC83"/>
  <c r="DF81"/>
  <c r="DG81"/>
  <c r="DD81"/>
  <c r="DE81"/>
  <c r="DC81"/>
  <c r="DB82"/>
  <c r="AL83"/>
  <c r="CG84"/>
  <c r="CC84"/>
  <c r="CH84"/>
  <c r="CF84"/>
  <c r="BL84"/>
  <c r="BE84"/>
  <c r="AP84"/>
  <c r="AF82"/>
  <c r="AJ82"/>
  <c r="AN82"/>
  <c r="AR82"/>
  <c r="AW82"/>
  <c r="AV82"/>
  <c r="AZ82"/>
  <c r="BB82"/>
  <c r="BP82"/>
  <c r="BW82"/>
  <c r="BD83"/>
  <c r="BH84" a="1"/>
  <c r="BH84"/>
  <c r="T84"/>
  <c r="BS83"/>
  <c r="BT83"/>
  <c r="BQ83"/>
  <c r="BR83"/>
  <c r="CD83"/>
  <c r="CA83"/>
  <c r="BK83"/>
  <c r="AX83"/>
  <c r="AY83"/>
  <c r="AQ83"/>
  <c r="BF85"/>
  <c r="BZ85"/>
  <c r="BG85"/>
  <c r="AK82"/>
  <c r="AM82"/>
  <c r="BA82"/>
  <c r="BV82"/>
  <c r="BJ81"/>
  <c r="BI81"/>
  <c r="AT81"/>
  <c r="AS81"/>
  <c r="AU81"/>
  <c r="AE81"/>
  <c r="AD81"/>
  <c r="CE81"/>
  <c r="U81"/>
  <c r="B81"/>
  <c r="DV80"/>
  <c r="CZ80"/>
  <c r="DU80"/>
  <c r="CY80"/>
  <c r="DT80"/>
  <c r="CX80"/>
  <c r="DS80"/>
  <c r="CW80"/>
  <c r="DR80"/>
  <c r="CV80"/>
  <c r="DQ80"/>
  <c r="CU80"/>
  <c r="DP80"/>
  <c r="CT80"/>
  <c r="DO80"/>
  <c r="CS80"/>
  <c r="CR80"/>
  <c r="CQ80"/>
  <c r="CP80"/>
  <c r="CO80"/>
  <c r="CN80"/>
  <c r="CM80"/>
  <c r="CL80"/>
  <c r="CK80"/>
  <c r="CJ80"/>
  <c r="CI80"/>
  <c r="AG82"/>
  <c r="BY82"/>
  <c r="AI82"/>
  <c r="DH80"/>
  <c r="DJ80"/>
  <c r="DG80"/>
  <c r="DI80"/>
  <c r="BX81"/>
  <c r="AH81"/>
  <c r="AO81"/>
  <c r="BV81"/>
  <c r="BC82"/>
  <c r="DF80"/>
  <c r="DD80"/>
  <c r="DC80"/>
  <c r="DE80"/>
  <c r="DB81"/>
  <c r="BD82"/>
  <c r="AL82"/>
  <c r="BZ84"/>
  <c r="BG84"/>
  <c r="BF84"/>
  <c r="AM81"/>
  <c r="AF81"/>
  <c r="AJ81"/>
  <c r="AN81"/>
  <c r="AR81"/>
  <c r="AW81"/>
  <c r="AV81"/>
  <c r="AZ81"/>
  <c r="BB81"/>
  <c r="BP81"/>
  <c r="BW81"/>
  <c r="CG83"/>
  <c r="CC83"/>
  <c r="CH83"/>
  <c r="CF83"/>
  <c r="AP83"/>
  <c r="BL83"/>
  <c r="BE83"/>
  <c r="BS82"/>
  <c r="BT82"/>
  <c r="BQ82"/>
  <c r="BR82"/>
  <c r="CD82"/>
  <c r="AY82"/>
  <c r="AQ82"/>
  <c r="CA82"/>
  <c r="BK82"/>
  <c r="AX82"/>
  <c r="AK81"/>
  <c r="BA81"/>
  <c r="BJ80"/>
  <c r="BI80"/>
  <c r="AT80"/>
  <c r="AS80"/>
  <c r="AU80"/>
  <c r="AE80"/>
  <c r="AD80"/>
  <c r="CE80"/>
  <c r="DV79"/>
  <c r="CZ79"/>
  <c r="DU79"/>
  <c r="CY79"/>
  <c r="DT79"/>
  <c r="CX79"/>
  <c r="DS79"/>
  <c r="CW79"/>
  <c r="DR79"/>
  <c r="CV79"/>
  <c r="DQ79"/>
  <c r="CU79"/>
  <c r="DP79"/>
  <c r="CT79"/>
  <c r="DO79"/>
  <c r="CS79"/>
  <c r="CR79"/>
  <c r="CQ79"/>
  <c r="CP79"/>
  <c r="CO79"/>
  <c r="CN79"/>
  <c r="CM79"/>
  <c r="CL79"/>
  <c r="CK79"/>
  <c r="CJ79"/>
  <c r="CI79"/>
  <c r="BY81"/>
  <c r="AI81"/>
  <c r="DI79"/>
  <c r="DJ79"/>
  <c r="AG81"/>
  <c r="DF79"/>
  <c r="BX80"/>
  <c r="BY80"/>
  <c r="AL80"/>
  <c r="AO80"/>
  <c r="AF80"/>
  <c r="AJ80"/>
  <c r="AN80"/>
  <c r="BC81"/>
  <c r="DD79"/>
  <c r="DC79"/>
  <c r="DE79"/>
  <c r="DG79"/>
  <c r="DH79"/>
  <c r="AV80"/>
  <c r="DB80"/>
  <c r="BH82" a="1"/>
  <c r="BH82"/>
  <c r="T82"/>
  <c r="BH83" a="1"/>
  <c r="BH83"/>
  <c r="T83"/>
  <c r="BS81"/>
  <c r="BT81"/>
  <c r="BQ81"/>
  <c r="BR81"/>
  <c r="CD81"/>
  <c r="AY81"/>
  <c r="AQ81"/>
  <c r="CA81"/>
  <c r="BK81"/>
  <c r="AX81"/>
  <c r="B80"/>
  <c r="U80"/>
  <c r="AK80"/>
  <c r="AM80"/>
  <c r="BA80"/>
  <c r="BV80"/>
  <c r="BD81"/>
  <c r="CG82"/>
  <c r="CC82"/>
  <c r="CH82"/>
  <c r="CF82"/>
  <c r="BL82"/>
  <c r="BE82"/>
  <c r="AP82"/>
  <c r="BF83"/>
  <c r="BZ83"/>
  <c r="BG83"/>
  <c r="AR80"/>
  <c r="AW80"/>
  <c r="AZ80"/>
  <c r="BB80"/>
  <c r="BP80"/>
  <c r="BW80"/>
  <c r="BJ79"/>
  <c r="BI79"/>
  <c r="AT79"/>
  <c r="AS79"/>
  <c r="AU79"/>
  <c r="AE79"/>
  <c r="AD79"/>
  <c r="CE79"/>
  <c r="DV78"/>
  <c r="DJ78"/>
  <c r="DU78"/>
  <c r="CY78"/>
  <c r="DT78"/>
  <c r="CX78"/>
  <c r="DS78"/>
  <c r="CW78"/>
  <c r="DR78"/>
  <c r="CV78"/>
  <c r="DQ78"/>
  <c r="CU78"/>
  <c r="DP78"/>
  <c r="CT78"/>
  <c r="DO78"/>
  <c r="CS78"/>
  <c r="CR78"/>
  <c r="CQ78"/>
  <c r="CP78"/>
  <c r="CO78"/>
  <c r="CN78"/>
  <c r="CM78"/>
  <c r="CL78"/>
  <c r="CK78"/>
  <c r="CJ78"/>
  <c r="CI78"/>
  <c r="AL81"/>
  <c r="CZ78"/>
  <c r="AG80"/>
  <c r="AH80"/>
  <c r="BC80"/>
  <c r="BX79"/>
  <c r="BY79"/>
  <c r="AL79"/>
  <c r="AO79"/>
  <c r="AF79"/>
  <c r="AJ79"/>
  <c r="AN79"/>
  <c r="DB79"/>
  <c r="DI78"/>
  <c r="AV79"/>
  <c r="DE78"/>
  <c r="DC78"/>
  <c r="DG78"/>
  <c r="DD78"/>
  <c r="DF78"/>
  <c r="DH78"/>
  <c r="AI80"/>
  <c r="BH81" a="1"/>
  <c r="BH81"/>
  <c r="T81"/>
  <c r="BS80"/>
  <c r="BT80"/>
  <c r="BQ80"/>
  <c r="BR80"/>
  <c r="BZ82"/>
  <c r="BG82"/>
  <c r="BF82"/>
  <c r="CG81"/>
  <c r="CC81"/>
  <c r="CH81"/>
  <c r="CF81"/>
  <c r="BL81"/>
  <c r="BE81"/>
  <c r="AP81"/>
  <c r="B79"/>
  <c r="U79"/>
  <c r="AK79"/>
  <c r="AM79"/>
  <c r="BA79"/>
  <c r="BV79"/>
  <c r="BD80"/>
  <c r="CD80"/>
  <c r="CA80"/>
  <c r="BK80"/>
  <c r="AX80"/>
  <c r="AY80"/>
  <c r="AQ80"/>
  <c r="AR79"/>
  <c r="AW79"/>
  <c r="AZ79"/>
  <c r="BB79"/>
  <c r="BP79"/>
  <c r="BW79"/>
  <c r="BJ78"/>
  <c r="BI78"/>
  <c r="AT78"/>
  <c r="AS78"/>
  <c r="AU78"/>
  <c r="AE78"/>
  <c r="AD78"/>
  <c r="CE78"/>
  <c r="U78"/>
  <c r="B78"/>
  <c r="DV77"/>
  <c r="CZ77"/>
  <c r="DU77"/>
  <c r="CY77"/>
  <c r="DT77"/>
  <c r="CX77"/>
  <c r="DS77"/>
  <c r="CW77"/>
  <c r="DR77"/>
  <c r="CV77"/>
  <c r="DQ77"/>
  <c r="CU77"/>
  <c r="DP77"/>
  <c r="CT77"/>
  <c r="DO77"/>
  <c r="CS77"/>
  <c r="CR77"/>
  <c r="CQ77"/>
  <c r="CP77"/>
  <c r="CO77"/>
  <c r="CN77"/>
  <c r="CM77"/>
  <c r="CL77"/>
  <c r="CK77"/>
  <c r="CJ77"/>
  <c r="CI77"/>
  <c r="AG79"/>
  <c r="AH79"/>
  <c r="BC79"/>
  <c r="DI77"/>
  <c r="DJ77"/>
  <c r="BX78"/>
  <c r="BY78"/>
  <c r="AI78"/>
  <c r="AO78"/>
  <c r="DB78"/>
  <c r="DE77"/>
  <c r="DC77"/>
  <c r="DG77"/>
  <c r="DD77"/>
  <c r="DF77"/>
  <c r="DH77"/>
  <c r="BD79"/>
  <c r="AI79"/>
  <c r="CD79"/>
  <c r="CA79"/>
  <c r="BK79"/>
  <c r="AX79"/>
  <c r="AY79"/>
  <c r="AQ79"/>
  <c r="AF78"/>
  <c r="AJ78"/>
  <c r="AN78"/>
  <c r="AR78"/>
  <c r="AW78"/>
  <c r="AV78"/>
  <c r="AZ78"/>
  <c r="BB78"/>
  <c r="BP78"/>
  <c r="BW78"/>
  <c r="BH80" a="1"/>
  <c r="BH80"/>
  <c r="T80"/>
  <c r="BS79"/>
  <c r="BT79"/>
  <c r="BQ79"/>
  <c r="BR79"/>
  <c r="CH80"/>
  <c r="CF80"/>
  <c r="CG80"/>
  <c r="CC80"/>
  <c r="AP80"/>
  <c r="BL80"/>
  <c r="BE80"/>
  <c r="BZ81"/>
  <c r="BG81"/>
  <c r="BF81"/>
  <c r="AK78"/>
  <c r="AM78"/>
  <c r="BA78"/>
  <c r="BV78"/>
  <c r="BJ77"/>
  <c r="BI77"/>
  <c r="AT77"/>
  <c r="AS77"/>
  <c r="AU77"/>
  <c r="AE77"/>
  <c r="AD77"/>
  <c r="CE77"/>
  <c r="DV76"/>
  <c r="CZ76"/>
  <c r="DU76"/>
  <c r="CY76"/>
  <c r="DT76"/>
  <c r="CX76"/>
  <c r="DS76"/>
  <c r="CW76"/>
  <c r="DR76"/>
  <c r="CV76"/>
  <c r="DQ76"/>
  <c r="CU76"/>
  <c r="DP76"/>
  <c r="CT76"/>
  <c r="DO76"/>
  <c r="CS76"/>
  <c r="CR76"/>
  <c r="CQ76"/>
  <c r="CP76"/>
  <c r="CO76"/>
  <c r="CN76"/>
  <c r="CM76"/>
  <c r="CL76"/>
  <c r="CK76"/>
  <c r="CJ76"/>
  <c r="CI76"/>
  <c r="AG78"/>
  <c r="DI76"/>
  <c r="DG76"/>
  <c r="DH76"/>
  <c r="AH78"/>
  <c r="DJ76"/>
  <c r="BX77"/>
  <c r="AG77"/>
  <c r="AO77"/>
  <c r="AF77"/>
  <c r="AJ77"/>
  <c r="AN77"/>
  <c r="BC78"/>
  <c r="DF76"/>
  <c r="AV77"/>
  <c r="DD76"/>
  <c r="DC76"/>
  <c r="DE76"/>
  <c r="DB77"/>
  <c r="AL78"/>
  <c r="BF80"/>
  <c r="BZ80"/>
  <c r="BG80"/>
  <c r="B77"/>
  <c r="U77"/>
  <c r="AK77"/>
  <c r="AM77"/>
  <c r="BA77"/>
  <c r="BV77"/>
  <c r="BH79" a="1"/>
  <c r="BH79"/>
  <c r="T79"/>
  <c r="BS78"/>
  <c r="BT78"/>
  <c r="BQ78"/>
  <c r="BR78"/>
  <c r="CD78"/>
  <c r="AY78"/>
  <c r="AQ78"/>
  <c r="CA78"/>
  <c r="BK78"/>
  <c r="AX78"/>
  <c r="CF79"/>
  <c r="CG79"/>
  <c r="CC79"/>
  <c r="CH79"/>
  <c r="AP79"/>
  <c r="BL79"/>
  <c r="BE79"/>
  <c r="AR77"/>
  <c r="AW77"/>
  <c r="AZ77"/>
  <c r="BB77"/>
  <c r="BP77"/>
  <c r="BW77"/>
  <c r="BD78"/>
  <c r="BJ76"/>
  <c r="BI76"/>
  <c r="AT76"/>
  <c r="AS76"/>
  <c r="AU76"/>
  <c r="AE76"/>
  <c r="AD76"/>
  <c r="CE76"/>
  <c r="U76"/>
  <c r="DV75"/>
  <c r="CZ75"/>
  <c r="DU75"/>
  <c r="CY75"/>
  <c r="DT75"/>
  <c r="CX75"/>
  <c r="DS75"/>
  <c r="CW75"/>
  <c r="DR75"/>
  <c r="CV75"/>
  <c r="DQ75"/>
  <c r="CU75"/>
  <c r="DP75"/>
  <c r="CT75"/>
  <c r="DO75"/>
  <c r="CS75"/>
  <c r="CR75"/>
  <c r="CQ75"/>
  <c r="CP75"/>
  <c r="CO75"/>
  <c r="CN75"/>
  <c r="CM75"/>
  <c r="CL75"/>
  <c r="CK75"/>
  <c r="CJ75"/>
  <c r="CI75"/>
  <c r="BC77"/>
  <c r="DJ75"/>
  <c r="AH77"/>
  <c r="BY77"/>
  <c r="AL77"/>
  <c r="B76"/>
  <c r="BX76"/>
  <c r="AG76"/>
  <c r="AO76"/>
  <c r="DB76"/>
  <c r="DD75"/>
  <c r="DH75"/>
  <c r="DG75"/>
  <c r="DI75"/>
  <c r="DC75"/>
  <c r="DE75"/>
  <c r="DF75"/>
  <c r="BD77"/>
  <c r="CD77"/>
  <c r="CA77"/>
  <c r="BK77"/>
  <c r="AX77"/>
  <c r="AY77"/>
  <c r="AQ77"/>
  <c r="AF76"/>
  <c r="AJ76"/>
  <c r="AN76"/>
  <c r="AR76"/>
  <c r="AW76"/>
  <c r="AV76"/>
  <c r="AZ76"/>
  <c r="BB76"/>
  <c r="BP76"/>
  <c r="BW76"/>
  <c r="BS77"/>
  <c r="BT77"/>
  <c r="BQ77"/>
  <c r="BR77"/>
  <c r="BF79"/>
  <c r="BZ79"/>
  <c r="BG79"/>
  <c r="CG78"/>
  <c r="CC78"/>
  <c r="CH78"/>
  <c r="CF78"/>
  <c r="BL78"/>
  <c r="BE78"/>
  <c r="AP78"/>
  <c r="AK76"/>
  <c r="AM76"/>
  <c r="BA76"/>
  <c r="BV76"/>
  <c r="BJ75"/>
  <c r="BI75"/>
  <c r="AT75"/>
  <c r="AS75"/>
  <c r="AU75"/>
  <c r="AE75"/>
  <c r="AD75"/>
  <c r="CE75"/>
  <c r="U75"/>
  <c r="B75"/>
  <c r="DV74"/>
  <c r="CZ74"/>
  <c r="DU74"/>
  <c r="CY74"/>
  <c r="DT74"/>
  <c r="CX74"/>
  <c r="DS74"/>
  <c r="CW74"/>
  <c r="DR74"/>
  <c r="CV74"/>
  <c r="DQ74"/>
  <c r="CU74"/>
  <c r="DP74"/>
  <c r="CT74"/>
  <c r="DO74"/>
  <c r="CS74"/>
  <c r="CR74"/>
  <c r="CQ74"/>
  <c r="CP74"/>
  <c r="CO74"/>
  <c r="CN74"/>
  <c r="CM74"/>
  <c r="CL74"/>
  <c r="CK74"/>
  <c r="CJ74"/>
  <c r="CI74"/>
  <c r="AI77"/>
  <c r="AH76"/>
  <c r="BY76"/>
  <c r="AI76"/>
  <c r="DJ74"/>
  <c r="BX75"/>
  <c r="AG75"/>
  <c r="AO75"/>
  <c r="BV75"/>
  <c r="BC76"/>
  <c r="DI74"/>
  <c r="DH74"/>
  <c r="DG74"/>
  <c r="DC74"/>
  <c r="DB75"/>
  <c r="DE74"/>
  <c r="DD74"/>
  <c r="DF74"/>
  <c r="AL76"/>
  <c r="BZ78"/>
  <c r="BG78"/>
  <c r="BF78"/>
  <c r="AF75"/>
  <c r="AJ75"/>
  <c r="AN75"/>
  <c r="AR75"/>
  <c r="AW75"/>
  <c r="AV75"/>
  <c r="AZ75"/>
  <c r="BB75"/>
  <c r="BP75"/>
  <c r="BW75"/>
  <c r="BH78" a="1"/>
  <c r="BH78"/>
  <c r="T78"/>
  <c r="BH77" a="1"/>
  <c r="BH77"/>
  <c r="T77"/>
  <c r="BS76"/>
  <c r="BT76"/>
  <c r="BQ76"/>
  <c r="BR76"/>
  <c r="CD76"/>
  <c r="AY76"/>
  <c r="AQ76"/>
  <c r="CA76"/>
  <c r="BK76"/>
  <c r="AX76"/>
  <c r="CC77"/>
  <c r="CH77"/>
  <c r="CF77"/>
  <c r="CG77"/>
  <c r="AP77"/>
  <c r="BL77"/>
  <c r="BE77"/>
  <c r="AK75"/>
  <c r="AM75"/>
  <c r="BA75"/>
  <c r="BD76"/>
  <c r="BJ74"/>
  <c r="BI74"/>
  <c r="AT74"/>
  <c r="AS74"/>
  <c r="AU74"/>
  <c r="AE74"/>
  <c r="AD74"/>
  <c r="CE74"/>
  <c r="DV73"/>
  <c r="CZ73"/>
  <c r="DU73"/>
  <c r="CY73"/>
  <c r="DT73"/>
  <c r="CX73"/>
  <c r="DS73"/>
  <c r="CW73"/>
  <c r="DR73"/>
  <c r="CV73"/>
  <c r="DQ73"/>
  <c r="CU73"/>
  <c r="DP73"/>
  <c r="CT73"/>
  <c r="DO73"/>
  <c r="CS73"/>
  <c r="CR73"/>
  <c r="CQ73"/>
  <c r="CP73"/>
  <c r="CO73"/>
  <c r="CN73"/>
  <c r="CM73"/>
  <c r="CL73"/>
  <c r="CK73"/>
  <c r="CJ73"/>
  <c r="CI73"/>
  <c r="AH75"/>
  <c r="BY75"/>
  <c r="AI75"/>
  <c r="DJ73"/>
  <c r="BX74"/>
  <c r="BY74"/>
  <c r="AL74"/>
  <c r="AO74"/>
  <c r="AF74"/>
  <c r="AJ74"/>
  <c r="AN74"/>
  <c r="BC75"/>
  <c r="DH73"/>
  <c r="DE73"/>
  <c r="DI73"/>
  <c r="AV74"/>
  <c r="DB74"/>
  <c r="DC73"/>
  <c r="DD73"/>
  <c r="DF73"/>
  <c r="DG73"/>
  <c r="B74"/>
  <c r="U74"/>
  <c r="AK74"/>
  <c r="AM74"/>
  <c r="BA74"/>
  <c r="BV74"/>
  <c r="BF77"/>
  <c r="BZ77"/>
  <c r="BG77"/>
  <c r="CF76"/>
  <c r="CG76"/>
  <c r="CC76"/>
  <c r="CH76"/>
  <c r="BL76"/>
  <c r="BE76"/>
  <c r="AP76"/>
  <c r="BS75"/>
  <c r="BT75"/>
  <c r="BQ75"/>
  <c r="BR75"/>
  <c r="CD75"/>
  <c r="AY75"/>
  <c r="AQ75"/>
  <c r="CA75"/>
  <c r="BK75"/>
  <c r="AX75"/>
  <c r="AR74"/>
  <c r="AW74"/>
  <c r="AZ74"/>
  <c r="BB74"/>
  <c r="BP74"/>
  <c r="BW74"/>
  <c r="BD75"/>
  <c r="BJ73"/>
  <c r="BI73"/>
  <c r="AT73"/>
  <c r="AS73"/>
  <c r="AU73"/>
  <c r="AE73"/>
  <c r="AD73"/>
  <c r="CE73"/>
  <c r="DV72"/>
  <c r="CZ72"/>
  <c r="DU72"/>
  <c r="CY72"/>
  <c r="DT72"/>
  <c r="CX72"/>
  <c r="DS72"/>
  <c r="CW72"/>
  <c r="DR72"/>
  <c r="CV72"/>
  <c r="DQ72"/>
  <c r="CU72"/>
  <c r="DP72"/>
  <c r="CT72"/>
  <c r="DO72"/>
  <c r="CS72"/>
  <c r="CR72"/>
  <c r="CQ72"/>
  <c r="CP72"/>
  <c r="CO72"/>
  <c r="CN72"/>
  <c r="CM72"/>
  <c r="CL72"/>
  <c r="CK72"/>
  <c r="CJ72"/>
  <c r="CI72"/>
  <c r="DJ72"/>
  <c r="AL75"/>
  <c r="AH74"/>
  <c r="AG74"/>
  <c r="BC74"/>
  <c r="DI72"/>
  <c r="B73"/>
  <c r="U73"/>
  <c r="BX73"/>
  <c r="BY73"/>
  <c r="AI73"/>
  <c r="AO73"/>
  <c r="DG72"/>
  <c r="DH72"/>
  <c r="DC72"/>
  <c r="DE72"/>
  <c r="DD72"/>
  <c r="DF72"/>
  <c r="DB73"/>
  <c r="BD74"/>
  <c r="AI74"/>
  <c r="BH75" a="1"/>
  <c r="BH75"/>
  <c r="T75"/>
  <c r="BH76" a="1"/>
  <c r="BH76"/>
  <c r="T76"/>
  <c r="BS74"/>
  <c r="BT74"/>
  <c r="BQ74"/>
  <c r="BR74"/>
  <c r="BZ76"/>
  <c r="BG76"/>
  <c r="BF76"/>
  <c r="AF73"/>
  <c r="AJ73"/>
  <c r="AN73"/>
  <c r="AR73"/>
  <c r="AW73"/>
  <c r="AV73"/>
  <c r="AZ73"/>
  <c r="BB73"/>
  <c r="BP73"/>
  <c r="BW73"/>
  <c r="CD74"/>
  <c r="CA74"/>
  <c r="BK74"/>
  <c r="AX74"/>
  <c r="AY74"/>
  <c r="AQ74"/>
  <c r="CC75"/>
  <c r="CH75"/>
  <c r="CF75"/>
  <c r="CG75"/>
  <c r="BL75"/>
  <c r="BE75"/>
  <c r="AP75"/>
  <c r="AK73"/>
  <c r="AM73"/>
  <c r="BA73"/>
  <c r="BV73"/>
  <c r="BJ72"/>
  <c r="BI72"/>
  <c r="AT72"/>
  <c r="AS72"/>
  <c r="AU72"/>
  <c r="AE72"/>
  <c r="AD72"/>
  <c r="CE72"/>
  <c r="AG73"/>
  <c r="AH73"/>
  <c r="BX72"/>
  <c r="AG72"/>
  <c r="AO72"/>
  <c r="AF72"/>
  <c r="AJ72"/>
  <c r="AN72"/>
  <c r="BC73"/>
  <c r="AV72"/>
  <c r="DB72"/>
  <c r="BD73"/>
  <c r="AL73"/>
  <c r="BH74" a="1"/>
  <c r="BH74"/>
  <c r="T74"/>
  <c r="AR72"/>
  <c r="AW72"/>
  <c r="B72"/>
  <c r="U72"/>
  <c r="AK72"/>
  <c r="AM72"/>
  <c r="BA72"/>
  <c r="BV72"/>
  <c r="BZ75"/>
  <c r="BG75"/>
  <c r="BF75"/>
  <c r="CH74"/>
  <c r="CF74"/>
  <c r="CG74"/>
  <c r="CC74"/>
  <c r="AP74"/>
  <c r="BL74"/>
  <c r="BE74"/>
  <c r="BS73"/>
  <c r="BT73"/>
  <c r="BQ73"/>
  <c r="BR73"/>
  <c r="CD73"/>
  <c r="AY73"/>
  <c r="AQ73"/>
  <c r="CA73"/>
  <c r="BK73"/>
  <c r="AX73"/>
  <c r="AZ72"/>
  <c r="BB72"/>
  <c r="BP72"/>
  <c r="BW72"/>
  <c r="BY72"/>
  <c r="AL72"/>
  <c r="AH72"/>
  <c r="BC72"/>
  <c r="BD72"/>
  <c r="BS72"/>
  <c r="BT72"/>
  <c r="BQ72"/>
  <c r="BR72"/>
  <c r="CH73"/>
  <c r="CG73"/>
  <c r="CC73"/>
  <c r="CF73"/>
  <c r="BL73"/>
  <c r="BE73"/>
  <c r="AP73"/>
  <c r="BF74"/>
  <c r="BZ74"/>
  <c r="BG74"/>
  <c r="CD72"/>
  <c r="CA72"/>
  <c r="BK72"/>
  <c r="AY72"/>
  <c r="AQ72"/>
  <c r="AX72"/>
  <c r="AI72"/>
  <c r="CC72"/>
  <c r="CH72"/>
  <c r="CF72"/>
  <c r="CG72"/>
  <c r="BL72"/>
  <c r="BE72"/>
  <c r="AP72"/>
  <c r="BZ73"/>
  <c r="BG73"/>
  <c r="BF73"/>
  <c r="BH73" a="1"/>
  <c r="BH73"/>
  <c r="T73"/>
  <c r="BH72" a="1"/>
  <c r="BH72"/>
  <c r="T72"/>
  <c r="BF72"/>
  <c r="BZ72"/>
  <c r="BG72"/>
  <c r="DV71"/>
  <c r="CZ71"/>
  <c r="DU71"/>
  <c r="CY71"/>
  <c r="DT71"/>
  <c r="CX71"/>
  <c r="DS71"/>
  <c r="DG71"/>
  <c r="DR71"/>
  <c r="CV71"/>
  <c r="DQ71"/>
  <c r="CU71"/>
  <c r="DP71"/>
  <c r="CT71"/>
  <c r="CR71"/>
  <c r="CQ71"/>
  <c r="CP71"/>
  <c r="CO71"/>
  <c r="CN71"/>
  <c r="CM71"/>
  <c r="CL71"/>
  <c r="CJ71"/>
  <c r="CI71"/>
  <c r="DI71"/>
  <c r="CW71"/>
  <c r="DE71"/>
  <c r="DD71"/>
  <c r="DF71"/>
  <c r="DH71"/>
  <c r="DJ71"/>
  <c r="BJ71"/>
  <c r="BI71"/>
  <c r="AE71"/>
  <c r="AD71"/>
  <c r="BX71"/>
  <c r="AH71"/>
  <c r="AO71"/>
  <c r="AF71"/>
  <c r="AJ71"/>
  <c r="AN71"/>
  <c r="AZ71"/>
  <c r="BP71"/>
  <c r="AK71"/>
  <c r="AM71"/>
  <c r="BA71"/>
  <c r="AG71"/>
  <c r="BY71"/>
  <c r="AI71"/>
  <c r="BD71"/>
  <c r="AL71"/>
  <c r="DV70"/>
  <c r="CZ70"/>
  <c r="DU70"/>
  <c r="CY70"/>
  <c r="DT70"/>
  <c r="CX70"/>
  <c r="DS70"/>
  <c r="CW70"/>
  <c r="DR70"/>
  <c r="CV70"/>
  <c r="DQ70"/>
  <c r="CU70"/>
  <c r="DP70"/>
  <c r="CT70"/>
  <c r="DO70"/>
  <c r="CS70"/>
  <c r="DJ70"/>
  <c r="CR70"/>
  <c r="CQ70"/>
  <c r="CP70"/>
  <c r="CO70"/>
  <c r="CN70"/>
  <c r="CM70"/>
  <c r="CL70"/>
  <c r="CK70"/>
  <c r="CJ70"/>
  <c r="CI70"/>
  <c r="DI70"/>
  <c r="DG70"/>
  <c r="DH70"/>
  <c r="DD70"/>
  <c r="DE70"/>
  <c r="DC70"/>
  <c r="DF70"/>
  <c r="BJ70"/>
  <c r="BI70"/>
  <c r="AT70"/>
  <c r="AS70"/>
  <c r="AU70"/>
  <c r="AE70"/>
  <c r="AD70"/>
  <c r="DV69"/>
  <c r="CZ69"/>
  <c r="DU69"/>
  <c r="CY69"/>
  <c r="DT69"/>
  <c r="CX69"/>
  <c r="DS69"/>
  <c r="CW69"/>
  <c r="DR69"/>
  <c r="CV69"/>
  <c r="DQ69"/>
  <c r="CU69"/>
  <c r="DP69"/>
  <c r="CT69"/>
  <c r="DO69"/>
  <c r="CS69"/>
  <c r="CR69"/>
  <c r="CQ69"/>
  <c r="CP69"/>
  <c r="CO69"/>
  <c r="CN69"/>
  <c r="CM69"/>
  <c r="CL69"/>
  <c r="CK69"/>
  <c r="CJ69"/>
  <c r="CI69"/>
  <c r="DF69"/>
  <c r="DE69"/>
  <c r="DG69"/>
  <c r="DH69"/>
  <c r="DI69"/>
  <c r="DJ69"/>
  <c r="BX70"/>
  <c r="AG70"/>
  <c r="AO70"/>
  <c r="AF70"/>
  <c r="AJ70"/>
  <c r="AN70"/>
  <c r="DD69"/>
  <c r="DC69"/>
  <c r="DB70"/>
  <c r="BY70"/>
  <c r="AL70"/>
  <c r="AK70"/>
  <c r="AM70"/>
  <c r="BA70"/>
  <c r="AR70"/>
  <c r="AW70"/>
  <c r="BP70"/>
  <c r="BJ69"/>
  <c r="BI69"/>
  <c r="AT69"/>
  <c r="AS69"/>
  <c r="AU69"/>
  <c r="AE69"/>
  <c r="AD69"/>
  <c r="AH70"/>
  <c r="BX69"/>
  <c r="AH69"/>
  <c r="AO69"/>
  <c r="DB69"/>
  <c r="AI70"/>
  <c r="CD70"/>
  <c r="CA70"/>
  <c r="BK70"/>
  <c r="AQ70"/>
  <c r="AF69"/>
  <c r="AJ69"/>
  <c r="AN69"/>
  <c r="AR69"/>
  <c r="AW69"/>
  <c r="BP69"/>
  <c r="AK69"/>
  <c r="AM69"/>
  <c r="BA69"/>
  <c r="AG69"/>
  <c r="BY69"/>
  <c r="AI69"/>
  <c r="CG70"/>
  <c r="CH70"/>
  <c r="CF70"/>
  <c r="CC70"/>
  <c r="AP70"/>
  <c r="BL70"/>
  <c r="BE70"/>
  <c r="CE70"/>
  <c r="BB70"/>
  <c r="CD69"/>
  <c r="AQ69"/>
  <c r="CA69"/>
  <c r="BK69"/>
  <c r="AX70"/>
  <c r="AY70"/>
  <c r="AL69"/>
  <c r="BF70"/>
  <c r="BZ70"/>
  <c r="BG70"/>
  <c r="CG69"/>
  <c r="CC69"/>
  <c r="CH69"/>
  <c r="CF69"/>
  <c r="BL69"/>
  <c r="BE69"/>
  <c r="AP69"/>
  <c r="BB69"/>
  <c r="CE69"/>
  <c r="AX69"/>
  <c r="AY69"/>
  <c r="DV68"/>
  <c r="CZ68"/>
  <c r="DU68"/>
  <c r="CY68"/>
  <c r="DT68"/>
  <c r="CX68"/>
  <c r="DS68"/>
  <c r="CW68"/>
  <c r="DR68"/>
  <c r="CV68"/>
  <c r="DQ68"/>
  <c r="CU68"/>
  <c r="DP68"/>
  <c r="CT68"/>
  <c r="DO68"/>
  <c r="CS68"/>
  <c r="CR68"/>
  <c r="CQ68"/>
  <c r="CP68"/>
  <c r="CO68"/>
  <c r="CN68"/>
  <c r="CM68"/>
  <c r="CL68"/>
  <c r="CK68"/>
  <c r="CJ68"/>
  <c r="CI68"/>
  <c r="DI68"/>
  <c r="DF68"/>
  <c r="DJ68"/>
  <c r="DD68"/>
  <c r="DC68"/>
  <c r="DE68"/>
  <c r="DG68"/>
  <c r="DH68"/>
  <c r="BJ68"/>
  <c r="BI68"/>
  <c r="AE68"/>
  <c r="AD68"/>
  <c r="DV67"/>
  <c r="CZ67"/>
  <c r="DU67"/>
  <c r="CY67"/>
  <c r="DT67"/>
  <c r="CX67"/>
  <c r="DS67"/>
  <c r="CW67"/>
  <c r="DR67"/>
  <c r="CV67"/>
  <c r="DQ67"/>
  <c r="CU67"/>
  <c r="DP67"/>
  <c r="CT67"/>
  <c r="DO67"/>
  <c r="CS67"/>
  <c r="CR67"/>
  <c r="CQ67"/>
  <c r="CP67"/>
  <c r="CO67"/>
  <c r="CN67"/>
  <c r="CM67"/>
  <c r="CL67"/>
  <c r="CK67"/>
  <c r="CJ67"/>
  <c r="CI67"/>
  <c r="DH67"/>
  <c r="DJ67"/>
  <c r="DE67"/>
  <c r="DF67"/>
  <c r="DG67"/>
  <c r="DC67"/>
  <c r="DI67"/>
  <c r="DD67"/>
  <c r="BX68"/>
  <c r="BY68"/>
  <c r="AI68"/>
  <c r="AO68"/>
  <c r="AF68"/>
  <c r="AJ68"/>
  <c r="AN68"/>
  <c r="DB68"/>
  <c r="AK68"/>
  <c r="AM68"/>
  <c r="BA68"/>
  <c r="AZ68"/>
  <c r="BP68"/>
  <c r="BJ67"/>
  <c r="BI67"/>
  <c r="AE67"/>
  <c r="AD67"/>
  <c r="DV66"/>
  <c r="CZ66"/>
  <c r="DU66"/>
  <c r="CY66"/>
  <c r="DT66"/>
  <c r="CX66"/>
  <c r="DS66"/>
  <c r="CW66"/>
  <c r="DR66"/>
  <c r="CV66"/>
  <c r="DQ66"/>
  <c r="CU66"/>
  <c r="DP66"/>
  <c r="CT66"/>
  <c r="DO66"/>
  <c r="CS66"/>
  <c r="CR66"/>
  <c r="CQ66"/>
  <c r="CP66"/>
  <c r="CO66"/>
  <c r="CN66"/>
  <c r="CM66"/>
  <c r="CL66"/>
  <c r="CK66"/>
  <c r="CJ66"/>
  <c r="CI66"/>
  <c r="DB67"/>
  <c r="AH68"/>
  <c r="DG66"/>
  <c r="DH66"/>
  <c r="DI66"/>
  <c r="DD66"/>
  <c r="AG68"/>
  <c r="DJ66"/>
  <c r="AZ67"/>
  <c r="AO67"/>
  <c r="DC66"/>
  <c r="DE66"/>
  <c r="DF66"/>
  <c r="BD68"/>
  <c r="AL68"/>
  <c r="AK67"/>
  <c r="AM67"/>
  <c r="BA67"/>
  <c r="BX67"/>
  <c r="AF67"/>
  <c r="AJ67"/>
  <c r="AN67"/>
  <c r="BP67"/>
  <c r="BJ66"/>
  <c r="BI66"/>
  <c r="AE66"/>
  <c r="AD66"/>
  <c r="DV65"/>
  <c r="CZ65"/>
  <c r="DU65"/>
  <c r="DI65"/>
  <c r="DT65"/>
  <c r="CX65"/>
  <c r="DS65"/>
  <c r="DG65"/>
  <c r="DR65"/>
  <c r="CV65"/>
  <c r="DQ65"/>
  <c r="DE65"/>
  <c r="DP65"/>
  <c r="CT65"/>
  <c r="CR65"/>
  <c r="CQ65"/>
  <c r="CP65"/>
  <c r="CO65"/>
  <c r="CN65"/>
  <c r="CM65"/>
  <c r="CL65"/>
  <c r="CJ65"/>
  <c r="CI65"/>
  <c r="BD67"/>
  <c r="BX66"/>
  <c r="AH66"/>
  <c r="AO66"/>
  <c r="DB66"/>
  <c r="DH65"/>
  <c r="DJ65"/>
  <c r="DD65"/>
  <c r="CW65"/>
  <c r="DF65"/>
  <c r="CU65"/>
  <c r="CY65"/>
  <c r="BY67"/>
  <c r="AL67"/>
  <c r="AH67"/>
  <c r="AG67"/>
  <c r="AF66"/>
  <c r="AJ66"/>
  <c r="AN66"/>
  <c r="AZ66"/>
  <c r="BP66"/>
  <c r="AK66"/>
  <c r="AM66"/>
  <c r="BA66"/>
  <c r="BJ65"/>
  <c r="BI65"/>
  <c r="AE65"/>
  <c r="AD65"/>
  <c r="DV64"/>
  <c r="CZ64"/>
  <c r="DU64"/>
  <c r="DI64"/>
  <c r="DT64"/>
  <c r="CX64"/>
  <c r="DS64"/>
  <c r="DG64"/>
  <c r="DR64"/>
  <c r="CV64"/>
  <c r="DQ64"/>
  <c r="DE64"/>
  <c r="DP64"/>
  <c r="CT64"/>
  <c r="CR64"/>
  <c r="CQ64"/>
  <c r="CP64"/>
  <c r="CO64"/>
  <c r="CN64"/>
  <c r="CM64"/>
  <c r="CL64"/>
  <c r="CJ64"/>
  <c r="CI64"/>
  <c r="AG66"/>
  <c r="BY66"/>
  <c r="AI66"/>
  <c r="BX65"/>
  <c r="AH65"/>
  <c r="AO65"/>
  <c r="CW64"/>
  <c r="DD64"/>
  <c r="DH64"/>
  <c r="DF64"/>
  <c r="DJ64"/>
  <c r="CU64"/>
  <c r="CY64"/>
  <c r="AI67"/>
  <c r="AF65"/>
  <c r="AJ65"/>
  <c r="AN65"/>
  <c r="AZ65"/>
  <c r="BP65"/>
  <c r="BD66"/>
  <c r="AK65"/>
  <c r="AM65"/>
  <c r="BA65"/>
  <c r="BJ64"/>
  <c r="BI64"/>
  <c r="AE64"/>
  <c r="AD64"/>
  <c r="DV63"/>
  <c r="DJ63"/>
  <c r="DU63"/>
  <c r="CY63"/>
  <c r="DT63"/>
  <c r="DH63"/>
  <c r="DS63"/>
  <c r="CW63"/>
  <c r="DR63"/>
  <c r="DF63"/>
  <c r="DQ63"/>
  <c r="CU63"/>
  <c r="DP63"/>
  <c r="DD63"/>
  <c r="CR63"/>
  <c r="CQ63"/>
  <c r="CP63"/>
  <c r="CO63"/>
  <c r="CN63"/>
  <c r="CM63"/>
  <c r="CL63"/>
  <c r="CJ63"/>
  <c r="CI63"/>
  <c r="AL66"/>
  <c r="AG65"/>
  <c r="BY65"/>
  <c r="AI65"/>
  <c r="BX64"/>
  <c r="BY64"/>
  <c r="AL64"/>
  <c r="AO64"/>
  <c r="AF64"/>
  <c r="AJ64"/>
  <c r="AN64"/>
  <c r="DI63"/>
  <c r="CV63"/>
  <c r="DE63"/>
  <c r="CZ63"/>
  <c r="DG63"/>
  <c r="CT63"/>
  <c r="CX63"/>
  <c r="AG64"/>
  <c r="AK64"/>
  <c r="AM64"/>
  <c r="BA64"/>
  <c r="AZ64"/>
  <c r="BP64"/>
  <c r="BD65"/>
  <c r="BJ63"/>
  <c r="BI63"/>
  <c r="AE63"/>
  <c r="AD63"/>
  <c r="DV62"/>
  <c r="DJ62"/>
  <c r="DU62"/>
  <c r="CY62"/>
  <c r="DT62"/>
  <c r="CX62"/>
  <c r="DS62"/>
  <c r="CW62"/>
  <c r="DR62"/>
  <c r="DF62"/>
  <c r="DQ62"/>
  <c r="CU62"/>
  <c r="DP62"/>
  <c r="CT62"/>
  <c r="CR62"/>
  <c r="CQ62"/>
  <c r="CP62"/>
  <c r="CO62"/>
  <c r="CN62"/>
  <c r="CM62"/>
  <c r="CL62"/>
  <c r="CJ62"/>
  <c r="CI62"/>
  <c r="AH64"/>
  <c r="AL65"/>
  <c r="BX63"/>
  <c r="BY63"/>
  <c r="AL63"/>
  <c r="AO63"/>
  <c r="AF63"/>
  <c r="AJ63"/>
  <c r="AN63"/>
  <c r="DD62"/>
  <c r="CV62"/>
  <c r="DH62"/>
  <c r="CZ62"/>
  <c r="DE62"/>
  <c r="DG62"/>
  <c r="DI62"/>
  <c r="BD64"/>
  <c r="AI64"/>
  <c r="AH63"/>
  <c r="AK63"/>
  <c r="AM63"/>
  <c r="BA63"/>
  <c r="AZ63"/>
  <c r="BP63"/>
  <c r="BJ62"/>
  <c r="BI62"/>
  <c r="AE62"/>
  <c r="AD62"/>
  <c r="DV61"/>
  <c r="CZ61"/>
  <c r="DU61"/>
  <c r="CY61"/>
  <c r="DT61"/>
  <c r="CX61"/>
  <c r="DS61"/>
  <c r="CW61"/>
  <c r="DR61"/>
  <c r="CV61"/>
  <c r="DQ61"/>
  <c r="CU61"/>
  <c r="DP61"/>
  <c r="CT61"/>
  <c r="DO61"/>
  <c r="CS61"/>
  <c r="CR61"/>
  <c r="CQ61"/>
  <c r="CP61"/>
  <c r="CO61"/>
  <c r="CN61"/>
  <c r="CM61"/>
  <c r="CL61"/>
  <c r="CK61"/>
  <c r="CJ61"/>
  <c r="CI61"/>
  <c r="AG63"/>
  <c r="DJ61"/>
  <c r="DG61"/>
  <c r="DH61"/>
  <c r="DI61"/>
  <c r="BX62"/>
  <c r="AG62"/>
  <c r="AO62"/>
  <c r="BD63"/>
  <c r="DE61"/>
  <c r="DF61"/>
  <c r="DD61"/>
  <c r="DC61"/>
  <c r="AI63"/>
  <c r="AF62"/>
  <c r="AJ62"/>
  <c r="AN62"/>
  <c r="AZ62"/>
  <c r="BP62"/>
  <c r="AK62"/>
  <c r="AM62"/>
  <c r="BA62"/>
  <c r="BJ61"/>
  <c r="BI61"/>
  <c r="AE61"/>
  <c r="AD61"/>
  <c r="DV60"/>
  <c r="CZ60"/>
  <c r="DU60"/>
  <c r="CY60"/>
  <c r="DT60"/>
  <c r="CX60"/>
  <c r="DS60"/>
  <c r="CW60"/>
  <c r="DR60"/>
  <c r="CV60"/>
  <c r="DQ60"/>
  <c r="CU60"/>
  <c r="DP60"/>
  <c r="CT60"/>
  <c r="DO60"/>
  <c r="CS60"/>
  <c r="CR60"/>
  <c r="CQ60"/>
  <c r="CP60"/>
  <c r="CO60"/>
  <c r="CN60"/>
  <c r="CM60"/>
  <c r="CL60"/>
  <c r="CK60"/>
  <c r="CJ60"/>
  <c r="CI60"/>
  <c r="AH62"/>
  <c r="BY62"/>
  <c r="AI62"/>
  <c r="BX61"/>
  <c r="BY61"/>
  <c r="AI61"/>
  <c r="AO61"/>
  <c r="AF61"/>
  <c r="AJ61"/>
  <c r="AN61"/>
  <c r="DH60"/>
  <c r="DF60"/>
  <c r="DE60"/>
  <c r="DG60"/>
  <c r="DI60"/>
  <c r="DJ60"/>
  <c r="DC60"/>
  <c r="DD60"/>
  <c r="DB61"/>
  <c r="AK61"/>
  <c r="AM61"/>
  <c r="AZ61"/>
  <c r="BP61"/>
  <c r="BD62"/>
  <c r="BJ60"/>
  <c r="BI60"/>
  <c r="AE60"/>
  <c r="AD60"/>
  <c r="DV59"/>
  <c r="CZ59"/>
  <c r="DU59"/>
  <c r="CY59"/>
  <c r="DT59"/>
  <c r="CX59"/>
  <c r="DS59"/>
  <c r="CW59"/>
  <c r="DR59"/>
  <c r="CV59"/>
  <c r="DQ59"/>
  <c r="CU59"/>
  <c r="DP59"/>
  <c r="CT59"/>
  <c r="DO59"/>
  <c r="CS59"/>
  <c r="CR59"/>
  <c r="CQ59"/>
  <c r="CP59"/>
  <c r="CO59"/>
  <c r="CN59"/>
  <c r="CM59"/>
  <c r="CL59"/>
  <c r="CK59"/>
  <c r="CJ59"/>
  <c r="CI59"/>
  <c r="AH61"/>
  <c r="AG61"/>
  <c r="AL62"/>
  <c r="BX60"/>
  <c r="BY60"/>
  <c r="AL60"/>
  <c r="AO60"/>
  <c r="AF60"/>
  <c r="AJ60"/>
  <c r="AN60"/>
  <c r="DI59"/>
  <c r="DJ59"/>
  <c r="DB60"/>
  <c r="DG59"/>
  <c r="DC59"/>
  <c r="DF59"/>
  <c r="DH59"/>
  <c r="DD59"/>
  <c r="DE59"/>
  <c r="AL61"/>
  <c r="AK60"/>
  <c r="AM60"/>
  <c r="AZ60"/>
  <c r="BP60"/>
  <c r="BJ59"/>
  <c r="BI59"/>
  <c r="AE59"/>
  <c r="AD59"/>
  <c r="DV58"/>
  <c r="CZ58"/>
  <c r="DU58"/>
  <c r="CY58"/>
  <c r="DT58"/>
  <c r="CX58"/>
  <c r="DS58"/>
  <c r="CW58"/>
  <c r="DR58"/>
  <c r="CV58"/>
  <c r="DQ58"/>
  <c r="CU58"/>
  <c r="DP58"/>
  <c r="CT58"/>
  <c r="DO58"/>
  <c r="CS58"/>
  <c r="CR58"/>
  <c r="CQ58"/>
  <c r="CP58"/>
  <c r="CO58"/>
  <c r="CN58"/>
  <c r="CM58"/>
  <c r="CL58"/>
  <c r="CK58"/>
  <c r="CJ58"/>
  <c r="CI58"/>
  <c r="AG60"/>
  <c r="AH60"/>
  <c r="DI58"/>
  <c r="DJ58"/>
  <c r="DG58"/>
  <c r="DH58"/>
  <c r="BX59"/>
  <c r="AH59"/>
  <c r="AO59"/>
  <c r="AF59"/>
  <c r="AJ59"/>
  <c r="AN59"/>
  <c r="DC58"/>
  <c r="DE58"/>
  <c r="DD58"/>
  <c r="DF58"/>
  <c r="DB59"/>
  <c r="AI60"/>
  <c r="AK59"/>
  <c r="AM59"/>
  <c r="AZ59"/>
  <c r="BP59"/>
  <c r="BJ58"/>
  <c r="BI58"/>
  <c r="AE58"/>
  <c r="AD58"/>
  <c r="DV57"/>
  <c r="CZ57"/>
  <c r="DU57"/>
  <c r="CY57"/>
  <c r="DT57"/>
  <c r="CX57"/>
  <c r="DS57"/>
  <c r="CW57"/>
  <c r="DR57"/>
  <c r="CV57"/>
  <c r="DQ57"/>
  <c r="CU57"/>
  <c r="DP57"/>
  <c r="CT57"/>
  <c r="DO57"/>
  <c r="CS57"/>
  <c r="CR57"/>
  <c r="CQ57"/>
  <c r="CP57"/>
  <c r="CO57"/>
  <c r="CN57"/>
  <c r="CM57"/>
  <c r="CL57"/>
  <c r="CK57"/>
  <c r="CJ57"/>
  <c r="CI57"/>
  <c r="BY59"/>
  <c r="AL59"/>
  <c r="AG59"/>
  <c r="BX58"/>
  <c r="AH58"/>
  <c r="AO58"/>
  <c r="DC57"/>
  <c r="DB58"/>
  <c r="DG57"/>
  <c r="DE57"/>
  <c r="DI57"/>
  <c r="DD57"/>
  <c r="DF57"/>
  <c r="DH57"/>
  <c r="DJ57"/>
  <c r="AF58"/>
  <c r="AJ58"/>
  <c r="AN58"/>
  <c r="AZ58"/>
  <c r="BP58"/>
  <c r="AK58"/>
  <c r="AM58"/>
  <c r="BJ57"/>
  <c r="BI57"/>
  <c r="AT57"/>
  <c r="AS57"/>
  <c r="AU57"/>
  <c r="AE57"/>
  <c r="AF57"/>
  <c r="AD57"/>
  <c r="DV56"/>
  <c r="CZ56"/>
  <c r="DU56"/>
  <c r="CY56"/>
  <c r="DT56"/>
  <c r="CX56"/>
  <c r="DS56"/>
  <c r="CW56"/>
  <c r="DR56"/>
  <c r="CV56"/>
  <c r="DQ56"/>
  <c r="CU56"/>
  <c r="DP56"/>
  <c r="CT56"/>
  <c r="DO56"/>
  <c r="CS56"/>
  <c r="CR56"/>
  <c r="CQ56"/>
  <c r="CP56"/>
  <c r="CO56"/>
  <c r="CN56"/>
  <c r="CM56"/>
  <c r="CL56"/>
  <c r="CK56"/>
  <c r="CJ56"/>
  <c r="CI56"/>
  <c r="AI59"/>
  <c r="AG58"/>
  <c r="BY58"/>
  <c r="AI58"/>
  <c r="DJ56"/>
  <c r="DH56"/>
  <c r="DI56"/>
  <c r="DE56"/>
  <c r="DB57"/>
  <c r="AV57"/>
  <c r="DC56"/>
  <c r="DD56"/>
  <c r="DF56"/>
  <c r="DG56"/>
  <c r="AL58"/>
  <c r="AR57"/>
  <c r="AW57"/>
  <c r="BP57"/>
  <c r="BJ56"/>
  <c r="BI56"/>
  <c r="AT56"/>
  <c r="AS56"/>
  <c r="AU56"/>
  <c r="AE56"/>
  <c r="AF56"/>
  <c r="AD56"/>
  <c r="DV55"/>
  <c r="CZ55"/>
  <c r="DU55"/>
  <c r="CY55"/>
  <c r="DT55"/>
  <c r="CX55"/>
  <c r="DS55"/>
  <c r="CW55"/>
  <c r="DR55"/>
  <c r="CV55"/>
  <c r="DQ55"/>
  <c r="CU55"/>
  <c r="DP55"/>
  <c r="CT55"/>
  <c r="DO55"/>
  <c r="CS55"/>
  <c r="CR55"/>
  <c r="CQ55"/>
  <c r="CP55"/>
  <c r="CO55"/>
  <c r="CN55"/>
  <c r="CM55"/>
  <c r="CL55"/>
  <c r="CK55"/>
  <c r="CJ55"/>
  <c r="CI55"/>
  <c r="DJ55"/>
  <c r="DH55"/>
  <c r="DI55"/>
  <c r="AV56"/>
  <c r="DB56"/>
  <c r="DE55"/>
  <c r="DC55"/>
  <c r="DF55"/>
  <c r="DD55"/>
  <c r="DG55"/>
  <c r="CD57"/>
  <c r="CA57"/>
  <c r="BK57"/>
  <c r="AX57"/>
  <c r="AY57"/>
  <c r="AQ57"/>
  <c r="AR56"/>
  <c r="AW56"/>
  <c r="BP56"/>
  <c r="BJ55"/>
  <c r="BI55"/>
  <c r="AT55"/>
  <c r="AS55"/>
  <c r="AU55"/>
  <c r="AE55"/>
  <c r="AD55"/>
  <c r="DV54"/>
  <c r="CZ54"/>
  <c r="DU54"/>
  <c r="CY54"/>
  <c r="DT54"/>
  <c r="CX54"/>
  <c r="DS54"/>
  <c r="CW54"/>
  <c r="DR54"/>
  <c r="CV54"/>
  <c r="DQ54"/>
  <c r="CU54"/>
  <c r="DP54"/>
  <c r="CT54"/>
  <c r="DO54"/>
  <c r="CS54"/>
  <c r="CR54"/>
  <c r="CQ54"/>
  <c r="CP54"/>
  <c r="CO54"/>
  <c r="CN54"/>
  <c r="CM54"/>
  <c r="CL54"/>
  <c r="CK54"/>
  <c r="CJ54"/>
  <c r="CI54"/>
  <c r="DI54"/>
  <c r="DH54"/>
  <c r="DJ54"/>
  <c r="AV55"/>
  <c r="AF55"/>
  <c r="DB55"/>
  <c r="DD54"/>
  <c r="DF54"/>
  <c r="DC54"/>
  <c r="DE54"/>
  <c r="DG54"/>
  <c r="CC57"/>
  <c r="CH57"/>
  <c r="CF57"/>
  <c r="CG57"/>
  <c r="BE57"/>
  <c r="CE57"/>
  <c r="CD56"/>
  <c r="CA56"/>
  <c r="BK56"/>
  <c r="AX56"/>
  <c r="AY56"/>
  <c r="AQ56"/>
  <c r="AR55"/>
  <c r="AW55"/>
  <c r="BP55"/>
  <c r="BJ54"/>
  <c r="BI54"/>
  <c r="AE54"/>
  <c r="AD54"/>
  <c r="DV53"/>
  <c r="CZ53"/>
  <c r="DU53"/>
  <c r="CY53"/>
  <c r="DT53"/>
  <c r="CX53"/>
  <c r="DS53"/>
  <c r="CW53"/>
  <c r="DR53"/>
  <c r="CV53"/>
  <c r="DQ53"/>
  <c r="CU53"/>
  <c r="DP53"/>
  <c r="CT53"/>
  <c r="DO53"/>
  <c r="CS53"/>
  <c r="CR53"/>
  <c r="CQ53"/>
  <c r="CP53"/>
  <c r="CO53"/>
  <c r="CN53"/>
  <c r="CM53"/>
  <c r="CL53"/>
  <c r="CK53"/>
  <c r="CJ53"/>
  <c r="CI53"/>
  <c r="BX54"/>
  <c r="BY54"/>
  <c r="AI54"/>
  <c r="AO54"/>
  <c r="DG53"/>
  <c r="DI53"/>
  <c r="DF53"/>
  <c r="DH53"/>
  <c r="DJ53"/>
  <c r="DD53"/>
  <c r="DC53"/>
  <c r="DE53"/>
  <c r="DB54"/>
  <c r="BF57"/>
  <c r="BZ57"/>
  <c r="BG57"/>
  <c r="AF54"/>
  <c r="AJ54"/>
  <c r="AN54"/>
  <c r="AZ54"/>
  <c r="BP54"/>
  <c r="CD55"/>
  <c r="CA55"/>
  <c r="BK55"/>
  <c r="AX55"/>
  <c r="AY55"/>
  <c r="AQ55"/>
  <c r="CG56"/>
  <c r="CC56"/>
  <c r="CH56"/>
  <c r="CF56"/>
  <c r="BE56"/>
  <c r="CE56"/>
  <c r="AK54"/>
  <c r="AM54"/>
  <c r="BJ53"/>
  <c r="BI53"/>
  <c r="AE53"/>
  <c r="AD53"/>
  <c r="DV52"/>
  <c r="CZ52"/>
  <c r="DU52"/>
  <c r="CY52"/>
  <c r="DT52"/>
  <c r="CX52"/>
  <c r="DS52"/>
  <c r="CW52"/>
  <c r="DR52"/>
  <c r="CV52"/>
  <c r="DQ52"/>
  <c r="CU52"/>
  <c r="DP52"/>
  <c r="CT52"/>
  <c r="DO52"/>
  <c r="CS52"/>
  <c r="CR52"/>
  <c r="CQ52"/>
  <c r="CP52"/>
  <c r="CO52"/>
  <c r="CN52"/>
  <c r="CM52"/>
  <c r="CL52"/>
  <c r="CK52"/>
  <c r="CJ52"/>
  <c r="CI52"/>
  <c r="AH54"/>
  <c r="AG54"/>
  <c r="DJ52"/>
  <c r="BX53"/>
  <c r="AH53"/>
  <c r="AO53"/>
  <c r="AF53"/>
  <c r="AJ53"/>
  <c r="AN53"/>
  <c r="DH52"/>
  <c r="DI52"/>
  <c r="DD52"/>
  <c r="DF52"/>
  <c r="DC52"/>
  <c r="DE52"/>
  <c r="DG52"/>
  <c r="DB53"/>
  <c r="AL54"/>
  <c r="CH55"/>
  <c r="CF55"/>
  <c r="CG55"/>
  <c r="CC55"/>
  <c r="BE55"/>
  <c r="CE55"/>
  <c r="AK53"/>
  <c r="AM53"/>
  <c r="BF56"/>
  <c r="BZ56"/>
  <c r="BG56"/>
  <c r="BP53"/>
  <c r="BJ52"/>
  <c r="BI52"/>
  <c r="AE52"/>
  <c r="AD52"/>
  <c r="DV51"/>
  <c r="CZ51"/>
  <c r="DU51"/>
  <c r="CY51"/>
  <c r="DT51"/>
  <c r="CX51"/>
  <c r="DS51"/>
  <c r="CW51"/>
  <c r="DR51"/>
  <c r="CV51"/>
  <c r="DQ51"/>
  <c r="CU51"/>
  <c r="DP51"/>
  <c r="CT51"/>
  <c r="DO51"/>
  <c r="CS51"/>
  <c r="DH51"/>
  <c r="CR51"/>
  <c r="CQ51"/>
  <c r="CP51"/>
  <c r="CO51"/>
  <c r="CN51"/>
  <c r="CM51"/>
  <c r="CL51"/>
  <c r="CK51"/>
  <c r="CJ51"/>
  <c r="CI51"/>
  <c r="BY53"/>
  <c r="AI53"/>
  <c r="AG53"/>
  <c r="DJ51"/>
  <c r="DG51"/>
  <c r="DI51"/>
  <c r="BX52"/>
  <c r="AG52"/>
  <c r="AO52"/>
  <c r="DE51"/>
  <c r="DF51"/>
  <c r="DC51"/>
  <c r="DD51"/>
  <c r="DB52"/>
  <c r="BF55"/>
  <c r="BZ55"/>
  <c r="BG55"/>
  <c r="AF52"/>
  <c r="AJ52"/>
  <c r="AN52"/>
  <c r="AZ52"/>
  <c r="BP52"/>
  <c r="AK52"/>
  <c r="AM52"/>
  <c r="BA52"/>
  <c r="BJ51"/>
  <c r="BI51"/>
  <c r="AE51"/>
  <c r="AD51"/>
  <c r="DV50"/>
  <c r="CZ50"/>
  <c r="DU50"/>
  <c r="CY50"/>
  <c r="DT50"/>
  <c r="CX50"/>
  <c r="DS50"/>
  <c r="CW50"/>
  <c r="DR50"/>
  <c r="CV50"/>
  <c r="DQ50"/>
  <c r="CU50"/>
  <c r="DP50"/>
  <c r="CT50"/>
  <c r="DO50"/>
  <c r="CS50"/>
  <c r="CR50"/>
  <c r="CQ50"/>
  <c r="CP50"/>
  <c r="CO50"/>
  <c r="CN50"/>
  <c r="CM50"/>
  <c r="CL50"/>
  <c r="CK50"/>
  <c r="CJ50"/>
  <c r="CI50"/>
  <c r="AL53"/>
  <c r="AH52"/>
  <c r="BY52"/>
  <c r="AI52"/>
  <c r="DI50"/>
  <c r="DJ50"/>
  <c r="BX51"/>
  <c r="BY51"/>
  <c r="AL51"/>
  <c r="AO51"/>
  <c r="AF51"/>
  <c r="AJ51"/>
  <c r="AN51"/>
  <c r="DB51"/>
  <c r="DE50"/>
  <c r="DC50"/>
  <c r="DG50"/>
  <c r="DD50"/>
  <c r="DF50"/>
  <c r="DH50"/>
  <c r="AK51"/>
  <c r="AM51"/>
  <c r="BA51"/>
  <c r="AZ51"/>
  <c r="BP51"/>
  <c r="BD52"/>
  <c r="BJ50"/>
  <c r="BI50"/>
  <c r="AE50"/>
  <c r="AD50"/>
  <c r="DV49"/>
  <c r="CZ49"/>
  <c r="DU49"/>
  <c r="CY49"/>
  <c r="DT49"/>
  <c r="CX49"/>
  <c r="DS49"/>
  <c r="CW49"/>
  <c r="DR49"/>
  <c r="CV49"/>
  <c r="DQ49"/>
  <c r="CU49"/>
  <c r="DP49"/>
  <c r="CT49"/>
  <c r="DO49"/>
  <c r="CS49"/>
  <c r="CR49"/>
  <c r="CQ49"/>
  <c r="CP49"/>
  <c r="CO49"/>
  <c r="CN49"/>
  <c r="CM49"/>
  <c r="CL49"/>
  <c r="CK49"/>
  <c r="CJ49"/>
  <c r="CI49"/>
  <c r="AL52"/>
  <c r="DJ49"/>
  <c r="AG51"/>
  <c r="AH51"/>
  <c r="DI49"/>
  <c r="BX50"/>
  <c r="AH50"/>
  <c r="AO50"/>
  <c r="DE49"/>
  <c r="DH49"/>
  <c r="DC49"/>
  <c r="DD49"/>
  <c r="DF49"/>
  <c r="DG49"/>
  <c r="DB50"/>
  <c r="BD51"/>
  <c r="AI51"/>
  <c r="AF50"/>
  <c r="AJ50"/>
  <c r="AN50"/>
  <c r="AZ50"/>
  <c r="BP50"/>
  <c r="AK50"/>
  <c r="AM50"/>
  <c r="BA50"/>
  <c r="BJ49"/>
  <c r="BI49"/>
  <c r="AE49"/>
  <c r="AD49"/>
  <c r="DV48"/>
  <c r="CZ48"/>
  <c r="DU48"/>
  <c r="CY48"/>
  <c r="DT48"/>
  <c r="CX48"/>
  <c r="DS48"/>
  <c r="CW48"/>
  <c r="DR48"/>
  <c r="CV48"/>
  <c r="DQ48"/>
  <c r="CU48"/>
  <c r="DP48"/>
  <c r="CT48"/>
  <c r="DO48"/>
  <c r="CS48"/>
  <c r="CR48"/>
  <c r="CQ48"/>
  <c r="CP48"/>
  <c r="CO48"/>
  <c r="CN48"/>
  <c r="CM48"/>
  <c r="CL48"/>
  <c r="CK48"/>
  <c r="CJ48"/>
  <c r="CI48"/>
  <c r="AG50"/>
  <c r="BY50"/>
  <c r="AI50"/>
  <c r="DI48"/>
  <c r="DJ48"/>
  <c r="BX49"/>
  <c r="AH49"/>
  <c r="AO49"/>
  <c r="DH48"/>
  <c r="DD48"/>
  <c r="DF48"/>
  <c r="DC48"/>
  <c r="DE48"/>
  <c r="DG48"/>
  <c r="DB49"/>
  <c r="AF49"/>
  <c r="AJ49"/>
  <c r="AN49"/>
  <c r="AZ49"/>
  <c r="BP49"/>
  <c r="BD50"/>
  <c r="AK49"/>
  <c r="AM49"/>
  <c r="BA49"/>
  <c r="BJ48"/>
  <c r="BI48"/>
  <c r="AT48"/>
  <c r="AS48"/>
  <c r="AU48"/>
  <c r="AE48"/>
  <c r="AD48"/>
  <c r="DV47"/>
  <c r="CZ47"/>
  <c r="DU47"/>
  <c r="CY47"/>
  <c r="DT47"/>
  <c r="CX47"/>
  <c r="DS47"/>
  <c r="CW47"/>
  <c r="DR47"/>
  <c r="CV47"/>
  <c r="DQ47"/>
  <c r="CU47"/>
  <c r="DP47"/>
  <c r="CT47"/>
  <c r="DO47"/>
  <c r="CS47"/>
  <c r="CR47"/>
  <c r="CQ47"/>
  <c r="CP47"/>
  <c r="CO47"/>
  <c r="CN47"/>
  <c r="CM47"/>
  <c r="CL47"/>
  <c r="CK47"/>
  <c r="CJ47"/>
  <c r="CI47"/>
  <c r="AL50"/>
  <c r="AG49"/>
  <c r="BY49"/>
  <c r="AI49"/>
  <c r="DJ47"/>
  <c r="DI47"/>
  <c r="DH47"/>
  <c r="BX48"/>
  <c r="AH48"/>
  <c r="AO48"/>
  <c r="AF48"/>
  <c r="AJ48"/>
  <c r="AN48"/>
  <c r="DG47"/>
  <c r="DE47"/>
  <c r="DF47"/>
  <c r="DB48"/>
  <c r="DD47"/>
  <c r="AL49"/>
  <c r="DC47"/>
  <c r="AK48"/>
  <c r="AM48"/>
  <c r="BA48"/>
  <c r="BD49"/>
  <c r="AR48"/>
  <c r="AW48"/>
  <c r="AZ48"/>
  <c r="BP48"/>
  <c r="BJ47"/>
  <c r="BI47"/>
  <c r="AT47"/>
  <c r="AS47"/>
  <c r="AU47"/>
  <c r="AE47"/>
  <c r="AD47"/>
  <c r="DV46"/>
  <c r="CZ46"/>
  <c r="DU46"/>
  <c r="CY46"/>
  <c r="DT46"/>
  <c r="CX46"/>
  <c r="DS46"/>
  <c r="CW46"/>
  <c r="DR46"/>
  <c r="CV46"/>
  <c r="DQ46"/>
  <c r="CU46"/>
  <c r="DP46"/>
  <c r="CT46"/>
  <c r="DO46"/>
  <c r="CS46"/>
  <c r="CR46"/>
  <c r="CQ46"/>
  <c r="CP46"/>
  <c r="CO46"/>
  <c r="CN46"/>
  <c r="CM46"/>
  <c r="CL46"/>
  <c r="CK46"/>
  <c r="CJ46"/>
  <c r="CI46"/>
  <c r="BY48"/>
  <c r="AI48"/>
  <c r="AG48"/>
  <c r="BX47"/>
  <c r="AH47"/>
  <c r="AO47"/>
  <c r="DG46"/>
  <c r="DI46"/>
  <c r="DF46"/>
  <c r="DH46"/>
  <c r="DC46"/>
  <c r="DJ46"/>
  <c r="DD46"/>
  <c r="DE46"/>
  <c r="DB47"/>
  <c r="BD48"/>
  <c r="AF47"/>
  <c r="AJ47"/>
  <c r="AN47"/>
  <c r="AR47"/>
  <c r="AW47"/>
  <c r="AZ47"/>
  <c r="BP47"/>
  <c r="CD48"/>
  <c r="CA48"/>
  <c r="BK48"/>
  <c r="AQ48"/>
  <c r="AK47"/>
  <c r="AM47"/>
  <c r="BA47"/>
  <c r="BJ46"/>
  <c r="BI46"/>
  <c r="AE46"/>
  <c r="AD46"/>
  <c r="DV45"/>
  <c r="CZ45"/>
  <c r="DU45"/>
  <c r="CY45"/>
  <c r="DT45"/>
  <c r="CX45"/>
  <c r="DS45"/>
  <c r="CW45"/>
  <c r="DR45"/>
  <c r="CV45"/>
  <c r="DQ45"/>
  <c r="CU45"/>
  <c r="DP45"/>
  <c r="CT45"/>
  <c r="DO45"/>
  <c r="CS45"/>
  <c r="CR45"/>
  <c r="CQ45"/>
  <c r="CP45"/>
  <c r="CO45"/>
  <c r="CN45"/>
  <c r="CM45"/>
  <c r="CL45"/>
  <c r="CK45"/>
  <c r="CJ45"/>
  <c r="CI45"/>
  <c r="AG47"/>
  <c r="AL48"/>
  <c r="BY47"/>
  <c r="AI47"/>
  <c r="DJ45"/>
  <c r="BX46"/>
  <c r="AH46"/>
  <c r="AO46"/>
  <c r="AF46"/>
  <c r="AJ46"/>
  <c r="AN46"/>
  <c r="DF45"/>
  <c r="DI45"/>
  <c r="DD45"/>
  <c r="DE45"/>
  <c r="DG45"/>
  <c r="DH45"/>
  <c r="DB46"/>
  <c r="DC45"/>
  <c r="BY46"/>
  <c r="AL46"/>
  <c r="CG48"/>
  <c r="CC48"/>
  <c r="CH48"/>
  <c r="CF48"/>
  <c r="AP48"/>
  <c r="BL48"/>
  <c r="BE48"/>
  <c r="CE48"/>
  <c r="BB48"/>
  <c r="BC48"/>
  <c r="AK46"/>
  <c r="AM46"/>
  <c r="BA46"/>
  <c r="CD47"/>
  <c r="AQ47"/>
  <c r="CA47"/>
  <c r="BK47"/>
  <c r="AZ46"/>
  <c r="BP46"/>
  <c r="BD47"/>
  <c r="BJ45"/>
  <c r="BI45"/>
  <c r="AE45"/>
  <c r="AD45"/>
  <c r="DV44"/>
  <c r="CZ44"/>
  <c r="DU44"/>
  <c r="CY44"/>
  <c r="DT44"/>
  <c r="CX44"/>
  <c r="DS44"/>
  <c r="CW44"/>
  <c r="DR44"/>
  <c r="CV44"/>
  <c r="DQ44"/>
  <c r="CU44"/>
  <c r="DP44"/>
  <c r="CT44"/>
  <c r="DO44"/>
  <c r="CS44"/>
  <c r="CR44"/>
  <c r="CQ44"/>
  <c r="CP44"/>
  <c r="CO44"/>
  <c r="CN44"/>
  <c r="CM44"/>
  <c r="CL44"/>
  <c r="CK44"/>
  <c r="CJ44"/>
  <c r="CI44"/>
  <c r="AY48"/>
  <c r="AX48"/>
  <c r="AL47"/>
  <c r="DJ44"/>
  <c r="AG46"/>
  <c r="BX45"/>
  <c r="AG45"/>
  <c r="AO45"/>
  <c r="AF45"/>
  <c r="AJ45"/>
  <c r="AN45"/>
  <c r="DH44"/>
  <c r="DI44"/>
  <c r="DB45"/>
  <c r="AI46"/>
  <c r="DG44"/>
  <c r="DC44"/>
  <c r="DE44"/>
  <c r="DD44"/>
  <c r="DF44"/>
  <c r="BD46"/>
  <c r="BY45"/>
  <c r="AL45"/>
  <c r="CH47"/>
  <c r="CF47"/>
  <c r="CG47"/>
  <c r="CC47"/>
  <c r="BL47"/>
  <c r="BE47"/>
  <c r="AP47"/>
  <c r="CE47"/>
  <c r="BB47"/>
  <c r="BC47"/>
  <c r="AK45"/>
  <c r="AM45"/>
  <c r="BA45"/>
  <c r="T48"/>
  <c r="BF48"/>
  <c r="BZ48"/>
  <c r="BG48"/>
  <c r="AZ45"/>
  <c r="BP45"/>
  <c r="BJ44"/>
  <c r="BI44"/>
  <c r="AE44"/>
  <c r="AD44"/>
  <c r="DV43"/>
  <c r="CZ43"/>
  <c r="DU43"/>
  <c r="CY43"/>
  <c r="DT43"/>
  <c r="CX43"/>
  <c r="DS43"/>
  <c r="CW43"/>
  <c r="DR43"/>
  <c r="CV43"/>
  <c r="DQ43"/>
  <c r="CU43"/>
  <c r="DP43"/>
  <c r="CT43"/>
  <c r="DO43"/>
  <c r="CS43"/>
  <c r="CR43"/>
  <c r="CQ43"/>
  <c r="CP43"/>
  <c r="CO43"/>
  <c r="CN43"/>
  <c r="CM43"/>
  <c r="CL43"/>
  <c r="CK43"/>
  <c r="CJ43"/>
  <c r="CI43"/>
  <c r="AX47"/>
  <c r="AY47"/>
  <c r="BH48" a="1"/>
  <c r="AH45"/>
  <c r="DJ43"/>
  <c r="DH43"/>
  <c r="DG43"/>
  <c r="DI43"/>
  <c r="BX44"/>
  <c r="AG44"/>
  <c r="AO44"/>
  <c r="AF44"/>
  <c r="AJ44"/>
  <c r="AN44"/>
  <c r="BD45"/>
  <c r="DE43"/>
  <c r="DF43"/>
  <c r="DB44"/>
  <c r="DC43"/>
  <c r="DD43"/>
  <c r="BH48"/>
  <c r="BZ47"/>
  <c r="BG47"/>
  <c r="BF47"/>
  <c r="AK44"/>
  <c r="AM44"/>
  <c r="BA44"/>
  <c r="AI45"/>
  <c r="T47"/>
  <c r="AZ44"/>
  <c r="BP44"/>
  <c r="BJ43"/>
  <c r="BI43"/>
  <c r="AE43"/>
  <c r="AD43"/>
  <c r="DV42"/>
  <c r="CZ42"/>
  <c r="DU42"/>
  <c r="CY42"/>
  <c r="DT42"/>
  <c r="CX42"/>
  <c r="DS42"/>
  <c r="CW42"/>
  <c r="DR42"/>
  <c r="CV42"/>
  <c r="DQ42"/>
  <c r="CU42"/>
  <c r="DP42"/>
  <c r="CT42"/>
  <c r="DO42"/>
  <c r="CS42"/>
  <c r="CR42"/>
  <c r="CQ42"/>
  <c r="CP42"/>
  <c r="CO42"/>
  <c r="CN42"/>
  <c r="CM42"/>
  <c r="CL42"/>
  <c r="CK42"/>
  <c r="CJ42"/>
  <c r="CI42"/>
  <c r="BH47" a="1"/>
  <c r="BY44"/>
  <c r="AL44"/>
  <c r="AH44"/>
  <c r="DJ42"/>
  <c r="BX43"/>
  <c r="AH43"/>
  <c r="AO43"/>
  <c r="BD44"/>
  <c r="DD42"/>
  <c r="DH42"/>
  <c r="DG42"/>
  <c r="DI42"/>
  <c r="DB43"/>
  <c r="DC42"/>
  <c r="DE42"/>
  <c r="DF42"/>
  <c r="BH47"/>
  <c r="AF43"/>
  <c r="AJ43"/>
  <c r="AN43"/>
  <c r="AZ43"/>
  <c r="BP43"/>
  <c r="AK43"/>
  <c r="AM43"/>
  <c r="BA43"/>
  <c r="BJ42"/>
  <c r="BI42"/>
  <c r="AE42"/>
  <c r="AD42"/>
  <c r="DV41"/>
  <c r="CZ41"/>
  <c r="DU41"/>
  <c r="CY41"/>
  <c r="DT41"/>
  <c r="CX41"/>
  <c r="DS41"/>
  <c r="CW41"/>
  <c r="DR41"/>
  <c r="CV41"/>
  <c r="DQ41"/>
  <c r="CU41"/>
  <c r="DP41"/>
  <c r="CT41"/>
  <c r="DO41"/>
  <c r="CS41"/>
  <c r="CR41"/>
  <c r="CQ41"/>
  <c r="CP41"/>
  <c r="CO41"/>
  <c r="CN41"/>
  <c r="CM41"/>
  <c r="CL41"/>
  <c r="CK41"/>
  <c r="CJ41"/>
  <c r="CI41"/>
  <c r="AI44"/>
  <c r="AG43"/>
  <c r="DI41"/>
  <c r="DH41"/>
  <c r="BY43"/>
  <c r="AI43"/>
  <c r="DJ41"/>
  <c r="DG41"/>
  <c r="BX42"/>
  <c r="AG42"/>
  <c r="AO42"/>
  <c r="AF42"/>
  <c r="AJ42"/>
  <c r="AN42"/>
  <c r="DE41"/>
  <c r="DF41"/>
  <c r="DC41"/>
  <c r="DD41"/>
  <c r="DB42"/>
  <c r="AK42"/>
  <c r="AM42"/>
  <c r="BA42"/>
  <c r="AZ42"/>
  <c r="BP42"/>
  <c r="BD43"/>
  <c r="BJ41"/>
  <c r="BI41"/>
  <c r="AT41"/>
  <c r="AS41"/>
  <c r="AU41"/>
  <c r="AE41"/>
  <c r="AD41"/>
  <c r="DV40"/>
  <c r="CZ40"/>
  <c r="DU40"/>
  <c r="CY40"/>
  <c r="DT40"/>
  <c r="CX40"/>
  <c r="DS40"/>
  <c r="CW40"/>
  <c r="DR40"/>
  <c r="CV40"/>
  <c r="DQ40"/>
  <c r="CU40"/>
  <c r="DP40"/>
  <c r="CT40"/>
  <c r="DO40"/>
  <c r="CS40"/>
  <c r="CR40"/>
  <c r="CQ40"/>
  <c r="CP40"/>
  <c r="CO40"/>
  <c r="CN40"/>
  <c r="CM40"/>
  <c r="CL40"/>
  <c r="CK40"/>
  <c r="CJ40"/>
  <c r="CI40"/>
  <c r="DJ40"/>
  <c r="AL43"/>
  <c r="DG40"/>
  <c r="DI40"/>
  <c r="AH42"/>
  <c r="BY42"/>
  <c r="AL42"/>
  <c r="DH40"/>
  <c r="BX41"/>
  <c r="BY41"/>
  <c r="AL41"/>
  <c r="AO41"/>
  <c r="AF41"/>
  <c r="AJ41"/>
  <c r="AN41"/>
  <c r="BD42"/>
  <c r="DF40"/>
  <c r="DE40"/>
  <c r="DB41"/>
  <c r="DC40"/>
  <c r="DD40"/>
  <c r="AK41"/>
  <c r="AM41"/>
  <c r="BA41"/>
  <c r="AR41"/>
  <c r="AW41"/>
  <c r="AZ41"/>
  <c r="BP41"/>
  <c r="BJ40"/>
  <c r="BI40"/>
  <c r="AE40"/>
  <c r="AD40"/>
  <c r="DV39"/>
  <c r="DJ39"/>
  <c r="DU39"/>
  <c r="CY39"/>
  <c r="DT39"/>
  <c r="DH39"/>
  <c r="DS39"/>
  <c r="CW39"/>
  <c r="DR39"/>
  <c r="DF39"/>
  <c r="DQ39"/>
  <c r="CU39"/>
  <c r="DP39"/>
  <c r="DD39"/>
  <c r="CR39"/>
  <c r="CQ39"/>
  <c r="CP39"/>
  <c r="CO39"/>
  <c r="CN39"/>
  <c r="CM39"/>
  <c r="CL39"/>
  <c r="CJ39"/>
  <c r="CI39"/>
  <c r="AI42"/>
  <c r="AG41"/>
  <c r="AH41"/>
  <c r="CZ39"/>
  <c r="DI39"/>
  <c r="BX40"/>
  <c r="AH40"/>
  <c r="AO40"/>
  <c r="AF40"/>
  <c r="AJ40"/>
  <c r="AN40"/>
  <c r="BD41"/>
  <c r="DB40"/>
  <c r="DE39"/>
  <c r="CV39"/>
  <c r="DG39"/>
  <c r="CT39"/>
  <c r="CX39"/>
  <c r="AI41"/>
  <c r="CD41"/>
  <c r="CA41"/>
  <c r="BK41"/>
  <c r="AQ41"/>
  <c r="AK40"/>
  <c r="AM40"/>
  <c r="BA40"/>
  <c r="AZ40"/>
  <c r="BP40"/>
  <c r="BJ39"/>
  <c r="BI39"/>
  <c r="AE39"/>
  <c r="AD39"/>
  <c r="BY40"/>
  <c r="AL40"/>
  <c r="AG40"/>
  <c r="BX39"/>
  <c r="AH39"/>
  <c r="AO39"/>
  <c r="AF39"/>
  <c r="AJ39"/>
  <c r="AN39"/>
  <c r="BP39"/>
  <c r="BD40"/>
  <c r="CH41"/>
  <c r="CF41"/>
  <c r="CG41"/>
  <c r="CC41"/>
  <c r="AP41"/>
  <c r="BL41"/>
  <c r="BE41"/>
  <c r="CE41"/>
  <c r="BB41"/>
  <c r="BC41"/>
  <c r="AK39"/>
  <c r="AM39"/>
  <c r="AX41"/>
  <c r="AY41"/>
  <c r="AI40"/>
  <c r="AG39"/>
  <c r="BY39"/>
  <c r="AI39"/>
  <c r="T41"/>
  <c r="BF41"/>
  <c r="BZ41"/>
  <c r="BG41"/>
  <c r="BH41" a="1"/>
  <c r="AL39"/>
  <c r="BH41"/>
  <c r="DV38"/>
  <c r="DJ38"/>
  <c r="DU38"/>
  <c r="CY38"/>
  <c r="DT38"/>
  <c r="CX38"/>
  <c r="DS38"/>
  <c r="CW38"/>
  <c r="DR38"/>
  <c r="DF38"/>
  <c r="DQ38"/>
  <c r="CU38"/>
  <c r="DP38"/>
  <c r="CT38"/>
  <c r="CR38"/>
  <c r="CQ38"/>
  <c r="CP38"/>
  <c r="CO38"/>
  <c r="CN38"/>
  <c r="CM38"/>
  <c r="CL38"/>
  <c r="CJ38"/>
  <c r="CI38"/>
  <c r="DD38"/>
  <c r="CV38"/>
  <c r="DH38"/>
  <c r="CZ38"/>
  <c r="DE38"/>
  <c r="DG38"/>
  <c r="DI38"/>
  <c r="BJ38"/>
  <c r="BI38"/>
  <c r="AE38"/>
  <c r="AD38"/>
  <c r="BX38"/>
  <c r="AG38"/>
  <c r="AO38"/>
  <c r="AF38"/>
  <c r="AJ38"/>
  <c r="AN38"/>
  <c r="AK38"/>
  <c r="AM38"/>
  <c r="AZ38"/>
  <c r="BP38"/>
  <c r="BY38"/>
  <c r="AL38"/>
  <c r="AH38"/>
  <c r="DV37"/>
  <c r="DJ37"/>
  <c r="DU37"/>
  <c r="CY37"/>
  <c r="DT37"/>
  <c r="DH37"/>
  <c r="DS37"/>
  <c r="CW37"/>
  <c r="DR37"/>
  <c r="DF37"/>
  <c r="DQ37"/>
  <c r="CU37"/>
  <c r="DP37"/>
  <c r="CT37"/>
  <c r="CR37"/>
  <c r="CQ37"/>
  <c r="CP37"/>
  <c r="CO37"/>
  <c r="CN37"/>
  <c r="CM37"/>
  <c r="CL37"/>
  <c r="CJ37"/>
  <c r="CI37"/>
  <c r="AI38"/>
  <c r="DD37"/>
  <c r="CX37"/>
  <c r="CV37"/>
  <c r="CZ37"/>
  <c r="DE37"/>
  <c r="DG37"/>
  <c r="DI37"/>
  <c r="BJ37"/>
  <c r="BI37"/>
  <c r="AE37"/>
  <c r="AD37"/>
  <c r="DV32"/>
  <c r="DJ32"/>
  <c r="DU32"/>
  <c r="CY32"/>
  <c r="DT32"/>
  <c r="DH32"/>
  <c r="DS32"/>
  <c r="CW32"/>
  <c r="DR32"/>
  <c r="DF32"/>
  <c r="CR32"/>
  <c r="CQ32"/>
  <c r="CP32"/>
  <c r="CO32"/>
  <c r="CN32"/>
  <c r="CJ32"/>
  <c r="CI32"/>
  <c r="DI32"/>
  <c r="BX37"/>
  <c r="AH37"/>
  <c r="AO37"/>
  <c r="AF37"/>
  <c r="AJ37"/>
  <c r="AN37"/>
  <c r="CV32"/>
  <c r="DG32"/>
  <c r="CZ32"/>
  <c r="CX32"/>
  <c r="AK37"/>
  <c r="AM37"/>
  <c r="AZ37"/>
  <c r="BP37"/>
  <c r="BJ32"/>
  <c r="BI32"/>
  <c r="AE32"/>
  <c r="AD32"/>
  <c r="DV31"/>
  <c r="CZ31"/>
  <c r="DU31"/>
  <c r="CY31"/>
  <c r="DT31"/>
  <c r="CX31"/>
  <c r="DS31"/>
  <c r="DG31"/>
  <c r="DR31"/>
  <c r="CV31"/>
  <c r="CR31"/>
  <c r="CQ31"/>
  <c r="CP31"/>
  <c r="CO31"/>
  <c r="CN31"/>
  <c r="CJ31"/>
  <c r="CI31"/>
  <c r="BY37"/>
  <c r="AI37"/>
  <c r="AG37"/>
  <c r="DI31"/>
  <c r="BX32"/>
  <c r="BY32"/>
  <c r="AL32"/>
  <c r="AO32"/>
  <c r="CW31"/>
  <c r="DF31"/>
  <c r="DH31"/>
  <c r="DJ31"/>
  <c r="AG32"/>
  <c r="AF32"/>
  <c r="AJ32"/>
  <c r="AN32"/>
  <c r="AZ32"/>
  <c r="BP32"/>
  <c r="AL37"/>
  <c r="AK32"/>
  <c r="AM32"/>
  <c r="BJ31"/>
  <c r="BI31"/>
  <c r="AE31"/>
  <c r="AD31"/>
  <c r="DV28"/>
  <c r="DJ28"/>
  <c r="DU28"/>
  <c r="CY28"/>
  <c r="DT28"/>
  <c r="CX28"/>
  <c r="DS28"/>
  <c r="CW28"/>
  <c r="DR28"/>
  <c r="DF28"/>
  <c r="CR28"/>
  <c r="CQ28"/>
  <c r="CP28"/>
  <c r="CO28"/>
  <c r="CN28"/>
  <c r="CJ28"/>
  <c r="CI28"/>
  <c r="AH32"/>
  <c r="BX31"/>
  <c r="BY31"/>
  <c r="AL31"/>
  <c r="AO31"/>
  <c r="AF31"/>
  <c r="AJ31"/>
  <c r="AN31"/>
  <c r="CZ28"/>
  <c r="CV28"/>
  <c r="DH28"/>
  <c r="DG28"/>
  <c r="DI28"/>
  <c r="AI32"/>
  <c r="AK31"/>
  <c r="AM31"/>
  <c r="AZ31"/>
  <c r="BP31"/>
  <c r="BJ28"/>
  <c r="BI28"/>
  <c r="AE28"/>
  <c r="AD28"/>
  <c r="DV27"/>
  <c r="CZ27"/>
  <c r="DU27"/>
  <c r="CY27"/>
  <c r="DT27"/>
  <c r="CX27"/>
  <c r="DS27"/>
  <c r="DG27"/>
  <c r="DR27"/>
  <c r="CV27"/>
  <c r="CR27"/>
  <c r="CQ27"/>
  <c r="CP27"/>
  <c r="CO27"/>
  <c r="CN27"/>
  <c r="CJ27"/>
  <c r="CI27"/>
  <c r="AG31"/>
  <c r="AH31"/>
  <c r="DI27"/>
  <c r="BX28"/>
  <c r="AG28"/>
  <c r="AO28"/>
  <c r="CW27"/>
  <c r="DF27"/>
  <c r="DH27"/>
  <c r="DJ27"/>
  <c r="AI31"/>
  <c r="AF28"/>
  <c r="AJ28"/>
  <c r="AN28"/>
  <c r="AZ28"/>
  <c r="BP28"/>
  <c r="AK28"/>
  <c r="AM28"/>
  <c r="BJ27"/>
  <c r="BI27"/>
  <c r="AE27"/>
  <c r="AD27"/>
  <c r="DV26"/>
  <c r="DJ26"/>
  <c r="DU26"/>
  <c r="CY26"/>
  <c r="DT26"/>
  <c r="CX26"/>
  <c r="DS26"/>
  <c r="CW26"/>
  <c r="DR26"/>
  <c r="DF26"/>
  <c r="CR26"/>
  <c r="CQ26"/>
  <c r="CP26"/>
  <c r="CO26"/>
  <c r="CN26"/>
  <c r="CJ26"/>
  <c r="CI26"/>
  <c r="AH28"/>
  <c r="BY28"/>
  <c r="AI28"/>
  <c r="BX27"/>
  <c r="AH27"/>
  <c r="AO27"/>
  <c r="AF27"/>
  <c r="AJ27"/>
  <c r="AN27"/>
  <c r="CZ26"/>
  <c r="CV26"/>
  <c r="DH26"/>
  <c r="DG26"/>
  <c r="DI26"/>
  <c r="AK27"/>
  <c r="AM27"/>
  <c r="AZ27"/>
  <c r="BP27"/>
  <c r="BJ26"/>
  <c r="BI26"/>
  <c r="AE26"/>
  <c r="AD26"/>
  <c r="DV25"/>
  <c r="CZ25"/>
  <c r="DU25"/>
  <c r="CY25"/>
  <c r="DT25"/>
  <c r="CX25"/>
  <c r="DS25"/>
  <c r="DG25"/>
  <c r="DR25"/>
  <c r="CV25"/>
  <c r="CR25"/>
  <c r="CQ25"/>
  <c r="CP25"/>
  <c r="CO25"/>
  <c r="CN25"/>
  <c r="CJ25"/>
  <c r="CI25"/>
  <c r="AL28"/>
  <c r="BY27"/>
  <c r="AL27"/>
  <c r="AG27"/>
  <c r="BX26"/>
  <c r="AH26"/>
  <c r="AO26"/>
  <c r="DI25"/>
  <c r="CW25"/>
  <c r="DF25"/>
  <c r="DH25"/>
  <c r="DJ25"/>
  <c r="AG26"/>
  <c r="AF26"/>
  <c r="AJ26"/>
  <c r="AN26"/>
  <c r="AZ26"/>
  <c r="BP26"/>
  <c r="AK26"/>
  <c r="AM26"/>
  <c r="BJ25"/>
  <c r="BI25"/>
  <c r="AE25"/>
  <c r="AD25"/>
  <c r="DV24"/>
  <c r="CZ24"/>
  <c r="DU24"/>
  <c r="DI24"/>
  <c r="DT24"/>
  <c r="CX24"/>
  <c r="DS24"/>
  <c r="DG24"/>
  <c r="DR24"/>
  <c r="CV24"/>
  <c r="CR24"/>
  <c r="CQ24"/>
  <c r="CP24"/>
  <c r="CO24"/>
  <c r="CN24"/>
  <c r="CJ24"/>
  <c r="CI24"/>
  <c r="AI27"/>
  <c r="BY26"/>
  <c r="AI26"/>
  <c r="BX25"/>
  <c r="AG25"/>
  <c r="AO25"/>
  <c r="AF25"/>
  <c r="AJ25"/>
  <c r="AN25"/>
  <c r="DH24"/>
  <c r="CW24"/>
  <c r="DF24"/>
  <c r="DJ24"/>
  <c r="CY24"/>
  <c r="AK25"/>
  <c r="AM25"/>
  <c r="AZ25"/>
  <c r="BP25"/>
  <c r="BJ24"/>
  <c r="BI24"/>
  <c r="AE24"/>
  <c r="AD24"/>
  <c r="DV23"/>
  <c r="DJ23"/>
  <c r="DU23"/>
  <c r="CY23"/>
  <c r="DT23"/>
  <c r="CX23"/>
  <c r="DS23"/>
  <c r="CW23"/>
  <c r="DR23"/>
  <c r="DF23"/>
  <c r="CR23"/>
  <c r="CQ23"/>
  <c r="CP23"/>
  <c r="CO23"/>
  <c r="CN23"/>
  <c r="CJ23"/>
  <c r="CI23"/>
  <c r="AL26"/>
  <c r="BY25"/>
  <c r="AL25"/>
  <c r="AH25"/>
  <c r="BX24"/>
  <c r="AH24"/>
  <c r="AO24"/>
  <c r="AF24"/>
  <c r="AJ24"/>
  <c r="AN24"/>
  <c r="CZ23"/>
  <c r="CV23"/>
  <c r="DH23"/>
  <c r="DG23"/>
  <c r="DI23"/>
  <c r="AK24"/>
  <c r="AM24"/>
  <c r="AZ24"/>
  <c r="BP24"/>
  <c r="BJ23"/>
  <c r="BI23"/>
  <c r="AE23"/>
  <c r="AD23"/>
  <c r="DV22"/>
  <c r="CZ22"/>
  <c r="DU22"/>
  <c r="CY22"/>
  <c r="DT22"/>
  <c r="CX22"/>
  <c r="DS22"/>
  <c r="DG22"/>
  <c r="DR22"/>
  <c r="CV22"/>
  <c r="CR22"/>
  <c r="CQ22"/>
  <c r="CP22"/>
  <c r="CO22"/>
  <c r="CN22"/>
  <c r="CJ22"/>
  <c r="CI22"/>
  <c r="AG24"/>
  <c r="AI25"/>
  <c r="BY24"/>
  <c r="AL24"/>
  <c r="BX23"/>
  <c r="AH23"/>
  <c r="AO23"/>
  <c r="DI22"/>
  <c r="CW22"/>
  <c r="DF22"/>
  <c r="DH22"/>
  <c r="DJ22"/>
  <c r="AI24"/>
  <c r="AG23"/>
  <c r="AF23"/>
  <c r="AJ23"/>
  <c r="AN23"/>
  <c r="AZ23"/>
  <c r="BP23"/>
  <c r="AK23"/>
  <c r="AM23"/>
  <c r="BJ22"/>
  <c r="BI22"/>
  <c r="AE22"/>
  <c r="AD22"/>
  <c r="DV21"/>
  <c r="DJ21"/>
  <c r="DU21"/>
  <c r="CY21"/>
  <c r="DT21"/>
  <c r="DH21"/>
  <c r="DS21"/>
  <c r="CW21"/>
  <c r="DR21"/>
  <c r="DF21"/>
  <c r="CR21"/>
  <c r="CQ21"/>
  <c r="CP21"/>
  <c r="CO21"/>
  <c r="CN21"/>
  <c r="CJ21"/>
  <c r="CI21"/>
  <c r="BY23"/>
  <c r="AI23"/>
  <c r="BX22"/>
  <c r="BY22"/>
  <c r="AI22"/>
  <c r="AO22"/>
  <c r="AF22"/>
  <c r="AJ22"/>
  <c r="AN22"/>
  <c r="CX21"/>
  <c r="CV21"/>
  <c r="CZ21"/>
  <c r="DG21"/>
  <c r="DI21"/>
  <c r="AK22"/>
  <c r="AM22"/>
  <c r="AZ22"/>
  <c r="BP22"/>
  <c r="AL23"/>
  <c r="AG22"/>
  <c r="AH22"/>
  <c r="AL22"/>
  <c r="BJ21"/>
  <c r="BI21"/>
  <c r="AE21"/>
  <c r="AD21"/>
  <c r="DV20"/>
  <c r="CZ20"/>
  <c r="DU20"/>
  <c r="DI20"/>
  <c r="DT20"/>
  <c r="CX20"/>
  <c r="DS20"/>
  <c r="CW20"/>
  <c r="DR20"/>
  <c r="CV20"/>
  <c r="CR20"/>
  <c r="CQ20"/>
  <c r="CP20"/>
  <c r="CO20"/>
  <c r="CN20"/>
  <c r="CJ20"/>
  <c r="CI20"/>
  <c r="AJ21"/>
  <c r="AK21"/>
  <c r="AM21"/>
  <c r="AN21"/>
  <c r="AZ21"/>
  <c r="BX21"/>
  <c r="AG21"/>
  <c r="AF21"/>
  <c r="AO21"/>
  <c r="AH21"/>
  <c r="DH20"/>
  <c r="DJ20"/>
  <c r="DF20"/>
  <c r="CY20"/>
  <c r="DG20"/>
  <c r="BY21"/>
  <c r="AL21"/>
  <c r="BP21"/>
  <c r="AI21"/>
  <c r="BJ20"/>
  <c r="BI20"/>
  <c r="AE20"/>
  <c r="AD20"/>
  <c r="DV19"/>
  <c r="CZ19"/>
  <c r="DU19"/>
  <c r="DI19"/>
  <c r="DT19"/>
  <c r="CX19"/>
  <c r="DS19"/>
  <c r="CW19"/>
  <c r="DR19"/>
  <c r="CV19"/>
  <c r="CR19"/>
  <c r="CQ19"/>
  <c r="CP19"/>
  <c r="CO19"/>
  <c r="CN19"/>
  <c r="CJ19"/>
  <c r="CI19"/>
  <c r="AJ20"/>
  <c r="AK20"/>
  <c r="AM20"/>
  <c r="AN20"/>
  <c r="AZ20"/>
  <c r="BX20"/>
  <c r="AG20"/>
  <c r="AF20"/>
  <c r="AO20"/>
  <c r="AH20"/>
  <c r="DH19"/>
  <c r="DJ19"/>
  <c r="DF19"/>
  <c r="CY19"/>
  <c r="DG19"/>
  <c r="BY20"/>
  <c r="AL20"/>
  <c r="BP20"/>
  <c r="AI20"/>
  <c r="BJ19"/>
  <c r="BI19"/>
  <c r="AE19"/>
  <c r="AO19"/>
  <c r="AD19"/>
  <c r="DV18"/>
  <c r="DJ18"/>
  <c r="DU18"/>
  <c r="CY18"/>
  <c r="DT18"/>
  <c r="CX18"/>
  <c r="DS18"/>
  <c r="CW18"/>
  <c r="DR18"/>
  <c r="DF18"/>
  <c r="DQ18"/>
  <c r="CU18"/>
  <c r="DP18"/>
  <c r="CT18"/>
  <c r="CR18"/>
  <c r="CQ18"/>
  <c r="CP18"/>
  <c r="CO18"/>
  <c r="CN18"/>
  <c r="CM18"/>
  <c r="CL18"/>
  <c r="CJ18"/>
  <c r="CI18"/>
  <c r="AF19"/>
  <c r="AJ19"/>
  <c r="AN19"/>
  <c r="DI18"/>
  <c r="CZ18"/>
  <c r="DE18"/>
  <c r="DG18"/>
  <c r="CV18"/>
  <c r="DD18"/>
  <c r="DH18"/>
  <c r="BP19"/>
  <c r="BX19"/>
  <c r="AZ19"/>
  <c r="AK19"/>
  <c r="AM19"/>
  <c r="BY19"/>
  <c r="AL19"/>
  <c r="AH19"/>
  <c r="AG19"/>
  <c r="BJ18"/>
  <c r="BI18"/>
  <c r="AI19"/>
  <c r="AE18"/>
  <c r="BX18"/>
  <c r="AG18"/>
  <c r="AD18"/>
  <c r="DV17"/>
  <c r="CZ17"/>
  <c r="DU17"/>
  <c r="CY17"/>
  <c r="DT17"/>
  <c r="CX17"/>
  <c r="DS17"/>
  <c r="DG17"/>
  <c r="DR17"/>
  <c r="CV17"/>
  <c r="DQ17"/>
  <c r="CU17"/>
  <c r="DP17"/>
  <c r="CT17"/>
  <c r="CR17"/>
  <c r="CQ17"/>
  <c r="CP17"/>
  <c r="CO17"/>
  <c r="CN17"/>
  <c r="CM17"/>
  <c r="CL17"/>
  <c r="CJ17"/>
  <c r="CI17"/>
  <c r="AJ18"/>
  <c r="AK18"/>
  <c r="AM18"/>
  <c r="AN18"/>
  <c r="AZ18"/>
  <c r="AF18"/>
  <c r="AO18"/>
  <c r="AH18"/>
  <c r="DI17"/>
  <c r="CW17"/>
  <c r="DE17"/>
  <c r="DD17"/>
  <c r="DF17"/>
  <c r="DH17"/>
  <c r="DJ17"/>
  <c r="BY18"/>
  <c r="AL18"/>
  <c r="BP18"/>
  <c r="AI18"/>
  <c r="BJ17"/>
  <c r="BI17"/>
  <c r="AE17"/>
  <c r="AK17"/>
  <c r="AD17"/>
  <c r="AZ17"/>
  <c r="DV16"/>
  <c r="CZ16"/>
  <c r="DU16"/>
  <c r="CY16"/>
  <c r="DT16"/>
  <c r="CX16"/>
  <c r="DS16"/>
  <c r="CW16"/>
  <c r="CR16"/>
  <c r="CQ16"/>
  <c r="CP16"/>
  <c r="CO16"/>
  <c r="CJ16"/>
  <c r="CI16"/>
  <c r="AJ17"/>
  <c r="BX17"/>
  <c r="AH17"/>
  <c r="AN17"/>
  <c r="AM17"/>
  <c r="AF17"/>
  <c r="AO17"/>
  <c r="AG17"/>
  <c r="DJ16"/>
  <c r="DH16"/>
  <c r="DG16"/>
  <c r="DI16"/>
  <c r="BY17"/>
  <c r="AL17"/>
  <c r="BP17"/>
  <c r="AI17"/>
  <c r="BJ16"/>
  <c r="BI16"/>
  <c r="AE16"/>
  <c r="AK16"/>
  <c r="AD16"/>
  <c r="AZ16"/>
  <c r="DV15"/>
  <c r="CZ15"/>
  <c r="DU15"/>
  <c r="CY15"/>
  <c r="DT15"/>
  <c r="CX15"/>
  <c r="DS15"/>
  <c r="CW15"/>
  <c r="DR15"/>
  <c r="CV15"/>
  <c r="DQ15"/>
  <c r="CU15"/>
  <c r="DP15"/>
  <c r="CT15"/>
  <c r="CR15"/>
  <c r="CQ15"/>
  <c r="CP15"/>
  <c r="CO15"/>
  <c r="CN15"/>
  <c r="CM15"/>
  <c r="CL15"/>
  <c r="CJ15"/>
  <c r="CI15"/>
  <c r="AJ16"/>
  <c r="BX16"/>
  <c r="AG16"/>
  <c r="AN16"/>
  <c r="AM16"/>
  <c r="AF16"/>
  <c r="AO16"/>
  <c r="DG15"/>
  <c r="DE15"/>
  <c r="DI15"/>
  <c r="DD15"/>
  <c r="DF15"/>
  <c r="DH15"/>
  <c r="DJ15"/>
  <c r="AH16"/>
  <c r="BY16"/>
  <c r="AL16"/>
  <c r="BP16"/>
  <c r="AI16"/>
  <c r="BJ15"/>
  <c r="BI15"/>
  <c r="AT15"/>
  <c r="AS15"/>
  <c r="AU15"/>
  <c r="AE15"/>
  <c r="AN15"/>
  <c r="AD15"/>
  <c r="DV14"/>
  <c r="CZ14"/>
  <c r="DU14"/>
  <c r="DI14"/>
  <c r="DT14"/>
  <c r="CX14"/>
  <c r="DS14"/>
  <c r="CW14"/>
  <c r="DR14"/>
  <c r="CV14"/>
  <c r="DQ14"/>
  <c r="DE14"/>
  <c r="DP14"/>
  <c r="CT14"/>
  <c r="CR14"/>
  <c r="CQ14"/>
  <c r="CP14"/>
  <c r="CO14"/>
  <c r="CN14"/>
  <c r="CM14"/>
  <c r="CL14"/>
  <c r="CJ14"/>
  <c r="CI14"/>
  <c r="AJ15"/>
  <c r="AK15"/>
  <c r="AM15"/>
  <c r="BX15"/>
  <c r="AH15"/>
  <c r="AF15"/>
  <c r="AO15"/>
  <c r="CU14"/>
  <c r="DD14"/>
  <c r="DH14"/>
  <c r="DF14"/>
  <c r="DJ14"/>
  <c r="CY14"/>
  <c r="DG14"/>
  <c r="BP15"/>
  <c r="AR15"/>
  <c r="BY15"/>
  <c r="AL15"/>
  <c r="AG15"/>
  <c r="CD15"/>
  <c r="CA15"/>
  <c r="BK15"/>
  <c r="AQ15"/>
  <c r="AP15"/>
  <c r="BJ14"/>
  <c r="BI14"/>
  <c r="AI15"/>
  <c r="CH15"/>
  <c r="CF15"/>
  <c r="CG15"/>
  <c r="CC15"/>
  <c r="BL15"/>
  <c r="BE15"/>
  <c r="BZ15"/>
  <c r="BG15"/>
  <c r="BF15"/>
  <c r="AE14"/>
  <c r="AN14"/>
  <c r="AD14"/>
  <c r="DV13"/>
  <c r="DJ13"/>
  <c r="DU13"/>
  <c r="CY13"/>
  <c r="DT13"/>
  <c r="DH13"/>
  <c r="DS13"/>
  <c r="CW13"/>
  <c r="DR13"/>
  <c r="DF13"/>
  <c r="DQ13"/>
  <c r="CU13"/>
  <c r="DP13"/>
  <c r="DD13"/>
  <c r="CR13"/>
  <c r="CQ13"/>
  <c r="CP13"/>
  <c r="CO13"/>
  <c r="CN13"/>
  <c r="CM13"/>
  <c r="CL13"/>
  <c r="CJ13"/>
  <c r="CI13"/>
  <c r="AJ14"/>
  <c r="AK14"/>
  <c r="AM14"/>
  <c r="BX14"/>
  <c r="AH14"/>
  <c r="AF14"/>
  <c r="AO14"/>
  <c r="CT13"/>
  <c r="CX13"/>
  <c r="CV13"/>
  <c r="CZ13"/>
  <c r="DE13"/>
  <c r="DG13"/>
  <c r="DI13"/>
  <c r="BP14"/>
  <c r="BY14"/>
  <c r="AL14"/>
  <c r="AG14"/>
  <c r="BJ13"/>
  <c r="BI13"/>
  <c r="AI14"/>
  <c r="AE13"/>
  <c r="AO13"/>
  <c r="AD13"/>
  <c r="D13"/>
  <c r="AJ13"/>
  <c r="AK13"/>
  <c r="AM13"/>
  <c r="AN13"/>
  <c r="BX13"/>
  <c r="AG13"/>
  <c r="AH13"/>
  <c r="BY13"/>
  <c r="AL13"/>
  <c r="BP13"/>
  <c r="AF13"/>
  <c r="AI13"/>
  <c r="G2"/>
  <c r="F2"/>
  <c r="E2"/>
  <c r="D2"/>
  <c r="C2" a="1"/>
  <c r="C2"/>
  <c r="AV70"/>
  <c r="AV69"/>
  <c r="BQ56"/>
  <c r="BQ55"/>
  <c r="BQ57"/>
  <c r="BR55"/>
  <c r="BS55"/>
  <c r="BR56"/>
  <c r="BS56"/>
  <c r="BR57"/>
  <c r="BS57"/>
  <c r="BT57"/>
  <c r="B57"/>
  <c r="U57"/>
  <c r="BT56"/>
  <c r="U56"/>
  <c r="B56"/>
  <c r="BT55"/>
  <c r="B55"/>
  <c r="U55"/>
  <c r="O24" i="7"/>
  <c r="O22"/>
  <c r="B12"/>
  <c r="K35" i="24"/>
  <c r="BA35"/>
  <c r="K29"/>
  <c r="BA29"/>
  <c r="K30"/>
  <c r="BA30"/>
  <c r="K36"/>
  <c r="BA36"/>
  <c r="K39"/>
  <c r="BA39"/>
  <c r="K38"/>
  <c r="BA38"/>
  <c r="BA16"/>
  <c r="L70"/>
  <c r="AZ70"/>
  <c r="BC70"/>
  <c r="L69"/>
  <c r="AZ69"/>
  <c r="BC69"/>
  <c r="K37"/>
  <c r="BA37"/>
  <c r="BA17"/>
  <c r="AZ15"/>
  <c r="BD36"/>
  <c r="BD30"/>
  <c r="BD29"/>
  <c r="BD35"/>
  <c r="BD17"/>
  <c r="BD16"/>
  <c r="BD37"/>
  <c r="BD69"/>
  <c r="BG69"/>
  <c r="BD38"/>
  <c r="BD70"/>
  <c r="T70"/>
  <c r="T69"/>
  <c r="B5" i="9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H70" i="24" a="1"/>
  <c r="BH70"/>
  <c r="B26" i="9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F69" i="24"/>
  <c r="BZ69"/>
  <c r="AV41"/>
  <c r="AV47"/>
  <c r="AV48"/>
  <c r="BH69" a="1"/>
  <c r="BH69"/>
  <c r="G4"/>
  <c r="C4"/>
  <c r="K12" i="25"/>
  <c r="K15"/>
  <c r="K10"/>
  <c r="K9"/>
  <c r="K13"/>
  <c r="K14"/>
  <c r="K7"/>
  <c r="K11"/>
  <c r="K8"/>
  <c r="AW15" i="24"/>
  <c r="A1" i="2"/>
  <c r="B1"/>
  <c r="C1"/>
  <c r="D1"/>
  <c r="B17" i="26"/>
  <c r="F17"/>
  <c r="G17"/>
  <c r="B15"/>
  <c r="F15"/>
  <c r="G15"/>
  <c r="B16"/>
  <c r="F16"/>
  <c r="G16"/>
  <c r="B14"/>
  <c r="F14"/>
  <c r="G14"/>
  <c r="B13"/>
  <c r="F13"/>
  <c r="G13"/>
  <c r="B12"/>
  <c r="F12"/>
  <c r="G12"/>
  <c r="J34" i="24"/>
  <c r="O2" i="3"/>
  <c r="H2"/>
  <c r="K31" i="24" l="1"/>
  <c r="BA31" s="1"/>
  <c r="BD31" s="1"/>
  <c r="K34"/>
  <c r="BA34" s="1"/>
  <c r="BD34" s="1"/>
  <c r="K33"/>
  <c r="BA33" s="1"/>
  <c r="BD33" s="1"/>
  <c r="K32"/>
  <c r="BA32" s="1"/>
  <c r="BD32" s="1"/>
  <c r="K28"/>
  <c r="BA28" s="1"/>
  <c r="BD28" s="1"/>
  <c r="K27"/>
  <c r="BA27" s="1"/>
  <c r="BD27" s="1"/>
  <c r="K26"/>
  <c r="BA26" s="1"/>
  <c r="BD26" s="1"/>
  <c r="K25"/>
  <c r="BA25" s="1"/>
  <c r="BD25" s="1"/>
  <c r="K24"/>
  <c r="BA24" s="1"/>
  <c r="BD24" s="1"/>
  <c r="K20"/>
  <c r="BA20" s="1"/>
  <c r="BD20" s="1"/>
  <c r="K21"/>
  <c r="BA21" s="1"/>
  <c r="BD21" s="1"/>
  <c r="K22"/>
  <c r="BA22" s="1"/>
  <c r="BD22" s="1"/>
  <c r="K23"/>
  <c r="BA23" s="1"/>
  <c r="BD23" s="1"/>
  <c r="K19"/>
  <c r="BA19" s="1"/>
  <c r="BD19" s="1"/>
  <c r="K18"/>
  <c r="BA18" s="1"/>
  <c r="BD18" s="1"/>
  <c r="K14"/>
  <c r="K13"/>
  <c r="BA14"/>
  <c r="BD14" s="1"/>
  <c r="BA13"/>
  <c r="BD13" s="1"/>
  <c r="BB15"/>
  <c r="AR2" i="3"/>
  <c r="CT2" s="1" a="1"/>
  <c r="CT2" s="1"/>
  <c r="C12" i="26"/>
  <c r="D12"/>
  <c r="E12"/>
  <c r="C13"/>
  <c r="D13"/>
  <c r="E13"/>
  <c r="C14"/>
  <c r="D14"/>
  <c r="E14"/>
  <c r="C16"/>
  <c r="D16"/>
  <c r="E16"/>
  <c r="C15"/>
  <c r="D15"/>
  <c r="E15"/>
  <c r="C17"/>
  <c r="D17"/>
  <c r="E17"/>
  <c r="D2" i="2"/>
  <c r="C2"/>
  <c r="B2"/>
  <c r="A2"/>
  <c r="C3" i="3"/>
  <c r="C4" s="1"/>
  <c r="C5" s="1"/>
  <c r="C6" s="1"/>
  <c r="C7" s="1"/>
  <c r="C8" s="1"/>
  <c r="C9" s="1"/>
  <c r="C10" s="1"/>
  <c r="C11" s="1"/>
  <c r="C12" s="1"/>
  <c r="AD2"/>
  <c r="CW2" s="1" a="1"/>
  <c r="CW2" s="1"/>
  <c r="DP2" s="1"/>
  <c r="BA15" i="24"/>
  <c r="CK15"/>
  <c r="AX15"/>
  <c r="AY15"/>
  <c r="P2" i="3"/>
  <c r="DM2" l="1"/>
  <c r="AG2"/>
  <c r="AE2"/>
  <c r="AF2"/>
  <c r="ED2" s="1"/>
  <c r="AR34" i="24"/>
  <c r="AS34"/>
  <c r="AU34" s="1"/>
  <c r="AT34"/>
  <c r="BD15"/>
  <c r="BC15"/>
  <c r="C13" i="3" l="1"/>
  <c r="C14" s="1"/>
  <c r="C15" s="1"/>
  <c r="C16" s="1"/>
  <c r="C17" s="1"/>
  <c r="C18" s="1"/>
  <c r="C19" s="1"/>
  <c r="C20" s="1"/>
  <c r="AH2"/>
  <c r="AI2"/>
  <c r="EE2" s="1"/>
  <c r="CX2" a="1"/>
  <c r="CX2" s="1"/>
  <c r="DQ2" s="1"/>
  <c r="AQ34" i="24"/>
  <c r="BK34"/>
  <c r="CA34"/>
  <c r="CD34"/>
  <c r="T15"/>
  <c r="BH15" a="1"/>
  <c r="C21" i="3" l="1"/>
  <c r="C22" s="1"/>
  <c r="C23" s="1"/>
  <c r="C24" s="1"/>
  <c r="BH15" i="24"/>
  <c r="AP34"/>
  <c r="BE34"/>
  <c r="BG34" s="1"/>
  <c r="BL34"/>
  <c r="CC34"/>
  <c r="CF34"/>
  <c r="CG34"/>
  <c r="CH34"/>
  <c r="CL16"/>
  <c r="CL22"/>
  <c r="CL20"/>
  <c r="CL33"/>
  <c r="CK16"/>
  <c r="CL27"/>
  <c r="CM27"/>
  <c r="CM24"/>
  <c r="CL35"/>
  <c r="BV65"/>
  <c r="CM23"/>
  <c r="CM25"/>
  <c r="CM19"/>
  <c r="CL29"/>
  <c r="CL21"/>
  <c r="CK29"/>
  <c r="CM21"/>
  <c r="CM20"/>
  <c r="CM32"/>
  <c r="CK30"/>
  <c r="CL23"/>
  <c r="CL28"/>
  <c r="CL26"/>
  <c r="CL30"/>
  <c r="CM29"/>
  <c r="CL31"/>
  <c r="CM30"/>
  <c r="CN16"/>
  <c r="CL32"/>
  <c r="CM35"/>
  <c r="CM31"/>
  <c r="CL34"/>
  <c r="CM22"/>
  <c r="CL24"/>
  <c r="CM33"/>
  <c r="CM26"/>
  <c r="CM16"/>
  <c r="CM36"/>
  <c r="BV29"/>
  <c r="CM34"/>
  <c r="CL25"/>
  <c r="BV63"/>
  <c r="CL19"/>
  <c r="CK17"/>
  <c r="CL36"/>
  <c r="BV30"/>
  <c r="CM28"/>
  <c r="O2"/>
  <c r="B11" i="26"/>
  <c r="F8"/>
  <c r="G5"/>
  <c r="B3"/>
  <c r="B9"/>
  <c r="B4"/>
  <c r="F11"/>
  <c r="G8"/>
  <c r="B6"/>
  <c r="F3"/>
  <c r="G11"/>
  <c r="F6"/>
  <c r="F9"/>
  <c r="G6"/>
  <c r="G9"/>
  <c r="A1" i="25"/>
  <c r="G3" i="26"/>
  <c r="F4"/>
  <c r="B7"/>
  <c r="G7"/>
  <c r="F2"/>
  <c r="F10"/>
  <c r="B5"/>
  <c r="F5"/>
  <c r="F7"/>
  <c r="B8"/>
  <c r="B2"/>
  <c r="G10"/>
  <c r="G4"/>
  <c r="B10"/>
  <c r="G2"/>
  <c r="B14" i="7"/>
  <c r="X3" i="24"/>
  <c r="J38"/>
  <c r="J36"/>
  <c r="J25"/>
  <c r="J68"/>
  <c r="J65"/>
  <c r="J43"/>
  <c r="J35"/>
  <c r="J29"/>
  <c r="J46"/>
  <c r="J61"/>
  <c r="J44"/>
  <c r="J39"/>
  <c r="J67"/>
  <c r="J59"/>
  <c r="J63"/>
  <c r="J45"/>
  <c r="J62"/>
  <c r="J60"/>
  <c r="J54"/>
  <c r="J26"/>
  <c r="J66"/>
  <c r="J37"/>
  <c r="J31"/>
  <c r="J58"/>
  <c r="J71"/>
  <c r="J24"/>
  <c r="J49"/>
  <c r="J40"/>
  <c r="J50"/>
  <c r="J33"/>
  <c r="J51"/>
  <c r="J27"/>
  <c r="J53"/>
  <c r="J52"/>
  <c r="J28"/>
  <c r="J30"/>
  <c r="J64"/>
  <c r="J42"/>
  <c r="CB97"/>
  <c r="CB96"/>
  <c r="CB95"/>
  <c r="CB94"/>
  <c r="CB93"/>
  <c r="CB92"/>
  <c r="CB91"/>
  <c r="CB90"/>
  <c r="CB89"/>
  <c r="CB88"/>
  <c r="CB87"/>
  <c r="CB86"/>
  <c r="CB85"/>
  <c r="CB84"/>
  <c r="CB83"/>
  <c r="CB82"/>
  <c r="CB81"/>
  <c r="CB80"/>
  <c r="CB79"/>
  <c r="CB78"/>
  <c r="CB77"/>
  <c r="CB76"/>
  <c r="CB75"/>
  <c r="CB74"/>
  <c r="CB73"/>
  <c r="CB72"/>
  <c r="CB70"/>
  <c r="CB57"/>
  <c r="AJ57"/>
  <c r="AO57"/>
  <c r="CB56"/>
  <c r="BX57"/>
  <c r="AM57"/>
  <c r="AO56"/>
  <c r="CB55"/>
  <c r="BX56"/>
  <c r="AJ56"/>
  <c r="AM56"/>
  <c r="BX55"/>
  <c r="AO55"/>
  <c r="AM55"/>
  <c r="AJ55"/>
  <c r="CB48"/>
  <c r="CB47"/>
  <c r="CB41"/>
  <c r="CB15"/>
  <c r="L3"/>
  <c r="BV33"/>
  <c r="CK24"/>
  <c r="CK71"/>
  <c r="BV40"/>
  <c r="BV13"/>
  <c r="CK18"/>
  <c r="CK65"/>
  <c r="BV60"/>
  <c r="BV41"/>
  <c r="BV54"/>
  <c r="CK32"/>
  <c r="BV50"/>
  <c r="BV20"/>
  <c r="CK64"/>
  <c r="BV47"/>
  <c r="BV44"/>
  <c r="CK21"/>
  <c r="CK14"/>
  <c r="CK20"/>
  <c r="BV39"/>
  <c r="BV34"/>
  <c r="CK62"/>
  <c r="CK31"/>
  <c r="BV43"/>
  <c r="BV49"/>
  <c r="BV28"/>
  <c r="BV31"/>
  <c r="CK33"/>
  <c r="BV17"/>
  <c r="CK25"/>
  <c r="CK27"/>
  <c r="CK34"/>
  <c r="BV58"/>
  <c r="BV52"/>
  <c r="CK39"/>
  <c r="BV61"/>
  <c r="CK22"/>
  <c r="BV56"/>
  <c r="BV26"/>
  <c r="BV71"/>
  <c r="CK37"/>
  <c r="BV23"/>
  <c r="CK35"/>
  <c r="CK63"/>
  <c r="BV53"/>
  <c r="BV14"/>
  <c r="BV24"/>
  <c r="BV19"/>
  <c r="BV64"/>
  <c r="BV37"/>
  <c r="BV22"/>
  <c r="BV69"/>
  <c r="BV21"/>
  <c r="BV36"/>
  <c r="BV55"/>
  <c r="BV45"/>
  <c r="CK26"/>
  <c r="BV48"/>
  <c r="BV42"/>
  <c r="BV67"/>
  <c r="CK13"/>
  <c r="BV62"/>
  <c r="BV46"/>
  <c r="BV68"/>
  <c r="BV51"/>
  <c r="BV27"/>
  <c r="BV38"/>
  <c r="BV25"/>
  <c r="BV15"/>
  <c r="BV16"/>
  <c r="CK28"/>
  <c r="CK38"/>
  <c r="BV59"/>
  <c r="BV70"/>
  <c r="BV66"/>
  <c r="BV57"/>
  <c r="CK23"/>
  <c r="BV32"/>
  <c r="CK19"/>
  <c r="BV18"/>
  <c r="BV35"/>
  <c r="CK36"/>
  <c r="G11" i="25"/>
  <c r="CB69" i="24"/>
  <c r="D14" i="7"/>
  <c r="AW34" i="24"/>
  <c r="BB34" l="1"/>
  <c r="O39"/>
  <c r="L39"/>
  <c r="AZ39" s="1"/>
  <c r="BY55"/>
  <c r="AL55"/>
  <c r="AH55"/>
  <c r="AG55"/>
  <c r="AI55"/>
  <c r="BY56"/>
  <c r="AL56"/>
  <c r="AH56"/>
  <c r="AG56"/>
  <c r="AI56"/>
  <c r="BY57"/>
  <c r="AL57"/>
  <c r="AH57"/>
  <c r="AG57"/>
  <c r="AI57"/>
  <c r="AT42"/>
  <c r="AS42"/>
  <c r="AR42"/>
  <c r="AT64"/>
  <c r="AS64"/>
  <c r="AR64"/>
  <c r="AR30"/>
  <c r="AS30"/>
  <c r="AT30"/>
  <c r="AT28"/>
  <c r="AS28"/>
  <c r="AR28"/>
  <c r="AT52"/>
  <c r="AS52"/>
  <c r="AR52"/>
  <c r="AT53"/>
  <c r="AS53"/>
  <c r="AR53"/>
  <c r="AT27"/>
  <c r="AS27"/>
  <c r="AR27"/>
  <c r="AT51"/>
  <c r="AS51"/>
  <c r="AR51"/>
  <c r="AT19"/>
  <c r="AS19"/>
  <c r="AR19"/>
  <c r="AR33"/>
  <c r="AS33"/>
  <c r="AT33"/>
  <c r="AT20"/>
  <c r="AS20"/>
  <c r="AR20"/>
  <c r="AT50"/>
  <c r="AS50"/>
  <c r="AR50"/>
  <c r="AT40"/>
  <c r="AS40"/>
  <c r="AR40"/>
  <c r="AT49"/>
  <c r="AS49"/>
  <c r="AR49"/>
  <c r="AT24"/>
  <c r="AS24"/>
  <c r="AR24"/>
  <c r="AT71"/>
  <c r="AS71"/>
  <c r="AR71"/>
  <c r="AT32"/>
  <c r="AS32"/>
  <c r="AR32"/>
  <c r="AT58"/>
  <c r="AS58"/>
  <c r="AR58"/>
  <c r="AT31"/>
  <c r="AS31"/>
  <c r="AR31"/>
  <c r="AT22"/>
  <c r="AS22"/>
  <c r="AR22"/>
  <c r="AT37"/>
  <c r="AS37"/>
  <c r="AR37"/>
  <c r="AT66"/>
  <c r="AS66"/>
  <c r="AR66"/>
  <c r="AT18"/>
  <c r="AS18"/>
  <c r="AR18"/>
  <c r="AT26"/>
  <c r="AS26"/>
  <c r="AR26"/>
  <c r="AT21"/>
  <c r="AS21"/>
  <c r="AR21"/>
  <c r="AT54"/>
  <c r="AS54"/>
  <c r="AR54"/>
  <c r="AT60"/>
  <c r="AS60"/>
  <c r="AR60"/>
  <c r="AT62"/>
  <c r="AS62"/>
  <c r="AR62"/>
  <c r="AT45"/>
  <c r="AS45"/>
  <c r="AR45"/>
  <c r="AT63"/>
  <c r="AS63"/>
  <c r="AR63"/>
  <c r="AT17"/>
  <c r="AS17"/>
  <c r="AR17"/>
  <c r="AT59"/>
  <c r="AS59"/>
  <c r="AR59"/>
  <c r="AT67"/>
  <c r="AS67"/>
  <c r="AR67"/>
  <c r="AT39"/>
  <c r="AS39"/>
  <c r="AR39"/>
  <c r="AT44"/>
  <c r="AS44"/>
  <c r="AR44"/>
  <c r="AT61"/>
  <c r="AS61"/>
  <c r="AR61"/>
  <c r="AT16"/>
  <c r="AS16"/>
  <c r="AR16"/>
  <c r="AT23"/>
  <c r="AS23"/>
  <c r="AR23"/>
  <c r="AT46"/>
  <c r="AS46"/>
  <c r="AR46"/>
  <c r="AR29"/>
  <c r="AS29"/>
  <c r="AT29"/>
  <c r="AR35"/>
  <c r="AS35"/>
  <c r="AT35"/>
  <c r="AT43"/>
  <c r="AS43"/>
  <c r="AR43"/>
  <c r="AT65"/>
  <c r="AS65"/>
  <c r="AR65"/>
  <c r="AT68"/>
  <c r="AS68"/>
  <c r="AR68"/>
  <c r="AT25"/>
  <c r="AS25"/>
  <c r="AR25"/>
  <c r="AR36"/>
  <c r="AS36"/>
  <c r="AT36"/>
  <c r="AT38"/>
  <c r="AS38"/>
  <c r="AR38"/>
  <c r="D10" i="26"/>
  <c r="C10"/>
  <c r="E10" s="1"/>
  <c r="D2"/>
  <c r="C2"/>
  <c r="E2" s="1"/>
  <c r="D8"/>
  <c r="C8"/>
  <c r="E8" s="1"/>
  <c r="D5"/>
  <c r="C5"/>
  <c r="E5" s="1"/>
  <c r="D7"/>
  <c r="C7"/>
  <c r="E7" s="1"/>
  <c r="D6"/>
  <c r="C6"/>
  <c r="E6" s="1"/>
  <c r="D4"/>
  <c r="C4"/>
  <c r="E4" s="1"/>
  <c r="D9"/>
  <c r="C9"/>
  <c r="E9" s="1"/>
  <c r="D3"/>
  <c r="C3"/>
  <c r="E3" s="1"/>
  <c r="D11"/>
  <c r="C11"/>
  <c r="E11" s="1"/>
  <c r="AR13" i="24"/>
  <c r="AT13"/>
  <c r="AS13"/>
  <c r="I2"/>
  <c r="J2"/>
  <c r="H2"/>
  <c r="G7" i="25" s="1"/>
  <c r="S2" i="24"/>
  <c r="K2"/>
  <c r="U2"/>
  <c r="AV15" s="1"/>
  <c r="AR14"/>
  <c r="AT14"/>
  <c r="AS14"/>
  <c r="AK2" i="3"/>
  <c r="CO2" a="1"/>
  <c r="CO2" s="1"/>
  <c r="DH2" s="1"/>
  <c r="AZ2"/>
  <c r="AP2"/>
  <c r="AO2"/>
  <c r="AN2"/>
  <c r="CU2" a="1"/>
  <c r="CU2" s="1"/>
  <c r="Q21"/>
  <c r="I21"/>
  <c r="AE20"/>
  <c r="Q20"/>
  <c r="I20"/>
  <c r="Q10"/>
  <c r="I10"/>
  <c r="Q9"/>
  <c r="I9"/>
  <c r="DN2" l="1"/>
  <c r="F2"/>
  <c r="G2"/>
  <c r="E2"/>
  <c r="CN2" a="1"/>
  <c r="CN2" s="1"/>
  <c r="DG2" s="1"/>
  <c r="AU14" i="24"/>
  <c r="AV14"/>
  <c r="AQ14"/>
  <c r="CA14"/>
  <c r="BK14"/>
  <c r="G9" i="25"/>
  <c r="AU13" i="24"/>
  <c r="AV13"/>
  <c r="AQ13"/>
  <c r="CA13"/>
  <c r="BK13"/>
  <c r="CD38"/>
  <c r="CA38"/>
  <c r="BK38"/>
  <c r="AQ38"/>
  <c r="AU38"/>
  <c r="AU36"/>
  <c r="AQ36"/>
  <c r="BK36"/>
  <c r="CA36"/>
  <c r="CD36"/>
  <c r="CD25"/>
  <c r="CA25"/>
  <c r="BK25"/>
  <c r="AQ25"/>
  <c r="AU25"/>
  <c r="CD68"/>
  <c r="CA68"/>
  <c r="BK68"/>
  <c r="AQ68"/>
  <c r="AU68"/>
  <c r="CD65"/>
  <c r="AQ65"/>
  <c r="CA65"/>
  <c r="BK65"/>
  <c r="AU65"/>
  <c r="CD43"/>
  <c r="AQ43"/>
  <c r="CA43"/>
  <c r="BK43"/>
  <c r="AU43"/>
  <c r="AU35"/>
  <c r="AQ35"/>
  <c r="BK35"/>
  <c r="CA35"/>
  <c r="CD35"/>
  <c r="AU29"/>
  <c r="AQ29"/>
  <c r="BK29"/>
  <c r="CA29"/>
  <c r="CD29"/>
  <c r="CD46"/>
  <c r="CA46"/>
  <c r="BK46"/>
  <c r="AQ46"/>
  <c r="AU46"/>
  <c r="CD23"/>
  <c r="AQ23"/>
  <c r="CA23"/>
  <c r="BK23"/>
  <c r="AU23"/>
  <c r="CD16"/>
  <c r="CA16"/>
  <c r="BK16"/>
  <c r="AQ16"/>
  <c r="AU16"/>
  <c r="CD61"/>
  <c r="CA61"/>
  <c r="BK61"/>
  <c r="AQ61"/>
  <c r="AU61"/>
  <c r="CD44"/>
  <c r="CA44"/>
  <c r="BK44"/>
  <c r="AQ44"/>
  <c r="AU44"/>
  <c r="CD39"/>
  <c r="AQ39"/>
  <c r="CA39"/>
  <c r="BK39"/>
  <c r="AU39"/>
  <c r="CD67"/>
  <c r="CA67"/>
  <c r="BK67"/>
  <c r="AQ67"/>
  <c r="AU67"/>
  <c r="CD59"/>
  <c r="CA59"/>
  <c r="BK59"/>
  <c r="AQ59"/>
  <c r="AU59"/>
  <c r="CD17"/>
  <c r="CA17"/>
  <c r="BK17"/>
  <c r="AQ17"/>
  <c r="AU17"/>
  <c r="CD63"/>
  <c r="CA63"/>
  <c r="BK63"/>
  <c r="AQ63"/>
  <c r="AU63"/>
  <c r="CD45"/>
  <c r="CA45"/>
  <c r="BK45"/>
  <c r="AQ45"/>
  <c r="AU45"/>
  <c r="CD62"/>
  <c r="AQ62"/>
  <c r="CA62"/>
  <c r="BK62"/>
  <c r="AU62"/>
  <c r="CD60"/>
  <c r="CA60"/>
  <c r="BK60"/>
  <c r="AQ60"/>
  <c r="AU60"/>
  <c r="CD54"/>
  <c r="AQ54"/>
  <c r="CA54"/>
  <c r="BK54"/>
  <c r="AU54"/>
  <c r="CD21"/>
  <c r="CA21"/>
  <c r="BK21"/>
  <c r="AQ21"/>
  <c r="AU21"/>
  <c r="CD26"/>
  <c r="AQ26"/>
  <c r="CA26"/>
  <c r="BK26"/>
  <c r="AU26"/>
  <c r="CD18"/>
  <c r="CA18"/>
  <c r="BK18"/>
  <c r="AQ18"/>
  <c r="AU18"/>
  <c r="CD66"/>
  <c r="AQ66"/>
  <c r="CA66"/>
  <c r="BK66"/>
  <c r="AU66"/>
  <c r="CD37"/>
  <c r="CA37"/>
  <c r="BK37"/>
  <c r="AQ37"/>
  <c r="AU37"/>
  <c r="CD22"/>
  <c r="CA22"/>
  <c r="BK22"/>
  <c r="AQ22"/>
  <c r="AU22"/>
  <c r="CD31"/>
  <c r="CA31"/>
  <c r="BK31"/>
  <c r="AQ31"/>
  <c r="AU31"/>
  <c r="CD58"/>
  <c r="AQ58"/>
  <c r="CA58"/>
  <c r="BK58"/>
  <c r="AU58"/>
  <c r="CD32"/>
  <c r="AQ32"/>
  <c r="CA32"/>
  <c r="BK32"/>
  <c r="AU32"/>
  <c r="CD71"/>
  <c r="AQ71"/>
  <c r="CA71"/>
  <c r="BK71"/>
  <c r="AU71"/>
  <c r="CD24"/>
  <c r="CA24"/>
  <c r="BK24"/>
  <c r="AQ24"/>
  <c r="AU24"/>
  <c r="CD49"/>
  <c r="AQ49"/>
  <c r="CA49"/>
  <c r="BK49"/>
  <c r="AU49"/>
  <c r="CD40"/>
  <c r="CA40"/>
  <c r="BK40"/>
  <c r="AQ40"/>
  <c r="AU40"/>
  <c r="AV40"/>
  <c r="CD50"/>
  <c r="AQ50"/>
  <c r="CA50"/>
  <c r="BK50"/>
  <c r="AU50"/>
  <c r="CD20"/>
  <c r="CA20"/>
  <c r="BK20"/>
  <c r="AQ20"/>
  <c r="AU20"/>
  <c r="AU33"/>
  <c r="AQ33"/>
  <c r="BK33"/>
  <c r="CA33"/>
  <c r="CD33"/>
  <c r="CD19"/>
  <c r="CA19"/>
  <c r="BK19"/>
  <c r="AQ19"/>
  <c r="AU19"/>
  <c r="CD51"/>
  <c r="CA51"/>
  <c r="BK51"/>
  <c r="AQ51"/>
  <c r="AU51"/>
  <c r="CD27"/>
  <c r="CA27"/>
  <c r="BK27"/>
  <c r="AQ27"/>
  <c r="AU27"/>
  <c r="CD53"/>
  <c r="CA53"/>
  <c r="BK53"/>
  <c r="AQ53"/>
  <c r="AU53"/>
  <c r="CD52"/>
  <c r="AQ52"/>
  <c r="CA52"/>
  <c r="BK52"/>
  <c r="AU52"/>
  <c r="CD28"/>
  <c r="AQ28"/>
  <c r="CA28"/>
  <c r="BK28"/>
  <c r="AU28"/>
  <c r="AU30"/>
  <c r="AQ30"/>
  <c r="BK30"/>
  <c r="CA30"/>
  <c r="CD30"/>
  <c r="CD64"/>
  <c r="CA64"/>
  <c r="BK64"/>
  <c r="AQ64"/>
  <c r="AU64"/>
  <c r="CD42"/>
  <c r="CA42"/>
  <c r="BK42"/>
  <c r="AQ42"/>
  <c r="AU42"/>
  <c r="AZ57"/>
  <c r="BA57"/>
  <c r="AZ56"/>
  <c r="BA56"/>
  <c r="AZ55"/>
  <c r="BA55"/>
  <c r="BD39"/>
  <c r="T2"/>
  <c r="J21" i="3" a="1"/>
  <c r="V21" a="1"/>
  <c r="U21" a="1"/>
  <c r="T21" a="1"/>
  <c r="R21" a="1"/>
  <c r="J20" a="1"/>
  <c r="V20" a="1"/>
  <c r="U20" a="1"/>
  <c r="T20" a="1"/>
  <c r="R20" a="1"/>
  <c r="I24"/>
  <c r="Q24"/>
  <c r="I13"/>
  <c r="Q13"/>
  <c r="I14"/>
  <c r="Q14"/>
  <c r="I15"/>
  <c r="Q15"/>
  <c r="I16"/>
  <c r="Q16"/>
  <c r="I17"/>
  <c r="Q17"/>
  <c r="I18"/>
  <c r="Q18"/>
  <c r="I19"/>
  <c r="Q19"/>
  <c r="I22"/>
  <c r="Q22"/>
  <c r="I23"/>
  <c r="Q23"/>
  <c r="R20" l="1"/>
  <c r="T20"/>
  <c r="U20"/>
  <c r="CS20" s="1" a="1"/>
  <c r="CS20" s="1"/>
  <c r="DL20" s="1" a="1"/>
  <c r="DL20" s="1"/>
  <c r="V20"/>
  <c r="J20"/>
  <c r="R21"/>
  <c r="T21"/>
  <c r="U21"/>
  <c r="CS21" s="1" a="1"/>
  <c r="CS21" s="1"/>
  <c r="DL21" s="1" a="1"/>
  <c r="DL21" s="1"/>
  <c r="V21"/>
  <c r="J21"/>
  <c r="G15" i="25"/>
  <c r="BC55" i="24"/>
  <c r="BD55"/>
  <c r="BC56"/>
  <c r="BD56"/>
  <c r="BC57"/>
  <c r="BD57"/>
  <c r="CG42"/>
  <c r="CC42"/>
  <c r="CH42"/>
  <c r="CF42"/>
  <c r="AP42"/>
  <c r="BL42"/>
  <c r="BE42"/>
  <c r="CE42"/>
  <c r="CG64"/>
  <c r="CC64"/>
  <c r="CH64"/>
  <c r="CF64"/>
  <c r="AP64"/>
  <c r="BL64"/>
  <c r="BE64"/>
  <c r="AP30"/>
  <c r="BE30"/>
  <c r="BL30"/>
  <c r="CC30"/>
  <c r="CF30"/>
  <c r="CG30"/>
  <c r="CH30"/>
  <c r="CH28"/>
  <c r="CF28"/>
  <c r="CG28"/>
  <c r="CC28"/>
  <c r="BL28"/>
  <c r="BE28"/>
  <c r="AP28"/>
  <c r="CG52"/>
  <c r="CC52"/>
  <c r="CH52"/>
  <c r="CF52"/>
  <c r="BL52"/>
  <c r="BE52"/>
  <c r="AP52"/>
  <c r="CE52"/>
  <c r="CG53"/>
  <c r="CC53"/>
  <c r="CH53"/>
  <c r="CF53"/>
  <c r="AP53"/>
  <c r="BL53"/>
  <c r="BE53"/>
  <c r="CE53"/>
  <c r="CG27"/>
  <c r="CC27"/>
  <c r="CH27"/>
  <c r="CF27"/>
  <c r="AP27"/>
  <c r="BL27"/>
  <c r="BE27"/>
  <c r="CH51"/>
  <c r="CF51"/>
  <c r="CG51"/>
  <c r="CC51"/>
  <c r="BL51"/>
  <c r="BE51"/>
  <c r="AP51"/>
  <c r="CE51"/>
  <c r="CG19"/>
  <c r="CC19"/>
  <c r="CH19"/>
  <c r="CF19"/>
  <c r="BL19"/>
  <c r="BE19"/>
  <c r="AP19"/>
  <c r="AP33"/>
  <c r="BE33"/>
  <c r="BL33"/>
  <c r="CC33"/>
  <c r="CF33"/>
  <c r="CG33"/>
  <c r="CH33"/>
  <c r="AP20"/>
  <c r="CG20"/>
  <c r="CH20"/>
  <c r="CF20"/>
  <c r="CC20"/>
  <c r="BL20"/>
  <c r="BE20"/>
  <c r="CH50"/>
  <c r="CF50"/>
  <c r="CG50"/>
  <c r="CC50"/>
  <c r="BL50"/>
  <c r="BE50"/>
  <c r="AP50"/>
  <c r="CE50"/>
  <c r="CH40"/>
  <c r="CG40"/>
  <c r="CC40"/>
  <c r="CF40"/>
  <c r="AP40"/>
  <c r="BL40"/>
  <c r="BE40"/>
  <c r="CE40"/>
  <c r="CC49"/>
  <c r="CH49"/>
  <c r="CF49"/>
  <c r="CG49"/>
  <c r="BL49"/>
  <c r="BE49"/>
  <c r="AP49"/>
  <c r="CE49"/>
  <c r="CH24"/>
  <c r="CF24"/>
  <c r="CC24"/>
  <c r="CG24"/>
  <c r="AP24"/>
  <c r="BL24"/>
  <c r="BE24"/>
  <c r="CH71"/>
  <c r="CF71"/>
  <c r="CG71"/>
  <c r="CC71"/>
  <c r="BL71"/>
  <c r="BE71"/>
  <c r="AP71"/>
  <c r="CG32"/>
  <c r="CC32"/>
  <c r="CH32"/>
  <c r="CF32"/>
  <c r="BL32"/>
  <c r="BE32"/>
  <c r="AP32"/>
  <c r="CG58"/>
  <c r="CC58"/>
  <c r="CH58"/>
  <c r="CF58"/>
  <c r="BL58"/>
  <c r="BE58"/>
  <c r="AP58"/>
  <c r="CE58"/>
  <c r="CC31"/>
  <c r="CH31"/>
  <c r="CF31"/>
  <c r="CG31"/>
  <c r="AP31"/>
  <c r="BL31"/>
  <c r="BE31"/>
  <c r="CC22"/>
  <c r="CH22"/>
  <c r="CF22"/>
  <c r="CG22"/>
  <c r="BL22"/>
  <c r="BE22"/>
  <c r="AP22"/>
  <c r="CG37"/>
  <c r="CC37"/>
  <c r="CH37"/>
  <c r="CF37"/>
  <c r="AP37"/>
  <c r="BL37"/>
  <c r="BE37"/>
  <c r="CH66"/>
  <c r="CF66"/>
  <c r="CG66"/>
  <c r="CC66"/>
  <c r="BL66"/>
  <c r="BE66"/>
  <c r="AP66"/>
  <c r="CE66"/>
  <c r="AP18"/>
  <c r="CG18"/>
  <c r="CC18"/>
  <c r="CH18"/>
  <c r="CF18"/>
  <c r="BL18"/>
  <c r="BE18"/>
  <c r="CH26"/>
  <c r="CF26"/>
  <c r="CG26"/>
  <c r="CC26"/>
  <c r="BL26"/>
  <c r="BE26"/>
  <c r="AP26"/>
  <c r="AP21"/>
  <c r="CG21"/>
  <c r="CC21"/>
  <c r="CH21"/>
  <c r="CF21"/>
  <c r="BL21"/>
  <c r="BE21"/>
  <c r="CH54"/>
  <c r="CF54"/>
  <c r="CG54"/>
  <c r="CC54"/>
  <c r="BL54"/>
  <c r="BE54"/>
  <c r="AP54"/>
  <c r="CE54"/>
  <c r="CG60"/>
  <c r="CC60"/>
  <c r="CH60"/>
  <c r="CF60"/>
  <c r="AP60"/>
  <c r="BL60"/>
  <c r="BE60"/>
  <c r="CE60"/>
  <c r="CH62"/>
  <c r="CF62"/>
  <c r="CG62"/>
  <c r="CC62"/>
  <c r="BL62"/>
  <c r="BE62"/>
  <c r="AP62"/>
  <c r="CG45"/>
  <c r="CC45"/>
  <c r="CH45"/>
  <c r="CF45"/>
  <c r="AP45"/>
  <c r="BL45"/>
  <c r="BE45"/>
  <c r="CE45"/>
  <c r="CG63"/>
  <c r="CC63"/>
  <c r="CH63"/>
  <c r="CF63"/>
  <c r="AP63"/>
  <c r="BL63"/>
  <c r="BE63"/>
  <c r="AP17"/>
  <c r="CG17"/>
  <c r="CC17"/>
  <c r="CH17"/>
  <c r="CF17"/>
  <c r="BL17"/>
  <c r="BE17"/>
  <c r="CH59"/>
  <c r="CF59"/>
  <c r="CG59"/>
  <c r="CC59"/>
  <c r="BL59"/>
  <c r="BE59"/>
  <c r="AP59"/>
  <c r="CE59"/>
  <c r="CH67"/>
  <c r="CF67"/>
  <c r="CG67"/>
  <c r="CC67"/>
  <c r="AP67"/>
  <c r="BL67"/>
  <c r="BE67"/>
  <c r="CE67"/>
  <c r="CH39"/>
  <c r="CF39"/>
  <c r="CG39"/>
  <c r="CC39"/>
  <c r="BL39"/>
  <c r="BE39"/>
  <c r="AP39"/>
  <c r="CF44"/>
  <c r="CG44"/>
  <c r="CC44"/>
  <c r="CH44"/>
  <c r="AP44"/>
  <c r="BL44"/>
  <c r="BE44"/>
  <c r="CE44"/>
  <c r="CG61"/>
  <c r="CC61"/>
  <c r="CH61"/>
  <c r="CF61"/>
  <c r="AP61"/>
  <c r="BL61"/>
  <c r="BE61"/>
  <c r="CE61"/>
  <c r="AP16"/>
  <c r="CG16"/>
  <c r="CH16"/>
  <c r="CF16"/>
  <c r="CC16"/>
  <c r="BL16"/>
  <c r="BE16"/>
  <c r="CH23"/>
  <c r="CF23"/>
  <c r="CG23"/>
  <c r="CC23"/>
  <c r="BL23"/>
  <c r="BE23"/>
  <c r="AP23"/>
  <c r="CC46"/>
  <c r="CH46"/>
  <c r="CF46"/>
  <c r="CG46"/>
  <c r="AP46"/>
  <c r="BL46"/>
  <c r="BE46"/>
  <c r="CE46"/>
  <c r="AP29"/>
  <c r="BE29"/>
  <c r="BL29"/>
  <c r="CC29"/>
  <c r="CF29"/>
  <c r="CG29"/>
  <c r="CH29"/>
  <c r="AP35"/>
  <c r="BE35"/>
  <c r="BL35"/>
  <c r="CC35"/>
  <c r="CF35"/>
  <c r="CG35"/>
  <c r="CH35"/>
  <c r="CH43"/>
  <c r="CF43"/>
  <c r="CG43"/>
  <c r="CC43"/>
  <c r="BL43"/>
  <c r="BE43"/>
  <c r="AP43"/>
  <c r="CE43"/>
  <c r="CG65"/>
  <c r="CH65"/>
  <c r="CF65"/>
  <c r="CC65"/>
  <c r="BL65"/>
  <c r="BE65"/>
  <c r="AP65"/>
  <c r="CH68"/>
  <c r="CF68"/>
  <c r="CC68"/>
  <c r="CG68"/>
  <c r="AP68"/>
  <c r="BL68"/>
  <c r="BE68"/>
  <c r="CE68"/>
  <c r="CG25"/>
  <c r="CH25"/>
  <c r="CF25"/>
  <c r="CC25"/>
  <c r="AP25"/>
  <c r="BL25"/>
  <c r="BE25"/>
  <c r="AP36"/>
  <c r="BE36"/>
  <c r="BL36"/>
  <c r="CC36"/>
  <c r="CF36"/>
  <c r="CG36"/>
  <c r="CH36"/>
  <c r="CH38"/>
  <c r="CF38"/>
  <c r="CG38"/>
  <c r="CC38"/>
  <c r="AP38"/>
  <c r="BL38"/>
  <c r="BE38"/>
  <c r="AP13"/>
  <c r="CG13"/>
  <c r="CC13"/>
  <c r="CH13"/>
  <c r="CF13"/>
  <c r="CD13"/>
  <c r="BL13"/>
  <c r="BE13"/>
  <c r="AP14"/>
  <c r="CG14"/>
  <c r="CC14"/>
  <c r="CH14"/>
  <c r="CF14"/>
  <c r="CD14"/>
  <c r="BL14"/>
  <c r="BE14"/>
  <c r="M20" i="3"/>
  <c r="L20"/>
  <c r="K20"/>
  <c r="M21"/>
  <c r="L21"/>
  <c r="K21"/>
  <c r="R24" a="1"/>
  <c r="T24" a="1"/>
  <c r="U24" a="1"/>
  <c r="V24" a="1"/>
  <c r="J24" a="1"/>
  <c r="CU15" a="1"/>
  <c r="R23" a="1"/>
  <c r="T23" a="1"/>
  <c r="U23" a="1"/>
  <c r="V23" a="1"/>
  <c r="J23" a="1"/>
  <c r="R22" a="1"/>
  <c r="T22" a="1"/>
  <c r="U22" a="1"/>
  <c r="V22" a="1"/>
  <c r="J22" a="1"/>
  <c r="R19" a="1"/>
  <c r="T19" a="1"/>
  <c r="U19" a="1"/>
  <c r="V19" a="1"/>
  <c r="J19" a="1"/>
  <c r="R18" a="1"/>
  <c r="T18" a="1"/>
  <c r="U18" a="1"/>
  <c r="V18" a="1"/>
  <c r="J18" a="1"/>
  <c r="R17" a="1"/>
  <c r="T17" a="1"/>
  <c r="U17" a="1"/>
  <c r="V17" a="1"/>
  <c r="J17" a="1"/>
  <c r="R16" a="1"/>
  <c r="T16" a="1"/>
  <c r="U16" a="1"/>
  <c r="V16" a="1"/>
  <c r="J16" a="1"/>
  <c r="R15" a="1"/>
  <c r="T15" a="1"/>
  <c r="U15" a="1"/>
  <c r="V15" a="1"/>
  <c r="J15" a="1"/>
  <c r="R14" a="1"/>
  <c r="T14" a="1"/>
  <c r="U14" a="1"/>
  <c r="V14" a="1"/>
  <c r="J14" a="1"/>
  <c r="R13" a="1"/>
  <c r="T13" a="1"/>
  <c r="U13" a="1"/>
  <c r="V13" a="1"/>
  <c r="J13" a="1"/>
  <c r="J9" a="1"/>
  <c r="R9" a="1"/>
  <c r="T9" a="1"/>
  <c r="U9" a="1"/>
  <c r="V9" a="1"/>
  <c r="J10" a="1"/>
  <c r="R10" a="1"/>
  <c r="T10" a="1"/>
  <c r="U10" a="1"/>
  <c r="V10" a="1"/>
  <c r="S20" l="1" a="1"/>
  <c r="S20" s="1"/>
  <c r="N20"/>
  <c r="AX20" s="1"/>
  <c r="EB20"/>
  <c r="DX20" s="1"/>
  <c r="CQ20" a="1"/>
  <c r="CQ20" s="1"/>
  <c r="DJ20" s="1"/>
  <c r="CP20" a="1"/>
  <c r="CP20" s="1"/>
  <c r="DI20" s="1"/>
  <c r="Z20"/>
  <c r="Y20"/>
  <c r="AV20" s="1"/>
  <c r="BA20"/>
  <c r="S21" a="1"/>
  <c r="S21" s="1"/>
  <c r="N21"/>
  <c r="EB21"/>
  <c r="DX21" s="1"/>
  <c r="CQ21" a="1"/>
  <c r="CQ21" s="1"/>
  <c r="DJ21" s="1"/>
  <c r="CP21" a="1"/>
  <c r="CP21" s="1"/>
  <c r="DI21" s="1"/>
  <c r="AV21"/>
  <c r="AA21" a="1"/>
  <c r="AA21" s="1"/>
  <c r="AB21" s="1" a="1"/>
  <c r="AB21" s="1"/>
  <c r="AC21" s="1"/>
  <c r="AJ21" s="1"/>
  <c r="X21" a="1"/>
  <c r="X21" s="1"/>
  <c r="W21" a="1"/>
  <c r="W21" s="1"/>
  <c r="Z21"/>
  <c r="Y21"/>
  <c r="BA21"/>
  <c r="J24"/>
  <c r="V24"/>
  <c r="U24"/>
  <c r="CS24" s="1" a="1"/>
  <c r="CS24" s="1"/>
  <c r="DL24" s="1" a="1"/>
  <c r="DL24" s="1"/>
  <c r="T24"/>
  <c r="R24"/>
  <c r="CU15"/>
  <c r="DN15" s="1"/>
  <c r="J13"/>
  <c r="V13"/>
  <c r="U13"/>
  <c r="CS13" s="1" a="1"/>
  <c r="CS13" s="1"/>
  <c r="DL13" s="1" a="1"/>
  <c r="DL13" s="1"/>
  <c r="T13"/>
  <c r="R13"/>
  <c r="J14"/>
  <c r="V14"/>
  <c r="U14"/>
  <c r="T14"/>
  <c r="R14"/>
  <c r="J15"/>
  <c r="V15"/>
  <c r="U15"/>
  <c r="CS15" s="1" a="1"/>
  <c r="CS15" s="1"/>
  <c r="DL15" s="1" a="1"/>
  <c r="DL15" s="1"/>
  <c r="T15"/>
  <c r="R15"/>
  <c r="J16"/>
  <c r="V16"/>
  <c r="U16"/>
  <c r="CS16" s="1" a="1"/>
  <c r="CS16" s="1"/>
  <c r="DL16" s="1" a="1"/>
  <c r="DL16" s="1"/>
  <c r="T16"/>
  <c r="R16"/>
  <c r="J17"/>
  <c r="V17"/>
  <c r="U17"/>
  <c r="CS17" s="1" a="1"/>
  <c r="CS17" s="1"/>
  <c r="DL17" s="1" a="1"/>
  <c r="DL17" s="1"/>
  <c r="T17"/>
  <c r="R17"/>
  <c r="J18"/>
  <c r="V18"/>
  <c r="U18"/>
  <c r="CS18" s="1" a="1"/>
  <c r="CS18" s="1"/>
  <c r="DL18" s="1" a="1"/>
  <c r="DL18" s="1"/>
  <c r="T18"/>
  <c r="R18"/>
  <c r="J19"/>
  <c r="V19"/>
  <c r="U19"/>
  <c r="CS19" s="1" a="1"/>
  <c r="CS19" s="1"/>
  <c r="DL19" s="1" a="1"/>
  <c r="DL19" s="1"/>
  <c r="T19"/>
  <c r="R19"/>
  <c r="J22"/>
  <c r="V22"/>
  <c r="U22"/>
  <c r="CS22" s="1" a="1"/>
  <c r="CS22" s="1"/>
  <c r="DL22" s="1" a="1"/>
  <c r="DL22" s="1"/>
  <c r="T22"/>
  <c r="R22"/>
  <c r="J23"/>
  <c r="V23"/>
  <c r="U23"/>
  <c r="T23"/>
  <c r="R23"/>
  <c r="V10"/>
  <c r="EB10" s="1"/>
  <c r="DX10" s="1"/>
  <c r="U10"/>
  <c r="T10"/>
  <c r="R10"/>
  <c r="J10"/>
  <c r="V9"/>
  <c r="EB9" s="1"/>
  <c r="DX9" s="1"/>
  <c r="U9"/>
  <c r="T9"/>
  <c r="R9"/>
  <c r="J9"/>
  <c r="CP9" a="1"/>
  <c r="CP9" s="1"/>
  <c r="DI9" s="1"/>
  <c r="CP10" a="1"/>
  <c r="CP10" s="1"/>
  <c r="DI10" s="1"/>
  <c r="BA8"/>
  <c r="Z9"/>
  <c r="BA9"/>
  <c r="Z10"/>
  <c r="BA10"/>
  <c r="BH10" s="1"/>
  <c r="BL10" s="1"/>
  <c r="BG14" i="24"/>
  <c r="BG13"/>
  <c r="BF38"/>
  <c r="BZ38"/>
  <c r="BG38"/>
  <c r="BF36"/>
  <c r="BG36"/>
  <c r="BZ36"/>
  <c r="BG25"/>
  <c r="BG68"/>
  <c r="BG65"/>
  <c r="BZ43"/>
  <c r="BG43"/>
  <c r="BF43"/>
  <c r="BG35"/>
  <c r="BF29"/>
  <c r="BG29"/>
  <c r="BZ29"/>
  <c r="BG46"/>
  <c r="BG23"/>
  <c r="BG16"/>
  <c r="BF61"/>
  <c r="BZ61"/>
  <c r="BG61"/>
  <c r="BF44"/>
  <c r="BZ44"/>
  <c r="BG44"/>
  <c r="BZ39"/>
  <c r="BG39"/>
  <c r="BF39"/>
  <c r="BG67"/>
  <c r="BF59"/>
  <c r="BZ59"/>
  <c r="BG59"/>
  <c r="BG17"/>
  <c r="BG63"/>
  <c r="BF45"/>
  <c r="BZ45"/>
  <c r="BG45"/>
  <c r="BG62"/>
  <c r="BF60"/>
  <c r="BZ60"/>
  <c r="BG60"/>
  <c r="BZ54"/>
  <c r="BG54"/>
  <c r="BF54"/>
  <c r="BG21"/>
  <c r="BG26"/>
  <c r="BZ18"/>
  <c r="BF18"/>
  <c r="BG18"/>
  <c r="BG66"/>
  <c r="BF37"/>
  <c r="BZ37"/>
  <c r="BG37"/>
  <c r="BG22"/>
  <c r="BG31"/>
  <c r="BZ58"/>
  <c r="BG58"/>
  <c r="BF58"/>
  <c r="BG32"/>
  <c r="BG71"/>
  <c r="BG24"/>
  <c r="BZ49"/>
  <c r="BG49"/>
  <c r="BF49"/>
  <c r="BF40"/>
  <c r="BZ40"/>
  <c r="BG40"/>
  <c r="BZ50"/>
  <c r="BG50"/>
  <c r="BF50"/>
  <c r="BG20"/>
  <c r="BG33"/>
  <c r="BG19"/>
  <c r="BZ51"/>
  <c r="BG51"/>
  <c r="BF51"/>
  <c r="BG27"/>
  <c r="BF53"/>
  <c r="BZ53"/>
  <c r="BG53"/>
  <c r="BZ52"/>
  <c r="BG52"/>
  <c r="BF52"/>
  <c r="BG28"/>
  <c r="BF30"/>
  <c r="BG30"/>
  <c r="BZ30"/>
  <c r="BG64"/>
  <c r="BF42"/>
  <c r="BZ42"/>
  <c r="BG42"/>
  <c r="T57"/>
  <c r="BH57" a="1"/>
  <c r="BH57" s="1"/>
  <c r="BH56" a="1"/>
  <c r="BH56" s="1"/>
  <c r="T56"/>
  <c r="T55"/>
  <c r="BH55" a="1"/>
  <c r="BH55" s="1"/>
  <c r="K10" i="3"/>
  <c r="L10"/>
  <c r="W10" a="1"/>
  <c r="X10" a="1"/>
  <c r="AA10" a="1"/>
  <c r="AW65" i="24"/>
  <c r="AW29"/>
  <c r="AW63"/>
  <c r="AW30"/>
  <c r="AA20" i="3" a="1"/>
  <c r="X20" a="1"/>
  <c r="W20" a="1"/>
  <c r="AM21"/>
  <c r="K9"/>
  <c r="L9"/>
  <c r="CS14" a="1"/>
  <c r="CS23" a="1"/>
  <c r="W9" a="1"/>
  <c r="X9" a="1"/>
  <c r="AA9" a="1"/>
  <c r="W20" l="1"/>
  <c r="X20"/>
  <c r="AA20"/>
  <c r="AB20" s="1" a="1"/>
  <c r="AB20" s="1"/>
  <c r="AC20" s="1"/>
  <c r="AJ20" s="1"/>
  <c r="AY20" a="1"/>
  <c r="AY20" s="1"/>
  <c r="AW20" a="1"/>
  <c r="AW20" s="1"/>
  <c r="AU20"/>
  <c r="AT20"/>
  <c r="AS20"/>
  <c r="AQ20"/>
  <c r="CR20" s="1" a="1"/>
  <c r="CR20" s="1"/>
  <c r="DK20" s="1"/>
  <c r="BC20"/>
  <c r="BB20"/>
  <c r="E20"/>
  <c r="BH21"/>
  <c r="BL21" s="1"/>
  <c r="AY21" a="1"/>
  <c r="AY21" s="1"/>
  <c r="AW21" a="1"/>
  <c r="AW21" s="1"/>
  <c r="AU21"/>
  <c r="AT21"/>
  <c r="AS21"/>
  <c r="AQ21"/>
  <c r="CR21" s="1" a="1"/>
  <c r="CR21" s="1"/>
  <c r="DK21" s="1"/>
  <c r="BC21"/>
  <c r="BB21"/>
  <c r="E21"/>
  <c r="Z24"/>
  <c r="BA24"/>
  <c r="CP24" a="1"/>
  <c r="CP24" s="1"/>
  <c r="DI24" s="1"/>
  <c r="CQ24" a="1"/>
  <c r="CQ24" s="1"/>
  <c r="DJ24" s="1"/>
  <c r="EB24"/>
  <c r="DX24" s="1"/>
  <c r="CS23"/>
  <c r="DL23" s="1" a="1"/>
  <c r="DL23" s="1"/>
  <c r="CS14"/>
  <c r="DL14" s="1" a="1"/>
  <c r="DL14" s="1"/>
  <c r="Z23"/>
  <c r="BA23"/>
  <c r="CP23" a="1"/>
  <c r="CP23" s="1"/>
  <c r="DI23" s="1"/>
  <c r="CQ23" a="1"/>
  <c r="CQ23" s="1"/>
  <c r="DJ23" s="1"/>
  <c r="EB23"/>
  <c r="DX23" s="1"/>
  <c r="Z22"/>
  <c r="BA22"/>
  <c r="CP22" a="1"/>
  <c r="CP22" s="1"/>
  <c r="DI22" s="1"/>
  <c r="CQ22" a="1"/>
  <c r="CQ22" s="1"/>
  <c r="DJ22" s="1"/>
  <c r="EB22"/>
  <c r="DX22" s="1"/>
  <c r="Z19"/>
  <c r="BA19"/>
  <c r="CP19" a="1"/>
  <c r="CP19" s="1"/>
  <c r="DI19" s="1"/>
  <c r="CQ19" a="1"/>
  <c r="CQ19" s="1"/>
  <c r="DJ19" s="1"/>
  <c r="EB19"/>
  <c r="DX19" s="1"/>
  <c r="Z18"/>
  <c r="BA18"/>
  <c r="CP18" a="1"/>
  <c r="CP18" s="1"/>
  <c r="DI18" s="1"/>
  <c r="CQ18" a="1"/>
  <c r="CQ18" s="1"/>
  <c r="DJ18" s="1"/>
  <c r="EB18"/>
  <c r="DX18" s="1"/>
  <c r="Z17"/>
  <c r="BA17"/>
  <c r="CP17" a="1"/>
  <c r="CP17" s="1"/>
  <c r="DI17" s="1"/>
  <c r="CQ17" a="1"/>
  <c r="CQ17" s="1"/>
  <c r="DJ17" s="1"/>
  <c r="EB17"/>
  <c r="DX17" s="1"/>
  <c r="K17"/>
  <c r="L17"/>
  <c r="M17"/>
  <c r="S17" s="1" a="1"/>
  <c r="S17" s="1"/>
  <c r="Y17" s="1"/>
  <c r="N17"/>
  <c r="AX17" s="1"/>
  <c r="Z16"/>
  <c r="BA16"/>
  <c r="CP16" a="1"/>
  <c r="CP16" s="1"/>
  <c r="DI16" s="1"/>
  <c r="CQ16" a="1"/>
  <c r="CQ16" s="1"/>
  <c r="DJ16" s="1"/>
  <c r="EB16"/>
  <c r="DX16" s="1"/>
  <c r="K16"/>
  <c r="L16"/>
  <c r="M16"/>
  <c r="S16" s="1" a="1"/>
  <c r="S16" s="1"/>
  <c r="Y16" s="1"/>
  <c r="N16"/>
  <c r="AX16" s="1"/>
  <c r="Z15"/>
  <c r="BA15"/>
  <c r="CP15" a="1"/>
  <c r="CP15" s="1"/>
  <c r="DI15" s="1"/>
  <c r="CQ15" a="1"/>
  <c r="CQ15" s="1"/>
  <c r="DJ15" s="1"/>
  <c r="EB15"/>
  <c r="DX15" s="1"/>
  <c r="K15"/>
  <c r="L15"/>
  <c r="M15"/>
  <c r="S15" s="1" a="1"/>
  <c r="S15" s="1"/>
  <c r="Y15" s="1"/>
  <c r="N15"/>
  <c r="AX15" s="1"/>
  <c r="Z14"/>
  <c r="BA14"/>
  <c r="CP14" a="1"/>
  <c r="CP14" s="1"/>
  <c r="DI14" s="1"/>
  <c r="CQ14" a="1"/>
  <c r="CQ14" s="1"/>
  <c r="DJ14" s="1"/>
  <c r="EB14"/>
  <c r="DX14" s="1"/>
  <c r="Z13"/>
  <c r="BA13"/>
  <c r="K13"/>
  <c r="L13"/>
  <c r="M13"/>
  <c r="S13" s="1" a="1"/>
  <c r="S13" s="1"/>
  <c r="Y13" s="1"/>
  <c r="N13"/>
  <c r="AX13" s="1"/>
  <c r="BB30" i="24"/>
  <c r="BB63"/>
  <c r="BC63" s="1"/>
  <c r="BB29"/>
  <c r="BB65"/>
  <c r="BC65" s="1"/>
  <c r="DM9" i="3"/>
  <c r="CS10" a="1"/>
  <c r="CS10" s="1"/>
  <c r="DL10" s="1" a="1"/>
  <c r="DL10" s="1"/>
  <c r="CQ9" a="1"/>
  <c r="CQ9" s="1"/>
  <c r="DJ9" s="1"/>
  <c r="CQ10" a="1"/>
  <c r="CQ10" s="1"/>
  <c r="DJ10" s="1"/>
  <c r="AA10"/>
  <c r="AB10" s="1" a="1"/>
  <c r="AB10" s="1"/>
  <c r="AC10" s="1"/>
  <c r="AJ10" s="1"/>
  <c r="X10"/>
  <c r="W10"/>
  <c r="AA9"/>
  <c r="AB9" s="1" a="1"/>
  <c r="AB9" s="1"/>
  <c r="AC9" s="1"/>
  <c r="AJ9" s="1"/>
  <c r="X9"/>
  <c r="W9"/>
  <c r="BB8"/>
  <c r="BC8"/>
  <c r="M10"/>
  <c r="BW29" i="24"/>
  <c r="BW30"/>
  <c r="BW65"/>
  <c r="BW63"/>
  <c r="BC30"/>
  <c r="AY30"/>
  <c r="AX30"/>
  <c r="AX63"/>
  <c r="AY63"/>
  <c r="BC29"/>
  <c r="AY29"/>
  <c r="AX29"/>
  <c r="AX65"/>
  <c r="AY65"/>
  <c r="AM20" i="3"/>
  <c r="CW20" a="1"/>
  <c r="W24" a="1"/>
  <c r="X24" a="1"/>
  <c r="AA24" a="1"/>
  <c r="K24"/>
  <c r="L24"/>
  <c r="K23"/>
  <c r="L23"/>
  <c r="K22"/>
  <c r="L22"/>
  <c r="K19"/>
  <c r="L19"/>
  <c r="K18"/>
  <c r="L18"/>
  <c r="K14"/>
  <c r="L14"/>
  <c r="M9"/>
  <c r="W23" a="1"/>
  <c r="X23" a="1"/>
  <c r="AA23" a="1"/>
  <c r="W22" a="1"/>
  <c r="X22" a="1"/>
  <c r="AA22" a="1"/>
  <c r="W19" a="1"/>
  <c r="X19" a="1"/>
  <c r="AA19" a="1"/>
  <c r="W18" a="1"/>
  <c r="X18" a="1"/>
  <c r="AA18" a="1"/>
  <c r="W17" a="1"/>
  <c r="X17" a="1"/>
  <c r="AA17" a="1"/>
  <c r="W16" a="1"/>
  <c r="X16" a="1"/>
  <c r="AA16" a="1"/>
  <c r="W15" a="1"/>
  <c r="X15" a="1"/>
  <c r="AA15" a="1"/>
  <c r="W14" a="1"/>
  <c r="X14" a="1"/>
  <c r="AA14" a="1"/>
  <c r="W13" a="1"/>
  <c r="X13" a="1"/>
  <c r="AA13" a="1"/>
  <c r="CS9" a="1"/>
  <c r="CW20" l="1"/>
  <c r="DP20" s="1"/>
  <c r="EC20"/>
  <c r="DZ20" s="1"/>
  <c r="BJ20"/>
  <c r="BK20"/>
  <c r="BD20"/>
  <c r="BE20"/>
  <c r="BF20"/>
  <c r="CV21" a="1"/>
  <c r="CV21" s="1"/>
  <c r="DO21" s="1"/>
  <c r="EC21"/>
  <c r="DZ21" s="1"/>
  <c r="BJ21"/>
  <c r="BK21"/>
  <c r="BN21"/>
  <c r="AL21"/>
  <c r="BD21"/>
  <c r="BE21"/>
  <c r="BF21"/>
  <c r="AA24"/>
  <c r="AB24" s="1" a="1"/>
  <c r="AB24" s="1"/>
  <c r="AC24" s="1"/>
  <c r="AJ24" s="1"/>
  <c r="X24"/>
  <c r="W24"/>
  <c r="CS9"/>
  <c r="DL9" s="1" a="1"/>
  <c r="DL9" s="1"/>
  <c r="AA13"/>
  <c r="AB13" s="1" a="1"/>
  <c r="AB13" s="1"/>
  <c r="AC13" s="1"/>
  <c r="AJ13" s="1"/>
  <c r="X13"/>
  <c r="W13"/>
  <c r="AA14"/>
  <c r="AB14" s="1" a="1"/>
  <c r="AB14" s="1"/>
  <c r="AC14" s="1"/>
  <c r="AJ14" s="1"/>
  <c r="X14"/>
  <c r="W14"/>
  <c r="AA15"/>
  <c r="AB15" s="1" a="1"/>
  <c r="AB15" s="1"/>
  <c r="AC15" s="1"/>
  <c r="AJ15" s="1"/>
  <c r="X15"/>
  <c r="W15"/>
  <c r="AA16"/>
  <c r="AB16" s="1" a="1"/>
  <c r="AB16" s="1"/>
  <c r="AC16" s="1"/>
  <c r="AJ16" s="1"/>
  <c r="X16"/>
  <c r="W16"/>
  <c r="AA17"/>
  <c r="AB17" s="1" a="1"/>
  <c r="AB17" s="1"/>
  <c r="AC17" s="1"/>
  <c r="AJ17" s="1"/>
  <c r="X17"/>
  <c r="W17"/>
  <c r="AA18"/>
  <c r="AB18" s="1" a="1"/>
  <c r="AB18" s="1"/>
  <c r="AC18" s="1"/>
  <c r="AJ18" s="1"/>
  <c r="X18"/>
  <c r="W18"/>
  <c r="AA19"/>
  <c r="AB19" s="1" a="1"/>
  <c r="AB19" s="1"/>
  <c r="AC19" s="1"/>
  <c r="AJ19" s="1"/>
  <c r="X19"/>
  <c r="W19"/>
  <c r="AA22"/>
  <c r="AB22" s="1" a="1"/>
  <c r="AB22" s="1"/>
  <c r="AC22" s="1"/>
  <c r="AJ22" s="1"/>
  <c r="X22"/>
  <c r="W22"/>
  <c r="AA23"/>
  <c r="AB23" s="1" a="1"/>
  <c r="AB23" s="1"/>
  <c r="AC23" s="1"/>
  <c r="AJ23" s="1"/>
  <c r="X23"/>
  <c r="W23"/>
  <c r="AV13"/>
  <c r="AV15"/>
  <c r="E16"/>
  <c r="AV16"/>
  <c r="AV17"/>
  <c r="AQ13"/>
  <c r="AS13"/>
  <c r="AT13"/>
  <c r="AU13"/>
  <c r="AW13" a="1"/>
  <c r="AW13" s="1"/>
  <c r="E13" s="1"/>
  <c r="AY13" a="1"/>
  <c r="AY13" s="1"/>
  <c r="BB13"/>
  <c r="BC13"/>
  <c r="CR13" a="1"/>
  <c r="CR13" s="1"/>
  <c r="DK13" s="1"/>
  <c r="BD13"/>
  <c r="BE13"/>
  <c r="BF13"/>
  <c r="BG13"/>
  <c r="BH13"/>
  <c r="AQ15"/>
  <c r="AS15"/>
  <c r="AT15"/>
  <c r="AU15"/>
  <c r="AW15" a="1"/>
  <c r="AW15" s="1"/>
  <c r="E15" s="1"/>
  <c r="AY15" a="1"/>
  <c r="AY15" s="1"/>
  <c r="BB15"/>
  <c r="BC15"/>
  <c r="CR15" a="1"/>
  <c r="CR15" s="1"/>
  <c r="DK15" s="1"/>
  <c r="BD15"/>
  <c r="BE15"/>
  <c r="BF15"/>
  <c r="BG15"/>
  <c r="BH15"/>
  <c r="AQ16"/>
  <c r="AS16"/>
  <c r="AT16"/>
  <c r="AU16"/>
  <c r="AW16" a="1"/>
  <c r="AW16" s="1"/>
  <c r="AY16" a="1"/>
  <c r="AY16" s="1"/>
  <c r="BB16"/>
  <c r="BC16"/>
  <c r="CR16" a="1"/>
  <c r="CR16" s="1"/>
  <c r="DK16" s="1"/>
  <c r="BD16"/>
  <c r="BE16"/>
  <c r="BF16"/>
  <c r="BG16"/>
  <c r="BH16"/>
  <c r="BL16" s="1"/>
  <c r="AQ17"/>
  <c r="AS17"/>
  <c r="AT17"/>
  <c r="AU17"/>
  <c r="AW17" a="1"/>
  <c r="AW17" s="1"/>
  <c r="E17" s="1"/>
  <c r="AY17" a="1"/>
  <c r="AY17" s="1"/>
  <c r="BB17"/>
  <c r="BC17"/>
  <c r="CR17" a="1"/>
  <c r="CR17" s="1"/>
  <c r="DK17" s="1"/>
  <c r="BD17"/>
  <c r="BE17"/>
  <c r="BF17"/>
  <c r="BG17"/>
  <c r="BH17"/>
  <c r="BL17" s="1"/>
  <c r="T29" i="24"/>
  <c r="T30"/>
  <c r="T65"/>
  <c r="T63"/>
  <c r="EI2" i="3"/>
  <c r="BD8"/>
  <c r="N9"/>
  <c r="AX9" s="1"/>
  <c r="S10" a="1"/>
  <c r="S10" s="1"/>
  <c r="Y10" s="1"/>
  <c r="N10"/>
  <c r="AX10" s="1"/>
  <c r="BE8"/>
  <c r="S9" a="1"/>
  <c r="BH29" i="24" a="1"/>
  <c r="BH30" a="1"/>
  <c r="BH65" a="1"/>
  <c r="BF65"/>
  <c r="BH63" a="1"/>
  <c r="BF63"/>
  <c r="DP30"/>
  <c r="DP22"/>
  <c r="DP20"/>
  <c r="DP27"/>
  <c r="DP29"/>
  <c r="DP21"/>
  <c r="DP28"/>
  <c r="DP19"/>
  <c r="DO16"/>
  <c r="DP36"/>
  <c r="DP33"/>
  <c r="DP32"/>
  <c r="DP23"/>
  <c r="DP25"/>
  <c r="DP34"/>
  <c r="DP24"/>
  <c r="DP26"/>
  <c r="DP31"/>
  <c r="DP35"/>
  <c r="CT24" i="3" a="1"/>
  <c r="CV20" a="1"/>
  <c r="M24"/>
  <c r="AM24"/>
  <c r="CQ13" a="1"/>
  <c r="CP13" a="1"/>
  <c r="M14"/>
  <c r="M18"/>
  <c r="M19"/>
  <c r="M22"/>
  <c r="M23"/>
  <c r="AM13"/>
  <c r="AM14"/>
  <c r="AM15"/>
  <c r="AM16"/>
  <c r="AM17"/>
  <c r="AM18"/>
  <c r="AM19"/>
  <c r="AM22"/>
  <c r="AM23"/>
  <c r="CT24" l="1"/>
  <c r="DM24" s="1"/>
  <c r="CV20"/>
  <c r="DO20" s="1"/>
  <c r="BG20"/>
  <c r="BH20"/>
  <c r="BL20" s="1"/>
  <c r="EA20"/>
  <c r="EN20" s="1"/>
  <c r="DY20"/>
  <c r="BG21"/>
  <c r="EA21"/>
  <c r="EN21" s="1"/>
  <c r="DY21"/>
  <c r="N24"/>
  <c r="AX24" s="1"/>
  <c r="CP13"/>
  <c r="DI13" s="1"/>
  <c r="CQ13"/>
  <c r="DJ13" s="1"/>
  <c r="EB13"/>
  <c r="DX13" s="1"/>
  <c r="N23"/>
  <c r="AX23" s="1"/>
  <c r="S22" a="1"/>
  <c r="S22" s="1"/>
  <c r="Y22" s="1"/>
  <c r="AV22" s="1"/>
  <c r="N22"/>
  <c r="AX22" s="1"/>
  <c r="S19" a="1"/>
  <c r="S19" s="1"/>
  <c r="Y19" s="1"/>
  <c r="AV19" s="1"/>
  <c r="N19"/>
  <c r="AX19" s="1"/>
  <c r="S18" a="1"/>
  <c r="S18" s="1"/>
  <c r="Y18" s="1"/>
  <c r="AV18" s="1"/>
  <c r="N18"/>
  <c r="AX18" s="1"/>
  <c r="S14" a="1"/>
  <c r="S14" s="1"/>
  <c r="Y14" s="1"/>
  <c r="AV14" s="1"/>
  <c r="N14"/>
  <c r="AX14" s="1"/>
  <c r="AL17"/>
  <c r="BN17"/>
  <c r="BJ17"/>
  <c r="BK17"/>
  <c r="EC17"/>
  <c r="DZ17" s="1"/>
  <c r="AL16"/>
  <c r="BN16"/>
  <c r="BJ16"/>
  <c r="BK16"/>
  <c r="EC16"/>
  <c r="DZ16" s="1"/>
  <c r="BJ15"/>
  <c r="BL15" s="1"/>
  <c r="BK15"/>
  <c r="EC15"/>
  <c r="DZ15" s="1"/>
  <c r="BJ13"/>
  <c r="BL13" s="1"/>
  <c r="BK13"/>
  <c r="EC13"/>
  <c r="DZ13" s="1"/>
  <c r="BZ63" i="24"/>
  <c r="BH63"/>
  <c r="BZ65"/>
  <c r="BH65"/>
  <c r="BH30"/>
  <c r="BH29"/>
  <c r="S9" i="3"/>
  <c r="Y9" s="1"/>
  <c r="AQ10"/>
  <c r="AS10"/>
  <c r="AT10"/>
  <c r="AU10"/>
  <c r="AW10" a="1"/>
  <c r="AW10" s="1"/>
  <c r="E10"/>
  <c r="AV10"/>
  <c r="AQ9"/>
  <c r="AS9"/>
  <c r="AT9"/>
  <c r="AU9"/>
  <c r="AW9" a="1"/>
  <c r="AW9" s="1"/>
  <c r="E9"/>
  <c r="AV9"/>
  <c r="BF8"/>
  <c r="BG8" s="1"/>
  <c r="CT35" i="24"/>
  <c r="DD35"/>
  <c r="DD31"/>
  <c r="CT31"/>
  <c r="DD26"/>
  <c r="CT26"/>
  <c r="DD24"/>
  <c r="CT24"/>
  <c r="CT34"/>
  <c r="DD34"/>
  <c r="DD25"/>
  <c r="CT25"/>
  <c r="DD23"/>
  <c r="CT23"/>
  <c r="CT32"/>
  <c r="DD32"/>
  <c r="CT33"/>
  <c r="DD33"/>
  <c r="CT36"/>
  <c r="DD36"/>
  <c r="DC16"/>
  <c r="CS16"/>
  <c r="DD19"/>
  <c r="CT19"/>
  <c r="DD28"/>
  <c r="CT28"/>
  <c r="CT21"/>
  <c r="DD21"/>
  <c r="CT29"/>
  <c r="DD29"/>
  <c r="DD27"/>
  <c r="CT27"/>
  <c r="DD20"/>
  <c r="CT20"/>
  <c r="CT22"/>
  <c r="DD22"/>
  <c r="CT30"/>
  <c r="DD30"/>
  <c r="AY10" i="3" a="1"/>
  <c r="Q6"/>
  <c r="I6"/>
  <c r="AE8"/>
  <c r="AH8"/>
  <c r="S24" a="1"/>
  <c r="CV17" a="1"/>
  <c r="CV16" a="1"/>
  <c r="CV15" a="1"/>
  <c r="CV13" a="1"/>
  <c r="S23" a="1"/>
  <c r="Q12"/>
  <c r="I12"/>
  <c r="Q11"/>
  <c r="I11"/>
  <c r="Q8"/>
  <c r="I8"/>
  <c r="Q7"/>
  <c r="I7"/>
  <c r="Q5"/>
  <c r="I5"/>
  <c r="Q4"/>
  <c r="I4"/>
  <c r="Q3"/>
  <c r="I3"/>
  <c r="BC34" i="24"/>
  <c r="AY34"/>
  <c r="AX34"/>
  <c r="AK55"/>
  <c r="AN55"/>
  <c r="AP55"/>
  <c r="AN56"/>
  <c r="AK56"/>
  <c r="AP56"/>
  <c r="AN57"/>
  <c r="AP57"/>
  <c r="AK57"/>
  <c r="CB42"/>
  <c r="CB64"/>
  <c r="CB30"/>
  <c r="CB28"/>
  <c r="CB52"/>
  <c r="CB53"/>
  <c r="CB27"/>
  <c r="CB51"/>
  <c r="CB33"/>
  <c r="CB50"/>
  <c r="CB40"/>
  <c r="CB49"/>
  <c r="CB71"/>
  <c r="CB32"/>
  <c r="CB58"/>
  <c r="CB37"/>
  <c r="CB54"/>
  <c r="CB60"/>
  <c r="CB62"/>
  <c r="CB45"/>
  <c r="CB63"/>
  <c r="CB17"/>
  <c r="CB59"/>
  <c r="CB39"/>
  <c r="CB44"/>
  <c r="CB61"/>
  <c r="CB16"/>
  <c r="CB46"/>
  <c r="CB29"/>
  <c r="CB43"/>
  <c r="CB65"/>
  <c r="CB68"/>
  <c r="CB36"/>
  <c r="CB38"/>
  <c r="Q2" i="3"/>
  <c r="I2"/>
  <c r="CL2"/>
  <c r="CB23" i="24"/>
  <c r="CB13"/>
  <c r="CB14"/>
  <c r="C43" i="25"/>
  <c r="CB18" i="24"/>
  <c r="AW14"/>
  <c r="AW13"/>
  <c r="AW38"/>
  <c r="AW36"/>
  <c r="AW25"/>
  <c r="AW68"/>
  <c r="AW43"/>
  <c r="AW35"/>
  <c r="AW46"/>
  <c r="AW23"/>
  <c r="AW16"/>
  <c r="AW61"/>
  <c r="AW44"/>
  <c r="AW39"/>
  <c r="AW67"/>
  <c r="AW59"/>
  <c r="AW17"/>
  <c r="AW45"/>
  <c r="AW62"/>
  <c r="AW60"/>
  <c r="AW54"/>
  <c r="AW21"/>
  <c r="AW26"/>
  <c r="AW18"/>
  <c r="AW66"/>
  <c r="AW37"/>
  <c r="AW22"/>
  <c r="AW31"/>
  <c r="AW58"/>
  <c r="AW32"/>
  <c r="AW71"/>
  <c r="AW24"/>
  <c r="AW49"/>
  <c r="AW40"/>
  <c r="AW50"/>
  <c r="AW20"/>
  <c r="AW33"/>
  <c r="AW19"/>
  <c r="AW51"/>
  <c r="AW27"/>
  <c r="AW53"/>
  <c r="AW52"/>
  <c r="AW28"/>
  <c r="AW64"/>
  <c r="AW42"/>
  <c r="C31" i="25"/>
  <c r="C29"/>
  <c r="C27"/>
  <c r="BT4" i="24"/>
  <c r="D4"/>
  <c r="T4"/>
  <c r="BK4"/>
  <c r="BH4"/>
  <c r="BS4"/>
  <c r="BQ4"/>
  <c r="C7" i="25"/>
  <c r="C25"/>
  <c r="C41"/>
  <c r="C21"/>
  <c r="C19"/>
  <c r="C17"/>
  <c r="C11"/>
  <c r="C9"/>
  <c r="C39"/>
  <c r="C37"/>
  <c r="C33"/>
  <c r="C35"/>
  <c r="C23"/>
  <c r="AM10" i="3"/>
  <c r="AM9"/>
  <c r="AL20" l="1"/>
  <c r="BN20" s="1"/>
  <c r="S24"/>
  <c r="Y24" s="1"/>
  <c r="AQ24"/>
  <c r="AS24"/>
  <c r="AT24"/>
  <c r="AU24"/>
  <c r="AW24" a="1"/>
  <c r="AW24" s="1"/>
  <c r="AY24" a="1"/>
  <c r="AY24" s="1"/>
  <c r="BB24"/>
  <c r="BC24"/>
  <c r="CR24" a="1"/>
  <c r="CR24" s="1"/>
  <c r="DK24" s="1"/>
  <c r="CV13"/>
  <c r="DO13" s="1"/>
  <c r="CV15"/>
  <c r="DO15" s="1"/>
  <c r="CV16"/>
  <c r="DO16" s="1"/>
  <c r="CV17"/>
  <c r="DO17" s="1"/>
  <c r="AL13"/>
  <c r="BN13"/>
  <c r="AL15"/>
  <c r="BN15"/>
  <c r="S23"/>
  <c r="Y23" s="1"/>
  <c r="AQ14"/>
  <c r="AS14"/>
  <c r="AT14"/>
  <c r="AU14"/>
  <c r="AW14" a="1"/>
  <c r="AW14" s="1"/>
  <c r="E14" s="1"/>
  <c r="AQ18"/>
  <c r="AS18"/>
  <c r="AT18"/>
  <c r="AU18"/>
  <c r="AW18" a="1"/>
  <c r="AW18" s="1"/>
  <c r="E18" s="1"/>
  <c r="AQ19"/>
  <c r="AS19"/>
  <c r="AT19"/>
  <c r="AU19"/>
  <c r="AW19" a="1"/>
  <c r="AW19" s="1"/>
  <c r="E19" s="1"/>
  <c r="AQ22"/>
  <c r="AS22"/>
  <c r="AT22"/>
  <c r="AU22"/>
  <c r="AW22" a="1"/>
  <c r="AW22" s="1"/>
  <c r="E22" s="1"/>
  <c r="AQ23"/>
  <c r="AS23"/>
  <c r="AT23"/>
  <c r="AU23"/>
  <c r="AW23" a="1"/>
  <c r="AW23" s="1"/>
  <c r="AY23" a="1"/>
  <c r="AY23" s="1"/>
  <c r="BB23"/>
  <c r="BC23"/>
  <c r="CR23" a="1"/>
  <c r="CR23" s="1"/>
  <c r="DK23" s="1"/>
  <c r="DY13"/>
  <c r="EA13"/>
  <c r="EN13" s="1"/>
  <c r="DY15"/>
  <c r="EA15"/>
  <c r="EN15" s="1"/>
  <c r="DY16"/>
  <c r="EA16"/>
  <c r="EN16" s="1"/>
  <c r="DY17"/>
  <c r="EA17"/>
  <c r="EN17" s="1"/>
  <c r="BB42" i="24"/>
  <c r="BC42" s="1"/>
  <c r="BB64"/>
  <c r="BC64" s="1"/>
  <c r="BB28"/>
  <c r="BB52"/>
  <c r="BC52" s="1"/>
  <c r="BB53"/>
  <c r="BB27"/>
  <c r="BB51"/>
  <c r="BC51" s="1"/>
  <c r="BB19"/>
  <c r="BB33"/>
  <c r="BB20"/>
  <c r="BB50"/>
  <c r="BC50" s="1"/>
  <c r="BB40"/>
  <c r="BC40" s="1"/>
  <c r="BB49"/>
  <c r="BC49" s="1"/>
  <c r="BB24"/>
  <c r="BB71"/>
  <c r="BC71" s="1"/>
  <c r="BB32"/>
  <c r="BB58"/>
  <c r="BB31"/>
  <c r="BB22"/>
  <c r="BB37"/>
  <c r="BB66"/>
  <c r="BC66" s="1"/>
  <c r="T66" s="1"/>
  <c r="BB18"/>
  <c r="BB26"/>
  <c r="BB21"/>
  <c r="BB54"/>
  <c r="BB60"/>
  <c r="BB62"/>
  <c r="BC62" s="1"/>
  <c r="BB45"/>
  <c r="BC45" s="1"/>
  <c r="BB17"/>
  <c r="BC17" s="1"/>
  <c r="BB59"/>
  <c r="BB67"/>
  <c r="BC67" s="1"/>
  <c r="T67" s="1"/>
  <c r="BB39"/>
  <c r="BB44"/>
  <c r="BC44" s="1"/>
  <c r="BB61"/>
  <c r="BB16"/>
  <c r="BC16" s="1"/>
  <c r="BB23"/>
  <c r="BB46"/>
  <c r="BC46" s="1"/>
  <c r="BB35"/>
  <c r="BB43"/>
  <c r="BC43" s="1"/>
  <c r="BB68"/>
  <c r="BC68" s="1"/>
  <c r="BB25"/>
  <c r="BB36"/>
  <c r="BB38"/>
  <c r="BB13"/>
  <c r="BB14"/>
  <c r="DE2" i="3"/>
  <c r="BB57" i="24"/>
  <c r="BL57"/>
  <c r="BB56"/>
  <c r="BL56"/>
  <c r="BL55"/>
  <c r="BB55"/>
  <c r="T34"/>
  <c r="T68"/>
  <c r="T43"/>
  <c r="T46"/>
  <c r="T16"/>
  <c r="T44"/>
  <c r="T17"/>
  <c r="T45"/>
  <c r="T62"/>
  <c r="T71"/>
  <c r="T49"/>
  <c r="T40"/>
  <c r="T50"/>
  <c r="T51"/>
  <c r="T52"/>
  <c r="T64"/>
  <c r="T42"/>
  <c r="EC9" i="3"/>
  <c r="EC10"/>
  <c r="DZ9"/>
  <c r="DZ10"/>
  <c r="AY10"/>
  <c r="BJ9"/>
  <c r="BK9"/>
  <c r="BJ10"/>
  <c r="BK10"/>
  <c r="BR65" i="24"/>
  <c r="BS65"/>
  <c r="BQ63"/>
  <c r="CR10" i="3" a="1"/>
  <c r="CV10" a="1"/>
  <c r="CR22" a="1"/>
  <c r="CR14" a="1"/>
  <c r="CR18" a="1"/>
  <c r="CR19" a="1"/>
  <c r="CR9" a="1"/>
  <c r="CV9" a="1"/>
  <c r="BJ24" l="1"/>
  <c r="BK24"/>
  <c r="CV24" a="1"/>
  <c r="CV24" s="1"/>
  <c r="DO24" s="1"/>
  <c r="EC24"/>
  <c r="DZ24" s="1"/>
  <c r="E24"/>
  <c r="AV24"/>
  <c r="BD24" s="1"/>
  <c r="CR22"/>
  <c r="DK22" s="1"/>
  <c r="CR19"/>
  <c r="DK19" s="1"/>
  <c r="CR18"/>
  <c r="DK18" s="1"/>
  <c r="CR14"/>
  <c r="DK14" s="1"/>
  <c r="BJ23"/>
  <c r="BK23"/>
  <c r="CV23" a="1"/>
  <c r="CV23" s="1"/>
  <c r="DO23" s="1"/>
  <c r="EC23"/>
  <c r="DZ23" s="1"/>
  <c r="BJ22"/>
  <c r="BK22"/>
  <c r="EC22"/>
  <c r="DZ22" s="1"/>
  <c r="BJ19"/>
  <c r="BK19"/>
  <c r="EC19"/>
  <c r="DZ19" s="1"/>
  <c r="BJ18"/>
  <c r="BK18"/>
  <c r="EC18"/>
  <c r="DZ18" s="1"/>
  <c r="BJ14"/>
  <c r="BK14"/>
  <c r="EC14"/>
  <c r="DZ14" s="1"/>
  <c r="E23"/>
  <c r="AV23"/>
  <c r="BD23" s="1"/>
  <c r="CR10"/>
  <c r="DK10" s="1"/>
  <c r="CR9"/>
  <c r="DK9" s="1"/>
  <c r="DY10"/>
  <c r="DY9"/>
  <c r="EA10"/>
  <c r="EA9"/>
  <c r="CV10"/>
  <c r="DO10" s="1"/>
  <c r="CV9"/>
  <c r="DO9" s="1"/>
  <c r="BB10"/>
  <c r="BC10"/>
  <c r="BR63" i="24"/>
  <c r="BS63"/>
  <c r="U65"/>
  <c r="BT65"/>
  <c r="B65"/>
  <c r="J6" i="3" a="1"/>
  <c r="R6" a="1"/>
  <c r="T6" a="1"/>
  <c r="U6" a="1"/>
  <c r="V6" a="1"/>
  <c r="CU7" a="1"/>
  <c r="CU8" a="1"/>
  <c r="BH24" l="1"/>
  <c r="BL24" s="1"/>
  <c r="DY24"/>
  <c r="EA24"/>
  <c r="EN24" s="1"/>
  <c r="BE24"/>
  <c r="BF24" s="1"/>
  <c r="BH23"/>
  <c r="BL23" s="1"/>
  <c r="DY14"/>
  <c r="EA14"/>
  <c r="EN14" s="1"/>
  <c r="DY18"/>
  <c r="EA18"/>
  <c r="EN18" s="1"/>
  <c r="DY19"/>
  <c r="EA19"/>
  <c r="EN19" s="1"/>
  <c r="DY22"/>
  <c r="EA22"/>
  <c r="EN22" s="1"/>
  <c r="DY23"/>
  <c r="EA23"/>
  <c r="EN23" s="1"/>
  <c r="BE23"/>
  <c r="BF23" s="1"/>
  <c r="CU8"/>
  <c r="DN8" s="1"/>
  <c r="CU7"/>
  <c r="DN7" s="1"/>
  <c r="V6"/>
  <c r="U6"/>
  <c r="CS6" s="1" a="1"/>
  <c r="CS6" s="1"/>
  <c r="DL6" s="1" a="1"/>
  <c r="DL6" s="1"/>
  <c r="T6"/>
  <c r="R6"/>
  <c r="J6"/>
  <c r="BA3"/>
  <c r="BA4"/>
  <c r="BA5"/>
  <c r="K6"/>
  <c r="L6"/>
  <c r="M6"/>
  <c r="S6" s="1" a="1"/>
  <c r="S6" s="1"/>
  <c r="N6"/>
  <c r="Y6"/>
  <c r="E6" s="1"/>
  <c r="Z6"/>
  <c r="BA6"/>
  <c r="CQ6" a="1"/>
  <c r="CQ6" s="1"/>
  <c r="DJ6" s="1"/>
  <c r="EB6"/>
  <c r="DX6" s="1"/>
  <c r="CP6" a="1"/>
  <c r="CP6" s="1"/>
  <c r="DI6" s="1"/>
  <c r="W6" a="1"/>
  <c r="W6" s="1"/>
  <c r="X6" a="1"/>
  <c r="X6" s="1"/>
  <c r="AA6" a="1"/>
  <c r="AA6" s="1"/>
  <c r="AB6" a="1"/>
  <c r="AB6" s="1"/>
  <c r="AC6" s="1"/>
  <c r="AJ6" s="1"/>
  <c r="AV6"/>
  <c r="BA11"/>
  <c r="BA12"/>
  <c r="EN9"/>
  <c r="EN10"/>
  <c r="BD10"/>
  <c r="BE10"/>
  <c r="BF10"/>
  <c r="BG10"/>
  <c r="BT63" i="24"/>
  <c r="B63"/>
  <c r="U63"/>
  <c r="CM21" i="3" a="1"/>
  <c r="CT8" a="1"/>
  <c r="CT7" a="1"/>
  <c r="CT11" a="1"/>
  <c r="CM21" l="1"/>
  <c r="DF21" s="1"/>
  <c r="AL24"/>
  <c r="BN24"/>
  <c r="BG24"/>
  <c r="AL23"/>
  <c r="BN23"/>
  <c r="BG23"/>
  <c r="CT11"/>
  <c r="DM11" s="1"/>
  <c r="CT7"/>
  <c r="DM7" s="1"/>
  <c r="CT8"/>
  <c r="DM8" s="1"/>
  <c r="AQ6"/>
  <c r="CR6" s="1" a="1"/>
  <c r="CR6" s="1"/>
  <c r="DK6" s="1"/>
  <c r="AS6"/>
  <c r="AT6"/>
  <c r="AU6"/>
  <c r="AW6" a="1"/>
  <c r="AW6" s="1"/>
  <c r="AY6" a="1"/>
  <c r="AY6" s="1"/>
  <c r="BB6"/>
  <c r="BC6"/>
  <c r="CM6" a="1"/>
  <c r="CW8" a="1"/>
  <c r="CX8" a="1"/>
  <c r="CV22" a="1"/>
  <c r="CV19" a="1"/>
  <c r="CV18" a="1"/>
  <c r="CV14" a="1"/>
  <c r="DO64" i="24"/>
  <c r="DO65"/>
  <c r="DO63"/>
  <c r="DO62"/>
  <c r="BW33"/>
  <c r="BW36"/>
  <c r="BW38"/>
  <c r="BW69"/>
  <c r="BW54"/>
  <c r="BW60"/>
  <c r="BW49"/>
  <c r="BW50"/>
  <c r="BW58"/>
  <c r="BW46"/>
  <c r="BW53"/>
  <c r="BW13"/>
  <c r="BW44"/>
  <c r="BW55"/>
  <c r="BW70"/>
  <c r="BW31"/>
  <c r="BW22"/>
  <c r="BW48"/>
  <c r="BW23"/>
  <c r="BW67"/>
  <c r="BW56"/>
  <c r="BW68"/>
  <c r="BW45"/>
  <c r="BW18"/>
  <c r="BW17"/>
  <c r="BW37"/>
  <c r="BW28"/>
  <c r="BW61"/>
  <c r="BW40"/>
  <c r="BW19"/>
  <c r="BW21"/>
  <c r="BW25"/>
  <c r="BW41"/>
  <c r="BW15"/>
  <c r="BW32"/>
  <c r="BW51"/>
  <c r="BW43"/>
  <c r="BW16"/>
  <c r="BW66"/>
  <c r="BW42"/>
  <c r="BW47"/>
  <c r="BW26"/>
  <c r="BW20"/>
  <c r="BW52"/>
  <c r="BW64"/>
  <c r="BW24"/>
  <c r="BW57"/>
  <c r="BW39"/>
  <c r="BW14"/>
  <c r="BW71"/>
  <c r="BW59"/>
  <c r="BW62"/>
  <c r="BW27"/>
  <c r="Q646" i="1"/>
  <c r="Q647"/>
  <c r="Q648"/>
  <c r="Q649"/>
  <c r="Q650"/>
  <c r="Q651"/>
  <c r="Q652"/>
  <c r="Q653"/>
  <c r="Q654"/>
  <c r="Q655"/>
  <c r="Q656"/>
  <c r="Q657"/>
  <c r="Q658"/>
  <c r="Q659"/>
  <c r="Q660"/>
  <c r="Q661"/>
  <c r="Q662"/>
  <c r="Q663"/>
  <c r="Q664"/>
  <c r="Q665"/>
  <c r="Q666"/>
  <c r="Q667"/>
  <c r="Q668"/>
  <c r="Q669"/>
  <c r="Q670"/>
  <c r="Q671"/>
  <c r="Q672"/>
  <c r="Q673"/>
  <c r="Q674"/>
  <c r="Q675"/>
  <c r="Q676"/>
  <c r="Q677"/>
  <c r="Q678"/>
  <c r="Q679"/>
  <c r="Q680"/>
  <c r="Q681"/>
  <c r="Q682"/>
  <c r="Q683"/>
  <c r="Q684"/>
  <c r="Q685"/>
  <c r="Q686"/>
  <c r="Q687"/>
  <c r="Q688"/>
  <c r="Q689"/>
  <c r="Q690"/>
  <c r="Q691"/>
  <c r="Q692"/>
  <c r="Q693"/>
  <c r="Q694"/>
  <c r="Q695"/>
  <c r="Q696"/>
  <c r="Q697"/>
  <c r="Q698"/>
  <c r="Q699"/>
  <c r="Q700"/>
  <c r="Q701"/>
  <c r="Q702"/>
  <c r="Q703"/>
  <c r="Q704"/>
  <c r="Q705"/>
  <c r="Q706"/>
  <c r="Q707"/>
  <c r="Q708"/>
  <c r="Q709"/>
  <c r="Q710"/>
  <c r="Q711"/>
  <c r="Q712"/>
  <c r="Q713"/>
  <c r="Q714"/>
  <c r="Q715"/>
  <c r="Q716"/>
  <c r="Q717"/>
  <c r="Q718"/>
  <c r="Q719"/>
  <c r="Q720"/>
  <c r="Q721"/>
  <c r="Q722"/>
  <c r="Q723"/>
  <c r="Q724"/>
  <c r="Q725"/>
  <c r="Q726"/>
  <c r="Q727"/>
  <c r="Q728"/>
  <c r="Q729"/>
  <c r="Q730"/>
  <c r="Q731"/>
  <c r="Q732"/>
  <c r="Q733"/>
  <c r="Q734"/>
  <c r="Q735"/>
  <c r="Q736"/>
  <c r="Q737"/>
  <c r="Q738"/>
  <c r="Q739"/>
  <c r="Q740"/>
  <c r="Q741"/>
  <c r="Q742"/>
  <c r="Q743"/>
  <c r="Q744"/>
  <c r="Q745"/>
  <c r="Q746"/>
  <c r="Q747"/>
  <c r="Q748"/>
  <c r="Q749"/>
  <c r="Q750"/>
  <c r="Q751"/>
  <c r="Q752"/>
  <c r="Q753"/>
  <c r="Q754"/>
  <c r="Q755"/>
  <c r="Q756"/>
  <c r="Q757"/>
  <c r="Q758"/>
  <c r="Q759"/>
  <c r="Q760"/>
  <c r="Q761"/>
  <c r="Q762"/>
  <c r="Q763"/>
  <c r="Q764"/>
  <c r="Q765"/>
  <c r="Q766"/>
  <c r="Q767"/>
  <c r="Q768"/>
  <c r="Q769"/>
  <c r="Q770"/>
  <c r="Q771"/>
  <c r="Q772"/>
  <c r="Q773"/>
  <c r="Q774"/>
  <c r="Q775"/>
  <c r="Q776"/>
  <c r="Q777"/>
  <c r="Q778"/>
  <c r="Q779"/>
  <c r="Q780"/>
  <c r="Q781"/>
  <c r="Q782"/>
  <c r="Q783"/>
  <c r="C646"/>
  <c r="D646"/>
  <c r="E646"/>
  <c r="F646"/>
  <c r="G646"/>
  <c r="H646"/>
  <c r="I646"/>
  <c r="J646"/>
  <c r="K646"/>
  <c r="L646"/>
  <c r="M646"/>
  <c r="N646"/>
  <c r="O646"/>
  <c r="P646"/>
  <c r="B646"/>
  <c r="AY42" i="24"/>
  <c r="AX42"/>
  <c r="AX64"/>
  <c r="AY64"/>
  <c r="BC28"/>
  <c r="AX28"/>
  <c r="AY28"/>
  <c r="AY52"/>
  <c r="AX52"/>
  <c r="AY53"/>
  <c r="AX53"/>
  <c r="BC27"/>
  <c r="AY27"/>
  <c r="AX27"/>
  <c r="AX51"/>
  <c r="AY51"/>
  <c r="BC19"/>
  <c r="AX19"/>
  <c r="AY19"/>
  <c r="BC33"/>
  <c r="AY33"/>
  <c r="AX33"/>
  <c r="BC20"/>
  <c r="AX20"/>
  <c r="AY20"/>
  <c r="AX50"/>
  <c r="AY50"/>
  <c r="AX40"/>
  <c r="AY40"/>
  <c r="AY49"/>
  <c r="AX49"/>
  <c r="BC24"/>
  <c r="AX24"/>
  <c r="AY24"/>
  <c r="AY71"/>
  <c r="AX71"/>
  <c r="BC32"/>
  <c r="AX32"/>
  <c r="AY32"/>
  <c r="AY58"/>
  <c r="AX58"/>
  <c r="BC31"/>
  <c r="AY31"/>
  <c r="AX31"/>
  <c r="BC22"/>
  <c r="AY22"/>
  <c r="AX22"/>
  <c r="BC37"/>
  <c r="AY37"/>
  <c r="AX37"/>
  <c r="AY66"/>
  <c r="AX66"/>
  <c r="BC18"/>
  <c r="AY18"/>
  <c r="AX18"/>
  <c r="BC26"/>
  <c r="AX26"/>
  <c r="AY26"/>
  <c r="BC21"/>
  <c r="AY21"/>
  <c r="AX21"/>
  <c r="AY54"/>
  <c r="AX54"/>
  <c r="AY60"/>
  <c r="AX60"/>
  <c r="AX62"/>
  <c r="AY62"/>
  <c r="AX45"/>
  <c r="AY45"/>
  <c r="AY17"/>
  <c r="AX17"/>
  <c r="AX59"/>
  <c r="AY59"/>
  <c r="AY67"/>
  <c r="AX67"/>
  <c r="BC39"/>
  <c r="AY39"/>
  <c r="AX39"/>
  <c r="AX44"/>
  <c r="AY44"/>
  <c r="AY61"/>
  <c r="AX61"/>
  <c r="AX16"/>
  <c r="AY16"/>
  <c r="BC23"/>
  <c r="AX23"/>
  <c r="AY23"/>
  <c r="AY46"/>
  <c r="AX46"/>
  <c r="BC35"/>
  <c r="AY35"/>
  <c r="AX35"/>
  <c r="AX43"/>
  <c r="AY43"/>
  <c r="AX68"/>
  <c r="AY68"/>
  <c r="BC25"/>
  <c r="AX25"/>
  <c r="AY25"/>
  <c r="BC36"/>
  <c r="AY36"/>
  <c r="AX36"/>
  <c r="BC38"/>
  <c r="AY38"/>
  <c r="AX38"/>
  <c r="BC13"/>
  <c r="AY13"/>
  <c r="AX13"/>
  <c r="BC14"/>
  <c r="AX14"/>
  <c r="AY14"/>
  <c r="J2" i="3" a="1"/>
  <c r="U2" a="1"/>
  <c r="T2" a="1"/>
  <c r="R2" a="1"/>
  <c r="V2" a="1"/>
  <c r="J3" a="1"/>
  <c r="R3" a="1"/>
  <c r="T3" a="1"/>
  <c r="U3" a="1"/>
  <c r="V3" a="1"/>
  <c r="J4" a="1"/>
  <c r="R4" a="1"/>
  <c r="T4" a="1"/>
  <c r="U4" a="1"/>
  <c r="V4" a="1"/>
  <c r="J5" a="1"/>
  <c r="R5" a="1"/>
  <c r="T5" a="1"/>
  <c r="U5" a="1"/>
  <c r="V5" a="1"/>
  <c r="J7" a="1"/>
  <c r="R7" a="1"/>
  <c r="T7" a="1"/>
  <c r="U7" a="1"/>
  <c r="V7" a="1"/>
  <c r="J8" a="1"/>
  <c r="R8" a="1"/>
  <c r="T8" a="1"/>
  <c r="U8" a="1"/>
  <c r="V8" a="1"/>
  <c r="J11" a="1"/>
  <c r="R11" a="1"/>
  <c r="T11" a="1"/>
  <c r="U11" a="1"/>
  <c r="V11" a="1"/>
  <c r="J12" a="1"/>
  <c r="R12" a="1"/>
  <c r="T12" a="1"/>
  <c r="U12" a="1"/>
  <c r="V12" a="1"/>
  <c r="BH68" i="24" a="1"/>
  <c r="BF68"/>
  <c r="BH43" a="1"/>
  <c r="BH46" a="1"/>
  <c r="BF46"/>
  <c r="BF16"/>
  <c r="BH44" a="1"/>
  <c r="BF17"/>
  <c r="BH45" a="1"/>
  <c r="BH62" a="1"/>
  <c r="BF62"/>
  <c r="BH71" a="1"/>
  <c r="BF71"/>
  <c r="BH49" a="1"/>
  <c r="BH40" a="1"/>
  <c r="BH50" a="1"/>
  <c r="BH51" a="1"/>
  <c r="BH52" a="1"/>
  <c r="BH64" a="1"/>
  <c r="BF64"/>
  <c r="BH42" a="1"/>
  <c r="AM6" i="3"/>
  <c r="BH42" i="24" l="1"/>
  <c r="BZ64"/>
  <c r="BH64"/>
  <c r="BH52"/>
  <c r="BH51"/>
  <c r="BH50"/>
  <c r="BH40"/>
  <c r="BH49"/>
  <c r="BZ71"/>
  <c r="BH71"/>
  <c r="BZ62"/>
  <c r="BH62"/>
  <c r="BH45"/>
  <c r="BZ17"/>
  <c r="BH44"/>
  <c r="BZ16"/>
  <c r="BZ46"/>
  <c r="BQ46" s="1"/>
  <c r="BH46"/>
  <c r="BH43"/>
  <c r="BZ68"/>
  <c r="BQ68" s="1"/>
  <c r="BH68"/>
  <c r="V12" i="3"/>
  <c r="U12"/>
  <c r="CS12" s="1" a="1"/>
  <c r="CS12" s="1"/>
  <c r="DL12" s="1" a="1"/>
  <c r="DL12" s="1"/>
  <c r="T12"/>
  <c r="R12"/>
  <c r="Z12" s="1"/>
  <c r="J12"/>
  <c r="M12" s="1"/>
  <c r="V11"/>
  <c r="U11"/>
  <c r="CS11" s="1" a="1"/>
  <c r="CS11" s="1"/>
  <c r="DL11" s="1" a="1"/>
  <c r="DL11" s="1"/>
  <c r="T11"/>
  <c r="R11"/>
  <c r="Z11" s="1"/>
  <c r="J11"/>
  <c r="M11" s="1"/>
  <c r="V8"/>
  <c r="U8"/>
  <c r="T8"/>
  <c r="R8"/>
  <c r="J8"/>
  <c r="V7"/>
  <c r="U7"/>
  <c r="T7"/>
  <c r="R7"/>
  <c r="J7"/>
  <c r="V5"/>
  <c r="U5"/>
  <c r="T5"/>
  <c r="R5"/>
  <c r="Z5" s="1"/>
  <c r="J5"/>
  <c r="M5" s="1"/>
  <c r="V4"/>
  <c r="U4"/>
  <c r="T4"/>
  <c r="R4"/>
  <c r="Z4" s="1"/>
  <c r="J4"/>
  <c r="V3"/>
  <c r="U3"/>
  <c r="CS3" s="1" a="1"/>
  <c r="CS3" s="1"/>
  <c r="DL3" s="1" a="1"/>
  <c r="DL3" s="1"/>
  <c r="T3"/>
  <c r="R3"/>
  <c r="Z3" s="1"/>
  <c r="J3"/>
  <c r="V2"/>
  <c r="R2"/>
  <c r="T2"/>
  <c r="U2"/>
  <c r="CS2" s="1" a="1"/>
  <c r="CS2" s="1"/>
  <c r="DL2" s="1" a="1"/>
  <c r="DL2" s="1"/>
  <c r="J2"/>
  <c r="T14" i="24"/>
  <c r="C13" i="25" s="1"/>
  <c r="T13" i="24"/>
  <c r="C15" i="25" s="1"/>
  <c r="T38" i="24"/>
  <c r="T36"/>
  <c r="T25"/>
  <c r="T35"/>
  <c r="T23"/>
  <c r="T39"/>
  <c r="T21"/>
  <c r="T26"/>
  <c r="T18"/>
  <c r="T37"/>
  <c r="T22"/>
  <c r="T31"/>
  <c r="T32"/>
  <c r="T24"/>
  <c r="T20"/>
  <c r="T33"/>
  <c r="T19"/>
  <c r="T27"/>
  <c r="T28"/>
  <c r="BQ59"/>
  <c r="BQ52"/>
  <c r="BQ47"/>
  <c r="BQ42"/>
  <c r="BQ43"/>
  <c r="BQ51"/>
  <c r="BQ41"/>
  <c r="BQ40"/>
  <c r="BQ61"/>
  <c r="BQ45"/>
  <c r="BQ48"/>
  <c r="BQ70"/>
  <c r="BQ44"/>
  <c r="BQ53"/>
  <c r="BQ58"/>
  <c r="BQ50"/>
  <c r="BQ49"/>
  <c r="BQ60"/>
  <c r="BQ54"/>
  <c r="BQ69"/>
  <c r="DC62"/>
  <c r="DB62" s="1"/>
  <c r="CE62" s="1"/>
  <c r="BQ62" s="1"/>
  <c r="CS62"/>
  <c r="DC63"/>
  <c r="DB63" s="1"/>
  <c r="CE63" s="1"/>
  <c r="CS63"/>
  <c r="CS65"/>
  <c r="DC65"/>
  <c r="DB65" s="1"/>
  <c r="CE65" s="1"/>
  <c r="BQ65" s="1"/>
  <c r="DC64"/>
  <c r="DB64" s="1"/>
  <c r="CE64" s="1"/>
  <c r="BQ64" s="1"/>
  <c r="CS64"/>
  <c r="CV14" i="3"/>
  <c r="DO14" s="1"/>
  <c r="CV18"/>
  <c r="DO18" s="1"/>
  <c r="CV19"/>
  <c r="DO19" s="1"/>
  <c r="CV22"/>
  <c r="DO22" s="1"/>
  <c r="BR69" i="24"/>
  <c r="BS69"/>
  <c r="BR54"/>
  <c r="BS54"/>
  <c r="BR60"/>
  <c r="BS60"/>
  <c r="BR49"/>
  <c r="BS49"/>
  <c r="BR50"/>
  <c r="BS50"/>
  <c r="BR58"/>
  <c r="BS58"/>
  <c r="BR53"/>
  <c r="BS53"/>
  <c r="BS44"/>
  <c r="BR44"/>
  <c r="BR70"/>
  <c r="BS70"/>
  <c r="BR48"/>
  <c r="BS48"/>
  <c r="BR45"/>
  <c r="BS45"/>
  <c r="BR61"/>
  <c r="BS61"/>
  <c r="BR40"/>
  <c r="BS40"/>
  <c r="BR41"/>
  <c r="BS41"/>
  <c r="BR51"/>
  <c r="BS51"/>
  <c r="BR43"/>
  <c r="BS43"/>
  <c r="BR42"/>
  <c r="BS42"/>
  <c r="BR47"/>
  <c r="BS47"/>
  <c r="BR52"/>
  <c r="BS52"/>
  <c r="BR59"/>
  <c r="BS59"/>
  <c r="L2" i="3"/>
  <c r="M2"/>
  <c r="K2"/>
  <c r="N2"/>
  <c r="Z2"/>
  <c r="BA2"/>
  <c r="EB2"/>
  <c r="DX2" s="1"/>
  <c r="CP2" a="1"/>
  <c r="CP2" s="1"/>
  <c r="DI2" s="1"/>
  <c r="AV2"/>
  <c r="X2" a="1"/>
  <c r="X2" s="1"/>
  <c r="W2" a="1"/>
  <c r="W2" s="1"/>
  <c r="AA2" a="1"/>
  <c r="AA2" s="1"/>
  <c r="AB2" s="1" a="1"/>
  <c r="AB2" s="1"/>
  <c r="AC2" s="1"/>
  <c r="AJ2" s="1"/>
  <c r="CQ3" a="1"/>
  <c r="CQ3" s="1"/>
  <c r="DJ3" s="1"/>
  <c r="EB3"/>
  <c r="DX3" s="1"/>
  <c r="CP3" a="1"/>
  <c r="CP3" s="1"/>
  <c r="DI3" s="1"/>
  <c r="AV3"/>
  <c r="W3" a="1"/>
  <c r="W3" s="1"/>
  <c r="X3" a="1"/>
  <c r="X3" s="1"/>
  <c r="AA3" a="1"/>
  <c r="AA3" s="1"/>
  <c r="AB3" s="1" a="1"/>
  <c r="AB3" s="1"/>
  <c r="AC3" s="1"/>
  <c r="AJ3" s="1"/>
  <c r="CQ4" a="1"/>
  <c r="CQ4" s="1"/>
  <c r="DJ4" s="1"/>
  <c r="EB4"/>
  <c r="DX4" s="1"/>
  <c r="CP4" a="1"/>
  <c r="CP4" s="1"/>
  <c r="DI4" s="1"/>
  <c r="K5"/>
  <c r="L5"/>
  <c r="CQ5" a="1"/>
  <c r="CQ5" s="1"/>
  <c r="DJ5" s="1"/>
  <c r="EB5"/>
  <c r="DX5" s="1"/>
  <c r="CP5" a="1"/>
  <c r="CP5" s="1"/>
  <c r="DI5" s="1"/>
  <c r="BA7"/>
  <c r="Z7"/>
  <c r="K8"/>
  <c r="L8"/>
  <c r="M8"/>
  <c r="S8" s="1" a="1"/>
  <c r="S8" s="1"/>
  <c r="N8"/>
  <c r="Y8"/>
  <c r="E8" s="1"/>
  <c r="Z8"/>
  <c r="AV8"/>
  <c r="K11"/>
  <c r="L11"/>
  <c r="CQ11" a="1"/>
  <c r="CQ11" s="1"/>
  <c r="DJ11" s="1"/>
  <c r="EB11"/>
  <c r="DX11" s="1"/>
  <c r="CP11" a="1"/>
  <c r="CP11" s="1"/>
  <c r="DI11" s="1"/>
  <c r="K12"/>
  <c r="L12"/>
  <c r="CQ12" a="1"/>
  <c r="CQ12" s="1"/>
  <c r="DJ12" s="1"/>
  <c r="EB12"/>
  <c r="DX12" s="1"/>
  <c r="CP12" a="1"/>
  <c r="CP12" s="1"/>
  <c r="DI12" s="1"/>
  <c r="BR68" i="24"/>
  <c r="BS68"/>
  <c r="BR46"/>
  <c r="BS46"/>
  <c r="CM6" i="3"/>
  <c r="DF6" s="1"/>
  <c r="S5" a="1"/>
  <c r="S5" s="1"/>
  <c r="Y5" s="1"/>
  <c r="N5"/>
  <c r="AX5" s="1"/>
  <c r="N11"/>
  <c r="AX11" s="1"/>
  <c r="S12" a="1"/>
  <c r="S12" s="1"/>
  <c r="Y12" s="1"/>
  <c r="N12"/>
  <c r="AX12" s="1"/>
  <c r="CX8"/>
  <c r="DQ8" s="1"/>
  <c r="CW8"/>
  <c r="DP8" s="1"/>
  <c r="BD6"/>
  <c r="BE6"/>
  <c r="EC6"/>
  <c r="DZ6" s="1"/>
  <c r="BJ6"/>
  <c r="BK6"/>
  <c r="CV6" a="1"/>
  <c r="CV6" s="1"/>
  <c r="DO6" s="1"/>
  <c r="EB8"/>
  <c r="DX8" s="1"/>
  <c r="AL10"/>
  <c r="BN10" s="1"/>
  <c r="DR16" i="24"/>
  <c r="S11" i="3" a="1"/>
  <c r="CB24" i="24"/>
  <c r="CS8" i="3" a="1"/>
  <c r="CS7" a="1"/>
  <c r="CS5" a="1"/>
  <c r="CS4" a="1"/>
  <c r="BF14" i="24"/>
  <c r="BH14" a="1"/>
  <c r="BF13"/>
  <c r="BH13" a="1"/>
  <c r="BH38" a="1"/>
  <c r="BH36" a="1"/>
  <c r="BH23" a="1"/>
  <c r="BF23"/>
  <c r="BH39" a="1"/>
  <c r="BH37" a="1"/>
  <c r="BH32" a="1"/>
  <c r="BF32"/>
  <c r="BH24" a="1"/>
  <c r="BF24"/>
  <c r="BH33" a="1"/>
  <c r="BF33"/>
  <c r="BH27" a="1"/>
  <c r="BF27"/>
  <c r="BH28" a="1"/>
  <c r="BF28"/>
  <c r="DO71"/>
  <c r="CB21"/>
  <c r="CB20"/>
  <c r="CB22"/>
  <c r="CB19"/>
  <c r="BH31" a="1"/>
  <c r="BF31"/>
  <c r="CB31"/>
  <c r="CB26"/>
  <c r="CB25"/>
  <c r="AM2" i="3"/>
  <c r="CB34" i="24"/>
  <c r="CM20" i="3" a="1"/>
  <c r="CM24" a="1"/>
  <c r="K3"/>
  <c r="L3"/>
  <c r="AM3"/>
  <c r="K4"/>
  <c r="L4"/>
  <c r="W4" a="1"/>
  <c r="X4" a="1"/>
  <c r="AA4" a="1"/>
  <c r="W5" a="1"/>
  <c r="X5" a="1"/>
  <c r="AA5" a="1"/>
  <c r="K7"/>
  <c r="L7"/>
  <c r="W7" a="1"/>
  <c r="X7" a="1"/>
  <c r="AA7" a="1"/>
  <c r="W8" a="1"/>
  <c r="X8" a="1"/>
  <c r="AA8" a="1"/>
  <c r="W11" a="1"/>
  <c r="X11" a="1"/>
  <c r="AA11" a="1"/>
  <c r="W12" a="1"/>
  <c r="X12" a="1"/>
  <c r="AA12" a="1"/>
  <c r="DA6"/>
  <c r="CB35" i="24"/>
  <c r="BH22" a="1"/>
  <c r="BF22"/>
  <c r="BH21" a="1"/>
  <c r="BF21"/>
  <c r="BZ28" l="1"/>
  <c r="BH28"/>
  <c r="BZ27"/>
  <c r="BH27"/>
  <c r="BZ33"/>
  <c r="BH33"/>
  <c r="BZ24"/>
  <c r="BH24"/>
  <c r="BZ32"/>
  <c r="BH32"/>
  <c r="BH37"/>
  <c r="BH39"/>
  <c r="BZ23"/>
  <c r="BH23"/>
  <c r="BH36"/>
  <c r="BH38"/>
  <c r="BH13"/>
  <c r="BZ13"/>
  <c r="BH14"/>
  <c r="BZ14"/>
  <c r="CS4" i="3"/>
  <c r="DL4" s="1" a="1"/>
  <c r="DL4" s="1"/>
  <c r="CS5"/>
  <c r="DL5" s="1" a="1"/>
  <c r="DL5" s="1"/>
  <c r="CS7"/>
  <c r="DL7" s="1" a="1"/>
  <c r="DL7" s="1"/>
  <c r="CS8"/>
  <c r="DL8" s="1" a="1"/>
  <c r="DL8" s="1"/>
  <c r="BR64" i="24"/>
  <c r="BS64"/>
  <c r="BR62"/>
  <c r="BS62"/>
  <c r="CQ2" i="3" a="1"/>
  <c r="CQ2" s="1"/>
  <c r="DJ2" s="1"/>
  <c r="CP8" a="1"/>
  <c r="CP8" s="1"/>
  <c r="DI8" s="1"/>
  <c r="CQ8" a="1"/>
  <c r="CQ8" s="1"/>
  <c r="DJ8" s="1"/>
  <c r="BZ21" i="24"/>
  <c r="BH21"/>
  <c r="BZ22"/>
  <c r="BH22"/>
  <c r="AA12" i="3"/>
  <c r="AB12" s="1" a="1"/>
  <c r="AB12" s="1"/>
  <c r="AC12" s="1"/>
  <c r="AJ12" s="1"/>
  <c r="X12"/>
  <c r="W12"/>
  <c r="AA11"/>
  <c r="AB11" s="1" a="1"/>
  <c r="AB11" s="1"/>
  <c r="AC11" s="1"/>
  <c r="AJ11" s="1"/>
  <c r="X11"/>
  <c r="W11"/>
  <c r="AA8"/>
  <c r="AB8" s="1" a="1"/>
  <c r="AB8" s="1"/>
  <c r="AC8" s="1"/>
  <c r="AJ8" s="1"/>
  <c r="X8"/>
  <c r="W8"/>
  <c r="AA7"/>
  <c r="AB7" s="1" a="1"/>
  <c r="AB7" s="1"/>
  <c r="AC7" s="1"/>
  <c r="AJ7" s="1"/>
  <c r="X7"/>
  <c r="W7"/>
  <c r="AA5"/>
  <c r="AB5" s="1" a="1"/>
  <c r="AB5" s="1"/>
  <c r="AC5" s="1"/>
  <c r="AJ5" s="1"/>
  <c r="X5"/>
  <c r="W5"/>
  <c r="AA4"/>
  <c r="AB4" s="1" a="1"/>
  <c r="AB4" s="1"/>
  <c r="AC4" s="1"/>
  <c r="AJ4" s="1"/>
  <c r="X4"/>
  <c r="W4"/>
  <c r="CM24"/>
  <c r="DF24" s="1"/>
  <c r="CM20"/>
  <c r="DF20" s="1"/>
  <c r="BZ31" i="24"/>
  <c r="BH31"/>
  <c r="DC71"/>
  <c r="DB71" s="1"/>
  <c r="CE71" s="1"/>
  <c r="CS71"/>
  <c r="B46"/>
  <c r="BT46"/>
  <c r="U46"/>
  <c r="U68"/>
  <c r="BT68"/>
  <c r="B68"/>
  <c r="AX8" i="3"/>
  <c r="AY8" s="1" a="1"/>
  <c r="AY8" s="1"/>
  <c r="AQ8"/>
  <c r="CR8" s="1" a="1"/>
  <c r="CR8" s="1"/>
  <c r="DK8" s="1"/>
  <c r="AS8"/>
  <c r="AT8"/>
  <c r="AU8"/>
  <c r="AW8" a="1"/>
  <c r="AW8" s="1"/>
  <c r="AX2"/>
  <c r="AY2" s="1" a="1"/>
  <c r="AY2" s="1"/>
  <c r="AQ2"/>
  <c r="CR2" s="1" a="1"/>
  <c r="CR2" s="1"/>
  <c r="DK2" s="1"/>
  <c r="AS2"/>
  <c r="AU2"/>
  <c r="AT2"/>
  <c r="AW2" a="1"/>
  <c r="AW2" s="1"/>
  <c r="BB2"/>
  <c r="BC2"/>
  <c r="S2" a="1"/>
  <c r="S2" s="1"/>
  <c r="Y2" s="1"/>
  <c r="BT59" i="24"/>
  <c r="U59"/>
  <c r="B59"/>
  <c r="BT52"/>
  <c r="B52"/>
  <c r="U52"/>
  <c r="BT47"/>
  <c r="B47"/>
  <c r="U47"/>
  <c r="B42"/>
  <c r="U42"/>
  <c r="BT42"/>
  <c r="BT43"/>
  <c r="B43"/>
  <c r="U43"/>
  <c r="B51"/>
  <c r="BT51"/>
  <c r="U51"/>
  <c r="B41"/>
  <c r="BT41"/>
  <c r="U41"/>
  <c r="BT40"/>
  <c r="U40"/>
  <c r="B40"/>
  <c r="U61"/>
  <c r="BT61"/>
  <c r="B61"/>
  <c r="U45"/>
  <c r="BT45"/>
  <c r="B45"/>
  <c r="U48"/>
  <c r="B48"/>
  <c r="BT48"/>
  <c r="BT70"/>
  <c r="B70"/>
  <c r="U70"/>
  <c r="U44"/>
  <c r="BT44"/>
  <c r="B44"/>
  <c r="U53"/>
  <c r="BT53"/>
  <c r="B53"/>
  <c r="U58"/>
  <c r="BT58"/>
  <c r="B58"/>
  <c r="BT50"/>
  <c r="B50"/>
  <c r="U50"/>
  <c r="BT49"/>
  <c r="B49"/>
  <c r="U49"/>
  <c r="BT60"/>
  <c r="B60"/>
  <c r="U60"/>
  <c r="U54"/>
  <c r="BT54"/>
  <c r="B54"/>
  <c r="BT69"/>
  <c r="B69"/>
  <c r="U69"/>
  <c r="BB4" i="3"/>
  <c r="BC4"/>
  <c r="BB3"/>
  <c r="BC3"/>
  <c r="U62" i="24"/>
  <c r="BT62"/>
  <c r="B62"/>
  <c r="BT64"/>
  <c r="B64"/>
  <c r="U64"/>
  <c r="DB6" i="3"/>
  <c r="DC6" s="1"/>
  <c r="DD6" s="1"/>
  <c r="S11"/>
  <c r="Y11" s="1"/>
  <c r="DY6"/>
  <c r="EA6"/>
  <c r="BF6"/>
  <c r="BH6" s="1"/>
  <c r="BL6" s="1"/>
  <c r="BG6"/>
  <c r="AQ12"/>
  <c r="AS12"/>
  <c r="AT12"/>
  <c r="AU12"/>
  <c r="AW12" a="1"/>
  <c r="AW12" s="1"/>
  <c r="E12"/>
  <c r="AV12"/>
  <c r="AQ11"/>
  <c r="AS11"/>
  <c r="AT11"/>
  <c r="AU11"/>
  <c r="AW11" a="1"/>
  <c r="AW11" s="1"/>
  <c r="AQ5"/>
  <c r="AS5"/>
  <c r="AT5"/>
  <c r="AU5"/>
  <c r="AW5" a="1"/>
  <c r="AW5" s="1"/>
  <c r="E5"/>
  <c r="AV5"/>
  <c r="DF16" i="24"/>
  <c r="CV16"/>
  <c r="CQ7" i="3" a="1"/>
  <c r="CP7" a="1"/>
  <c r="CR12" a="1"/>
  <c r="CR11" a="1"/>
  <c r="CR5" a="1"/>
  <c r="CM13" a="1"/>
  <c r="CM14" a="1"/>
  <c r="CM15" a="1"/>
  <c r="CM16" a="1"/>
  <c r="CM17" a="1"/>
  <c r="CM18" a="1"/>
  <c r="CM19" a="1"/>
  <c r="CM22" a="1"/>
  <c r="CM23" a="1"/>
  <c r="CM9" a="1"/>
  <c r="CM10" a="1"/>
  <c r="CM3" a="1"/>
  <c r="CM4" a="1"/>
  <c r="CM5" a="1"/>
  <c r="CM7" a="1"/>
  <c r="CM8" a="1"/>
  <c r="CM11" a="1"/>
  <c r="CM12" a="1"/>
  <c r="CM2" a="1"/>
  <c r="BH34" i="24" a="1"/>
  <c r="BF34"/>
  <c r="BF26"/>
  <c r="BH26" a="1"/>
  <c r="BF25"/>
  <c r="BH25" a="1"/>
  <c r="AM4" i="3"/>
  <c r="AM12"/>
  <c r="AM11"/>
  <c r="AM8"/>
  <c r="AM7"/>
  <c r="M7"/>
  <c r="AM5"/>
  <c r="M4"/>
  <c r="M3"/>
  <c r="BF35" i="24"/>
  <c r="BH35" a="1"/>
  <c r="BF20"/>
  <c r="BH20" a="1"/>
  <c r="CM2" i="3" l="1"/>
  <c r="DF2" s="1"/>
  <c r="CM12"/>
  <c r="DF12" s="1"/>
  <c r="CM11"/>
  <c r="DF11" s="1"/>
  <c r="CM8"/>
  <c r="DF8" s="1"/>
  <c r="CM7"/>
  <c r="DF7" s="1"/>
  <c r="CM5"/>
  <c r="DF5" s="1"/>
  <c r="CM4"/>
  <c r="DF4" s="1"/>
  <c r="CM3"/>
  <c r="DF3" s="1"/>
  <c r="CM10"/>
  <c r="DF10" s="1"/>
  <c r="CM9"/>
  <c r="DF9" s="1"/>
  <c r="CM23"/>
  <c r="DF23" s="1"/>
  <c r="CM22"/>
  <c r="DF22" s="1"/>
  <c r="CM19"/>
  <c r="DF19" s="1"/>
  <c r="CM18"/>
  <c r="DF18" s="1"/>
  <c r="CM17"/>
  <c r="DF17" s="1"/>
  <c r="CM16"/>
  <c r="DF16" s="1"/>
  <c r="CM15"/>
  <c r="DF15" s="1"/>
  <c r="CM14"/>
  <c r="DF14" s="1"/>
  <c r="CM13"/>
  <c r="DF13" s="1"/>
  <c r="BH20" i="24"/>
  <c r="BZ20"/>
  <c r="BH35"/>
  <c r="BZ35"/>
  <c r="N3" i="3"/>
  <c r="N4"/>
  <c r="N7"/>
  <c r="BH25" i="24"/>
  <c r="BZ25"/>
  <c r="BH26"/>
  <c r="BZ26"/>
  <c r="BZ34"/>
  <c r="BH34"/>
  <c r="BE2" i="3"/>
  <c r="BD2"/>
  <c r="EC2"/>
  <c r="DZ2" s="1"/>
  <c r="BK2"/>
  <c r="CV2" a="1"/>
  <c r="CV2" s="1"/>
  <c r="DO2" s="1"/>
  <c r="EH2" s="1"/>
  <c r="BJ2"/>
  <c r="EC8"/>
  <c r="DZ8" s="1"/>
  <c r="BJ8"/>
  <c r="BL8" s="1"/>
  <c r="BK8"/>
  <c r="BQ71" i="24"/>
  <c r="CP7" i="3"/>
  <c r="DI7" s="1"/>
  <c r="CQ7"/>
  <c r="DJ7" s="1"/>
  <c r="BD3"/>
  <c r="BE3"/>
  <c r="EB7"/>
  <c r="DX7" s="1"/>
  <c r="CR5"/>
  <c r="DK5" s="1"/>
  <c r="CR11"/>
  <c r="DK11" s="1"/>
  <c r="CR12"/>
  <c r="DK12" s="1"/>
  <c r="EC5"/>
  <c r="DZ5" s="1"/>
  <c r="BJ5"/>
  <c r="BK5"/>
  <c r="EC11"/>
  <c r="DZ11" s="1"/>
  <c r="BJ11"/>
  <c r="BK11"/>
  <c r="EC12"/>
  <c r="DZ12" s="1"/>
  <c r="BJ12"/>
  <c r="BK12"/>
  <c r="BN6"/>
  <c r="AL6"/>
  <c r="EK6"/>
  <c r="EN6"/>
  <c r="E11"/>
  <c r="AV11"/>
  <c r="EO6"/>
  <c r="BI6"/>
  <c r="BM6" s="1"/>
  <c r="B6"/>
  <c r="DO30" i="24"/>
  <c r="DO29"/>
  <c r="DA10" i="3"/>
  <c r="DA9"/>
  <c r="BH19" i="24" a="1"/>
  <c r="BF19"/>
  <c r="S3" i="3" a="1"/>
  <c r="S4" a="1"/>
  <c r="S7" a="1"/>
  <c r="CV8" a="1"/>
  <c r="CV5" a="1"/>
  <c r="CV11" a="1"/>
  <c r="CV12" a="1"/>
  <c r="DB9" l="1"/>
  <c r="DC9" s="1"/>
  <c r="DD9" s="1"/>
  <c r="DB10"/>
  <c r="DC10" s="1"/>
  <c r="DD10" s="1"/>
  <c r="CV8"/>
  <c r="DO8" s="1"/>
  <c r="S7"/>
  <c r="Y7" s="1"/>
  <c r="S4"/>
  <c r="Y4" s="1"/>
  <c r="S3"/>
  <c r="Y3" s="1"/>
  <c r="BZ19" i="24"/>
  <c r="BH19"/>
  <c r="BR71"/>
  <c r="BS71"/>
  <c r="AL8" i="3"/>
  <c r="BN8"/>
  <c r="DY8"/>
  <c r="EA8"/>
  <c r="EN8" s="1"/>
  <c r="DY2"/>
  <c r="EA2"/>
  <c r="EN2" s="1"/>
  <c r="BF2"/>
  <c r="BH2" s="1"/>
  <c r="BL2" s="1"/>
  <c r="AL2" s="1"/>
  <c r="BN2" s="1"/>
  <c r="BG2"/>
  <c r="AX7"/>
  <c r="AQ7"/>
  <c r="AS7"/>
  <c r="AT7"/>
  <c r="AU7"/>
  <c r="AW7" a="1"/>
  <c r="AW7" s="1"/>
  <c r="AX4"/>
  <c r="AY4" s="1" a="1"/>
  <c r="AY4" s="1"/>
  <c r="AQ4"/>
  <c r="CR4" s="1" a="1"/>
  <c r="CR4" s="1"/>
  <c r="DK4" s="1"/>
  <c r="AS4"/>
  <c r="AT4"/>
  <c r="AU4"/>
  <c r="AW4" a="1"/>
  <c r="AW4" s="1"/>
  <c r="AX3"/>
  <c r="AY3" s="1" a="1"/>
  <c r="AY3" s="1"/>
  <c r="AQ3"/>
  <c r="CR3" s="1" a="1"/>
  <c r="CR3" s="1"/>
  <c r="DK3" s="1"/>
  <c r="AS3"/>
  <c r="AT3"/>
  <c r="AU3"/>
  <c r="AW3" a="1"/>
  <c r="AW3" s="1"/>
  <c r="E3" s="1"/>
  <c r="BE4"/>
  <c r="BF4" s="1"/>
  <c r="BH4" s="1"/>
  <c r="BF3"/>
  <c r="CV12"/>
  <c r="DO12" s="1"/>
  <c r="CV11"/>
  <c r="DO11" s="1"/>
  <c r="CV5"/>
  <c r="DO5" s="1"/>
  <c r="EL6"/>
  <c r="EM6"/>
  <c r="DY12"/>
  <c r="EA12"/>
  <c r="EN12" s="1"/>
  <c r="DY11"/>
  <c r="EA11"/>
  <c r="EN11" s="1"/>
  <c r="DY5"/>
  <c r="EA5"/>
  <c r="EN5" s="1"/>
  <c r="CS29" i="24"/>
  <c r="DC29"/>
  <c r="CS30"/>
  <c r="DC30"/>
  <c r="DA8" i="3"/>
  <c r="CR7" a="1"/>
  <c r="DA12"/>
  <c r="DA11"/>
  <c r="DA5"/>
  <c r="EK10" l="1"/>
  <c r="EO10"/>
  <c r="BI10"/>
  <c r="BM10" s="1"/>
  <c r="B10"/>
  <c r="EK9"/>
  <c r="EO9"/>
  <c r="BI9"/>
  <c r="BM9" s="1"/>
  <c r="B9"/>
  <c r="CR7"/>
  <c r="DK7" s="1"/>
  <c r="DB8"/>
  <c r="DC8" s="1"/>
  <c r="DD8" s="1"/>
  <c r="EC3"/>
  <c r="DZ3" s="1"/>
  <c r="BJ3"/>
  <c r="BK3"/>
  <c r="CV3" a="1"/>
  <c r="CV3" s="1"/>
  <c r="DO3" s="1"/>
  <c r="EC4"/>
  <c r="DZ4" s="1"/>
  <c r="BJ4"/>
  <c r="BK4"/>
  <c r="EC7"/>
  <c r="DZ7" s="1"/>
  <c r="BJ7"/>
  <c r="BK7"/>
  <c r="U71" i="24"/>
  <c r="BT71"/>
  <c r="B71"/>
  <c r="E4" i="3"/>
  <c r="AV4"/>
  <c r="BD4" s="1"/>
  <c r="AV7"/>
  <c r="E7"/>
  <c r="BL4"/>
  <c r="AL4" s="1"/>
  <c r="BN4" s="1"/>
  <c r="BG3"/>
  <c r="BH3"/>
  <c r="BL3" s="1"/>
  <c r="AL3" s="1"/>
  <c r="BN3" s="1"/>
  <c r="BG4"/>
  <c r="DB5"/>
  <c r="DC5" s="1"/>
  <c r="DD5" s="1"/>
  <c r="DB11"/>
  <c r="DC11" s="1"/>
  <c r="DD11" s="1"/>
  <c r="DB12"/>
  <c r="DC12" s="1"/>
  <c r="DD12" s="1"/>
  <c r="DA3"/>
  <c r="CV4" a="1"/>
  <c r="CV7" a="1"/>
  <c r="BH18" i="24" a="1"/>
  <c r="EL9" i="3" l="1"/>
  <c r="EM9"/>
  <c r="EL10"/>
  <c r="EM10"/>
  <c r="BH18" i="24"/>
  <c r="CV7" i="3"/>
  <c r="DO7" s="1"/>
  <c r="CV4"/>
  <c r="DO4" s="1"/>
  <c r="DB3"/>
  <c r="DC3" s="1"/>
  <c r="DD3" s="1"/>
  <c r="DY7"/>
  <c r="EA7"/>
  <c r="EN7" s="1"/>
  <c r="DY4"/>
  <c r="EA4"/>
  <c r="DY3"/>
  <c r="EA3"/>
  <c r="EK8"/>
  <c r="EO8"/>
  <c r="BI8"/>
  <c r="BM8" s="1"/>
  <c r="B8"/>
  <c r="EK12"/>
  <c r="EO12"/>
  <c r="BI12"/>
  <c r="B12"/>
  <c r="EK11"/>
  <c r="EO11"/>
  <c r="BI11"/>
  <c r="B11"/>
  <c r="EK5"/>
  <c r="EO5"/>
  <c r="BI5"/>
  <c r="B5"/>
  <c r="DA7"/>
  <c r="DA4"/>
  <c r="DB4" l="1"/>
  <c r="DC4" s="1"/>
  <c r="DD4" s="1"/>
  <c r="DB7"/>
  <c r="DC7" s="1"/>
  <c r="DD7" s="1"/>
  <c r="EL8"/>
  <c r="EM8"/>
  <c r="EK3"/>
  <c r="EN3"/>
  <c r="EK4"/>
  <c r="EN4"/>
  <c r="EO3"/>
  <c r="BI3"/>
  <c r="BM3" s="1"/>
  <c r="B3"/>
  <c r="EL5"/>
  <c r="EM5"/>
  <c r="EL11"/>
  <c r="EM11"/>
  <c r="EL12"/>
  <c r="EM12"/>
  <c r="AK11"/>
  <c r="AY12" a="1"/>
  <c r="AY11" a="1"/>
  <c r="AY5" a="1"/>
  <c r="DA2"/>
  <c r="BH17" i="24" a="1"/>
  <c r="EL4" i="3" l="1"/>
  <c r="EM4"/>
  <c r="EL3"/>
  <c r="EM3"/>
  <c r="EK7"/>
  <c r="EO7"/>
  <c r="BI7"/>
  <c r="BM7" s="1"/>
  <c r="B7"/>
  <c r="EO4"/>
  <c r="BI4"/>
  <c r="BM4" s="1"/>
  <c r="B4"/>
  <c r="AY5"/>
  <c r="AY11"/>
  <c r="AY12"/>
  <c r="BH17" i="24"/>
  <c r="DB2" i="3"/>
  <c r="DC2" s="1"/>
  <c r="DD2" s="1"/>
  <c r="BH16" i="24" a="1"/>
  <c r="EL7" i="3" l="1"/>
  <c r="EM7"/>
  <c r="EO2"/>
  <c r="EK2"/>
  <c r="BI2"/>
  <c r="BM2" s="1"/>
  <c r="B2"/>
  <c r="BB12"/>
  <c r="BC12"/>
  <c r="BB11"/>
  <c r="BC11"/>
  <c r="BB5"/>
  <c r="BC5"/>
  <c r="BH16" i="24"/>
  <c r="BD5" i="3" l="1"/>
  <c r="BH5" s="1"/>
  <c r="BE5"/>
  <c r="BF5"/>
  <c r="BG5"/>
  <c r="BD11"/>
  <c r="BE11"/>
  <c r="BF11"/>
  <c r="BG11"/>
  <c r="BD12"/>
  <c r="BH12" s="1"/>
  <c r="BE12"/>
  <c r="BF12"/>
  <c r="BG12"/>
  <c r="EM2"/>
  <c r="EL2"/>
  <c r="DQ16" i="24"/>
  <c r="BH11" i="3" l="1"/>
  <c r="BL12"/>
  <c r="BM12"/>
  <c r="BL5"/>
  <c r="BM5"/>
  <c r="DE16" i="24"/>
  <c r="CU16"/>
  <c r="DP16"/>
  <c r="BL11" i="3" l="1"/>
  <c r="BM11"/>
  <c r="AL5"/>
  <c r="BN5"/>
  <c r="AL12"/>
  <c r="BN12"/>
  <c r="CT16" i="24"/>
  <c r="DD16"/>
  <c r="DB16"/>
  <c r="CE16"/>
  <c r="BQ16"/>
  <c r="AL11" i="3" l="1"/>
  <c r="BN11"/>
  <c r="BR16" i="24"/>
  <c r="BS16"/>
  <c r="DO17"/>
  <c r="DQ28"/>
  <c r="DQ24"/>
  <c r="DQ30"/>
  <c r="DQ25"/>
  <c r="DQ36"/>
  <c r="DQ20"/>
  <c r="DQ27"/>
  <c r="DQ19"/>
  <c r="DQ33"/>
  <c r="DQ35"/>
  <c r="DQ32"/>
  <c r="DQ34"/>
  <c r="DQ23"/>
  <c r="DQ31"/>
  <c r="DQ29"/>
  <c r="DQ26"/>
  <c r="DQ22"/>
  <c r="DQ21"/>
  <c r="DO36"/>
  <c r="DO32"/>
  <c r="DO31"/>
  <c r="DO35"/>
  <c r="DO33"/>
  <c r="DO34"/>
  <c r="DO28"/>
  <c r="DO27"/>
  <c r="DO24"/>
  <c r="DO26"/>
  <c r="DO25"/>
  <c r="DO21"/>
  <c r="DO23"/>
  <c r="DO19"/>
  <c r="DO20"/>
  <c r="DO22"/>
  <c r="DO13"/>
  <c r="DO18"/>
  <c r="DO14"/>
  <c r="DO38"/>
  <c r="DO37"/>
  <c r="DO39"/>
  <c r="CS34" l="1"/>
  <c r="DC34"/>
  <c r="CS33"/>
  <c r="DC33"/>
  <c r="CS35"/>
  <c r="DC35"/>
  <c r="CS31"/>
  <c r="DC31"/>
  <c r="CS32"/>
  <c r="DC32"/>
  <c r="DC36"/>
  <c r="CS36"/>
  <c r="CS27"/>
  <c r="DC27"/>
  <c r="DC28"/>
  <c r="CS28"/>
  <c r="DC25"/>
  <c r="CS25"/>
  <c r="DC26"/>
  <c r="CS26"/>
  <c r="CS24"/>
  <c r="DC24"/>
  <c r="DC22"/>
  <c r="CS22"/>
  <c r="DC20"/>
  <c r="CS20"/>
  <c r="DC19"/>
  <c r="CS19"/>
  <c r="DC23"/>
  <c r="CS23"/>
  <c r="DC21"/>
  <c r="CS21"/>
  <c r="CU21"/>
  <c r="DE21"/>
  <c r="DB21" s="1"/>
  <c r="CE21" s="1"/>
  <c r="BQ21" s="1"/>
  <c r="CS39"/>
  <c r="DC39"/>
  <c r="DB39" s="1"/>
  <c r="CE39" s="1"/>
  <c r="BQ39" s="1"/>
  <c r="CU22"/>
  <c r="DE22"/>
  <c r="DB22" s="1"/>
  <c r="CE22" s="1"/>
  <c r="BQ22" s="1"/>
  <c r="CU26"/>
  <c r="DE26"/>
  <c r="DB26" s="1"/>
  <c r="CE26" s="1"/>
  <c r="BQ26" s="1"/>
  <c r="CU29"/>
  <c r="DE29"/>
  <c r="DB29" s="1"/>
  <c r="CE29" s="1"/>
  <c r="BQ29" s="1"/>
  <c r="CS37"/>
  <c r="DC37"/>
  <c r="DB37" s="1"/>
  <c r="CE37" s="1"/>
  <c r="BQ37" s="1"/>
  <c r="CU31"/>
  <c r="DE31"/>
  <c r="DB31" s="1"/>
  <c r="CE31" s="1"/>
  <c r="BQ31" s="1"/>
  <c r="CU23"/>
  <c r="DE23"/>
  <c r="DB23" s="1"/>
  <c r="CE23" s="1"/>
  <c r="BQ23" s="1"/>
  <c r="CU34"/>
  <c r="DE34"/>
  <c r="DB34" s="1"/>
  <c r="CE34" s="1"/>
  <c r="BQ34" s="1"/>
  <c r="CU32"/>
  <c r="DE32"/>
  <c r="DB32" s="1"/>
  <c r="CE32" s="1"/>
  <c r="BQ32" s="1"/>
  <c r="CU35"/>
  <c r="DE35"/>
  <c r="DB35" s="1"/>
  <c r="CE35" s="1"/>
  <c r="BQ35" s="1"/>
  <c r="CU33"/>
  <c r="DE33"/>
  <c r="DB33" s="1"/>
  <c r="CE33" s="1"/>
  <c r="BQ33" s="1"/>
  <c r="CU19"/>
  <c r="DE19"/>
  <c r="DB19" s="1"/>
  <c r="CE19" s="1"/>
  <c r="BQ19" s="1"/>
  <c r="CS38"/>
  <c r="DC38"/>
  <c r="DB38" s="1"/>
  <c r="CE38" s="1"/>
  <c r="BQ38" s="1"/>
  <c r="CU27"/>
  <c r="DE27"/>
  <c r="DB27" s="1"/>
  <c r="CE27" s="1"/>
  <c r="BQ27" s="1"/>
  <c r="CU20"/>
  <c r="DE20"/>
  <c r="DB20" s="1"/>
  <c r="CE20" s="1"/>
  <c r="BQ20" s="1"/>
  <c r="CU36"/>
  <c r="DE36"/>
  <c r="DB36" s="1"/>
  <c r="CE36" s="1"/>
  <c r="BQ36" s="1"/>
  <c r="CS14"/>
  <c r="DC14"/>
  <c r="DB14" s="1"/>
  <c r="CE14" s="1"/>
  <c r="BQ14" s="1"/>
  <c r="CU25"/>
  <c r="DE25"/>
  <c r="DB25" s="1"/>
  <c r="CE25" s="1"/>
  <c r="BQ25" s="1"/>
  <c r="CS18"/>
  <c r="DC18"/>
  <c r="DB18" s="1"/>
  <c r="CE18" s="1"/>
  <c r="BQ18" s="1"/>
  <c r="CU30"/>
  <c r="DE30"/>
  <c r="DB30" s="1"/>
  <c r="CE30" s="1"/>
  <c r="BQ30" s="1"/>
  <c r="CU24"/>
  <c r="DE24"/>
  <c r="DB24" s="1"/>
  <c r="CE24" s="1"/>
  <c r="BQ24" s="1"/>
  <c r="CU28"/>
  <c r="DE28"/>
  <c r="DB28" s="1"/>
  <c r="CE28" s="1"/>
  <c r="BQ28" s="1"/>
  <c r="CS17"/>
  <c r="DC17"/>
  <c r="DB17" s="1"/>
  <c r="CE17" s="1"/>
  <c r="BQ17" s="1"/>
  <c r="CS13"/>
  <c r="DC13"/>
  <c r="DB13" s="1"/>
  <c r="CE13" s="1"/>
  <c r="BQ13" s="1"/>
  <c r="U16"/>
  <c r="B16"/>
  <c r="BT16"/>
  <c r="BR17" l="1"/>
  <c r="BS17"/>
  <c r="BR13"/>
  <c r="BS13"/>
  <c r="BR28"/>
  <c r="BS28" s="1"/>
  <c r="BR24"/>
  <c r="BS24" s="1"/>
  <c r="BR30"/>
  <c r="BS30" s="1"/>
  <c r="BS18"/>
  <c r="BR18"/>
  <c r="BR25"/>
  <c r="BS25" s="1"/>
  <c r="BR14"/>
  <c r="BS14" s="1"/>
  <c r="BR36"/>
  <c r="BS36" s="1"/>
  <c r="BR20"/>
  <c r="BS20" s="1"/>
  <c r="BR27"/>
  <c r="BS27" s="1"/>
  <c r="BS38"/>
  <c r="BR38"/>
  <c r="BR19"/>
  <c r="BS19" s="1"/>
  <c r="BR33"/>
  <c r="BS33" s="1"/>
  <c r="BR35"/>
  <c r="BS35" s="1"/>
  <c r="BR32"/>
  <c r="BS32" s="1"/>
  <c r="BR34"/>
  <c r="BS34" s="1"/>
  <c r="BR23"/>
  <c r="BS23" s="1"/>
  <c r="BR31"/>
  <c r="BS31" s="1"/>
  <c r="BS37"/>
  <c r="BR37"/>
  <c r="BR29"/>
  <c r="BS29" s="1"/>
  <c r="BR26"/>
  <c r="BS26" s="1"/>
  <c r="BR22"/>
  <c r="BS22" s="1"/>
  <c r="BS39"/>
  <c r="BR39"/>
  <c r="BR21"/>
  <c r="BS21" s="1"/>
  <c r="DO15"/>
  <c r="CS15" l="1"/>
  <c r="DC15"/>
  <c r="DB15" s="1"/>
  <c r="CE15" s="1"/>
  <c r="BQ15" s="1"/>
  <c r="U17"/>
  <c r="BT17"/>
  <c r="B17"/>
  <c r="U21"/>
  <c r="BT21"/>
  <c r="B21" s="1"/>
  <c r="U22"/>
  <c r="BT22"/>
  <c r="B22" s="1"/>
  <c r="BT26"/>
  <c r="B26" s="1"/>
  <c r="U26"/>
  <c r="U29"/>
  <c r="BT29"/>
  <c r="B29" s="1"/>
  <c r="U31"/>
  <c r="BT31"/>
  <c r="B31" s="1"/>
  <c r="BT23"/>
  <c r="B23" s="1"/>
  <c r="U23"/>
  <c r="U34"/>
  <c r="BT34"/>
  <c r="B34" s="1"/>
  <c r="U32"/>
  <c r="BT32"/>
  <c r="B32" s="1"/>
  <c r="BT35"/>
  <c r="B35" s="1"/>
  <c r="U35"/>
  <c r="BT33"/>
  <c r="B33" s="1"/>
  <c r="U33"/>
  <c r="U19"/>
  <c r="BT19"/>
  <c r="B19" s="1"/>
  <c r="U27"/>
  <c r="BT27"/>
  <c r="B27" s="1"/>
  <c r="BT20"/>
  <c r="B20" s="1"/>
  <c r="U20"/>
  <c r="BT36"/>
  <c r="B36" s="1"/>
  <c r="U36"/>
  <c r="U25"/>
  <c r="BT25"/>
  <c r="B25" s="1"/>
  <c r="U30"/>
  <c r="BT30"/>
  <c r="B30" s="1"/>
  <c r="U24"/>
  <c r="BT24"/>
  <c r="B24" s="1"/>
  <c r="U28"/>
  <c r="BT28"/>
  <c r="B28" s="1"/>
  <c r="U39"/>
  <c r="B39"/>
  <c r="BT39"/>
  <c r="B37"/>
  <c r="U37"/>
  <c r="BT37"/>
  <c r="B38"/>
  <c r="BT38"/>
  <c r="U38"/>
  <c r="U14"/>
  <c r="BT14"/>
  <c r="B14" s="1"/>
  <c r="U18"/>
  <c r="B18"/>
  <c r="BT18"/>
  <c r="BT13"/>
  <c r="B13" s="1"/>
  <c r="U13"/>
  <c r="BQ5"/>
  <c r="V2" l="1"/>
  <c r="BQ9"/>
  <c r="BQ11"/>
  <c r="BQ7"/>
  <c r="BR7"/>
  <c r="W2" s="1"/>
  <c r="BR15"/>
  <c r="BS15"/>
  <c r="BT15" l="1"/>
  <c r="B15" s="1"/>
  <c r="U15"/>
  <c r="AV42"/>
  <c r="AV64"/>
  <c r="AV30"/>
  <c r="AV28"/>
  <c r="AV52"/>
  <c r="AV53"/>
  <c r="AV27"/>
  <c r="AV51"/>
  <c r="AV19"/>
  <c r="AV33"/>
  <c r="AV20"/>
  <c r="AV50"/>
  <c r="AV49"/>
  <c r="AV24"/>
  <c r="AV71"/>
  <c r="AV32"/>
  <c r="AV58"/>
  <c r="AV31"/>
  <c r="AV22"/>
  <c r="AV37"/>
  <c r="AV66"/>
  <c r="AV18"/>
  <c r="AV26"/>
  <c r="AV21"/>
  <c r="AV54"/>
  <c r="AV60"/>
  <c r="AV62"/>
  <c r="AV45"/>
  <c r="AV63"/>
  <c r="AV17"/>
  <c r="AV59"/>
  <c r="AV67"/>
  <c r="AV39"/>
  <c r="AV44"/>
  <c r="AV61"/>
  <c r="AV16"/>
  <c r="AV23"/>
  <c r="AV46"/>
  <c r="AV29"/>
  <c r="AV35"/>
  <c r="AV43"/>
  <c r="AV65"/>
  <c r="AV68"/>
  <c r="AV25"/>
  <c r="AV36"/>
  <c r="AV38"/>
  <c r="AV34"/>
  <c r="DA13" i="3"/>
  <c r="DA14"/>
  <c r="DA15"/>
  <c r="DA16"/>
  <c r="DA17"/>
  <c r="DA18"/>
  <c r="DA19"/>
  <c r="DA22"/>
  <c r="DA23"/>
  <c r="DA24"/>
  <c r="DB24" l="1"/>
  <c r="DC24" s="1"/>
  <c r="DD24" s="1"/>
  <c r="DB23"/>
  <c r="DC23" s="1"/>
  <c r="DD23" s="1"/>
  <c r="DB22"/>
  <c r="DC22" s="1"/>
  <c r="DD22" s="1"/>
  <c r="DB19"/>
  <c r="DC19" s="1"/>
  <c r="DD19" s="1"/>
  <c r="DB18"/>
  <c r="DC18" s="1"/>
  <c r="DD18" s="1"/>
  <c r="DB17"/>
  <c r="DC17" s="1"/>
  <c r="DD17" s="1"/>
  <c r="DB16"/>
  <c r="DC16" s="1"/>
  <c r="DD16" s="1"/>
  <c r="DB15"/>
  <c r="DC15" s="1"/>
  <c r="DD15" s="1"/>
  <c r="DB14"/>
  <c r="DC14" s="1"/>
  <c r="DD14" s="1"/>
  <c r="DB13"/>
  <c r="DC13" s="1"/>
  <c r="DD13" s="1"/>
  <c r="BI13" l="1"/>
  <c r="BM13" s="1"/>
  <c r="B13"/>
  <c r="EO13"/>
  <c r="EK13"/>
  <c r="BI14"/>
  <c r="BM14" s="1"/>
  <c r="B14"/>
  <c r="EO14"/>
  <c r="EK14"/>
  <c r="BI15"/>
  <c r="BM15" s="1"/>
  <c r="B15"/>
  <c r="EO15"/>
  <c r="EK15"/>
  <c r="BI16"/>
  <c r="BM16" s="1"/>
  <c r="B16"/>
  <c r="EO16"/>
  <c r="EK16"/>
  <c r="BI17"/>
  <c r="BM17" s="1"/>
  <c r="B17"/>
  <c r="EO17"/>
  <c r="EK17"/>
  <c r="BI18"/>
  <c r="B18"/>
  <c r="EO18"/>
  <c r="EK18"/>
  <c r="BI19"/>
  <c r="B19"/>
  <c r="EO19"/>
  <c r="EK19"/>
  <c r="BI22"/>
  <c r="B22"/>
  <c r="EO22"/>
  <c r="EK22"/>
  <c r="BI23"/>
  <c r="BM23" s="1"/>
  <c r="B23"/>
  <c r="EO23"/>
  <c r="EK23"/>
  <c r="BI24"/>
  <c r="BM24" s="1"/>
  <c r="B24"/>
  <c r="EO24"/>
  <c r="EK24"/>
  <c r="EM24" l="1"/>
  <c r="EL24"/>
  <c r="EM23"/>
  <c r="EL23"/>
  <c r="EM22"/>
  <c r="EL22"/>
  <c r="EM19"/>
  <c r="EL19"/>
  <c r="EM18"/>
  <c r="EL18"/>
  <c r="EM17"/>
  <c r="EL17"/>
  <c r="EM16"/>
  <c r="EL16"/>
  <c r="EM15"/>
  <c r="EL15"/>
  <c r="EM14"/>
  <c r="EL14"/>
  <c r="EM13"/>
  <c r="EL13"/>
  <c r="AY9" l="1" a="1"/>
  <c r="AY14" a="1"/>
  <c r="AY18" a="1"/>
  <c r="AY19" a="1"/>
  <c r="AY22" a="1"/>
  <c r="AY7" a="1"/>
  <c r="DA21"/>
  <c r="DA20"/>
  <c r="DB20" l="1"/>
  <c r="DC20" s="1"/>
  <c r="DD20" s="1"/>
  <c r="DB21"/>
  <c r="DC21" s="1"/>
  <c r="DD21" s="1"/>
  <c r="AY7"/>
  <c r="AY22"/>
  <c r="AY19"/>
  <c r="AY18"/>
  <c r="AY14"/>
  <c r="AY9"/>
  <c r="BB9" l="1"/>
  <c r="BC9"/>
  <c r="BC14"/>
  <c r="BB14"/>
  <c r="BC18"/>
  <c r="BB18"/>
  <c r="BC19"/>
  <c r="BB19"/>
  <c r="BC22"/>
  <c r="BB22"/>
  <c r="BC7"/>
  <c r="BB7"/>
  <c r="EO21"/>
  <c r="BI21"/>
  <c r="BM21" s="1"/>
  <c r="B21"/>
  <c r="EK21"/>
  <c r="EO20"/>
  <c r="BI20"/>
  <c r="BM20" s="1"/>
  <c r="B20"/>
  <c r="EK20"/>
  <c r="EL20" l="1"/>
  <c r="EM20"/>
  <c r="EL21"/>
  <c r="EM21"/>
  <c r="BH7"/>
  <c r="BL7" s="1"/>
  <c r="BD7"/>
  <c r="BE7"/>
  <c r="BF7"/>
  <c r="BG7" s="1"/>
  <c r="BH22"/>
  <c r="BD22"/>
  <c r="BE22"/>
  <c r="BF22"/>
  <c r="BG22"/>
  <c r="BH19"/>
  <c r="BD19"/>
  <c r="BE19"/>
  <c r="BF19"/>
  <c r="BG19"/>
  <c r="BH18"/>
  <c r="BD18"/>
  <c r="BE18"/>
  <c r="BF18"/>
  <c r="BG18"/>
  <c r="BH14"/>
  <c r="BL14" s="1"/>
  <c r="BD14"/>
  <c r="BE14"/>
  <c r="BF14"/>
  <c r="BG14"/>
  <c r="BD9"/>
  <c r="BE9"/>
  <c r="BF9"/>
  <c r="BH9"/>
  <c r="BL9" s="1"/>
  <c r="BG9"/>
  <c r="AK9" l="1"/>
  <c r="AL9" s="1"/>
  <c r="BN9"/>
  <c r="AK14"/>
  <c r="AL14" s="1"/>
  <c r="BN14"/>
  <c r="BL18"/>
  <c r="BM18"/>
  <c r="BL19"/>
  <c r="BM19"/>
  <c r="BM22"/>
  <c r="BL22"/>
  <c r="AK22" s="1"/>
  <c r="AL22" s="1"/>
  <c r="BN22" s="1"/>
  <c r="AK7"/>
  <c r="BN7"/>
  <c r="AL7" l="1"/>
  <c r="AK19"/>
  <c r="AL19" s="1"/>
  <c r="BN19"/>
  <c r="AK18"/>
  <c r="AL18" s="1"/>
  <c r="BN18"/>
  <c r="D16" i="7"/>
  <c r="C16" l="1"/>
  <c r="BH67" i="24" a="1"/>
  <c r="CB67"/>
  <c r="BF67"/>
  <c r="BZ67" l="1"/>
  <c r="BQ67" s="1"/>
  <c r="BH67"/>
  <c r="D41" i="9"/>
  <c r="D35"/>
  <c r="D26"/>
  <c r="E24"/>
  <c r="E45"/>
  <c r="D53"/>
  <c r="D42"/>
  <c r="D51"/>
  <c r="E40"/>
  <c r="E29"/>
  <c r="D32"/>
  <c r="E30"/>
  <c r="E51"/>
  <c r="E31"/>
  <c r="D34"/>
  <c r="D50"/>
  <c r="D27"/>
  <c r="D43"/>
  <c r="E32"/>
  <c r="E48"/>
  <c r="E37"/>
  <c r="E53"/>
  <c r="D48"/>
  <c r="D25"/>
  <c r="E46"/>
  <c r="E35"/>
  <c r="D44"/>
  <c r="E42"/>
  <c r="E39"/>
  <c r="D45"/>
  <c r="D30"/>
  <c r="D38"/>
  <c r="D46"/>
  <c r="D31"/>
  <c r="D39"/>
  <c r="D47"/>
  <c r="E28"/>
  <c r="E36"/>
  <c r="E44"/>
  <c r="E52"/>
  <c r="E25"/>
  <c r="E33"/>
  <c r="E41"/>
  <c r="E49"/>
  <c r="D24"/>
  <c r="D40"/>
  <c r="D33"/>
  <c r="D49"/>
  <c r="E38"/>
  <c r="E27"/>
  <c r="E43"/>
  <c r="D28"/>
  <c r="D37"/>
  <c r="E26"/>
  <c r="E47"/>
  <c r="D52"/>
  <c r="D29"/>
  <c r="E50"/>
  <c r="D36"/>
  <c r="E3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K53" i="24"/>
  <c r="BA53" s="1"/>
  <c r="K58"/>
  <c r="BA58" s="1"/>
  <c r="K60"/>
  <c r="BA60" s="1"/>
  <c r="K54"/>
  <c r="BA54" s="1"/>
  <c r="K59"/>
  <c r="BA59" s="1"/>
  <c r="K61"/>
  <c r="BA61" s="1"/>
  <c r="E19" i="9"/>
  <c r="D19"/>
  <c r="D20"/>
  <c r="E21"/>
  <c r="D21"/>
  <c r="D22"/>
  <c r="D23"/>
  <c r="E20"/>
  <c r="E22"/>
  <c r="E23"/>
  <c r="E18"/>
  <c r="D18"/>
  <c r="E13"/>
  <c r="D12"/>
  <c r="D11"/>
  <c r="E16"/>
  <c r="D16"/>
  <c r="E14"/>
  <c r="D13"/>
  <c r="D14"/>
  <c r="D15"/>
  <c r="E12"/>
  <c r="E17"/>
  <c r="D17"/>
  <c r="E11"/>
  <c r="E15"/>
  <c r="D10"/>
  <c r="E10"/>
  <c r="D8"/>
  <c r="E8"/>
  <c r="D9"/>
  <c r="E9"/>
  <c r="D4"/>
  <c r="E4"/>
  <c r="F23"/>
  <c r="F22"/>
  <c r="F21"/>
  <c r="F20"/>
  <c r="F19"/>
  <c r="F18"/>
  <c r="F17"/>
  <c r="F16"/>
  <c r="F15"/>
  <c r="F14"/>
  <c r="F13"/>
  <c r="F12"/>
  <c r="F11"/>
  <c r="F10"/>
  <c r="F9"/>
  <c r="F8"/>
  <c r="F4"/>
  <c r="D5"/>
  <c r="E5"/>
  <c r="D6"/>
  <c r="E6"/>
  <c r="D7"/>
  <c r="E7"/>
  <c r="F5"/>
  <c r="F6"/>
  <c r="F7"/>
  <c r="B16" i="7" s="1"/>
  <c r="BF66" i="24"/>
  <c r="CB66"/>
  <c r="BH66" a="1"/>
  <c r="BH66" l="1"/>
  <c r="BZ66"/>
  <c r="BQ66" s="1"/>
  <c r="L53"/>
  <c r="AZ53" s="1"/>
  <c r="BD61"/>
  <c r="BD59"/>
  <c r="BD54"/>
  <c r="BD60"/>
  <c r="BD58"/>
  <c r="BS67"/>
  <c r="BR67"/>
  <c r="BC61"/>
  <c r="BC59"/>
  <c r="BC54"/>
  <c r="BC60"/>
  <c r="BC58"/>
  <c r="T58" l="1"/>
  <c r="T60"/>
  <c r="T54"/>
  <c r="T59"/>
  <c r="T61"/>
  <c r="B67"/>
  <c r="U67"/>
  <c r="BT67"/>
  <c r="BD53"/>
  <c r="BS66"/>
  <c r="BR66"/>
  <c r="BH58" a="1"/>
  <c r="BH60" a="1"/>
  <c r="BH54" a="1"/>
  <c r="BH59" a="1"/>
  <c r="BH61" a="1"/>
  <c r="BC53"/>
  <c r="T53" l="1"/>
  <c r="BH61"/>
  <c r="BH59"/>
  <c r="BH54"/>
  <c r="BH60"/>
  <c r="BH58"/>
  <c r="B66"/>
  <c r="BT66"/>
  <c r="U66"/>
  <c r="BH53" a="1"/>
  <c r="BH53" l="1"/>
</calcChain>
</file>

<file path=xl/comments1.xml><?xml version="1.0" encoding="utf-8"?>
<comments xmlns="http://schemas.openxmlformats.org/spreadsheetml/2006/main">
  <authors>
    <author>Adam Ryczkowski</author>
    <author>Autor</author>
  </authors>
  <commentList>
    <comment ref="S12" authorId="0">
      <text>
        <r>
          <rPr>
            <b/>
            <sz val="8"/>
            <color indexed="81"/>
            <rFont val="Tahoma"/>
            <family val="2"/>
            <charset val="238"/>
          </rPr>
          <t>Można tu dodać formułę. Jeśli formuła zwróci błąd lub cokolwiek, co jest interpretowane jako PRAWDA, wtedy wystąpi błąd użytkownika</t>
        </r>
      </text>
    </comment>
    <comment ref="AE12" authorId="1">
      <text>
        <r>
          <rPr>
            <b/>
            <sz val="8"/>
            <color indexed="81"/>
            <rFont val="Tahoma"/>
            <family val="2"/>
            <charset val="238"/>
          </rPr>
          <t>Autor:</t>
        </r>
        <r>
          <rPr>
            <sz val="8"/>
            <color indexed="81"/>
            <rFont val="Tahoma"/>
            <family val="2"/>
            <charset val="238"/>
          </rPr>
          <t xml:space="preserve">
Tu sprawdzamy, czy oba pola importu są wpisane</t>
        </r>
      </text>
    </comment>
  </commentList>
</comments>
</file>

<file path=xl/comments2.xml><?xml version="1.0" encoding="utf-8"?>
<comments xmlns="http://schemas.openxmlformats.org/spreadsheetml/2006/main">
  <authors>
    <author>Adam Ryczkowski</author>
  </authors>
  <commentList>
    <comment ref="A1" authorId="0">
      <text>
        <r>
          <rPr>
            <b/>
            <sz val="8"/>
            <color indexed="81"/>
            <rFont val="Tahoma"/>
            <family val="2"/>
            <charset val="238"/>
          </rPr>
          <t>NazwyZmiennych</t>
        </r>
      </text>
    </comment>
    <comment ref="A2" authorId="0">
      <text>
        <r>
          <rPr>
            <b/>
            <sz val="8"/>
            <color indexed="81"/>
            <rFont val="Tahoma"/>
            <family val="2"/>
            <charset val="238"/>
          </rPr>
          <t>NazwySPSS</t>
        </r>
      </text>
    </comment>
  </commentList>
</comments>
</file>

<file path=xl/comments3.xml><?xml version="1.0" encoding="utf-8"?>
<comments xmlns="http://schemas.openxmlformats.org/spreadsheetml/2006/main">
  <authors>
    <author>Adam Ryczkowski</author>
  </authors>
  <commentList>
    <comment ref="B4" authorId="0">
      <text>
        <r>
          <rPr>
            <b/>
            <sz val="8"/>
            <color indexed="81"/>
            <rFont val="Tahoma"/>
            <family val="2"/>
            <charset val="238"/>
          </rPr>
          <t>Grupy Zakres: Potrzebny dla weryfikacji długości pola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Grupy Nazwy: Podane przez użytkownika nazwy grup. Grupy nie mają "nazw SPSS", gdyż o nich używane programy statystyczne w ogóle nie wiedzą. </t>
        </r>
      </text>
    </comment>
    <comment ref="G4" authorId="0">
      <text>
        <r>
          <rPr>
            <b/>
            <sz val="8"/>
            <color indexed="81"/>
            <rFont val="Tahoma"/>
            <family val="2"/>
            <charset val="238"/>
          </rPr>
          <t>Grupy NazwyNarzednik: Narzędnik nazwy grupy. Potrzebny m.in. do sformułowania "Istnieje związek między _płcią_ a _wiekiem inicjacji_"</t>
        </r>
      </text>
    </comment>
    <comment ref="H4" authorId="0">
      <text>
        <r>
          <rPr>
            <b/>
            <sz val="8"/>
            <color indexed="81"/>
            <rFont val="Tahoma"/>
            <family val="2"/>
            <charset val="238"/>
          </rPr>
          <t>Grupy NazwyDopelniacz: Dopełniacz nazwy grupy. Potrzebny m.in. do sformułowania 5 zmiennych należących do _Oceny charakteru_.</t>
        </r>
      </text>
    </comment>
    <comment ref="I4" authorId="0">
      <text>
        <r>
          <rPr>
            <b/>
            <sz val="8"/>
            <color indexed="81"/>
            <rFont val="Tahoma"/>
            <family val="2"/>
            <charset val="238"/>
          </rPr>
          <t>Grupy NazwySkroty: Istnieje możliwość podania skróconej nazwy grupy. W skrajnych przypadkach komputer będzie sam próbował pytać się użytkownika o skróconą nazwę grupy. W tej chwili nie ma to zastosowania, ale na pewno będzie miało</t>
        </r>
      </text>
    </comment>
    <comment ref="J4" authorId="0">
      <text>
        <r>
          <rPr>
            <b/>
            <sz val="8"/>
            <color indexed="81"/>
            <rFont val="Tahoma"/>
            <family val="2"/>
            <charset val="238"/>
          </rPr>
          <t>Grupy NazwyRodzaj: Rodzaj gramatyczny nazwy grupy</t>
        </r>
      </text>
    </comment>
  </commentList>
</comments>
</file>

<file path=xl/comments4.xml><?xml version="1.0" encoding="utf-8"?>
<comments xmlns="http://schemas.openxmlformats.org/spreadsheetml/2006/main">
  <authors>
    <author>Adam Ryczkowski</author>
  </authors>
  <commentList>
    <comment ref="B3" authorId="0">
      <text>
        <r>
          <rPr>
            <b/>
            <sz val="8"/>
            <color indexed="81"/>
            <rFont val="Tahoma"/>
            <family val="2"/>
            <charset val="238"/>
          </rPr>
          <t>Ster KatalogDocelowy: 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      </r>
      </text>
    </comment>
    <comment ref="C3" authorId="0">
      <text>
        <r>
          <rPr>
            <b/>
            <sz val="8"/>
            <color indexed="81"/>
            <rFont val="Tahoma"/>
            <family val="2"/>
            <charset val="238"/>
          </rPr>
          <t>Ster DlugaNazwaBazyDanych: Ładna i długa nazwa bazy danych. Np. "Baza danych do pracy mgr. pani J. Kowalskiej"</t>
        </r>
      </text>
    </comment>
    <comment ref="D3" authorId="0">
      <text>
        <r>
          <rPr>
            <b/>
            <sz val="8"/>
            <color indexed="81"/>
            <rFont val="Tahoma"/>
            <family val="2"/>
            <charset val="238"/>
          </rPr>
          <t>Ster NazwaBazyDanychWR: Nazwa bazy danych w przestrzeni nazw R. Ma znaczenie, gdyż R pozwala na otwarcie kilku baz danych, ale w odróżnieniu od SPSS nie może być dwóch baz danych o tej samej nazwie, a nazwa pliku nie określa nazwy bazy danych (dataframe)</t>
        </r>
      </text>
    </comment>
    <comment ref="B5" authorId="0">
      <text>
        <r>
          <rPr>
            <b/>
            <sz val="8"/>
            <color indexed="81"/>
            <rFont val="Tahoma"/>
            <family val="2"/>
            <charset val="238"/>
          </rPr>
          <t>Ster PodkatalogBazyDanych: Ścieżka relatywna do "Ster KatalogDocelowy" z lokalizacją pliku z bazą danych. Nie zawiera w sobie bazy danych. Zazwyczaj jest to data z przedrostkiem ułatwiającym optyczne sortowanie, np. 01 13V2010. Na początku jest po prostu równa "Ster PodkatalogAnalizy"</t>
        </r>
      </text>
    </comment>
    <comment ref="C5" authorId="0">
      <text>
        <r>
          <rPr>
            <b/>
            <sz val="8"/>
            <color indexed="81"/>
            <rFont val="Tahoma"/>
            <family val="2"/>
            <charset val="238"/>
          </rPr>
          <t>Ster PodkatalogAnalizy: Ścieżka relatywna do "Ster KatalogDocelowy" z daną wersją analizy statystycznej. Zazwyczaj jest to data z przedrostkiem ułatwiającym optyczne sortowanie, np. 01 13V2010</t>
        </r>
      </text>
    </comment>
    <comment ref="B12" authorId="0">
      <text>
        <r>
          <rPr>
            <b/>
            <sz val="8"/>
            <color indexed="81"/>
            <rFont val="Tahoma"/>
            <family val="2"/>
            <charset val="238"/>
          </rPr>
          <t>Dane IleZmiennych: Uwzględnia zmienne, dla których nie ma ważnego przypadku. Zmienna, aby była uwzględniona, musi mieć tylko wpisaną nazwę SPSS (nie wymagana jest nazwa ładna)</t>
        </r>
      </text>
    </comment>
    <comment ref="C12" authorId="0">
      <text>
        <r>
          <rPr>
            <b/>
            <sz val="8"/>
            <color indexed="81"/>
            <rFont val="Tahoma"/>
            <family val="2"/>
            <charset val="238"/>
          </rPr>
          <t>Dane MaxNrZmiennej: Czasami użytkownik zrobi dzióry w bazie danych, czyli kolumny bez przyporządkowanych zmiennych. Dlatego ta wartość nie musi być równa Count Variable Count. Uwzględnia te same zmienne, co Count Variable Count</t>
        </r>
      </text>
    </comment>
    <comment ref="B14" authorId="0">
      <text>
        <r>
          <rPr>
            <b/>
            <sz val="8"/>
            <color indexed="81"/>
            <rFont val="Tahoma"/>
            <family val="2"/>
            <charset val="238"/>
          </rPr>
          <t>Dane LiczbaRespondentowBezFiltra: Uwzględnia wszystkie te przypadki, dla których w pierwszym wierszu jest wpiasana prawidłowa wartość "lp". Ponieważ wartości LP mogą być wpisywane automatycznie, to pośrednio uwzględnia wszystkie niepuste komórki zakresu bazy danych.</t>
        </r>
      </text>
    </comment>
    <comment ref="C14" authorId="0">
      <text>
        <r>
          <rPr>
            <b/>
            <sz val="8"/>
            <color indexed="81"/>
            <rFont val="Tahoma"/>
            <family val="2"/>
            <charset val="238"/>
          </rPr>
          <t>Dane MaxNrRespondentaBezFiltra: Zawsze równe Count Case Count</t>
        </r>
      </text>
    </comment>
    <comment ref="B16" authorId="0">
      <text>
        <r>
          <rPr>
            <b/>
            <sz val="8"/>
            <color indexed="81"/>
            <rFont val="Tahoma"/>
            <family val="2"/>
            <charset val="238"/>
          </rPr>
          <t>Dane LiczbaGrup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38"/>
          </rPr>
          <t>Dane MaxNrGrupy</t>
        </r>
      </text>
    </comment>
    <comment ref="B20" authorId="0">
      <text>
        <r>
          <rPr>
            <b/>
            <sz val="8"/>
            <color indexed="81"/>
            <rFont val="Tahoma"/>
            <family val="2"/>
            <charset val="238"/>
          </rPr>
          <t>MaxWierszEtykiet</t>
        </r>
      </text>
    </comment>
    <comment ref="O22" authorId="0">
      <text>
        <r>
          <rPr>
            <b/>
            <sz val="8"/>
            <color indexed="81"/>
            <rFont val="Tahoma"/>
            <family val="2"/>
            <charset val="238"/>
          </rPr>
          <t>Ster BazaDanychSPSSFileName: Nazwa bazy danych SPSS zarządzanej przez system. Uwaga: ponieważ system zarządza tą bazą danych, nie należy jej modyfikować.</t>
        </r>
      </text>
    </comment>
    <comment ref="O24" authorId="0">
      <text>
        <r>
          <rPr>
            <b/>
            <sz val="8"/>
            <color indexed="81"/>
            <rFont val="Tahoma"/>
            <family val="2"/>
            <charset val="238"/>
          </rPr>
          <t>Ster BazaDanychRFileName: Nazwa bazy danych R zarządzanej przez system. Uwaga: ponieważ system zarządza tą bazą danych, nie należy jej modyfikować.</t>
        </r>
      </text>
    </comment>
  </commentList>
</comments>
</file>

<file path=xl/comments5.xml><?xml version="1.0" encoding="utf-8"?>
<comments xmlns="http://schemas.openxmlformats.org/spreadsheetml/2006/main">
  <authors>
    <author>Adam Ryczkowski</author>
  </authors>
  <commentList>
    <comment ref="A3" authorId="0">
      <text>
        <r>
          <rPr>
            <b/>
            <sz val="8"/>
            <color indexed="81"/>
            <rFont val="Tahoma"/>
            <family val="2"/>
            <charset val="238"/>
          </rPr>
          <t>Ster WersjaPliku: Wersja kompatybilności danego pliku danych surowych. Jeśli w przyszłości zmienię w istotny sposób format danych surowych, na podstawie tej wartości będzie można ustalić, jaka to wersja i jak ją czytać</t>
        </r>
      </text>
    </comment>
    <comment ref="R8" authorId="0">
      <text>
        <r>
          <rPr>
            <b/>
            <sz val="8"/>
            <color indexed="81"/>
            <rFont val="Tahoma"/>
            <family val="2"/>
            <charset val="238"/>
          </rPr>
          <t>Ster NazwaArkuszaEtykiet: Nazwa zakładki z etykietami. Podana na wypadek, gdybym chciał np. zmienić język. Domyślnie "etykiety".</t>
        </r>
      </text>
    </comment>
    <comment ref="R9" authorId="0">
      <text>
        <r>
          <rPr>
            <b/>
            <sz val="8"/>
            <color indexed="81"/>
            <rFont val="Tahoma"/>
            <family val="2"/>
            <charset val="238"/>
          </rPr>
          <t>Ster NazwaArkuszaDanych: Nazwa zakładki z etykietami. Podana na wypadek, gdybym chciał np. zmienić język. Domyślnie "etykiety".</t>
        </r>
      </text>
    </comment>
    <comment ref="G11" authorId="0">
      <text>
        <r>
          <rPr>
            <b/>
            <sz val="8"/>
            <color indexed="81"/>
            <rFont val="Tahoma"/>
            <family val="2"/>
            <charset val="238"/>
          </rPr>
          <t>Dane UI IleKolumnZGrupami: Liczba faktycznie używanych kolumn z grupami zmiennych</t>
        </r>
      </text>
    </comment>
  </commentList>
</comments>
</file>

<file path=xl/sharedStrings.xml><?xml version="1.0" encoding="utf-8"?>
<sst xmlns="http://schemas.openxmlformats.org/spreadsheetml/2006/main" count="745" uniqueCount="521">
  <si>
    <t>Lp</t>
  </si>
  <si>
    <t>Są etykiety</t>
  </si>
  <si>
    <t>Standardowy arkusz sterowania, wersja 1.0</t>
  </si>
  <si>
    <t>Ogólne</t>
  </si>
  <si>
    <t>Ile zmiennych</t>
  </si>
  <si>
    <t>Istnieje</t>
  </si>
  <si>
    <t>gr</t>
  </si>
  <si>
    <t>Nr grupy</t>
  </si>
  <si>
    <t>Nazwa grupy</t>
  </si>
  <si>
    <t>Zakres zmiennych</t>
  </si>
  <si>
    <t>nazwy SPSS</t>
  </si>
  <si>
    <t>Istnieje związek między… [narzędnik]</t>
  </si>
  <si>
    <t>Plik z bazą danych SPSS</t>
  </si>
  <si>
    <t>Komentarz</t>
  </si>
  <si>
    <t>Najwyższy numer zmiennej</t>
  </si>
  <si>
    <t>Ile respondentów bez filtra</t>
  </si>
  <si>
    <t>Najwyższy numer respondenta bez filtra</t>
  </si>
  <si>
    <t>Ile grup</t>
  </si>
  <si>
    <t>Ile jest kolumn do wpisywania przynależności do grup w zakładce 'zmienne'</t>
  </si>
  <si>
    <t>Zakres nazw</t>
  </si>
  <si>
    <t>Liczba zmiennych</t>
  </si>
  <si>
    <t>Należące do … [grupy zmiennych "Płeć"] [dopełniacz]</t>
  </si>
  <si>
    <t>WERSJA FORMATU DANYCH SUROWYCH</t>
  </si>
  <si>
    <t>Ile wierszy</t>
  </si>
  <si>
    <t>Ile kolumn</t>
  </si>
  <si>
    <t>Najwyższy numer grupy</t>
  </si>
  <si>
    <t>max wiersz etykiet</t>
  </si>
  <si>
    <t>Nazwa arkusza</t>
  </si>
  <si>
    <t>Min</t>
  </si>
  <si>
    <t>Max</t>
  </si>
  <si>
    <t>min</t>
  </si>
  <si>
    <t>max</t>
  </si>
  <si>
    <t>Skrócona nazwa grupy</t>
  </si>
  <si>
    <t>Nazwa SPSS raw</t>
  </si>
  <si>
    <t>Błąd nazwy długiej</t>
  </si>
  <si>
    <t>Plik z bazą danych R</t>
  </si>
  <si>
    <t>Czy wszystkie wartości są opatrzone etykietami</t>
  </si>
  <si>
    <t>Nazwa arkusza (musi być zawsze ta sama)</t>
  </si>
  <si>
    <t>Max niepustego wiersza</t>
  </si>
  <si>
    <t>Pełna nazwa tego arkusza bez cudzysłow</t>
  </si>
  <si>
    <t>NewZal</t>
  </si>
  <si>
    <t>Reguła wymagalności</t>
  </si>
  <si>
    <t>zawsze jest obowiązkowe</t>
  </si>
  <si>
    <t>Nie może być wypełnione, jeśli typ jest eksportowalny (czyli lokalny). W przeciwnym razie musi być wypełnione.</t>
  </si>
  <si>
    <t>ok.</t>
  </si>
  <si>
    <t>Adres lokalny</t>
  </si>
  <si>
    <t>Odczyt/zapis lokalnie</t>
  </si>
  <si>
    <t>Nazwa pola (kolumna B) jest powtórzona</t>
  </si>
  <si>
    <t>Eksportowana nazwa pola (kolumna C) jest powtórzona</t>
  </si>
  <si>
    <t>Importowany skoroszyt nie aktualnie jest otwarty</t>
  </si>
  <si>
    <t>Nie odnaleziono importowanego pola w importowanym arkuszu</t>
  </si>
  <si>
    <t>Można podać tylko dwie wartości typu dostępu: "R" - tylko do odczytu oraz "W" - do odczytu i zapisu</t>
  </si>
  <si>
    <t xml:space="preserve">Nie znaleziono pola, od którego zależy dane pole. </t>
  </si>
  <si>
    <t>Czy ok.?</t>
  </si>
  <si>
    <t>Nazwa lokalna</t>
  </si>
  <si>
    <t>Nazwa eksportowana</t>
  </si>
  <si>
    <t>R / W</t>
  </si>
  <si>
    <t>Workbook importowany</t>
  </si>
  <si>
    <t>Nazwa importowana</t>
  </si>
  <si>
    <t>W którą stronę kopiować zawartość (jeśli kopiować) 1 - w dół, 2 - w prawo, 3 lub puste - nie kopiować w ogóle, lecz zwracać błąd</t>
  </si>
  <si>
    <t>Zakres bezpośrednio odwołujący się</t>
  </si>
  <si>
    <t>Zależy od…</t>
  </si>
  <si>
    <t>Czy użytkownik chce, aby wartości były importowane?</t>
  </si>
  <si>
    <t>Importowany arkusz</t>
  </si>
  <si>
    <t>Zakres nazw do znalezienia importu</t>
  </si>
  <si>
    <t>Pozycja znalezionego importu (lub błąd)</t>
  </si>
  <si>
    <t>Czy prawidłowo importowany?</t>
  </si>
  <si>
    <t>Zakres zakresów importu</t>
  </si>
  <si>
    <t>Znaleziony zakres</t>
  </si>
  <si>
    <t>Czy można dekodować importowany adres?</t>
  </si>
  <si>
    <t>Zakres z inf do odczytu</t>
  </si>
  <si>
    <t>Czy do odczytu</t>
  </si>
  <si>
    <t>Czy podano adres lokalny?</t>
  </si>
  <si>
    <t>Ile kolumn ostatecznie</t>
  </si>
  <si>
    <t>Ile wierszy ostatecznie</t>
  </si>
  <si>
    <t>Adres ostatecznie</t>
  </si>
  <si>
    <t>Czy więcej, niż jedno pole</t>
  </si>
  <si>
    <t>Ile niepustych lub błąd</t>
  </si>
  <si>
    <t>Czy do zapisu</t>
  </si>
  <si>
    <t>Sposób odczytu/zapisu 1-R. 2-W, 3-Blad</t>
  </si>
  <si>
    <t>!Czy nazwa jest powtórzona</t>
  </si>
  <si>
    <t>!Czy nazwa eksportowana jest powtórzona</t>
  </si>
  <si>
    <t>!Czy arkusz importu nie jest odnaleziony?</t>
  </si>
  <si>
    <t>!Czy nie odnaleziono tego konkretnego pola</t>
  </si>
  <si>
    <t>!Czy podano zarówno import jak i adres lokalny</t>
  </si>
  <si>
    <t>!Podano nieprawidłowy tekst odczytu</t>
  </si>
  <si>
    <t>Błąd ref1?</t>
  </si>
  <si>
    <t>Błąd ref2?</t>
  </si>
  <si>
    <t>R</t>
  </si>
  <si>
    <t>NazwyZmiennych</t>
  </si>
  <si>
    <t>NazwySPSS</t>
  </si>
  <si>
    <t>MacierzWartosci</t>
  </si>
  <si>
    <t>Zmienne TypyKod</t>
  </si>
  <si>
    <t>Zmienne IleEtykiet</t>
  </si>
  <si>
    <t>Zmienne ZakresWartosci</t>
  </si>
  <si>
    <t>Zmienne Min</t>
  </si>
  <si>
    <t>Zmienne Max</t>
  </si>
  <si>
    <t>Zmienne Istnieje</t>
  </si>
  <si>
    <t>Zmienne CzyOgrDoEtykiet</t>
  </si>
  <si>
    <t>Zmienne Jednostki</t>
  </si>
  <si>
    <t>Zmienne Grupy</t>
  </si>
  <si>
    <t>Ster KatalogDocelowy</t>
  </si>
  <si>
    <t>Ster TrybTworzeniaRaportu</t>
  </si>
  <si>
    <t>Ster PodkatalogAnalizy</t>
  </si>
  <si>
    <t>Ster PodkatalogBazyDanych</t>
  </si>
  <si>
    <t>Ster BazaDanychSPSSFileName</t>
  </si>
  <si>
    <t>Ster BazaDanychRFileName</t>
  </si>
  <si>
    <t>Ster WersjaPliku</t>
  </si>
  <si>
    <t>Ster DomyslneCoTo</t>
  </si>
  <si>
    <t>Grupy Nazwy</t>
  </si>
  <si>
    <t>Grupy LiczbaZmiennych</t>
  </si>
  <si>
    <t>Grupy ListaZmiennychSPSS</t>
  </si>
  <si>
    <t>Grupy NazwyNarzednik</t>
  </si>
  <si>
    <t>Grupy NazwyDopelniacz</t>
  </si>
  <si>
    <t>Dane IleZmiennych</t>
  </si>
  <si>
    <t>Dane MaxNrZmiennej</t>
  </si>
  <si>
    <t>Dane LiczbaRespondentowBezFiltra</t>
  </si>
  <si>
    <t>Dane MaxNrRespondentaBezFiltra</t>
  </si>
  <si>
    <t>Dane LiczbaGrup</t>
  </si>
  <si>
    <t>Dane MaxNrGrupy</t>
  </si>
  <si>
    <t>Dane UI IleKolumnZGrupami</t>
  </si>
  <si>
    <t>W</t>
  </si>
  <si>
    <t>Arkusz etykiet</t>
  </si>
  <si>
    <t>Akursz danych</t>
  </si>
  <si>
    <t>Zmienne IleLiczb</t>
  </si>
  <si>
    <t>Zmienne ProcPolLiczbowych</t>
  </si>
  <si>
    <t>Czy podświetlać?</t>
  </si>
  <si>
    <t>Zmienne MinTeoret</t>
  </si>
  <si>
    <t>Zmienne MaxTeoret</t>
  </si>
  <si>
    <t>min teoret</t>
  </si>
  <si>
    <t>max teoret</t>
  </si>
  <si>
    <t>Do poniższych zakresów odwoływuje się formatowanie warunkowe z zakładki "dane":</t>
  </si>
  <si>
    <t>Dodatkowe opcje</t>
  </si>
  <si>
    <t>Opcje interfejsu użytkownika</t>
  </si>
  <si>
    <t>Czy podświetlać wyniki w zakładce "dane"?</t>
  </si>
  <si>
    <t>Podkatalog pliku bazy danych (np. oparty na dacie)</t>
  </si>
  <si>
    <t>Podkatalog tworzonego raportu</t>
  </si>
  <si>
    <t>Prefiks nazwy</t>
  </si>
  <si>
    <t>Czy zawarta jest nazwa arkusza?</t>
  </si>
  <si>
    <t>Początek nazwy pliku</t>
  </si>
  <si>
    <t>Koniec nazwy pliku</t>
  </si>
  <si>
    <t>Czy cudzysłów</t>
  </si>
  <si>
    <t>Odwołania do testowania</t>
  </si>
  <si>
    <t>Prefiks nazwy arkusza do testowania</t>
  </si>
  <si>
    <t>Czy w zewnętrznym arkuszu?</t>
  </si>
  <si>
    <t>!Czy ma więcej niż jeden wiersz</t>
  </si>
  <si>
    <t>!Nie wskazuje na sensowaną komórkę</t>
  </si>
  <si>
    <t>!Czy ma więcej niż jedną kolumnę</t>
  </si>
  <si>
    <t>Nie można jednocześnie importować (E-F) oraz podać lokalizację pola (G-I)</t>
  </si>
  <si>
    <t>Wskazany przez użytkownika adres nie może być rozwinięty.</t>
  </si>
  <si>
    <t>Lokalny (lub nie) adres, który jest w tym skoroszycie zarządzany</t>
  </si>
  <si>
    <t>Adres z zakresem</t>
  </si>
  <si>
    <t>Grupy Zakres</t>
  </si>
  <si>
    <t>Nazwa ładna</t>
  </si>
  <si>
    <t>Czy błąd użytkownika?</t>
  </si>
  <si>
    <t>Napotkano puste komórki w polu zadeklarowanym bez pustych komórek</t>
  </si>
  <si>
    <t>!Czy puste komórki</t>
  </si>
  <si>
    <t>Ile niepustych ma być</t>
  </si>
  <si>
    <t>Czy zwracać uwagę na niepuste?</t>
  </si>
  <si>
    <t>Czy zwracać błąd w razie pustych komórek (domyślnie nie dla komórek W i tak dla komórek R)</t>
  </si>
  <si>
    <t>Liczba błędów</t>
  </si>
  <si>
    <t>Zakrs nazw SPSS</t>
  </si>
  <si>
    <t>Kod błędu (jeśli istnieje)</t>
  </si>
  <si>
    <t>Nie można podać polityki dotyczącej pustych komórek dla importowanych komórek</t>
  </si>
  <si>
    <t>Nie można podawać polityki dotyczącej ignorowania błędów dla pól importowanych</t>
  </si>
  <si>
    <t>Nie można podawać reguły poprawności użytkownika dla importowanych pól</t>
  </si>
  <si>
    <t>Grupy NazwySkroty</t>
  </si>
  <si>
    <t>Ster NazwaPlikuRaportu</t>
  </si>
  <si>
    <t>Nie można podawać reguły poprawności użytkownika dla !importowanych pól</t>
  </si>
  <si>
    <t>Kod błędu</t>
  </si>
  <si>
    <t>Nr błędu lokalnie</t>
  </si>
  <si>
    <t>Nr błędu ostatecznie</t>
  </si>
  <si>
    <t>Nie można znaleźć importowanego zakresu</t>
  </si>
  <si>
    <t>Pola, od którego zależy dane pole ma błąd</t>
  </si>
  <si>
    <t>!Błąd w ref</t>
  </si>
  <si>
    <t>Zrodlo odnosnika, 1-lokalne, 2-zdalne, 3-blad, 4-nie ma</t>
  </si>
  <si>
    <t>Nie można podawać trybu dostępu (R/W) kiedy pole nie ma lokalnej referencji</t>
  </si>
  <si>
    <t>!Odczyt jest niepotrzebnie podany, bo nie jest lokalne</t>
  </si>
  <si>
    <t>Ster NazwaArkuszaEtykiet</t>
  </si>
  <si>
    <t>Uwzględnia zmienne, dla których nie ma ważnego przypadku. Zmienna, aby była uwzględniona, musi mieć tylko wpisaną nazwę SPSS (nie wymagana jest nazwa ładna)</t>
  </si>
  <si>
    <t>Czasami użytkownik zrobi dzióry w bazie danych, czyli kolumny bez przyporządkowanych zmiennych. Dlatego ta wartość nie musi być równa Count Variable Count. Uwzględnia te same zmienne, co Count Variable Count</t>
  </si>
  <si>
    <t>Uwzględnia wszystkie te przypadki, dla których w pierwszym wierszu jest wpiasana prawidłowa wartość "lp". Ponieważ wartości LP mogą być wpisywane automatycznie, to pośrednio uwzględnia wszystkie niepuste komórki zakresu bazy danych.</t>
  </si>
  <si>
    <t>Zawsze równe Count Case Count</t>
  </si>
  <si>
    <t>To jest podawana przez użytkownika definicja typu. Nie jest ona wygodna do manipulowania, bo jest literowa, ale za to jest do zapisu.</t>
  </si>
  <si>
    <t>5 lub więcej kolumn pozwalających na przyporządkowanie zmiennych do grup. Realizowana jest relacja wiele-do-wielu: każda zmienna może być w więcej niż jednej grupie i każda grupa oczywiście może się składać z więcej niż jednej zmiennej. Referencja do grup jest przez ich Lp.</t>
  </si>
  <si>
    <t>Liczba zmiennych w bazie danych</t>
  </si>
  <si>
    <t>Maksymalny numer zmiennej w bazie danych</t>
  </si>
  <si>
    <t>Typy zmiennych zapis/odczyt</t>
  </si>
  <si>
    <t>Opcjonalna nazwa jednostki. Jednostki są identyfikowane z bazą danych jednostek.</t>
  </si>
  <si>
    <t xml:space="preserve">Podane przez użytkownika nazwy grup. Grupy nie mają "nazw SPSS", gdyż o nich używane programy statystyczne w ogóle nie wiedzą. </t>
  </si>
  <si>
    <t>Narzędnik nazwy grupy. Potrzebny m.in. do sformułowania "Istnieje związek między _płcią_ a _wiekiem inicjacji_"</t>
  </si>
  <si>
    <t>Dopełniacz nazwy grupy. Potrzebny m.in. do sformułowania 5 zmiennych należących do _Oceny charakteru_.</t>
  </si>
  <si>
    <t>Istnieje możliwość podania skróconej nazwy grupy. W skrajnych przypadkach komputer będzie sam próbował pytać się użytkownika o skróconą nazwę grupy. W tej chwili nie ma to zastosowania, ale na pewno będzie miało</t>
  </si>
  <si>
    <t>Bardzo wyspecjalizowana i trochę sztuczna opcja generacji raportów: 1 oznacza, że stworzony raport będzie się mieścił w jednym pliku, 2 oznacza, że raport zostanie pokrojony na szereg mniejszych plików, tak, że każda hipoteza będzie w osobnym pliku. Należy pamiętać, że system tworzenia raportów Doc pozwala na dowolnie głębokie zagnieżdżanie osobnych plików, więc nie tylko w pierwszym poziomie nagłówka może być tworzony plik. Niestety, w tej chwili nie można pokroić już istniejącego pliku, a zazwyczaj, przed wykonaniem analizy, nie wiadomo, jak długi dany plik będzie.</t>
  </si>
  <si>
    <t>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</si>
  <si>
    <t>Ścieżka relatywna do "Ster KatalogDocelowy" z daną wersją analizy statystycznej. Zazwyczaj jest to data z przedrostkiem ułatwiającym optyczne sortowanie, np. 01 13V2010</t>
  </si>
  <si>
    <t>Ścieżka relatywna do "Ster KatalogDocelowy" z lokalizacją pliku z bazą danych. Nie zawiera w sobie bazy danych. Zazwyczaj jest to data z przedrostkiem ułatwiającym optyczne sortowanie, np. 01 13V2010. Na początku jest po prostu równa "Ster PodkatalogAnalizy"</t>
  </si>
  <si>
    <t>Nazwa bazy danych SPSS zarządzanej przez system. Uwaga: ponieważ system zarządza tą bazą danych, nie należy jej modyfikować.</t>
  </si>
  <si>
    <t>Nazwa bazy danych R zarządzanej przez system. Uwaga: ponieważ system zarządza tą bazą danych, nie należy jej modyfikować.</t>
  </si>
  <si>
    <t>Wersja kompatybilności danego pliku danych surowych. Jeśli w przyszłości zmienię w istotny sposób format danych surowych, na podstawie tej wartości będzie można ustalić, jaka to wersja i jak ją czytać</t>
  </si>
  <si>
    <t>Domyślna wartość "COTO". Ona jest aplikowana, jeśli użytkownik nie wpisał niczego do kolumny Zmienne CoTo</t>
  </si>
  <si>
    <t>Nazwa, a właściwie prefiks głównego pliku z raportem. Istnieje możliwość, aby w jednym katalogu współistniało kilka raportów, każdy o innej nazwie. Domyślnie jednak, jeden katalog = jeden raport, o nazwie "analiza"</t>
  </si>
  <si>
    <t>Nazwa zakładki z etykietami. Podana na wypadek, gdybym chciał np. zmienić język. Domyślnie "etykiety".</t>
  </si>
  <si>
    <t>Potrzebny dla weryfikacji długości pola</t>
  </si>
  <si>
    <t>Nazwa hub-a</t>
  </si>
  <si>
    <t>Hub2.xlsb</t>
  </si>
  <si>
    <t>Grupy ListaZmiennychDab</t>
  </si>
  <si>
    <t>Liczba faktycznie używanych kolumn z grupami zmiennych</t>
  </si>
  <si>
    <t>Błąd w formule liczenia błędu użytkownika</t>
  </si>
  <si>
    <t>Błąd użytkownika</t>
  </si>
  <si>
    <t>!BłądBłędu</t>
  </si>
  <si>
    <t>!Bład użytkownika</t>
  </si>
  <si>
    <t>Pole, od którego zależy dane pole nie może być policzone, bo nie otwarto odpowiedniego skoroszytu</t>
  </si>
  <si>
    <t>Czy błąd z powodu zależności od nieotwartego workbooka?</t>
  </si>
  <si>
    <t>Nr błędu referencji</t>
  </si>
  <si>
    <t>Arkusz definiujący nazwane pola w arkuszu wraz ze śledzeniem ich zależności i błędów</t>
  </si>
  <si>
    <t>W podanym zakresie są komórki, które mają błąd</t>
  </si>
  <si>
    <t>max wierszy</t>
  </si>
  <si>
    <t>max kolumn</t>
  </si>
  <si>
    <t>Katalog identyfikujący pracę</t>
  </si>
  <si>
    <t>Etykiety NapisyUI</t>
  </si>
  <si>
    <t>Tylko po to, aby móc sprawdzać liczbę podpowiedzi w zakładce Etykiety</t>
  </si>
  <si>
    <t>Etykiety Tresc</t>
  </si>
  <si>
    <t>Zawartość zakładki etykiety</t>
  </si>
  <si>
    <t>nazwa krótka dla R</t>
  </si>
  <si>
    <t>Ster DlugaNazwaBazyDanych</t>
  </si>
  <si>
    <t>Ładna i długa nazwa bazy danych. Np. "Baza danych do pracy mgr. pani J. Kowalskiej"</t>
  </si>
  <si>
    <t>Ster NazwaBazyDanychWR</t>
  </si>
  <si>
    <t>Nazwa bazy danych w przestrzeni nazw R. Ma znaczenie, gdyż R pozwala na otwarcie kilku baz danych, ale w odróżnieniu od SPSS nie może być dwóch baz danych o tej samej nazwie, a nazwa pliku nie określa nazwy bazy danych (dataframe)</t>
  </si>
  <si>
    <t>Rodzaj gramatyczny nazwy grupy</t>
  </si>
  <si>
    <t>Grupy NazwyRodzaj</t>
  </si>
  <si>
    <t>Ster NazwaArkuszaDanych</t>
  </si>
  <si>
    <t>zakres etykietwartości</t>
  </si>
  <si>
    <t>zakres etykietetykiet</t>
  </si>
  <si>
    <t>Zmienne ZakresEtykietEtykiet</t>
  </si>
  <si>
    <t>Zmienne ZakresEtykietWartosci</t>
  </si>
  <si>
    <t>Pierwszy wiersz</t>
  </si>
  <si>
    <t>Wiersz z nazwami kolumn</t>
  </si>
  <si>
    <t>Ostatnia kolumna</t>
  </si>
  <si>
    <t>OpisBledu</t>
  </si>
  <si>
    <t>NazwaLokalna</t>
  </si>
  <si>
    <t>NazwaEksportowana</t>
  </si>
  <si>
    <t>NazwaLadna</t>
  </si>
  <si>
    <t>ImportowanyWorkbookName</t>
  </si>
  <si>
    <t>ImportowanePole</t>
  </si>
  <si>
    <t>IleWierszy</t>
  </si>
  <si>
    <t>IleKolumn</t>
  </si>
  <si>
    <t>MaxWierszy</t>
  </si>
  <si>
    <t>MaxKolumn</t>
  </si>
  <si>
    <t>KierunekKopiowania</t>
  </si>
  <si>
    <t>ZakresDocelowy</t>
  </si>
  <si>
    <t>KodBledu</t>
  </si>
  <si>
    <t>PierwszaZaleznosc</t>
  </si>
  <si>
    <t>ReadWrite</t>
  </si>
  <si>
    <t>Zdefiniowana po to, aby prawidłowo propagować zakładkę "zmienne"</t>
  </si>
  <si>
    <t>Po to, aby było można mieć również dostęp do zapisu do całości</t>
  </si>
  <si>
    <t>MaxWierszEtykiet</t>
  </si>
  <si>
    <t>Czy OK?</t>
  </si>
  <si>
    <t>Nazwa błędu</t>
  </si>
  <si>
    <t>Pozycja błędu</t>
  </si>
  <si>
    <t>Treść błędu</t>
  </si>
  <si>
    <t>Nazwa zmiennej</t>
  </si>
  <si>
    <t>Czy nie zawracać sobie głowy jakimikolwiek błędami związanymi z tym polem? (Przydatne np. dla błędów importu, kiedy możemy sobie bez importu poradzić) Domyślnie - nie zawracać sobie głowy</t>
  </si>
  <si>
    <t>Czy ignorować błędy wewnątrz zakresu</t>
  </si>
  <si>
    <t>Czy zawracać sobie głowę błędami?</t>
  </si>
  <si>
    <t>Czy błąd?</t>
  </si>
  <si>
    <t>ster!a1</t>
  </si>
  <si>
    <t>Zakres z kodami błędów</t>
  </si>
  <si>
    <t>Nazwa zbioru danych (długa, specyficzna)</t>
  </si>
  <si>
    <t>Min teoretyczny</t>
  </si>
  <si>
    <t>Max teoretyczny</t>
  </si>
  <si>
    <t>Czy ma być dyskretna?</t>
  </si>
  <si>
    <t>Zmienne CzyDyskretna</t>
  </si>
  <si>
    <t>Zmienne UstawDyskretna</t>
  </si>
  <si>
    <t>Ile wartości niecałkowitych?</t>
  </si>
  <si>
    <t>Typ niecałkowitości (1 - wszystko całkowite, 2 - poniżej 5% niecałkowitych, 3 - powyżej 5% niecałkowitych)</t>
  </si>
  <si>
    <t>Rodzaj wartości niecałkowitych</t>
  </si>
  <si>
    <t>Zmienne CzyCalkowite</t>
  </si>
  <si>
    <t>Typ błędu danych (0 - brak błędu, 1 - błąd min/max, 2 - niedyskretne)</t>
  </si>
  <si>
    <t>Zmienne TypBłęduWartości</t>
  </si>
  <si>
    <t>Label count</t>
  </si>
  <si>
    <t>Arkusz zmiennych</t>
  </si>
  <si>
    <t>Maks. zakres wartości etykiet</t>
  </si>
  <si>
    <t>10.0.2.2</t>
  </si>
  <si>
    <t>Port serwera</t>
  </si>
  <si>
    <t>Adres IP serwera</t>
  </si>
  <si>
    <t>labels</t>
  </si>
  <si>
    <t>data_frame</t>
  </si>
  <si>
    <t>variables</t>
  </si>
  <si>
    <t>Measurement scale: S - character (string), D - binary (dychotomous), N - nominal, O - ordinal, I - interval (numeric)</t>
  </si>
  <si>
    <t>How many numbers</t>
  </si>
  <si>
    <t>How many numbers (%)</t>
  </si>
  <si>
    <t>Unit</t>
  </si>
  <si>
    <t>Jaka nazwa adres?</t>
  </si>
  <si>
    <t>adres</t>
  </si>
  <si>
    <t>address</t>
  </si>
  <si>
    <t>adresse</t>
  </si>
  <si>
    <t>endereço</t>
  </si>
  <si>
    <t>PT</t>
  </si>
  <si>
    <t>DIRECCIÓN</t>
  </si>
  <si>
    <t>ES</t>
  </si>
  <si>
    <t>adress</t>
  </si>
  <si>
    <t>SE</t>
  </si>
  <si>
    <t>odkaz</t>
  </si>
  <si>
    <t>CS</t>
  </si>
  <si>
    <t>PL,NL</t>
  </si>
  <si>
    <t>osoite</t>
  </si>
  <si>
    <t>FI</t>
  </si>
  <si>
    <t>cím</t>
  </si>
  <si>
    <t>HU</t>
  </si>
  <si>
    <t>indirizzo</t>
  </si>
  <si>
    <t>IT</t>
  </si>
  <si>
    <t>GE,DK,NO</t>
  </si>
  <si>
    <t>Zakres grup zmiennych</t>
  </si>
  <si>
    <t>Prefiks katalogu zapisywania na R</t>
  </si>
  <si>
    <t>/home/Adama-docs/Adam/MyDocs/Statystyka/Aktywne analizy</t>
  </si>
  <si>
    <t>DBLongName</t>
  </si>
  <si>
    <t>RObjName</t>
  </si>
  <si>
    <t>SubcustomerFolder</t>
  </si>
  <si>
    <t>Name of range</t>
  </si>
  <si>
    <t>Value</t>
  </si>
  <si>
    <t>VariableGroupNames</t>
  </si>
  <si>
    <t>Sheet</t>
  </si>
  <si>
    <t>Row</t>
  </si>
  <si>
    <t>Column</t>
  </si>
  <si>
    <t>DataOrigin</t>
  </si>
  <si>
    <t>LabelOrigin</t>
  </si>
  <si>
    <t>Measure</t>
  </si>
  <si>
    <t>Units</t>
  </si>
  <si>
    <t>VariableGroupsColumn</t>
  </si>
  <si>
    <t>Cell</t>
  </si>
  <si>
    <t>Start</t>
  </si>
  <si>
    <t>End</t>
  </si>
  <si>
    <t>CustomerFolder</t>
  </si>
  <si>
    <t>Definitions of group names</t>
  </si>
  <si>
    <t>Table with properties of each variable</t>
  </si>
  <si>
    <t>04 19XII2016</t>
  </si>
  <si>
    <t>Mamede</t>
  </si>
  <si>
    <t>NA</t>
  </si>
  <si>
    <t>How many strings</t>
  </si>
  <si>
    <t>dfall</t>
  </si>
  <si>
    <t>NF</t>
  </si>
  <si>
    <t>NA count</t>
  </si>
  <si>
    <t>Czy zmienna jest wyliczana?</t>
  </si>
  <si>
    <t>Czy zmienna istnieje?</t>
  </si>
  <si>
    <t>Label total count</t>
  </si>
  <si>
    <t>Error</t>
  </si>
  <si>
    <t>Nazwa długa</t>
  </si>
  <si>
    <t>Zakres wartości all</t>
  </si>
  <si>
    <t>Zakres lp</t>
  </si>
  <si>
    <t>How many labelled missings entered</t>
  </si>
  <si>
    <t>How many empty missings entered</t>
  </si>
  <si>
    <t>How many error missings entered</t>
  </si>
  <si>
    <t>How many integers?</t>
  </si>
  <si>
    <t>wiersze z powtórzonymi wartościami nazwy spss</t>
  </si>
  <si>
    <t>Błąd nazwy SPSS (0 = ok.)</t>
  </si>
  <si>
    <t>Wiersze z wartością poniżej min teor</t>
  </si>
  <si>
    <t>Wiersze z wartością powyżej max teor</t>
  </si>
  <si>
    <t>Wiersze z wartościami spoza etykiet</t>
  </si>
  <si>
    <t>Wiersze z błędami</t>
  </si>
  <si>
    <t>Wiersze niedyskretne</t>
  </si>
  <si>
    <t>Czy wszystkie wartości muszą być etykietami</t>
  </si>
  <si>
    <t>Raport1</t>
  </si>
  <si>
    <t>Raport2</t>
  </si>
  <si>
    <t>x</t>
  </si>
  <si>
    <t>Raport3</t>
  </si>
  <si>
    <t>Raport 4</t>
  </si>
  <si>
    <t>Raport 5</t>
  </si>
  <si>
    <t>Raport 6</t>
  </si>
  <si>
    <t>Raport 7</t>
  </si>
  <si>
    <t>Raport 8</t>
  </si>
  <si>
    <t>Raport 9</t>
  </si>
  <si>
    <t>Any raport</t>
  </si>
  <si>
    <t>Czy typ zmiennej liczbowy (95% wartości nie-pustych to liczby)</t>
  </si>
  <si>
    <t>How many entered total, excl errors</t>
  </si>
  <si>
    <t>Czy etykiety są liczbami naturalnymi</t>
  </si>
  <si>
    <t>Zakres z liczbami naturalnymi</t>
  </si>
  <si>
    <t>Czy klasa factor?</t>
  </si>
  <si>
    <t>Czy klasa labelled</t>
  </si>
  <si>
    <t>Czy klasa numeric</t>
  </si>
  <si>
    <t>Czy klasa integer</t>
  </si>
  <si>
    <t>Czy klasa string</t>
  </si>
  <si>
    <t>Czy klasa empty</t>
  </si>
  <si>
    <t>Ostatecznie klasa</t>
  </si>
  <si>
    <t>Czy klasa jest jednoznaczna</t>
  </si>
  <si>
    <t>Czy ma być datą?</t>
  </si>
  <si>
    <t>Typ przechowywanej informacji (tekst, liczba, data)</t>
  </si>
  <si>
    <t>Character</t>
  </si>
  <si>
    <t>Numeric</t>
  </si>
  <si>
    <t>Date</t>
  </si>
  <si>
    <t>Czy ma być tekstem?</t>
  </si>
  <si>
    <t>Czy ma być liczbą?</t>
  </si>
  <si>
    <t>Wiersze z wartościami tekstowymi w zmiennej koniecznie nie-tekstowej</t>
  </si>
  <si>
    <t>Czy próbować automatyzować klasę?</t>
  </si>
  <si>
    <t>Czy dopuszczać do duplikatów etykiet zmiennych?</t>
  </si>
  <si>
    <t>Czy integer</t>
  </si>
  <si>
    <t>Czy number</t>
  </si>
  <si>
    <t>Czy zaznaczać niecałkowite wartości?</t>
  </si>
  <si>
    <t>Zakres etykiet</t>
  </si>
  <si>
    <t>VariableClass</t>
  </si>
  <si>
    <t>IntendedVariableClass</t>
  </si>
  <si>
    <t>Czy ograniczyć do etykiet?</t>
  </si>
  <si>
    <t>Czy wymusić wartości tylko z etykiet</t>
  </si>
  <si>
    <t>Klasa zmiennej "E"=Error, "0"=Empty, "F"=Factor, "L"=Labelled,"I"=Integer, "N"=Numeric, "S"=String, "D"=Date</t>
  </si>
  <si>
    <t>Ordered?</t>
  </si>
  <si>
    <t>Czy ordered?</t>
  </si>
  <si>
    <t>Row nr</t>
  </si>
  <si>
    <t>Interval?</t>
  </si>
  <si>
    <t>Intencja miary ("N";"O";"I";"D")</t>
  </si>
  <si>
    <t>Czy interval</t>
  </si>
  <si>
    <t>No</t>
  </si>
  <si>
    <t>Yes</t>
  </si>
  <si>
    <t>Czy zmienna ma błąd</t>
  </si>
  <si>
    <t>Measurement type</t>
  </si>
  <si>
    <t>OnlyLabelledValues</t>
  </si>
  <si>
    <t>TheoreticalMin</t>
  </si>
  <si>
    <t>TheoreticalMax</t>
  </si>
  <si>
    <t>ForceInteger</t>
  </si>
  <si>
    <t>Czy sprawdzać błędy?</t>
  </si>
  <si>
    <t>.validation</t>
  </si>
  <si>
    <t>Zakres wartości błędów</t>
  </si>
  <si>
    <t>Raport 10</t>
  </si>
  <si>
    <t>Etykieta błędu</t>
  </si>
  <si>
    <t>IsUserValidationEntered</t>
  </si>
  <si>
    <t>Czy sprawdzać błędy2?</t>
  </si>
  <si>
    <t>Zakres wartości błędów2</t>
  </si>
  <si>
    <t>Etykieta błędu2</t>
  </si>
  <si>
    <t>Wiersze z błędem użytkownika1</t>
  </si>
  <si>
    <t>Wiersze z błędem użytkownika2</t>
  </si>
  <si>
    <t>Raport 11</t>
  </si>
  <si>
    <t>IsUserValidationEntered2</t>
  </si>
  <si>
    <t>Ile etykiet (nie NA)</t>
  </si>
  <si>
    <t>Raport 12</t>
  </si>
  <si>
    <t>Explanation 9</t>
  </si>
  <si>
    <t>Explanation 5 &amp; 6</t>
  </si>
  <si>
    <t>Custom 1</t>
  </si>
  <si>
    <t>Custom 2</t>
  </si>
  <si>
    <t>extra rule?</t>
  </si>
  <si>
    <t>Variable name</t>
  </si>
  <si>
    <t>Required</t>
  </si>
  <si>
    <t>Is required</t>
  </si>
  <si>
    <t>Wiersze z missings dla pól required</t>
  </si>
  <si>
    <t>Raport 13</t>
  </si>
  <si>
    <t>CaseNames</t>
  </si>
  <si>
    <t>Discrete</t>
  </si>
  <si>
    <t>Maksymalny numer niepustego respondenta w bazie danych</t>
  </si>
  <si>
    <t>Liczba etykiet nie określających braków</t>
  </si>
  <si>
    <t>Zmienne IleLabelledMissings</t>
  </si>
  <si>
    <t>Liczba etykiet określających braków</t>
  </si>
  <si>
    <t>Variable Lp</t>
  </si>
  <si>
    <t>Variable nr</t>
  </si>
  <si>
    <t>Validation rule</t>
  </si>
  <si>
    <t>Results</t>
  </si>
  <si>
    <t>Version</t>
  </si>
  <si>
    <t>Zmienna tekstowa</t>
  </si>
  <si>
    <t>Zmienna liczbowa z brakami</t>
  </si>
  <si>
    <t>Zmienna liczbowa bez braków</t>
  </si>
  <si>
    <t>Faktor z brakami</t>
  </si>
  <si>
    <t>Zmienna chyba numeric</t>
  </si>
  <si>
    <t>Faktor bez braków</t>
  </si>
  <si>
    <t>powtórzona nazwa</t>
  </si>
  <si>
    <t>Zmienna z max i min teor</t>
  </si>
  <si>
    <t>Faktor bez braków, ale z wartościami spoza zakresu</t>
  </si>
  <si>
    <t>Zmienna ciągła, ale dyskretna</t>
  </si>
  <si>
    <t>Taka moja data</t>
  </si>
  <si>
    <t>dwupoziomowa</t>
  </si>
  <si>
    <t>dwupoziomowa2</t>
  </si>
  <si>
    <t>Zmienna liczbowa bez braków ale z NA</t>
  </si>
  <si>
    <t>lp</t>
  </si>
  <si>
    <t>txt</t>
  </si>
  <si>
    <t>num1</t>
  </si>
  <si>
    <t>num2</t>
  </si>
  <si>
    <t>fac1</t>
  </si>
  <si>
    <t>fac2</t>
  </si>
  <si>
    <t>fac3</t>
  </si>
  <si>
    <t>num1_fix</t>
  </si>
  <si>
    <t>num1_fix2</t>
  </si>
  <si>
    <t>num_maxmin</t>
  </si>
  <si>
    <t>numdiscr</t>
  </si>
  <si>
    <t>dat1</t>
  </si>
  <si>
    <t>dat2</t>
  </si>
  <si>
    <t>dobule</t>
  </si>
  <si>
    <t>dobule2</t>
  </si>
  <si>
    <t>num4</t>
  </si>
  <si>
    <t>WAW1</t>
  </si>
  <si>
    <t>ala</t>
  </si>
  <si>
    <t>WAW2</t>
  </si>
  <si>
    <t>mama</t>
  </si>
  <si>
    <t>WAW3</t>
  </si>
  <si>
    <t>gosia</t>
  </si>
  <si>
    <t>nas</t>
  </si>
  <si>
    <t>JAN1</t>
  </si>
  <si>
    <t>kasia</t>
  </si>
  <si>
    <t>JAN2</t>
  </si>
  <si>
    <t>puste1</t>
  </si>
  <si>
    <t>ND</t>
  </si>
  <si>
    <t xml:space="preserve"> ND</t>
  </si>
  <si>
    <t>VIE1</t>
  </si>
  <si>
    <t>mikolaj</t>
  </si>
  <si>
    <t>LAB1</t>
  </si>
  <si>
    <t>tata</t>
  </si>
  <si>
    <t>LAB2</t>
  </si>
  <si>
    <t>LAB3</t>
  </si>
  <si>
    <t>brak</t>
  </si>
  <si>
    <t>Brak NA</t>
  </si>
  <si>
    <t>Poziom 1</t>
  </si>
  <si>
    <t>Brak NF</t>
  </si>
  <si>
    <t>Poziom 2</t>
  </si>
  <si>
    <t>Poziom 3</t>
  </si>
  <si>
    <t>Poziom 4</t>
  </si>
  <si>
    <t>Brak ND</t>
  </si>
  <si>
    <t>Poziom z dziurą</t>
  </si>
  <si>
    <t/>
  </si>
  <si>
    <t>Zmienna required</t>
  </si>
  <si>
    <t>required1</t>
  </si>
  <si>
    <t>My new variable</t>
  </si>
  <si>
    <t>new_var</t>
  </si>
  <si>
    <t>Zmienna z walidacją</t>
  </si>
  <si>
    <t>validacja1</t>
  </si>
  <si>
    <t>Must be odd</t>
  </si>
  <si>
    <t>Intencja klasy zmiennej (0-pusta, Factor, Labelled, Integer, Numeric, Date, String)</t>
  </si>
</sst>
</file>

<file path=xl/styles.xml><?xml version="1.0" encoding="utf-8"?>
<styleSheet xmlns="http://schemas.openxmlformats.org/spreadsheetml/2006/main">
  <numFmts count="2">
    <numFmt numFmtId="43" formatCode="_-* #,##0.00\ _z_ł_-;\-* #,##0.00\ _z_ł_-;_-* &quot;-&quot;??\ _z_ł_-;_-@_-"/>
    <numFmt numFmtId="164" formatCode="0.0%"/>
  </numFmts>
  <fonts count="11">
    <font>
      <sz val="10"/>
      <name val="Arial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0"/>
      <name val="Arial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4">
    <xf numFmtId="0" fontId="0" fillId="0" borderId="0"/>
    <xf numFmtId="43" fontId="9" fillId="0" borderId="0" applyFont="0" applyFill="0" applyBorder="0" applyAlignment="0" applyProtection="0"/>
    <xf numFmtId="0" fontId="1" fillId="0" borderId="0"/>
    <xf numFmtId="0" fontId="1" fillId="0" borderId="0"/>
  </cellStyleXfs>
  <cellXfs count="35">
    <xf numFmtId="0" fontId="0" fillId="0" borderId="0" xfId="0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Fill="1"/>
    <xf numFmtId="0" fontId="6" fillId="2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 applyFill="1"/>
    <xf numFmtId="0" fontId="6" fillId="4" borderId="0" xfId="0" applyFont="1" applyFill="1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NumberFormat="1" applyFont="1"/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1" xfId="0" applyFont="1" applyBorder="1"/>
    <xf numFmtId="0" fontId="1" fillId="0" borderId="0" xfId="0" applyFont="1" applyBorder="1"/>
    <xf numFmtId="0" fontId="1" fillId="0" borderId="0" xfId="1" applyNumberFormat="1" applyFont="1"/>
    <xf numFmtId="0" fontId="0" fillId="0" borderId="0" xfId="1" applyNumberFormat="1" applyFont="1"/>
    <xf numFmtId="0" fontId="1" fillId="4" borderId="0" xfId="0" applyFont="1" applyFill="1"/>
    <xf numFmtId="0" fontId="1" fillId="2" borderId="0" xfId="0" applyFont="1" applyFill="1"/>
    <xf numFmtId="0" fontId="10" fillId="0" borderId="0" xfId="0" applyFont="1"/>
    <xf numFmtId="0" fontId="6" fillId="0" borderId="0" xfId="0" applyFont="1" applyAlignment="1">
      <alignment horizontal="right"/>
    </xf>
    <xf numFmtId="0" fontId="1" fillId="0" borderId="0" xfId="2" applyFont="1"/>
    <xf numFmtId="0" fontId="0" fillId="4" borderId="0" xfId="0" applyFill="1"/>
    <xf numFmtId="0" fontId="0" fillId="0" borderId="0" xfId="0" applyNumberFormat="1" applyFill="1"/>
    <xf numFmtId="0" fontId="1" fillId="0" borderId="0" xfId="0" applyNumberFormat="1" applyFont="1" applyFill="1"/>
    <xf numFmtId="0" fontId="6" fillId="5" borderId="0" xfId="0" applyFont="1" applyFill="1"/>
    <xf numFmtId="14" fontId="6" fillId="0" borderId="0" xfId="0" applyNumberFormat="1" applyFont="1"/>
  </cellXfs>
  <cellStyles count="4">
    <cellStyle name="Dziesiętny" xfId="1" builtinId="3"/>
    <cellStyle name="Normalny" xfId="0" builtinId="0"/>
    <cellStyle name="Normalny 3" xfId="3"/>
    <cellStyle name="Normalny_Arkusz1" xfId="2"/>
  </cellStyles>
  <dxfs count="121"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ill>
        <patternFill>
          <bgColor rgb="FFFF00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33CC33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fill>
        <patternFill>
          <bgColor rgb="FFE8E8E8"/>
        </patternFill>
      </fill>
    </dxf>
    <dxf>
      <font>
        <b/>
        <i val="0"/>
      </font>
      <fill>
        <patternFill>
          <bgColor rgb="FFFF0066"/>
        </patternFill>
      </fill>
    </dxf>
    <dxf>
      <font>
        <b val="0"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rgb="FF00CC66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993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66"/>
        </patternFill>
      </fill>
    </dxf>
    <dxf>
      <font>
        <b val="0"/>
        <i val="0"/>
        <color theme="4" tint="0.59996337778862885"/>
      </font>
      <fill>
        <patternFill>
          <bgColor rgb="FFF0F8FA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00FF"/>
      <color rgb="FFFFFFCC"/>
      <color rgb="FFEAEAEA"/>
      <color rgb="FFFFFDD1"/>
      <color rgb="FFCCFFCC"/>
      <color rgb="FFCC0000"/>
      <color rgb="FFCC6600"/>
      <color rgb="FFFFFF99"/>
      <color rgb="FFF8F8F8"/>
      <color rgb="FFFF99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2"/>
  <dimension ref="A1:DV97"/>
  <sheetViews>
    <sheetView workbookViewId="0">
      <selection activeCell="K34" sqref="K34"/>
    </sheetView>
  </sheetViews>
  <sheetFormatPr defaultRowHeight="12.75"/>
  <cols>
    <col min="1" max="1" width="3.140625" style="15" customWidth="1"/>
    <col min="2" max="2" width="5.42578125" style="15" customWidth="1"/>
    <col min="3" max="3" width="23.5703125" style="15" customWidth="1"/>
    <col min="4" max="4" width="2.85546875" style="15" customWidth="1"/>
    <col min="5" max="5" width="21.28515625" style="15" customWidth="1"/>
    <col min="6" max="6" width="2.85546875" style="15" customWidth="1"/>
    <col min="7" max="7" width="4.28515625" style="15" customWidth="1"/>
    <col min="8" max="9" width="9.140625" style="15"/>
    <col min="10" max="10" width="11.85546875" style="19" customWidth="1"/>
    <col min="11" max="11" width="5.5703125" style="15" customWidth="1"/>
    <col min="12" max="12" width="4.7109375" style="15" customWidth="1"/>
    <col min="13" max="13" width="4.7109375" style="14" customWidth="1"/>
    <col min="14" max="15" width="4.7109375" style="15" customWidth="1"/>
    <col min="16" max="19" width="2.5703125" style="15" customWidth="1"/>
    <col min="20" max="20" width="11" style="15" customWidth="1"/>
    <col min="21" max="21" width="2.7109375" style="15" customWidth="1"/>
    <col min="22" max="29" width="16.140625" style="15" customWidth="1"/>
    <col min="30" max="32" width="9.140625" style="15"/>
    <col min="33" max="33" width="9.140625" style="16"/>
    <col min="34" max="34" width="10.28515625" style="15" customWidth="1"/>
    <col min="35" max="35" width="10.28515625" style="16" customWidth="1"/>
    <col min="36" max="42" width="10.28515625" style="15" customWidth="1"/>
    <col min="43" max="43" width="10.28515625" style="27" customWidth="1"/>
    <col min="44" max="44" width="10.28515625" style="15" customWidth="1"/>
    <col min="45" max="51" width="10.28515625" style="27" customWidth="1"/>
    <col min="52" max="54" width="10.28515625" style="16" customWidth="1"/>
    <col min="55" max="55" width="26" style="16" customWidth="1"/>
    <col min="56" max="57" width="10.28515625" style="16" customWidth="1"/>
    <col min="58" max="60" width="10.28515625" style="15" customWidth="1"/>
    <col min="61" max="67" width="9.140625" style="15"/>
    <col min="68" max="69" width="9.28515625" style="15" bestFit="1" customWidth="1"/>
    <col min="70" max="75" width="9.140625" style="15"/>
    <col min="76" max="76" width="10.28515625" style="15" customWidth="1"/>
    <col min="77" max="77" width="9.140625" style="15"/>
    <col min="78" max="79" width="10.28515625" style="15" customWidth="1"/>
    <col min="80" max="84" width="10.28515625" style="16" customWidth="1"/>
    <col min="85" max="85" width="9.140625" style="15"/>
    <col min="86" max="88" width="10.28515625" style="15" customWidth="1"/>
    <col min="89" max="95" width="9.140625" style="15"/>
    <col min="96" max="96" width="9.140625" style="21"/>
    <col min="97" max="103" width="9.140625" style="22"/>
    <col min="104" max="104" width="9.140625" style="21"/>
    <col min="105" max="114" width="9.140625" style="22"/>
    <col min="115" max="16384" width="9.140625" style="15"/>
  </cols>
  <sheetData>
    <row r="1" spans="1:126">
      <c r="A1" s="15" t="s">
        <v>215</v>
      </c>
      <c r="B1" s="15" t="s">
        <v>37</v>
      </c>
      <c r="C1" s="15" t="s">
        <v>38</v>
      </c>
      <c r="D1" s="15" t="s">
        <v>236</v>
      </c>
      <c r="E1" s="15" t="s">
        <v>237</v>
      </c>
      <c r="F1" s="15" t="s">
        <v>238</v>
      </c>
      <c r="G1" s="15" t="s">
        <v>39</v>
      </c>
      <c r="H1" s="15" t="s">
        <v>27</v>
      </c>
      <c r="I1" s="16" t="s">
        <v>139</v>
      </c>
      <c r="J1" s="28" t="s">
        <v>140</v>
      </c>
      <c r="K1" s="16" t="s">
        <v>141</v>
      </c>
      <c r="L1" s="16" t="s">
        <v>142</v>
      </c>
      <c r="M1" s="16"/>
      <c r="N1" s="16"/>
      <c r="O1" s="16" t="s">
        <v>138</v>
      </c>
      <c r="P1" s="16"/>
      <c r="Q1" s="16"/>
      <c r="R1" s="16"/>
      <c r="S1" s="16" t="s">
        <v>138</v>
      </c>
      <c r="T1" s="15" t="s">
        <v>143</v>
      </c>
      <c r="U1" s="15" t="s">
        <v>143</v>
      </c>
      <c r="V1" s="15" t="s">
        <v>257</v>
      </c>
      <c r="W1" s="15" t="s">
        <v>258</v>
      </c>
      <c r="X1" s="15" t="s">
        <v>293</v>
      </c>
      <c r="AK1" s="27"/>
    </row>
    <row r="2" spans="1:126">
      <c r="B2" s="9" t="s">
        <v>40</v>
      </c>
      <c r="C2" s="15">
        <f t="array" ref="C2">MAX(IF(AD13:AD71,A13:A71,""))</f>
        <v>59</v>
      </c>
      <c r="D2" s="15">
        <f>ROW(A13)</f>
        <v>13</v>
      </c>
      <c r="E2" s="15">
        <f>ROW(C11)</f>
        <v>11</v>
      </c>
      <c r="F2" s="15">
        <f>COLUMN(DV13)+20</f>
        <v>146</v>
      </c>
      <c r="G2" s="15" t="str">
        <f>B2</f>
        <v>NewZal</v>
      </c>
      <c r="H2" s="15" t="str">
        <f ca="1">SUBSTITUTE(MID(O2,I2+1,J2-I2-1),"''","'")</f>
        <v>dane surowe2d.xlsm</v>
      </c>
      <c r="I2" s="14">
        <f ca="1">FIND("[",O2)</f>
        <v>2</v>
      </c>
      <c r="J2" s="20">
        <f ca="1">FIND("]",O2)</f>
        <v>21</v>
      </c>
      <c r="K2" s="14" t="b">
        <f ca="1">MID(O2,1,1)="'"</f>
        <v>1</v>
      </c>
      <c r="L2" s="15" t="s">
        <v>266</v>
      </c>
      <c r="M2" s="15"/>
      <c r="O2" s="14" t="str">
        <f ca="1">CELL(_CELL_ADDRESS_NAME,INDIRECT(L2))</f>
        <v>'[dane surowe2d.xlsm]ster'!$A$1</v>
      </c>
      <c r="P2" s="14"/>
      <c r="Q2" s="14"/>
      <c r="R2" s="14"/>
      <c r="S2" s="14" t="b">
        <f ca="1">NOT(ISERROR(FIND("[",O2)))</f>
        <v>1</v>
      </c>
      <c r="T2" s="15" t="str">
        <f ca="1">IF(K2,MID(U2,2,LEN(U2)),U2)</f>
        <v>[dane surowe2d.xlsm]</v>
      </c>
      <c r="U2" s="15" t="str">
        <f ca="1">MID(O2,1,J2)</f>
        <v>'[dane surowe2d.xlsm]</v>
      </c>
      <c r="V2" s="15" t="e">
        <f ca="1">NOT(BQ5)</f>
        <v>#REF!</v>
      </c>
      <c r="W2" s="15" t="e">
        <f ca="1">BR7</f>
        <v>#REF!</v>
      </c>
      <c r="X2" s="15" t="s">
        <v>295</v>
      </c>
      <c r="Y2" s="15" t="s">
        <v>295</v>
      </c>
      <c r="Z2" s="15" t="s">
        <v>305</v>
      </c>
      <c r="AK2" s="27"/>
    </row>
    <row r="3" spans="1:126">
      <c r="C3" s="15" t="s">
        <v>19</v>
      </c>
      <c r="L3" s="15" t="b">
        <f ca="1">IF(ISERROR(INDIRECT($L$2)),"Odwołanie do testowania NIE ISTNIEJE")</f>
        <v>0</v>
      </c>
      <c r="M3" s="15"/>
      <c r="X3" s="15" t="b">
        <f ca="1">NOT(ISERR(CELL(Y3,wew!$A$1)))</f>
        <v>1</v>
      </c>
      <c r="Y3" s="15" t="s">
        <v>294</v>
      </c>
      <c r="Z3" s="15" t="s">
        <v>305</v>
      </c>
      <c r="AK3" s="27"/>
    </row>
    <row r="4" spans="1:126">
      <c r="C4" s="15" t="str">
        <f>ADDRESS(ROW(C12)+1,COLUMN(C12),4,,$B$2) &amp; ":" &amp; ADDRESS(ROW(C12)+$C$2,COLUMN(C12),4)</f>
        <v>NewZal!C13:C71</v>
      </c>
      <c r="D4" s="15" t="str">
        <f ca="1">ADDRESS(ROW(D12)+1,COLUMN(D12),4,,$T$2 &amp; $G$2) &amp; ":" &amp; ADDRESS(ROW(D12)+$C$2,COLUMN(D12),4)</f>
        <v>'[dane surowe2d.xlsm]NewZal'!D13:D71</v>
      </c>
      <c r="G4" s="15" t="str">
        <f>ADDRESS(ROW(G12)+1,COLUMN(G12),4,,$G$2) &amp; ":" &amp; ADDRESS(ROW(G12)+$C$2,COLUMN(G12),4)</f>
        <v>NewZal!G13:G71</v>
      </c>
      <c r="M4" s="15"/>
      <c r="T4" s="15" t="str">
        <f ca="1">ADDRESS(ROW(T12)+1,COLUMN(T12),4,,$T$2 &amp; $G$2) &amp; ":" &amp; ADDRESS(ROW(T12)+$C$2,COLUMN(T12),4)</f>
        <v>'[dane surowe2d.xlsm]NewZal'!T13:T71</v>
      </c>
      <c r="X4" s="15" t="b">
        <f ca="1">NOT(ISERR(CELL(Y4,wew!$A$1)))</f>
        <v>0</v>
      </c>
      <c r="Y4" s="15" t="s">
        <v>296</v>
      </c>
      <c r="Z4" s="15" t="s">
        <v>312</v>
      </c>
      <c r="AK4" s="27"/>
      <c r="BH4" s="15" t="str">
        <f ca="1">ADDRESS(ROW(BH12)+1,COLUMN(BH12),4,,$T$2 &amp; $G$2) &amp; ":" &amp; ADDRESS(ROW(BH12)+$C$2,COLUMN(BH12),4)</f>
        <v>'[dane surowe2d.xlsm]NewZal'!BH13:BH71</v>
      </c>
      <c r="BK4" s="15" t="str">
        <f ca="1">ADDRESS(ROW(BK12)+1,COLUMN(BK12),4,,$T$2 &amp; $G$2) &amp; ":" &amp; ADDRESS(ROW(BK12)+$C$2,COLUMN(BK12),4)</f>
        <v>'[dane surowe2d.xlsm]NewZal'!BK13:BK71</v>
      </c>
      <c r="BQ4" s="15" t="str">
        <f ca="1">ADDRESS(ROW(BQ12)+1,COLUMN(BQ12),4,,$T$2 &amp; $G$2) &amp; ":" &amp; ADDRESS(ROW(BQ12)+$C$2,COLUMN(BQ12),4)</f>
        <v>'[dane surowe2d.xlsm]NewZal'!BQ13:BQ71</v>
      </c>
      <c r="BS4" s="15" t="str">
        <f ca="1">ADDRESS(ROW(BS12)+1,COLUMN(BS12),4,,$T$2 &amp; $G$2) &amp; ":" &amp; ADDRESS(ROW(BS12)+$C$2,COLUMN(BS12),4)</f>
        <v>'[dane surowe2d.xlsm]NewZal'!BS13:BS71</v>
      </c>
      <c r="BT4" s="15" t="str">
        <f ca="1">ADDRESS(ROW(BT12)+1,COLUMN(BT12),4,,$T$2 &amp; $G$2) &amp; ":" &amp; ADDRESS(ROW(BT12)+$C$2,COLUMN(BT12),4)</f>
        <v>'[dane surowe2d.xlsm]NewZal'!BT13:BT71</v>
      </c>
    </row>
    <row r="5" spans="1:126">
      <c r="M5" s="15"/>
      <c r="X5" s="15" t="b">
        <f ca="1">NOT(ISERR(CELL(Y5,wew!$A$1)))</f>
        <v>0</v>
      </c>
      <c r="Y5" s="15" t="s">
        <v>297</v>
      </c>
      <c r="Z5" s="15" t="s">
        <v>298</v>
      </c>
      <c r="AK5" s="27"/>
      <c r="BQ5" s="15" t="e">
        <f ca="1">OR(INDIRECT(BQ4))</f>
        <v>#REF!</v>
      </c>
    </row>
    <row r="6" spans="1:126">
      <c r="M6" s="15"/>
      <c r="X6" s="15" t="b">
        <f ca="1">NOT(ISERR(CELL(Y6,wew!$A$1)))</f>
        <v>0</v>
      </c>
      <c r="Y6" s="15" t="s">
        <v>299</v>
      </c>
      <c r="Z6" s="15" t="s">
        <v>300</v>
      </c>
      <c r="AK6" s="27"/>
      <c r="BQ6" s="15" t="s">
        <v>259</v>
      </c>
      <c r="BR6" s="15" t="s">
        <v>260</v>
      </c>
    </row>
    <row r="7" spans="1:126">
      <c r="X7" s="15" t="b">
        <f ca="1">NOT(ISERR(CELL(Y7,wew!$A$1)))</f>
        <v>0</v>
      </c>
      <c r="Y7" s="15" t="s">
        <v>301</v>
      </c>
      <c r="Z7" s="15" t="s">
        <v>302</v>
      </c>
      <c r="AK7" s="27"/>
      <c r="BQ7" s="15" t="e">
        <f ca="1">IF(BQ5,MATCH(TRUE,INDIRECT(BQ4),0),"")</f>
        <v>#REF!</v>
      </c>
      <c r="BR7" s="15" t="e">
        <f ca="1">IF(BQ5,H2 &amp; ", " &amp; BQ11 &amp; ": " &amp; BQ9,"")</f>
        <v>#REF!</v>
      </c>
    </row>
    <row r="8" spans="1:126">
      <c r="X8" s="15" t="b">
        <f ca="1">NOT(ISERR(CELL(Y8,wew!$A$1)))</f>
        <v>0</v>
      </c>
      <c r="Y8" s="15" t="s">
        <v>303</v>
      </c>
      <c r="Z8" s="15" t="s">
        <v>304</v>
      </c>
      <c r="BQ8" s="15" t="s">
        <v>258</v>
      </c>
    </row>
    <row r="9" spans="1:126">
      <c r="J9" s="19" t="str">
        <f>ADDRESS(1,1,4,,"A")</f>
        <v>A!A1</v>
      </c>
      <c r="X9" s="15" t="b">
        <f ca="1">NOT(ISERR(CELL(Y9,wew!$A$1)))</f>
        <v>0</v>
      </c>
      <c r="Y9" s="15" t="s">
        <v>306</v>
      </c>
      <c r="Z9" s="15" t="s">
        <v>307</v>
      </c>
      <c r="AK9" s="27"/>
      <c r="BQ9" s="15" t="e">
        <f ca="1">IF(BQ5,INDEX(INDIRECT(BT4),BQ7),"")</f>
        <v>#REF!</v>
      </c>
      <c r="BV9" s="15" t="s">
        <v>44</v>
      </c>
      <c r="BW9" s="15" t="s">
        <v>44</v>
      </c>
      <c r="BX9" s="15" t="s">
        <v>44</v>
      </c>
      <c r="BY9" s="15" t="s">
        <v>44</v>
      </c>
      <c r="BZ9" s="15" t="s">
        <v>44</v>
      </c>
      <c r="CA9" s="15" t="s">
        <v>44</v>
      </c>
      <c r="CB9" s="16" t="s">
        <v>44</v>
      </c>
      <c r="CC9" s="16" t="s">
        <v>44</v>
      </c>
      <c r="CD9" s="16" t="s">
        <v>44</v>
      </c>
      <c r="CF9" s="16" t="s">
        <v>44</v>
      </c>
      <c r="CG9" s="15" t="s">
        <v>44</v>
      </c>
      <c r="CH9" s="15" t="s">
        <v>44</v>
      </c>
      <c r="CI9" s="15" t="s">
        <v>44</v>
      </c>
      <c r="CJ9" s="15" t="s">
        <v>44</v>
      </c>
      <c r="CK9" s="15" t="s">
        <v>44</v>
      </c>
      <c r="CL9" s="15" t="s">
        <v>44</v>
      </c>
      <c r="CM9" s="15" t="s">
        <v>44</v>
      </c>
      <c r="CN9" s="15" t="s">
        <v>44</v>
      </c>
      <c r="CO9" s="15" t="s">
        <v>44</v>
      </c>
      <c r="CP9" s="15" t="s">
        <v>44</v>
      </c>
      <c r="CQ9" s="15" t="s">
        <v>44</v>
      </c>
      <c r="CR9" s="21" t="s">
        <v>44</v>
      </c>
      <c r="CS9" s="22" t="s">
        <v>44</v>
      </c>
    </row>
    <row r="10" spans="1:126">
      <c r="A10" s="15" t="s">
        <v>41</v>
      </c>
      <c r="C10" s="15" t="s">
        <v>42</v>
      </c>
      <c r="H10" s="15" t="s">
        <v>43</v>
      </c>
      <c r="I10" s="15" t="s">
        <v>43</v>
      </c>
      <c r="X10" s="15" t="b">
        <f ca="1">NOT(ISERR(CELL(Y10,wew!$A$1)))</f>
        <v>0</v>
      </c>
      <c r="Y10" s="15" t="s">
        <v>308</v>
      </c>
      <c r="Z10" s="15" t="s">
        <v>309</v>
      </c>
      <c r="AK10" s="27"/>
      <c r="AR10" s="15" t="s">
        <v>45</v>
      </c>
      <c r="BI10" s="15" t="s">
        <v>46</v>
      </c>
      <c r="BQ10" s="15" t="s">
        <v>261</v>
      </c>
      <c r="BU10" s="15" t="s">
        <v>172</v>
      </c>
      <c r="BV10" s="15" t="s">
        <v>47</v>
      </c>
      <c r="BW10" s="15" t="s">
        <v>48</v>
      </c>
      <c r="BX10" s="15" t="s">
        <v>49</v>
      </c>
      <c r="BY10" s="15" t="s">
        <v>50</v>
      </c>
      <c r="BZ10" s="15" t="s">
        <v>155</v>
      </c>
      <c r="CA10" s="15" t="s">
        <v>148</v>
      </c>
      <c r="CB10" s="15" t="s">
        <v>149</v>
      </c>
      <c r="CC10" s="15" t="s">
        <v>163</v>
      </c>
      <c r="CD10" s="15" t="s">
        <v>164</v>
      </c>
      <c r="CE10" s="15" t="s">
        <v>216</v>
      </c>
      <c r="CF10" s="15" t="s">
        <v>165</v>
      </c>
      <c r="CG10" s="15" t="s">
        <v>176</v>
      </c>
      <c r="CH10" s="15" t="s">
        <v>51</v>
      </c>
      <c r="CI10" s="15" t="s">
        <v>208</v>
      </c>
      <c r="CJ10" s="15" t="s">
        <v>209</v>
      </c>
      <c r="CK10" s="15" t="s">
        <v>52</v>
      </c>
      <c r="CL10" s="15" t="s">
        <v>52</v>
      </c>
      <c r="CM10" s="15" t="s">
        <v>52</v>
      </c>
      <c r="CN10" s="15" t="s">
        <v>52</v>
      </c>
      <c r="CO10" s="15" t="s">
        <v>52</v>
      </c>
      <c r="CP10" s="15" t="s">
        <v>52</v>
      </c>
      <c r="CQ10" s="15" t="s">
        <v>52</v>
      </c>
      <c r="CR10" s="21" t="s">
        <v>52</v>
      </c>
      <c r="CS10" s="22" t="s">
        <v>173</v>
      </c>
      <c r="CT10" s="22" t="s">
        <v>173</v>
      </c>
      <c r="CU10" s="22" t="s">
        <v>173</v>
      </c>
      <c r="CV10" s="22" t="s">
        <v>173</v>
      </c>
      <c r="CW10" s="22" t="s">
        <v>173</v>
      </c>
      <c r="CX10" s="22" t="s">
        <v>173</v>
      </c>
      <c r="CY10" s="22" t="s">
        <v>173</v>
      </c>
      <c r="CZ10" s="21" t="s">
        <v>173</v>
      </c>
      <c r="DC10" s="22" t="s">
        <v>212</v>
      </c>
      <c r="DD10" s="22" t="s">
        <v>212</v>
      </c>
      <c r="DE10" s="22" t="s">
        <v>212</v>
      </c>
      <c r="DF10" s="22" t="s">
        <v>212</v>
      </c>
      <c r="DG10" s="22" t="s">
        <v>212</v>
      </c>
      <c r="DH10" s="22" t="s">
        <v>212</v>
      </c>
      <c r="DI10" s="22" t="s">
        <v>212</v>
      </c>
      <c r="DJ10" s="22" t="s">
        <v>212</v>
      </c>
    </row>
    <row r="11" spans="1:126">
      <c r="B11" s="15" t="s">
        <v>239</v>
      </c>
      <c r="C11" s="15" t="s">
        <v>240</v>
      </c>
      <c r="D11" s="15" t="s">
        <v>241</v>
      </c>
      <c r="E11" s="15" t="s">
        <v>242</v>
      </c>
      <c r="F11" s="15" t="s">
        <v>13</v>
      </c>
      <c r="H11" s="15" t="s">
        <v>243</v>
      </c>
      <c r="I11" s="15" t="s">
        <v>244</v>
      </c>
      <c r="K11" s="15" t="s">
        <v>245</v>
      </c>
      <c r="L11" s="15" t="s">
        <v>246</v>
      </c>
      <c r="N11" s="15" t="s">
        <v>247</v>
      </c>
      <c r="O11" s="15" t="s">
        <v>248</v>
      </c>
      <c r="P11" s="15" t="s">
        <v>249</v>
      </c>
      <c r="T11" s="15" t="s">
        <v>250</v>
      </c>
      <c r="U11" s="15" t="s">
        <v>251</v>
      </c>
      <c r="V11" s="15" t="s">
        <v>252</v>
      </c>
      <c r="X11" s="15" t="b">
        <f ca="1">NOT(ISERR(CELL(Y11,wew!$A$1)))</f>
        <v>0</v>
      </c>
      <c r="Y11" s="15" t="s">
        <v>310</v>
      </c>
      <c r="Z11" s="15" t="s">
        <v>311</v>
      </c>
      <c r="AK11" s="27"/>
      <c r="BL11" s="15" t="s">
        <v>253</v>
      </c>
      <c r="BQ11" s="15" t="e">
        <f ca="1">IF(BQ5,INDEX(INDIRECT(C4),BQ7),"")</f>
        <v>#REF!</v>
      </c>
      <c r="DK11" s="22"/>
    </row>
    <row r="12" spans="1:126">
      <c r="A12" s="15" t="s">
        <v>0</v>
      </c>
      <c r="B12" s="15" t="s">
        <v>53</v>
      </c>
      <c r="C12" s="15" t="s">
        <v>54</v>
      </c>
      <c r="D12" s="15" t="s">
        <v>55</v>
      </c>
      <c r="E12" s="15" t="s">
        <v>153</v>
      </c>
      <c r="F12" s="15" t="s">
        <v>13</v>
      </c>
      <c r="G12" s="15" t="s">
        <v>56</v>
      </c>
      <c r="H12" s="15" t="s">
        <v>57</v>
      </c>
      <c r="I12" s="15" t="s">
        <v>58</v>
      </c>
      <c r="J12" s="19" t="s">
        <v>150</v>
      </c>
      <c r="K12" s="15" t="s">
        <v>23</v>
      </c>
      <c r="L12" s="15" t="s">
        <v>24</v>
      </c>
      <c r="M12" s="15" t="s">
        <v>262</v>
      </c>
      <c r="N12" s="15" t="s">
        <v>217</v>
      </c>
      <c r="O12" s="15" t="s">
        <v>218</v>
      </c>
      <c r="P12" s="15" t="s">
        <v>59</v>
      </c>
      <c r="Q12" s="15" t="s">
        <v>159</v>
      </c>
      <c r="R12" s="15" t="s">
        <v>263</v>
      </c>
      <c r="S12" s="15" t="s">
        <v>154</v>
      </c>
      <c r="T12" s="15" t="s">
        <v>60</v>
      </c>
      <c r="U12" s="15" t="s">
        <v>162</v>
      </c>
      <c r="V12" s="15" t="s">
        <v>61</v>
      </c>
      <c r="AD12" s="16" t="s">
        <v>5</v>
      </c>
      <c r="AE12" s="16" t="s">
        <v>62</v>
      </c>
      <c r="AF12" s="15" t="s">
        <v>63</v>
      </c>
      <c r="AG12" s="15" t="s">
        <v>64</v>
      </c>
      <c r="AH12" s="15" t="s">
        <v>65</v>
      </c>
      <c r="AI12" s="15" t="s">
        <v>66</v>
      </c>
      <c r="AJ12" s="15" t="s">
        <v>67</v>
      </c>
      <c r="AK12" s="16" t="s">
        <v>68</v>
      </c>
      <c r="AL12" s="15" t="s">
        <v>69</v>
      </c>
      <c r="AM12" s="15" t="s">
        <v>70</v>
      </c>
      <c r="AN12" s="15" t="s">
        <v>71</v>
      </c>
      <c r="AO12" s="15" t="s">
        <v>267</v>
      </c>
      <c r="AP12" s="15" t="s">
        <v>169</v>
      </c>
      <c r="AQ12" s="16" t="s">
        <v>175</v>
      </c>
      <c r="AR12" s="15" t="s">
        <v>72</v>
      </c>
      <c r="AS12" s="16" t="s">
        <v>138</v>
      </c>
      <c r="AT12" s="16" t="s">
        <v>141</v>
      </c>
      <c r="AU12" s="16" t="s">
        <v>140</v>
      </c>
      <c r="AV12" s="15" t="s">
        <v>144</v>
      </c>
      <c r="AW12" s="15" t="s">
        <v>45</v>
      </c>
      <c r="AX12" s="16" t="s">
        <v>145</v>
      </c>
      <c r="AY12" s="16" t="s">
        <v>147</v>
      </c>
      <c r="AZ12" s="15" t="s">
        <v>73</v>
      </c>
      <c r="BA12" s="15" t="s">
        <v>74</v>
      </c>
      <c r="BB12" s="15" t="s">
        <v>75</v>
      </c>
      <c r="BC12" s="15" t="s">
        <v>151</v>
      </c>
      <c r="BD12" s="15" t="s">
        <v>76</v>
      </c>
      <c r="BE12" s="15" t="s">
        <v>158</v>
      </c>
      <c r="BF12" s="15" t="s">
        <v>77</v>
      </c>
      <c r="BG12" s="15" t="s">
        <v>157</v>
      </c>
      <c r="BH12" s="15" t="s">
        <v>160</v>
      </c>
      <c r="BI12" s="15" t="s">
        <v>71</v>
      </c>
      <c r="BJ12" s="15" t="s">
        <v>78</v>
      </c>
      <c r="BK12" s="15" t="s">
        <v>79</v>
      </c>
      <c r="BL12" s="15" t="s">
        <v>79</v>
      </c>
      <c r="BP12" s="15" t="s">
        <v>264</v>
      </c>
      <c r="BQ12" s="15" t="s">
        <v>265</v>
      </c>
      <c r="BR12" s="15" t="s">
        <v>170</v>
      </c>
      <c r="BS12" s="15" t="s">
        <v>171</v>
      </c>
      <c r="BV12" s="15" t="s">
        <v>80</v>
      </c>
      <c r="BW12" s="15" t="s">
        <v>81</v>
      </c>
      <c r="BX12" s="15" t="s">
        <v>82</v>
      </c>
      <c r="BY12" s="15" t="s">
        <v>83</v>
      </c>
      <c r="BZ12" s="15" t="s">
        <v>156</v>
      </c>
      <c r="CA12" s="15" t="s">
        <v>84</v>
      </c>
      <c r="CB12" s="15" t="s">
        <v>146</v>
      </c>
      <c r="CC12" s="15"/>
      <c r="CD12" s="15"/>
      <c r="CE12" s="15"/>
      <c r="CF12" s="15" t="s">
        <v>168</v>
      </c>
      <c r="CG12" s="15" t="s">
        <v>177</v>
      </c>
      <c r="CH12" s="15" t="s">
        <v>85</v>
      </c>
      <c r="CI12" s="15" t="s">
        <v>210</v>
      </c>
      <c r="CJ12" s="15" t="s">
        <v>211</v>
      </c>
      <c r="CK12" s="15" t="s">
        <v>86</v>
      </c>
      <c r="CL12" s="15" t="s">
        <v>87</v>
      </c>
      <c r="CS12" s="22" t="s">
        <v>174</v>
      </c>
      <c r="CT12" s="22" t="s">
        <v>174</v>
      </c>
      <c r="CU12" s="22" t="s">
        <v>174</v>
      </c>
      <c r="CV12" s="22" t="s">
        <v>174</v>
      </c>
      <c r="CW12" s="22" t="s">
        <v>174</v>
      </c>
      <c r="CX12" s="22" t="s">
        <v>174</v>
      </c>
      <c r="CY12" s="22" t="s">
        <v>174</v>
      </c>
      <c r="CZ12" s="21" t="s">
        <v>174</v>
      </c>
      <c r="DB12" s="22" t="s">
        <v>213</v>
      </c>
      <c r="DK12" s="22"/>
      <c r="DO12" s="15" t="s">
        <v>214</v>
      </c>
      <c r="DP12" s="15" t="s">
        <v>214</v>
      </c>
      <c r="DQ12" s="15" t="s">
        <v>214</v>
      </c>
      <c r="DR12" s="15" t="s">
        <v>214</v>
      </c>
      <c r="DS12" s="15" t="s">
        <v>214</v>
      </c>
      <c r="DT12" s="15" t="s">
        <v>214</v>
      </c>
      <c r="DU12" s="15" t="s">
        <v>214</v>
      </c>
      <c r="DV12" s="15" t="s">
        <v>214</v>
      </c>
    </row>
    <row r="13" spans="1:126">
      <c r="A13" s="15">
        <f>ROW(A12)+1-ROW(A$12)</f>
        <v>1</v>
      </c>
      <c r="B13" s="15" t="str">
        <f t="shared" ref="B13:B22" ca="1" si="0">IF(AD13,IF(BS13&gt;0,BT13,IF(DA13,"Pole zależy od pól, które zależą od zamkniętego workbooka","ok.")),"")</f>
        <v>ok.</v>
      </c>
      <c r="C13" s="15" t="s">
        <v>89</v>
      </c>
      <c r="D13" s="15" t="str">
        <f>IF(C13="","",C13)</f>
        <v>NazwyZmiennych</v>
      </c>
      <c r="G13" s="15" t="s">
        <v>88</v>
      </c>
      <c r="J13" s="19" t="str">
        <f ca="1">CELL(_CELL_ADDRESS_NAME,SPSSNames)</f>
        <v>'[dane surowe2d.xlsm]variables'!$F$2</v>
      </c>
      <c r="K13" s="15">
        <f>VariableCount</f>
        <v>23</v>
      </c>
      <c r="M13" s="19"/>
      <c r="T13" s="15" t="str">
        <f t="shared" ref="T13:T22" ca="1" si="1">BC13</f>
        <v>'[dane surowe2d.xlsm]variables'!$F$2:$F$24</v>
      </c>
      <c r="U13" s="15">
        <f t="shared" ref="U13:U22" ca="1" si="2">IF(AD13,BS13,"")</f>
        <v>0</v>
      </c>
      <c r="V13" s="15" t="s">
        <v>115</v>
      </c>
      <c r="AD13" s="16" t="b">
        <f>C13&lt;&gt;""</f>
        <v>1</v>
      </c>
      <c r="AE13" s="16" t="b">
        <f>AND(I13&lt;&gt;"",H13&lt;&gt;"")</f>
        <v>0</v>
      </c>
      <c r="AF13" s="15" t="str">
        <f t="shared" ref="AF13:AF18" si="3">IF(AE13,"[" &amp; H13 &amp; "]" &amp; $B$2,"")</f>
        <v/>
      </c>
      <c r="AG13" s="15" t="str">
        <f t="shared" ref="AG13:AG68" ca="1" si="4">IF(AND(AE13,NOT(BX13)),INDIRECT(ADDRESS(ROW($D$4),COLUMN($D$4),,,AF13)),"")</f>
        <v/>
      </c>
      <c r="AH13" s="15" t="str">
        <f t="shared" ref="AH13:AH68" ca="1" si="5">IF(AND(AE13,NOT(BX13)),MATCH(I13,INDIRECT(AG13),0),"")</f>
        <v/>
      </c>
      <c r="AI13" s="15" t="b">
        <f t="shared" ref="AI13:AI68" ca="1" si="6">AND(AE13,NOT(BX13),NOT(BY13))</f>
        <v>0</v>
      </c>
      <c r="AJ13" s="15" t="str">
        <f ca="1">IF(AE13,INDIRECT(ADDRESS(ROW($T$4),COLUMN($T$4),,,AF13)),"")</f>
        <v/>
      </c>
      <c r="AK13" s="27" t="str">
        <f ca="1">IF(AE13,INDEX(INDIRECT(AJ13),AH13),"")</f>
        <v/>
      </c>
      <c r="AL13" s="15" t="b">
        <f t="shared" ref="AL13:AL68" ca="1" si="7">AND(AE13,NOT(OR(BX13,BY13)))</f>
        <v>0</v>
      </c>
      <c r="AM13" s="15" t="str">
        <f ca="1">IF(AE13,INDIRECT(ADDRESS(ROW($BK$4),COLUMN($BK$4),,,AF13)),"")</f>
        <v/>
      </c>
      <c r="AN13" s="15">
        <f ca="1">IFERROR(IF(AE13,INDEX(INDIRECT(AM13),AH13),3),3)</f>
        <v>3</v>
      </c>
      <c r="AO13" s="15" t="str">
        <f ca="1">IF(AE13,INDIRECT(ADDRESS(ROW($BS$4),COLUMN($BS$4),,,AF13)),"")</f>
        <v/>
      </c>
      <c r="AP13" s="15" t="str">
        <f t="shared" ref="AP13:AP19" ca="1" si="8">IF(AQ13=2,INDEX(INDIRECT(AO13),AH13),"")</f>
        <v/>
      </c>
      <c r="AQ13" s="27">
        <f ca="1">IF(AND(AE13,NOT(AR13)),2,IF(AND(AR13,NOT(AE13)),1,IF(AND(NOT(AE13),NOT(AR13)),4,3)))</f>
        <v>1</v>
      </c>
      <c r="AR13" s="15" t="b">
        <f ca="1">AND(J13&lt;&gt;"",AD13)</f>
        <v>1</v>
      </c>
      <c r="AS13" s="27" t="b">
        <f ca="1">NOT(ISERROR(FIND("[",J13)))</f>
        <v>1</v>
      </c>
      <c r="AT13" s="27" t="b">
        <f ca="1">MID(J13,1,1)="'"</f>
        <v>1</v>
      </c>
      <c r="AU13" s="27">
        <f ca="1">IF(AS13,FIND("]",J13),"")</f>
        <v>21</v>
      </c>
      <c r="AV13" s="16" t="b">
        <f ca="1">IF(AS13,MID(J13,1,AU13)&lt;&gt;$U$2,FALSE)</f>
        <v>0</v>
      </c>
      <c r="AW13" s="15" t="str">
        <f t="shared" ref="AW13:AW44" ca="1" si="9">IF(AR13,CELL(_CELL_ADDRESS_NAME,INDIRECT(J13)),"")</f>
        <v>'[dane surowe2d.xlsm]variables'!$F$2</v>
      </c>
      <c r="AX13" s="27" t="b">
        <f ca="1">IF(AR13,ROWS(INDIRECT(AW13))&gt;1)</f>
        <v>0</v>
      </c>
      <c r="AY13" s="27" t="b">
        <f ca="1">IF(AR13,COLUMNS(INDIRECT(AW13))&gt;1)</f>
        <v>0</v>
      </c>
      <c r="AZ13" s="15">
        <f ca="1">IF($AE13,IF(NOT(AI13),"?",COLUMNS(INDIRECT($AK13))),IF($AD13,IF(L13="",1,L13)))</f>
        <v>1</v>
      </c>
      <c r="BA13" s="15">
        <f ca="1">IF($AE13,IF(NOT(AI13),"?",ROWS(INDIRECT($AK13))),IF($AD13,IF(K13="",1,K13)))</f>
        <v>23</v>
      </c>
      <c r="BB13" s="15" t="str">
        <f ca="1">IF(AD13,CHOOSE(AQ13,AW13,AK13,"?"),"")</f>
        <v>'[dane surowe2d.xlsm]variables'!$F$2</v>
      </c>
      <c r="BC13" s="15" t="str">
        <f ca="1">IFERROR(IF(MIN(AZ13:BA13)&lt;=0,"",  BB13 &amp; IF(AND(OR(AZ13&gt;1,BA13&gt;1),AQ13=1), ":" &amp; ADDRESS(ROW(INDIRECT(BB13)) +BA13-1,COLUMN(INDIRECT(BB13))+AZ13-1),"")),"")</f>
        <v>'[dane surowe2d.xlsm]variables'!$F$2:$F$24</v>
      </c>
      <c r="BD13" s="15" t="b">
        <f ca="1">AZ13*BA13&gt;1</f>
        <v>1</v>
      </c>
      <c r="BE13" s="15" t="b">
        <f t="shared" ref="BE13:BE68" ca="1" si="10">IF(AND(AD13,AQ13=1),IF(Q13="",BI13, IF(Q13,TRUE,FALSE)),FALSE)</f>
        <v>1</v>
      </c>
      <c r="BF13" s="15">
        <f t="shared" ref="BF13:BF68" ca="1" si="11">IF(BE13,COUNTA(INDIRECT(BC13)),"")</f>
        <v>23</v>
      </c>
      <c r="BG13" s="15">
        <f t="shared" ref="BG13:BG68" ca="1" si="12">IF(BE13,AZ13*BA13,"")</f>
        <v>23</v>
      </c>
      <c r="BH13" s="15">
        <f t="array" aca="1" ref="BH13" ca="1">IF(IFERROR( S13,1),1,IF(BC13="","", SUM(IF(ISERROR(INDIRECT(BC13)),1,0))))</f>
        <v>0</v>
      </c>
      <c r="BI13" s="15" t="b">
        <f>G13="r"</f>
        <v>1</v>
      </c>
      <c r="BJ13" s="15" t="b">
        <f>G13="W"</f>
        <v>0</v>
      </c>
      <c r="BK13" s="15">
        <f t="shared" ref="BK13:BK68" ca="1" si="13">IF(AR13,IF(AND(BI13,NOT(BJ13)),1,IF(AND(BJ13,NOT(BI13)),2,3)),"")</f>
        <v>1</v>
      </c>
      <c r="BL13" s="15">
        <f t="shared" ref="BL13:BL68" ca="1" si="14">CHOOSE(AQ13,BK13,AN13,3,4)</f>
        <v>1</v>
      </c>
      <c r="BP13" s="15" t="b">
        <f>IF(AD13,IF(M13="",TRUE,NOT(M13)),FALSE)</f>
        <v>1</v>
      </c>
      <c r="BQ13" s="15" t="b">
        <f ca="1">IF(BP13,OR(BU13:CZ13),FALSE)</f>
        <v>0</v>
      </c>
      <c r="BR13" s="15" t="str">
        <f t="shared" ref="BR13:BR68" ca="1" si="15">IF(BQ13,MATCH(TRUE,BU13:CZ13,0),"")</f>
        <v/>
      </c>
      <c r="BS13" s="15">
        <f ca="1">IF(BP13,IF(BQ13,BR13,IF(AQ13=2,AP13,0)),0)</f>
        <v>0</v>
      </c>
      <c r="BT13" s="15" t="str">
        <f t="shared" ref="BT13:BT68" ca="1" si="16">IF(BS13&gt;0,INDEX(BU$10:CZ$10,BS13),"")</f>
        <v/>
      </c>
      <c r="BV13" s="15" t="b">
        <f ca="1">IFERROR(IF($AD13,COUNTIF(INDIRECT($C$4),C13)&gt;1,FALSE),FALSE)</f>
        <v>0</v>
      </c>
      <c r="BW13" s="15" t="b">
        <f ca="1">IFERROR(IF($AD13,IF(D13&lt;&gt;"",COUNTIF(INDIRECT($D$4),D13)&gt;1,FALSE),FALSE),FALSE)</f>
        <v>0</v>
      </c>
      <c r="BX13" s="15" t="b">
        <f ca="1">IFERROR(IF(AE13,IFERROR(INDIRECT(ADDRESS(ROW($B$2),COLUMN($B$2),4,,AF13))&lt;&gt;$B$2,TRUE)),FALSE)</f>
        <v>0</v>
      </c>
      <c r="BY13" s="15" t="b">
        <f t="shared" ref="BY13:BY68" ca="1" si="17">IFERROR(IF(AND(AE13,NOT(BX13)),IF(ISERROR(AH13),TRUE,FALSE)),FALSE)</f>
        <v>0</v>
      </c>
      <c r="BZ13" s="15" t="b">
        <f ca="1">IFERROR(IF(BE13,BF13&lt;&gt;BG13,FALSE),FALSE)</f>
        <v>0</v>
      </c>
      <c r="CA13" s="15" t="b">
        <f ca="1">AND(AR13,AE13,AD13)</f>
        <v>0</v>
      </c>
      <c r="CB13" s="15" t="b">
        <f ca="1">ISERROR(COUNT(INDIRECT(J13)))</f>
        <v>0</v>
      </c>
      <c r="CC13" s="15" t="b">
        <f ca="1">AND($AD13,$AQ13=2,Q13&lt;&gt;"")</f>
        <v>0</v>
      </c>
      <c r="CD13" s="15" t="b">
        <f ca="1">AND($AD13,$AQ13=2,R13&lt;&gt;"")</f>
        <v>0</v>
      </c>
      <c r="CE13" s="15" t="b">
        <f ca="1">IF(AD13, IF(AQ13=1, IF(OR(R13,DB13,AK13="" ),FALSE,OR(ISERROR(INDIRECT(T13)))),FALSE),FALSE)</f>
        <v>0</v>
      </c>
      <c r="CF13" s="15" t="b">
        <f ca="1">AND($AD13,$AQ13=2,COUNTA( S13)=1)</f>
        <v>0</v>
      </c>
      <c r="CG13" s="15" t="b">
        <f ca="1">AND(AND(AQ13&lt;&gt;1,AQ13&lt;&gt;3),G13&lt;&gt;"")</f>
        <v>0</v>
      </c>
      <c r="CH13" s="15" t="b">
        <f t="shared" ref="CH13:CH68" ca="1" si="18">AND(AQ13=1,BK13=3)</f>
        <v>0</v>
      </c>
      <c r="CI13" s="15" t="b">
        <f>ISERROR(S13)</f>
        <v>0</v>
      </c>
      <c r="CJ13" s="15" t="b">
        <f>IFERROR(IF(S13,TRUE,FALSE),FALSE)</f>
        <v>0</v>
      </c>
      <c r="CK13" s="15" t="b">
        <f ca="1">IF(V13&lt;&gt;"",IFERROR(MATCH(V13,INDIRECT($C$4),0)&lt;0,TRUE),FALSE)</f>
        <v>0</v>
      </c>
      <c r="CL13" s="15" t="b">
        <f t="shared" ref="CL13:CR28" ca="1" si="19">IF(W13&lt;&gt;"",IFERROR(MATCH(W13,INDIRECT($C$4),0)&lt;0,TRUE),FALSE)</f>
        <v>0</v>
      </c>
      <c r="CM13" s="15" t="b">
        <f t="shared" ca="1" si="19"/>
        <v>0</v>
      </c>
      <c r="CN13" s="15" t="b">
        <f t="shared" ca="1" si="19"/>
        <v>0</v>
      </c>
      <c r="CO13" s="15" t="b">
        <f t="shared" ca="1" si="19"/>
        <v>0</v>
      </c>
      <c r="CP13" s="15" t="b">
        <f t="shared" ca="1" si="19"/>
        <v>0</v>
      </c>
      <c r="CQ13" s="15" t="b">
        <f t="shared" ca="1" si="19"/>
        <v>0</v>
      </c>
      <c r="CR13" s="21" t="b">
        <f t="shared" ca="1" si="19"/>
        <v>0</v>
      </c>
      <c r="CS13" s="22" t="b">
        <f t="shared" ref="CS13:CZ37" ca="1" si="20">AND(DO13&lt;&gt;"",DO13&lt;&gt;0,DO13&lt;&gt;4)</f>
        <v>0</v>
      </c>
      <c r="CT13" s="22" t="b">
        <f t="shared" ca="1" si="20"/>
        <v>0</v>
      </c>
      <c r="CU13" s="22" t="b">
        <f t="shared" ca="1" si="20"/>
        <v>0</v>
      </c>
      <c r="CV13" s="22" t="b">
        <f t="shared" ca="1" si="20"/>
        <v>0</v>
      </c>
      <c r="CW13" s="22" t="b">
        <f t="shared" ca="1" si="20"/>
        <v>0</v>
      </c>
      <c r="CX13" s="22" t="b">
        <f t="shared" ca="1" si="20"/>
        <v>0</v>
      </c>
      <c r="CY13" s="22" t="b">
        <f t="shared" ca="1" si="20"/>
        <v>0</v>
      </c>
      <c r="CZ13" s="21" t="b">
        <f t="shared" ca="1" si="20"/>
        <v>0</v>
      </c>
      <c r="DB13" s="22" t="b">
        <f ca="1">OR(DC13:DJ13)</f>
        <v>0</v>
      </c>
      <c r="DC13" s="22" t="b">
        <f t="shared" ref="DC13:DC55" ca="1" si="21">AND(DO13=4)</f>
        <v>0</v>
      </c>
      <c r="DD13" s="22" t="b">
        <f t="shared" ref="DD13:DJ37" ca="1" si="22">AND(DP13=4)</f>
        <v>0</v>
      </c>
      <c r="DE13" s="22" t="b">
        <f t="shared" ca="1" si="22"/>
        <v>0</v>
      </c>
      <c r="DF13" s="22" t="b">
        <f t="shared" ca="1" si="22"/>
        <v>0</v>
      </c>
      <c r="DG13" s="22" t="b">
        <f t="shared" ca="1" si="22"/>
        <v>0</v>
      </c>
      <c r="DH13" s="22" t="b">
        <f t="shared" ca="1" si="22"/>
        <v>0</v>
      </c>
      <c r="DI13" s="22" t="b">
        <f t="shared" ca="1" si="22"/>
        <v>0</v>
      </c>
      <c r="DJ13" s="22" t="b">
        <f t="shared" ca="1" si="22"/>
        <v>0</v>
      </c>
      <c r="DK13" s="22"/>
      <c r="DO13" s="15">
        <f t="shared" ref="DO13:DV38" ca="1" si="23">IF(V13&lt;&gt;"",IFERROR(INDEX(INDIRECT($BS$4),MATCH(V13,INDIRECT($C$4),0)),100),"")</f>
        <v>0</v>
      </c>
      <c r="DP13" s="15" t="str">
        <f t="shared" ca="1" si="23"/>
        <v/>
      </c>
      <c r="DQ13" s="15" t="str">
        <f t="shared" ca="1" si="23"/>
        <v/>
      </c>
      <c r="DR13" s="15" t="str">
        <f t="shared" ca="1" si="23"/>
        <v/>
      </c>
      <c r="DS13" s="15" t="str">
        <f t="shared" ca="1" si="23"/>
        <v/>
      </c>
      <c r="DT13" s="15" t="str">
        <f t="shared" ca="1" si="23"/>
        <v/>
      </c>
      <c r="DU13" s="15" t="str">
        <f t="shared" ca="1" si="23"/>
        <v/>
      </c>
      <c r="DV13" s="15" t="str">
        <f t="shared" ca="1" si="23"/>
        <v/>
      </c>
    </row>
    <row r="14" spans="1:126">
      <c r="A14" s="15">
        <f t="shared" ref="A14:A77" si="24">ROW(A13)+1-ROW(A$12)</f>
        <v>2</v>
      </c>
      <c r="B14" s="15" t="str">
        <f t="shared" ca="1" si="0"/>
        <v>ok.</v>
      </c>
      <c r="C14" s="15" t="s">
        <v>90</v>
      </c>
      <c r="D14" s="15" t="str">
        <f t="shared" ref="D14:D68" si="25">IF(C14="","",C14)</f>
        <v>NazwySPSS</v>
      </c>
      <c r="G14" s="15" t="s">
        <v>88</v>
      </c>
      <c r="J14" s="19" t="str">
        <f ca="1">CELL(_CELL_ADDRESS_NAME,LongNames)</f>
        <v>'[dane surowe2d.xlsm]variables'!$G$2</v>
      </c>
      <c r="K14" s="15">
        <f>VariableCount</f>
        <v>23</v>
      </c>
      <c r="M14" s="19"/>
      <c r="T14" s="15" t="str">
        <f t="shared" ca="1" si="1"/>
        <v>'[dane surowe2d.xlsm]variables'!$G$2:$G$24</v>
      </c>
      <c r="U14" s="15">
        <f t="shared" ca="1" si="2"/>
        <v>0</v>
      </c>
      <c r="V14" s="15" t="s">
        <v>115</v>
      </c>
      <c r="AD14" s="16" t="b">
        <f>C14&lt;&gt;""</f>
        <v>1</v>
      </c>
      <c r="AE14" s="16" t="b">
        <f>AND(I14&lt;&gt;"",H14&lt;&gt;"")</f>
        <v>0</v>
      </c>
      <c r="AF14" s="15" t="str">
        <f t="shared" si="3"/>
        <v/>
      </c>
      <c r="AG14" s="15" t="str">
        <f t="shared" ca="1" si="4"/>
        <v/>
      </c>
      <c r="AH14" s="15" t="str">
        <f t="shared" ca="1" si="5"/>
        <v/>
      </c>
      <c r="AI14" s="15" t="b">
        <f t="shared" ca="1" si="6"/>
        <v>0</v>
      </c>
      <c r="AJ14" s="15" t="str">
        <f t="shared" ref="AJ14:AJ68" ca="1" si="26">IF(AE14,INDIRECT(ADDRESS(ROW($T$4),COLUMN($T$4),,,AF14)),"")</f>
        <v/>
      </c>
      <c r="AK14" s="27" t="str">
        <f ca="1">IF(AE14,INDEX(INDIRECT(AJ14),AH14),"")</f>
        <v/>
      </c>
      <c r="AL14" s="15" t="b">
        <f t="shared" ca="1" si="7"/>
        <v>0</v>
      </c>
      <c r="AM14" s="15" t="str">
        <f ca="1">IF(AE14,INDIRECT(ADDRESS(ROW($BK$4),COLUMN($BK$4),,,AF14)),"")</f>
        <v/>
      </c>
      <c r="AN14" s="15">
        <f ca="1">IFERROR(IF(AE14,INDEX(INDIRECT(AM14),AH14),3),3)</f>
        <v>3</v>
      </c>
      <c r="AO14" s="15" t="str">
        <f t="shared" ref="AO14:AO68" ca="1" si="27">IF(AE14,INDIRECT(ADDRESS(ROW($BS$4),COLUMN($BS$4),,,AF14)),"")</f>
        <v/>
      </c>
      <c r="AP14" s="15" t="str">
        <f t="shared" ca="1" si="8"/>
        <v/>
      </c>
      <c r="AQ14" s="27">
        <f ca="1">IF(AND(AE14,NOT(AR14)),2,IF(AND(AR14,NOT(AE14)),1,IF(AND(NOT(AE14),NOT(AR14)),4,3)))</f>
        <v>1</v>
      </c>
      <c r="AR14" s="15" t="b">
        <f ca="1">AND(J14&lt;&gt;"",AD14)</f>
        <v>1</v>
      </c>
      <c r="AS14" s="27" t="b">
        <f ca="1">NOT(ISERROR(FIND("[",J14)))</f>
        <v>1</v>
      </c>
      <c r="AT14" s="27" t="b">
        <f ca="1">MID(J14,1,1)="'"</f>
        <v>1</v>
      </c>
      <c r="AU14" s="27">
        <f ca="1">IF(AS14,FIND("]",J14),"")</f>
        <v>21</v>
      </c>
      <c r="AV14" s="16" t="b">
        <f ca="1">IF(AS14,MID(J14,1,AU14)&lt;&gt;$U$2,FALSE)</f>
        <v>0</v>
      </c>
      <c r="AW14" s="15" t="str">
        <f t="shared" ca="1" si="9"/>
        <v>'[dane surowe2d.xlsm]variables'!$G$2</v>
      </c>
      <c r="AX14" s="27" t="b">
        <f ca="1">IF(AR14,ROWS(INDIRECT(AW14))&gt;1)</f>
        <v>0</v>
      </c>
      <c r="AY14" s="27" t="b">
        <f ca="1">IF(AR14,COLUMNS(INDIRECT(AW14))&gt;1)</f>
        <v>0</v>
      </c>
      <c r="AZ14" s="15">
        <f ca="1">IF($AE14,IF(NOT(AI14),"?",COLUMNS(INDIRECT($AK14))),IF($AD14,IF(L14="",1,L14)))</f>
        <v>1</v>
      </c>
      <c r="BA14" s="15">
        <f t="shared" ref="BA14:BA68" ca="1" si="28">IF($AE14,IF(NOT(AI14),"?",ROWS(INDIRECT($AK14))),IF($AD14,IF(K14="",1,K14)))</f>
        <v>23</v>
      </c>
      <c r="BB14" s="15" t="str">
        <f ca="1">IF(AD14,CHOOSE(AQ14,AW14,AK14,"?"),"")</f>
        <v>'[dane surowe2d.xlsm]variables'!$G$2</v>
      </c>
      <c r="BC14" s="15" t="str">
        <f t="shared" ref="BC14:BC68" ca="1" si="29">IFERROR(IF(MIN(AZ14:BA14)&lt;=0,"",  BB14 &amp; IF(AND(OR(AZ14&gt;1,BA14&gt;1),AQ14=1), ":" &amp; ADDRESS(ROW(INDIRECT(BB14)) +BA14-1,COLUMN(INDIRECT(BB14))+AZ14-1),"")),"")</f>
        <v>'[dane surowe2d.xlsm]variables'!$G$2:$G$24</v>
      </c>
      <c r="BD14" s="15" t="b">
        <f ca="1">AZ14*BA14&gt;1</f>
        <v>1</v>
      </c>
      <c r="BE14" s="15" t="b">
        <f t="shared" ca="1" si="10"/>
        <v>1</v>
      </c>
      <c r="BF14" s="15">
        <f t="shared" ca="1" si="11"/>
        <v>23</v>
      </c>
      <c r="BG14" s="15">
        <f t="shared" ca="1" si="12"/>
        <v>23</v>
      </c>
      <c r="BH14" s="15">
        <f t="array" aca="1" ref="BH14" ca="1">IF(IFERROR( S14,1),1,IF(BC14="","", SUM(IF(ISERROR(INDIRECT(BC14)),1,0))))</f>
        <v>0</v>
      </c>
      <c r="BI14" s="15" t="b">
        <f>G14="r"</f>
        <v>1</v>
      </c>
      <c r="BJ14" s="15" t="b">
        <f>G14="W"</f>
        <v>0</v>
      </c>
      <c r="BK14" s="15">
        <f t="shared" ca="1" si="13"/>
        <v>1</v>
      </c>
      <c r="BL14" s="15">
        <f t="shared" ca="1" si="14"/>
        <v>1</v>
      </c>
      <c r="BP14" s="15" t="b">
        <f t="shared" ref="BP14:BP68" si="30">IF(AD14,IF(M14="",TRUE,NOT(M14)),FALSE)</f>
        <v>1</v>
      </c>
      <c r="BQ14" s="15" t="b">
        <f t="shared" ref="BQ14:BQ68" ca="1" si="31">IF(BP14,OR(BU14:CZ14),FALSE)</f>
        <v>0</v>
      </c>
      <c r="BR14" s="15" t="str">
        <f t="shared" ca="1" si="15"/>
        <v/>
      </c>
      <c r="BS14" s="15">
        <f t="shared" ref="BS14:BS68" ca="1" si="32">IF(BP14,IF(BQ14,BR14,IF(AQ14=2,AP14,0)),0)</f>
        <v>0</v>
      </c>
      <c r="BT14" s="15" t="str">
        <f t="shared" ca="1" si="16"/>
        <v/>
      </c>
      <c r="BV14" s="15" t="b">
        <f t="shared" ref="BV14:BV68" ca="1" si="33">IFERROR(IF($AD14,COUNTIF(INDIRECT($C$4),C14)&gt;1,FALSE),FALSE)</f>
        <v>0</v>
      </c>
      <c r="BW14" s="15" t="b">
        <f t="shared" ref="BW14:BW68" ca="1" si="34">IFERROR(IF($AD14,IF(D14&lt;&gt;"",COUNTIF(INDIRECT($D$4),D14)&gt;1,FALSE),FALSE),FALSE)</f>
        <v>0</v>
      </c>
      <c r="BX14" s="15" t="b">
        <f t="shared" ref="BX14:BX68" ca="1" si="35">IFERROR(IF(AE14,IFERROR(INDIRECT(ADDRESS(ROW($B$2),COLUMN($B$2),4,,AF14))&lt;&gt;$B$2,TRUE)),FALSE)</f>
        <v>0</v>
      </c>
      <c r="BY14" s="15" t="b">
        <f t="shared" ca="1" si="17"/>
        <v>0</v>
      </c>
      <c r="BZ14" s="15" t="b">
        <f t="shared" ref="BZ14:BZ68" ca="1" si="36">IFERROR(IF(BE14,BF14&lt;&gt;BG14,FALSE),FALSE)</f>
        <v>0</v>
      </c>
      <c r="CA14" s="15" t="b">
        <f ca="1">AND(AR14,AE14,AD14)</f>
        <v>0</v>
      </c>
      <c r="CB14" s="15" t="b">
        <f ca="1">ISERROR(COUNT(INDIRECT(J14)))</f>
        <v>0</v>
      </c>
      <c r="CC14" s="15" t="b">
        <f ca="1">AND($AD14,$AQ14=2,Q14&lt;&gt;"")</f>
        <v>0</v>
      </c>
      <c r="CD14" s="15" t="b">
        <f ca="1">AND($AD14,$AQ14=2,R14&lt;&gt;"")</f>
        <v>0</v>
      </c>
      <c r="CE14" s="15" t="b">
        <f t="shared" ref="CE14:CE68" ca="1" si="37">IF(AD14, IF(AQ14=1, IF(OR(R14,DB14,AK14="" ),FALSE,OR(ISERROR(INDIRECT(T14)))),FALSE),FALSE)</f>
        <v>0</v>
      </c>
      <c r="CF14" s="15" t="b">
        <f ca="1">AND($AD14,$AQ14=2,COUNTA( S14)=1)</f>
        <v>0</v>
      </c>
      <c r="CG14" s="15" t="b">
        <f ca="1">AND(AND(AQ14&lt;&gt;1,AQ14&lt;&gt;3),G14&lt;&gt;"")</f>
        <v>0</v>
      </c>
      <c r="CH14" s="15" t="b">
        <f t="shared" ca="1" si="18"/>
        <v>0</v>
      </c>
      <c r="CI14" s="15" t="b">
        <f t="shared" ref="CI14:CI68" si="38">ISERROR(S14)</f>
        <v>0</v>
      </c>
      <c r="CJ14" s="15" t="b">
        <f t="shared" ref="CJ14:CJ68" si="39">IFERROR(IF(S14,TRUE,FALSE),FALSE)</f>
        <v>0</v>
      </c>
      <c r="CK14" s="15" t="b">
        <f ca="1">IF(V14&lt;&gt;"",IFERROR(MATCH(V14,INDIRECT($C$4),0)&lt;0,TRUE),FALSE)</f>
        <v>0</v>
      </c>
      <c r="CL14" s="15" t="b">
        <f t="shared" ca="1" si="19"/>
        <v>0</v>
      </c>
      <c r="CM14" s="15" t="b">
        <f t="shared" ca="1" si="19"/>
        <v>0</v>
      </c>
      <c r="CN14" s="15" t="b">
        <f t="shared" ca="1" si="19"/>
        <v>0</v>
      </c>
      <c r="CO14" s="15" t="b">
        <f t="shared" ca="1" si="19"/>
        <v>0</v>
      </c>
      <c r="CP14" s="15" t="b">
        <f ca="1">IF(AA14&lt;&gt;"",IFERROR(MATCH(AA14,INDIRECT($C$4),0)&lt;0,TRUE),FALSE)</f>
        <v>0</v>
      </c>
      <c r="CQ14" s="15" t="b">
        <f t="shared" ca="1" si="19"/>
        <v>0</v>
      </c>
      <c r="CR14" s="21" t="b">
        <f t="shared" ca="1" si="19"/>
        <v>0</v>
      </c>
      <c r="CS14" s="22" t="b">
        <f t="shared" ca="1" si="20"/>
        <v>0</v>
      </c>
      <c r="CT14" s="22" t="b">
        <f t="shared" ca="1" si="20"/>
        <v>0</v>
      </c>
      <c r="CU14" s="22" t="b">
        <f t="shared" ca="1" si="20"/>
        <v>0</v>
      </c>
      <c r="CV14" s="22" t="b">
        <f t="shared" ca="1" si="20"/>
        <v>0</v>
      </c>
      <c r="CW14" s="22" t="b">
        <f t="shared" ca="1" si="20"/>
        <v>0</v>
      </c>
      <c r="CX14" s="22" t="b">
        <f t="shared" ca="1" si="20"/>
        <v>0</v>
      </c>
      <c r="CY14" s="22" t="b">
        <f t="shared" ca="1" si="20"/>
        <v>0</v>
      </c>
      <c r="CZ14" s="21" t="b">
        <f t="shared" ca="1" si="20"/>
        <v>0</v>
      </c>
      <c r="DB14" s="22" t="b">
        <f t="shared" ref="DB14:DB68" ca="1" si="40">OR(DC14:DJ14)</f>
        <v>0</v>
      </c>
      <c r="DC14" s="22" t="b">
        <f t="shared" ca="1" si="21"/>
        <v>0</v>
      </c>
      <c r="DD14" s="22" t="b">
        <f t="shared" ca="1" si="22"/>
        <v>0</v>
      </c>
      <c r="DE14" s="22" t="b">
        <f t="shared" ca="1" si="22"/>
        <v>0</v>
      </c>
      <c r="DF14" s="22" t="b">
        <f t="shared" ca="1" si="22"/>
        <v>0</v>
      </c>
      <c r="DG14" s="22" t="b">
        <f t="shared" ca="1" si="22"/>
        <v>0</v>
      </c>
      <c r="DH14" s="22" t="b">
        <f t="shared" ca="1" si="22"/>
        <v>0</v>
      </c>
      <c r="DI14" s="22" t="b">
        <f t="shared" ca="1" si="22"/>
        <v>0</v>
      </c>
      <c r="DJ14" s="22" t="b">
        <f t="shared" ca="1" si="22"/>
        <v>0</v>
      </c>
      <c r="DK14" s="22"/>
      <c r="DO14" s="15">
        <f t="shared" ca="1" si="23"/>
        <v>0</v>
      </c>
      <c r="DP14" s="15" t="str">
        <f t="shared" ca="1" si="23"/>
        <v/>
      </c>
      <c r="DQ14" s="15" t="str">
        <f t="shared" ca="1" si="23"/>
        <v/>
      </c>
      <c r="DR14" s="15" t="str">
        <f t="shared" ca="1" si="23"/>
        <v/>
      </c>
      <c r="DS14" s="15" t="str">
        <f t="shared" ca="1" si="23"/>
        <v/>
      </c>
      <c r="DT14" s="15" t="str">
        <f t="shared" ca="1" si="23"/>
        <v/>
      </c>
      <c r="DU14" s="15" t="str">
        <f t="shared" ca="1" si="23"/>
        <v/>
      </c>
      <c r="DV14" s="15" t="str">
        <f t="shared" ca="1" si="23"/>
        <v/>
      </c>
    </row>
    <row r="15" spans="1:126">
      <c r="A15" s="15">
        <f t="shared" si="24"/>
        <v>3</v>
      </c>
      <c r="B15" s="15" t="str">
        <f t="shared" ca="1" si="0"/>
        <v>ok.</v>
      </c>
      <c r="C15" s="15" t="s">
        <v>443</v>
      </c>
      <c r="D15" s="15" t="str">
        <f t="shared" si="25"/>
        <v>CaseNames</v>
      </c>
      <c r="G15" s="15" t="s">
        <v>121</v>
      </c>
      <c r="J15" s="19" t="str">
        <f ca="1">CELL(_CELL_ADDRESS_NAME,INDIRECT(ADDRESS(3,1,4,,_sheetname_dataframe)))</f>
        <v>'[dane surowe2d.xlsm]data_frame'!$A$3</v>
      </c>
      <c r="K15" s="15">
        <f ca="1">CaseCnt</f>
        <v>10</v>
      </c>
      <c r="M15" s="19"/>
      <c r="T15" s="15" t="str">
        <f t="shared" ca="1" si="1"/>
        <v>'[dane surowe2d.xlsm]data_frame'!$A$3:$A$12</v>
      </c>
      <c r="U15" s="15">
        <f t="shared" ca="1" si="2"/>
        <v>0</v>
      </c>
      <c r="V15" s="15" t="s">
        <v>117</v>
      </c>
      <c r="AD15" s="16" t="b">
        <f>C15&lt;&gt;""</f>
        <v>1</v>
      </c>
      <c r="AE15" s="16" t="b">
        <f>AND(I15&lt;&gt;"",H15&lt;&gt;"")</f>
        <v>0</v>
      </c>
      <c r="AF15" s="15" t="str">
        <f t="shared" si="3"/>
        <v/>
      </c>
      <c r="AG15" s="15" t="str">
        <f t="shared" ca="1" si="4"/>
        <v/>
      </c>
      <c r="AH15" s="15" t="str">
        <f t="shared" ca="1" si="5"/>
        <v/>
      </c>
      <c r="AI15" s="15" t="b">
        <f t="shared" ca="1" si="6"/>
        <v>0</v>
      </c>
      <c r="AJ15" s="15" t="str">
        <f t="shared" ca="1" si="26"/>
        <v/>
      </c>
      <c r="AK15" s="27" t="str">
        <f ca="1">IF(AE15,INDEX(INDIRECT(AJ15),AH15),"")</f>
        <v/>
      </c>
      <c r="AL15" s="15" t="b">
        <f t="shared" ca="1" si="7"/>
        <v>0</v>
      </c>
      <c r="AM15" s="15" t="str">
        <f ca="1">IF(AE15,INDIRECT(ADDRESS(ROW($BK$4),COLUMN($BK$4),,,AF15)),"")</f>
        <v/>
      </c>
      <c r="AN15" s="15">
        <f ca="1">IFERROR(IF(AE15,INDEX(INDIRECT(AM15),AH15),3),3)</f>
        <v>3</v>
      </c>
      <c r="AO15" s="15" t="str">
        <f t="shared" ca="1" si="27"/>
        <v/>
      </c>
      <c r="AP15" s="15" t="str">
        <f t="shared" ca="1" si="8"/>
        <v/>
      </c>
      <c r="AQ15" s="27">
        <f ca="1">IF(AND(AE15,NOT(AR15)),2,IF(AND(AR15,NOT(AE15)),1,IF(AND(NOT(AE15),NOT(AR15)),4,3)))</f>
        <v>1</v>
      </c>
      <c r="AR15" s="15" t="b">
        <f ca="1">AND(J15&lt;&gt;"",AD15)</f>
        <v>1</v>
      </c>
      <c r="AS15" s="27" t="b">
        <f ca="1">NOT(ISERROR(FIND("[",J15)))</f>
        <v>1</v>
      </c>
      <c r="AT15" s="27" t="b">
        <f ca="1">MID(J15,1,1)="'"</f>
        <v>1</v>
      </c>
      <c r="AU15" s="27">
        <f ca="1">IF(AS15,FIND("]",J15),"")</f>
        <v>21</v>
      </c>
      <c r="AV15" s="16" t="b">
        <f ca="1">IF(AS15,MID(J15,1,AU15)&lt;&gt;$U$2,FALSE)</f>
        <v>0</v>
      </c>
      <c r="AW15" s="15" t="str">
        <f t="shared" ca="1" si="9"/>
        <v>'[dane surowe2d.xlsm]data_frame'!$A$3</v>
      </c>
      <c r="AX15" s="27" t="b">
        <f ca="1">IF(AR15,ROWS(INDIRECT(AW15))&gt;1)</f>
        <v>0</v>
      </c>
      <c r="AY15" s="27" t="b">
        <f ca="1">IF(AR15,COLUMNS(INDIRECT(AW15))&gt;1)</f>
        <v>0</v>
      </c>
      <c r="AZ15" s="15">
        <f ca="1">IF($AE15,IF(NOT(AI15),"?",COLUMNS(INDIRECT($AK15))),IF($AD15,IF(L15="",1,L15)))</f>
        <v>1</v>
      </c>
      <c r="BA15" s="15">
        <f t="shared" ca="1" si="28"/>
        <v>10</v>
      </c>
      <c r="BB15" s="15" t="str">
        <f ca="1">IF(AD15,CHOOSE(AQ15,AW15,AK15,"?"),"")</f>
        <v>'[dane surowe2d.xlsm]data_frame'!$A$3</v>
      </c>
      <c r="BC15" s="15" t="str">
        <f t="shared" ca="1" si="29"/>
        <v>'[dane surowe2d.xlsm]data_frame'!$A$3:$A$12</v>
      </c>
      <c r="BD15" s="15" t="b">
        <f ca="1">AZ15*BA15&gt;1</f>
        <v>1</v>
      </c>
      <c r="BE15" s="15" t="b">
        <f t="shared" ca="1" si="10"/>
        <v>0</v>
      </c>
      <c r="BF15" s="15" t="str">
        <f t="shared" ca="1" si="11"/>
        <v/>
      </c>
      <c r="BG15" s="15" t="str">
        <f t="shared" ca="1" si="12"/>
        <v/>
      </c>
      <c r="BH15" s="15">
        <f t="array" aca="1" ref="BH15" ca="1">IF(IFERROR( S15,1),1,IF(BC15="","", SUM(IF(ISERROR(INDIRECT(BC15)),1,0))))</f>
        <v>0</v>
      </c>
      <c r="BI15" s="15" t="b">
        <f>G15="r"</f>
        <v>0</v>
      </c>
      <c r="BJ15" s="15" t="b">
        <f>G15="W"</f>
        <v>1</v>
      </c>
      <c r="BK15" s="15">
        <f t="shared" ca="1" si="13"/>
        <v>2</v>
      </c>
      <c r="BL15" s="15">
        <f t="shared" ca="1" si="14"/>
        <v>2</v>
      </c>
      <c r="BP15" s="15" t="b">
        <f t="shared" si="30"/>
        <v>1</v>
      </c>
      <c r="BQ15" s="15" t="b">
        <f t="shared" ca="1" si="31"/>
        <v>0</v>
      </c>
      <c r="BR15" s="15" t="str">
        <f t="shared" ca="1" si="15"/>
        <v/>
      </c>
      <c r="BS15" s="15">
        <f t="shared" ca="1" si="32"/>
        <v>0</v>
      </c>
      <c r="BT15" s="15" t="str">
        <f t="shared" ca="1" si="16"/>
        <v/>
      </c>
      <c r="BV15" s="15" t="b">
        <f t="shared" ca="1" si="33"/>
        <v>0</v>
      </c>
      <c r="BW15" s="15" t="b">
        <f t="shared" ca="1" si="34"/>
        <v>0</v>
      </c>
      <c r="BX15" s="15" t="b">
        <f t="shared" ca="1" si="35"/>
        <v>0</v>
      </c>
      <c r="BY15" s="15" t="b">
        <f t="shared" ca="1" si="17"/>
        <v>0</v>
      </c>
      <c r="BZ15" s="15" t="b">
        <f t="shared" ca="1" si="36"/>
        <v>0</v>
      </c>
      <c r="CA15" s="15" t="b">
        <f ca="1">AND(AR15,AE15,AD15)</f>
        <v>0</v>
      </c>
      <c r="CB15" s="15" t="b">
        <f ca="1">ISERROR(COUNT(INDIRECT(J15)))</f>
        <v>0</v>
      </c>
      <c r="CC15" s="15" t="b">
        <f ca="1">AND(AD15,AQ15=2,Q15&lt;&gt;"")</f>
        <v>0</v>
      </c>
      <c r="CD15" s="15" t="b">
        <f ca="1">AND(AE15,AR15=2,R15&lt;&gt;"")</f>
        <v>0</v>
      </c>
      <c r="CE15" s="15" t="b">
        <f t="shared" ca="1" si="37"/>
        <v>0</v>
      </c>
      <c r="CF15" s="15" t="b">
        <f ca="1">AND($AD15,$AQ15=2,COUNTA( S15)=1)</f>
        <v>0</v>
      </c>
      <c r="CG15" s="15" t="b">
        <f ca="1">AND(AND(AQ15&lt;&gt;1,AQ15&lt;&gt;3),G15&lt;&gt;"")</f>
        <v>0</v>
      </c>
      <c r="CH15" s="15" t="b">
        <f t="shared" ca="1" si="18"/>
        <v>0</v>
      </c>
      <c r="CI15" s="15" t="b">
        <f t="shared" si="38"/>
        <v>0</v>
      </c>
      <c r="CJ15" s="15" t="b">
        <f t="shared" si="39"/>
        <v>0</v>
      </c>
      <c r="CK15" s="15" t="b">
        <f ca="1">IF(V15&lt;&gt;"",IFERROR(MATCH(V15,INDIRECT($C$4),0)&lt;0,TRUE),FALSE)</f>
        <v>0</v>
      </c>
      <c r="CL15" s="15" t="b">
        <f t="shared" ca="1" si="19"/>
        <v>0</v>
      </c>
      <c r="CM15" s="15" t="b">
        <f t="shared" ca="1" si="19"/>
        <v>0</v>
      </c>
      <c r="CN15" s="15" t="b">
        <f t="shared" ca="1" si="19"/>
        <v>0</v>
      </c>
      <c r="CO15" s="15" t="b">
        <f t="shared" ca="1" si="19"/>
        <v>0</v>
      </c>
      <c r="CP15" s="15" t="b">
        <f t="shared" ca="1" si="19"/>
        <v>0</v>
      </c>
      <c r="CQ15" s="15" t="b">
        <f t="shared" ca="1" si="19"/>
        <v>0</v>
      </c>
      <c r="CR15" s="21" t="b">
        <f t="shared" ca="1" si="19"/>
        <v>0</v>
      </c>
      <c r="CS15" s="22" t="b">
        <f t="shared" ca="1" si="20"/>
        <v>0</v>
      </c>
      <c r="CT15" s="22" t="b">
        <f t="shared" ca="1" si="20"/>
        <v>0</v>
      </c>
      <c r="CU15" s="22" t="b">
        <f t="shared" ca="1" si="20"/>
        <v>0</v>
      </c>
      <c r="CV15" s="22" t="b">
        <f t="shared" ca="1" si="20"/>
        <v>0</v>
      </c>
      <c r="CW15" s="22" t="b">
        <f t="shared" ca="1" si="20"/>
        <v>0</v>
      </c>
      <c r="CX15" s="22" t="b">
        <f t="shared" ca="1" si="20"/>
        <v>0</v>
      </c>
      <c r="CY15" s="22" t="b">
        <f t="shared" ca="1" si="20"/>
        <v>0</v>
      </c>
      <c r="CZ15" s="21" t="b">
        <f t="shared" ca="1" si="20"/>
        <v>0</v>
      </c>
      <c r="DB15" s="22" t="b">
        <f t="shared" ca="1" si="40"/>
        <v>0</v>
      </c>
      <c r="DC15" s="22" t="b">
        <f t="shared" ca="1" si="21"/>
        <v>0</v>
      </c>
      <c r="DD15" s="22" t="b">
        <f t="shared" ca="1" si="22"/>
        <v>0</v>
      </c>
      <c r="DE15" s="22" t="b">
        <f t="shared" ca="1" si="22"/>
        <v>0</v>
      </c>
      <c r="DF15" s="22" t="b">
        <f t="shared" ca="1" si="22"/>
        <v>0</v>
      </c>
      <c r="DG15" s="22" t="b">
        <f t="shared" ca="1" si="22"/>
        <v>0</v>
      </c>
      <c r="DH15" s="22" t="b">
        <f t="shared" ca="1" si="22"/>
        <v>0</v>
      </c>
      <c r="DI15" s="22" t="b">
        <f t="shared" ca="1" si="22"/>
        <v>0</v>
      </c>
      <c r="DJ15" s="22" t="b">
        <f t="shared" ca="1" si="22"/>
        <v>0</v>
      </c>
      <c r="DK15" s="22"/>
      <c r="DO15" s="15">
        <f t="shared" ca="1" si="23"/>
        <v>0</v>
      </c>
      <c r="DP15" s="15" t="str">
        <f t="shared" ca="1" si="23"/>
        <v/>
      </c>
      <c r="DQ15" s="15" t="str">
        <f t="shared" ca="1" si="23"/>
        <v/>
      </c>
      <c r="DR15" s="15" t="str">
        <f t="shared" ca="1" si="23"/>
        <v/>
      </c>
      <c r="DS15" s="15" t="str">
        <f t="shared" ca="1" si="23"/>
        <v/>
      </c>
      <c r="DT15" s="15" t="str">
        <f t="shared" ca="1" si="23"/>
        <v/>
      </c>
      <c r="DU15" s="15" t="str">
        <f t="shared" ca="1" si="23"/>
        <v/>
      </c>
      <c r="DV15" s="15" t="str">
        <f t="shared" ca="1" si="23"/>
        <v/>
      </c>
    </row>
    <row r="16" spans="1:126">
      <c r="A16" s="15">
        <f t="shared" si="24"/>
        <v>4</v>
      </c>
      <c r="B16" s="15" t="str">
        <f t="shared" ca="1" si="0"/>
        <v>ok.</v>
      </c>
      <c r="C16" s="15" t="s">
        <v>115</v>
      </c>
      <c r="D16" s="15" t="str">
        <f t="shared" si="25"/>
        <v>Dane MaxNrZmiennej</v>
      </c>
      <c r="E16" s="15" t="s">
        <v>186</v>
      </c>
      <c r="F16" s="15" t="s">
        <v>254</v>
      </c>
      <c r="G16" s="15" t="s">
        <v>88</v>
      </c>
      <c r="J16" s="19" t="str">
        <f ca="1">CELL(_CELL_ADDRESS_NAME,VariableCount)</f>
        <v>'[dane surowe2d.xlsm]ster'!$C$12</v>
      </c>
      <c r="M16" s="19"/>
      <c r="T16" s="15" t="str">
        <f t="shared" ca="1" si="1"/>
        <v>'[dane surowe2d.xlsm]ster'!$C$12</v>
      </c>
      <c r="U16" s="15">
        <f t="shared" ca="1" si="2"/>
        <v>0</v>
      </c>
      <c r="AD16" s="16" t="b">
        <f t="shared" ref="AD16:AD39" si="41">C16&lt;&gt;""</f>
        <v>1</v>
      </c>
      <c r="AE16" s="16" t="b">
        <f t="shared" ref="AE16:AE39" si="42">AND(I16&lt;&gt;"",H16&lt;&gt;"")</f>
        <v>0</v>
      </c>
      <c r="AF16" s="15" t="str">
        <f t="shared" si="3"/>
        <v/>
      </c>
      <c r="AG16" s="15" t="str">
        <f t="shared" ca="1" si="4"/>
        <v/>
      </c>
      <c r="AH16" s="15" t="str">
        <f t="shared" ca="1" si="5"/>
        <v/>
      </c>
      <c r="AI16" s="15" t="b">
        <f t="shared" ca="1" si="6"/>
        <v>0</v>
      </c>
      <c r="AJ16" s="15" t="str">
        <f t="shared" ca="1" si="26"/>
        <v/>
      </c>
      <c r="AK16" s="27" t="str">
        <f t="shared" ref="AK16:AK39" ca="1" si="43">IF(AE16,INDEX(INDIRECT(AJ16),AH16),"")</f>
        <v/>
      </c>
      <c r="AL16" s="15" t="b">
        <f t="shared" ca="1" si="7"/>
        <v>0</v>
      </c>
      <c r="AM16" s="15" t="str">
        <f t="shared" ref="AM16:AM39" ca="1" si="44">IF(AE16,INDIRECT(ADDRESS(ROW($BK$4),COLUMN($BK$4),,,AF16)),"")</f>
        <v/>
      </c>
      <c r="AN16" s="15">
        <f t="shared" ref="AN16:AN39" ca="1" si="45">IFERROR(IF(AE16,INDEX(INDIRECT(AM16),AH16),3),3)</f>
        <v>3</v>
      </c>
      <c r="AO16" s="15" t="str">
        <f t="shared" ca="1" si="27"/>
        <v/>
      </c>
      <c r="AP16" s="15" t="str">
        <f t="shared" ca="1" si="8"/>
        <v/>
      </c>
      <c r="AQ16" s="27">
        <f t="shared" ref="AQ16:AQ39" ca="1" si="46">IF(AND(AE16,NOT(AR16)),2,IF(AND(AR16,NOT(AE16)),1,IF(AND(NOT(AE16),NOT(AR16)),4,3)))</f>
        <v>1</v>
      </c>
      <c r="AR16" s="15" t="b">
        <f t="shared" ref="AR16:AR39" ca="1" si="47">AND(J16&lt;&gt;"",AD16)</f>
        <v>1</v>
      </c>
      <c r="AS16" s="27" t="b">
        <f t="shared" ref="AS16:AS39" ca="1" si="48">NOT(ISERROR(FIND("[",J16)))</f>
        <v>1</v>
      </c>
      <c r="AT16" s="27" t="b">
        <f t="shared" ref="AT16:AT39" ca="1" si="49">MID(J16,1,1)="'"</f>
        <v>1</v>
      </c>
      <c r="AU16" s="27">
        <f t="shared" ref="AU16:AU39" ca="1" si="50">IF(AS16,FIND("]",J16),"")</f>
        <v>21</v>
      </c>
      <c r="AV16" s="16" t="e">
        <f t="shared" ref="AV16:AV39" ca="1" si="51">IF(AS16,MID(J16,1,AU16)&lt;&gt;$V$2,FALSE)</f>
        <v>#REF!</v>
      </c>
      <c r="AW16" s="15" t="str">
        <f t="shared" ca="1" si="9"/>
        <v>'[dane surowe2d.xlsm]ster'!$C$12</v>
      </c>
      <c r="AX16" s="27" t="b">
        <f t="shared" ref="AX16:AX39" ca="1" si="52">IF(AR16,ROWS(INDIRECT(AW16))&gt;1)</f>
        <v>0</v>
      </c>
      <c r="AY16" s="27" t="b">
        <f t="shared" ref="AY16:AY39" ca="1" si="53">IF(AR16,COLUMNS(INDIRECT(AW16))&gt;1)</f>
        <v>0</v>
      </c>
      <c r="AZ16" s="15">
        <f t="shared" ref="AZ16:AZ39" ca="1" si="54">IF($AE16,IF(NOT(AI16),"?",COLUMNS(INDIRECT($AK16))),IF($AD16,IF(L16="",1,L16)))</f>
        <v>1</v>
      </c>
      <c r="BA16" s="15">
        <f t="shared" ca="1" si="28"/>
        <v>1</v>
      </c>
      <c r="BB16" s="15" t="str">
        <f t="shared" ref="BB16:BB39" ca="1" si="55">IF(AD16,CHOOSE(AQ16,AW16,AK16,"?"),"")</f>
        <v>'[dane surowe2d.xlsm]ster'!$C$12</v>
      </c>
      <c r="BC16" s="15" t="str">
        <f t="shared" ca="1" si="29"/>
        <v>'[dane surowe2d.xlsm]ster'!$C$12</v>
      </c>
      <c r="BD16" s="15" t="b">
        <f t="shared" ref="BD16:BD39" ca="1" si="56">AZ16*BA16&gt;1</f>
        <v>0</v>
      </c>
      <c r="BE16" s="15" t="b">
        <f t="shared" ca="1" si="10"/>
        <v>1</v>
      </c>
      <c r="BF16" s="15">
        <f t="shared" ca="1" si="11"/>
        <v>1</v>
      </c>
      <c r="BG16" s="15">
        <f t="shared" ca="1" si="12"/>
        <v>1</v>
      </c>
      <c r="BH16" s="15">
        <f t="array" aca="1" ref="BH16" ca="1">IF(IFERROR( S16,1),1,IF(BC16="","", SUM(IF(ISERROR(INDIRECT(BC16)),1,0))))</f>
        <v>0</v>
      </c>
      <c r="BI16" s="15" t="b">
        <f t="shared" ref="BI16:BI39" si="57">G16="r"</f>
        <v>1</v>
      </c>
      <c r="BJ16" s="15" t="b">
        <f t="shared" ref="BJ16:BJ39" si="58">G16="W"</f>
        <v>0</v>
      </c>
      <c r="BK16" s="15">
        <f t="shared" ca="1" si="13"/>
        <v>1</v>
      </c>
      <c r="BL16" s="15">
        <f t="shared" ca="1" si="14"/>
        <v>1</v>
      </c>
      <c r="BP16" s="15" t="b">
        <f t="shared" si="30"/>
        <v>1</v>
      </c>
      <c r="BQ16" s="15" t="b">
        <f t="shared" ca="1" si="31"/>
        <v>0</v>
      </c>
      <c r="BR16" s="15" t="str">
        <f t="shared" ca="1" si="15"/>
        <v/>
      </c>
      <c r="BS16" s="15">
        <f t="shared" ca="1" si="32"/>
        <v>0</v>
      </c>
      <c r="BT16" s="15" t="str">
        <f t="shared" ca="1" si="16"/>
        <v/>
      </c>
      <c r="BV16" s="15" t="b">
        <f t="shared" ca="1" si="33"/>
        <v>0</v>
      </c>
      <c r="BW16" s="15" t="b">
        <f t="shared" ca="1" si="34"/>
        <v>0</v>
      </c>
      <c r="BX16" s="15" t="b">
        <f t="shared" ca="1" si="35"/>
        <v>0</v>
      </c>
      <c r="BY16" s="15" t="b">
        <f t="shared" ca="1" si="17"/>
        <v>0</v>
      </c>
      <c r="BZ16" s="15" t="b">
        <f t="shared" ca="1" si="36"/>
        <v>0</v>
      </c>
      <c r="CA16" s="15" t="b">
        <f t="shared" ref="CA16:CA39" ca="1" si="59">AND(AR16,AE16,AD16)</f>
        <v>0</v>
      </c>
      <c r="CB16" s="15" t="b">
        <f t="shared" ref="CB16:CB39" ca="1" si="60">ISERROR(COUNT(INDIRECT(J16)))</f>
        <v>0</v>
      </c>
      <c r="CC16" s="15" t="b">
        <f t="shared" ref="CC16:CD37" ca="1" si="61">AND(AD16,AQ16=2,Q16&lt;&gt;"")</f>
        <v>0</v>
      </c>
      <c r="CD16" s="15" t="b">
        <f t="shared" ca="1" si="61"/>
        <v>0</v>
      </c>
      <c r="CE16" s="15" t="b">
        <f t="shared" ca="1" si="37"/>
        <v>0</v>
      </c>
      <c r="CF16" s="15" t="b">
        <f t="shared" ref="CF16:CF39" ca="1" si="62">AND($AD16,$AQ16=2,COUNTA( S16)=1)</f>
        <v>0</v>
      </c>
      <c r="CG16" s="15" t="b">
        <f t="shared" ref="CG16:CG39" ca="1" si="63">AND(AND(AQ16&lt;&gt;1,AQ16&lt;&gt;3),G16&lt;&gt;"")</f>
        <v>0</v>
      </c>
      <c r="CH16" s="15" t="b">
        <f t="shared" ca="1" si="18"/>
        <v>0</v>
      </c>
      <c r="CI16" s="15" t="b">
        <f t="shared" si="38"/>
        <v>0</v>
      </c>
      <c r="CJ16" s="15" t="b">
        <f t="shared" si="39"/>
        <v>0</v>
      </c>
      <c r="CK16" s="15" t="b">
        <f t="shared" ref="CK16:CR52" ca="1" si="64">IF(V16&lt;&gt;"",IFERROR(MATCH(V16,INDIRECT($C$4),0)&lt;0,TRUE),FALSE)</f>
        <v>0</v>
      </c>
      <c r="CL16" s="15" t="b">
        <f t="shared" ca="1" si="19"/>
        <v>0</v>
      </c>
      <c r="CM16" s="15" t="b">
        <f t="shared" ca="1" si="19"/>
        <v>0</v>
      </c>
      <c r="CN16" s="15" t="b">
        <f t="shared" ca="1" si="19"/>
        <v>0</v>
      </c>
      <c r="CO16" s="15" t="b">
        <f t="shared" ca="1" si="19"/>
        <v>0</v>
      </c>
      <c r="CP16" s="15" t="b">
        <f t="shared" ca="1" si="19"/>
        <v>0</v>
      </c>
      <c r="CQ16" s="15" t="b">
        <f t="shared" ca="1" si="19"/>
        <v>0</v>
      </c>
      <c r="CR16" s="21" t="b">
        <f t="shared" ca="1" si="19"/>
        <v>0</v>
      </c>
      <c r="CS16" s="22" t="b">
        <f t="shared" ca="1" si="20"/>
        <v>0</v>
      </c>
      <c r="CT16" s="22" t="b">
        <f t="shared" ca="1" si="20"/>
        <v>0</v>
      </c>
      <c r="CU16" s="22" t="b">
        <f t="shared" ca="1" si="20"/>
        <v>0</v>
      </c>
      <c r="CV16" s="22" t="b">
        <f t="shared" ca="1" si="20"/>
        <v>0</v>
      </c>
      <c r="CW16" s="22" t="b">
        <f t="shared" ca="1" si="20"/>
        <v>0</v>
      </c>
      <c r="CX16" s="22" t="b">
        <f t="shared" ca="1" si="20"/>
        <v>0</v>
      </c>
      <c r="CY16" s="22" t="b">
        <f t="shared" ca="1" si="20"/>
        <v>0</v>
      </c>
      <c r="CZ16" s="21" t="b">
        <f t="shared" ca="1" si="20"/>
        <v>0</v>
      </c>
      <c r="DB16" s="22" t="b">
        <f t="shared" ca="1" si="40"/>
        <v>0</v>
      </c>
      <c r="DC16" s="22" t="b">
        <f t="shared" ca="1" si="21"/>
        <v>0</v>
      </c>
      <c r="DD16" s="22" t="b">
        <f t="shared" ca="1" si="22"/>
        <v>0</v>
      </c>
      <c r="DE16" s="22" t="b">
        <f t="shared" ca="1" si="22"/>
        <v>0</v>
      </c>
      <c r="DF16" s="22" t="b">
        <f t="shared" ca="1" si="22"/>
        <v>0</v>
      </c>
      <c r="DG16" s="22" t="b">
        <f t="shared" ca="1" si="22"/>
        <v>0</v>
      </c>
      <c r="DH16" s="22" t="b">
        <f t="shared" ca="1" si="22"/>
        <v>0</v>
      </c>
      <c r="DI16" s="22" t="b">
        <f t="shared" ca="1" si="22"/>
        <v>0</v>
      </c>
      <c r="DJ16" s="22" t="b">
        <f t="shared" ca="1" si="22"/>
        <v>0</v>
      </c>
      <c r="DK16" s="22"/>
      <c r="DO16" s="15" t="str">
        <f t="shared" ca="1" si="23"/>
        <v/>
      </c>
      <c r="DP16" s="15" t="str">
        <f t="shared" ca="1" si="23"/>
        <v/>
      </c>
      <c r="DQ16" s="15" t="str">
        <f t="shared" ca="1" si="23"/>
        <v/>
      </c>
      <c r="DR16" s="15" t="str">
        <f t="shared" ca="1" si="23"/>
        <v/>
      </c>
      <c r="DS16" s="15" t="str">
        <f t="shared" ca="1" si="23"/>
        <v/>
      </c>
      <c r="DT16" s="15" t="str">
        <f t="shared" ca="1" si="23"/>
        <v/>
      </c>
      <c r="DU16" s="15" t="str">
        <f t="shared" ca="1" si="23"/>
        <v/>
      </c>
      <c r="DV16" s="15" t="str">
        <f t="shared" ca="1" si="23"/>
        <v/>
      </c>
    </row>
    <row r="17" spans="1:126">
      <c r="A17" s="15">
        <f t="shared" si="24"/>
        <v>5</v>
      </c>
      <c r="B17" s="15" t="str">
        <f t="shared" ca="1" si="0"/>
        <v>ok.</v>
      </c>
      <c r="C17" s="15" t="s">
        <v>117</v>
      </c>
      <c r="D17" s="15" t="str">
        <f t="shared" si="25"/>
        <v>Dane MaxNrRespondentaBezFiltra</v>
      </c>
      <c r="E17" s="15" t="s">
        <v>445</v>
      </c>
      <c r="F17" s="15" t="s">
        <v>255</v>
      </c>
      <c r="G17" s="15" t="s">
        <v>88</v>
      </c>
      <c r="J17" s="19" t="str">
        <f ca="1">CELL(_CELL_ADDRESS_NAME,CaseCnt)</f>
        <v>'[dane surowe2d.xlsm]ster'!$C$14</v>
      </c>
      <c r="M17" s="19"/>
      <c r="T17" s="15" t="str">
        <f t="shared" ca="1" si="1"/>
        <v>'[dane surowe2d.xlsm]ster'!$C$14</v>
      </c>
      <c r="U17" s="15">
        <f t="shared" ca="1" si="2"/>
        <v>0</v>
      </c>
      <c r="AD17" s="16" t="b">
        <f t="shared" si="41"/>
        <v>1</v>
      </c>
      <c r="AE17" s="16" t="b">
        <f t="shared" si="42"/>
        <v>0</v>
      </c>
      <c r="AF17" s="15" t="str">
        <f t="shared" si="3"/>
        <v/>
      </c>
      <c r="AG17" s="15" t="str">
        <f t="shared" ca="1" si="4"/>
        <v/>
      </c>
      <c r="AH17" s="15" t="str">
        <f t="shared" ca="1" si="5"/>
        <v/>
      </c>
      <c r="AI17" s="15" t="b">
        <f t="shared" ca="1" si="6"/>
        <v>0</v>
      </c>
      <c r="AJ17" s="15" t="str">
        <f t="shared" ca="1" si="26"/>
        <v/>
      </c>
      <c r="AK17" s="27" t="str">
        <f t="shared" ca="1" si="43"/>
        <v/>
      </c>
      <c r="AL17" s="15" t="b">
        <f t="shared" ca="1" si="7"/>
        <v>0</v>
      </c>
      <c r="AM17" s="15" t="str">
        <f t="shared" ca="1" si="44"/>
        <v/>
      </c>
      <c r="AN17" s="15">
        <f t="shared" ca="1" si="45"/>
        <v>3</v>
      </c>
      <c r="AO17" s="15" t="str">
        <f t="shared" ca="1" si="27"/>
        <v/>
      </c>
      <c r="AP17" s="15" t="str">
        <f t="shared" ca="1" si="8"/>
        <v/>
      </c>
      <c r="AQ17" s="27">
        <f t="shared" ca="1" si="46"/>
        <v>1</v>
      </c>
      <c r="AR17" s="15" t="b">
        <f t="shared" ca="1" si="47"/>
        <v>1</v>
      </c>
      <c r="AS17" s="27" t="b">
        <f t="shared" ca="1" si="48"/>
        <v>1</v>
      </c>
      <c r="AT17" s="27" t="b">
        <f t="shared" ca="1" si="49"/>
        <v>1</v>
      </c>
      <c r="AU17" s="27">
        <f t="shared" ca="1" si="50"/>
        <v>21</v>
      </c>
      <c r="AV17" s="16" t="e">
        <f t="shared" ca="1" si="51"/>
        <v>#REF!</v>
      </c>
      <c r="AW17" s="15" t="str">
        <f t="shared" ca="1" si="9"/>
        <v>'[dane surowe2d.xlsm]ster'!$C$14</v>
      </c>
      <c r="AX17" s="27" t="b">
        <f t="shared" ca="1" si="52"/>
        <v>0</v>
      </c>
      <c r="AY17" s="27" t="b">
        <f t="shared" ca="1" si="53"/>
        <v>0</v>
      </c>
      <c r="AZ17" s="15">
        <f t="shared" ca="1" si="54"/>
        <v>1</v>
      </c>
      <c r="BA17" s="15">
        <f t="shared" ca="1" si="28"/>
        <v>1</v>
      </c>
      <c r="BB17" s="15" t="str">
        <f t="shared" ca="1" si="55"/>
        <v>'[dane surowe2d.xlsm]ster'!$C$14</v>
      </c>
      <c r="BC17" s="15" t="str">
        <f t="shared" ca="1" si="29"/>
        <v>'[dane surowe2d.xlsm]ster'!$C$14</v>
      </c>
      <c r="BD17" s="15" t="b">
        <f t="shared" ca="1" si="56"/>
        <v>0</v>
      </c>
      <c r="BE17" s="15" t="b">
        <f t="shared" ca="1" si="10"/>
        <v>1</v>
      </c>
      <c r="BF17" s="15">
        <f t="shared" ca="1" si="11"/>
        <v>1</v>
      </c>
      <c r="BG17" s="15">
        <f t="shared" ca="1" si="12"/>
        <v>1</v>
      </c>
      <c r="BH17" s="15">
        <f t="array" aca="1" ref="BH17" ca="1">IF(IFERROR( S17,1),1,IF(BC17="","", SUM(IF(ISERROR(INDIRECT(BC17)),1,0))))</f>
        <v>0</v>
      </c>
      <c r="BI17" s="15" t="b">
        <f t="shared" si="57"/>
        <v>1</v>
      </c>
      <c r="BJ17" s="15" t="b">
        <f t="shared" si="58"/>
        <v>0</v>
      </c>
      <c r="BK17" s="15">
        <f t="shared" ca="1" si="13"/>
        <v>1</v>
      </c>
      <c r="BL17" s="15">
        <f t="shared" ca="1" si="14"/>
        <v>1</v>
      </c>
      <c r="BP17" s="15" t="b">
        <f t="shared" si="30"/>
        <v>1</v>
      </c>
      <c r="BQ17" s="15" t="b">
        <f t="shared" ca="1" si="31"/>
        <v>0</v>
      </c>
      <c r="BR17" s="15" t="str">
        <f t="shared" ca="1" si="15"/>
        <v/>
      </c>
      <c r="BS17" s="15">
        <f t="shared" ca="1" si="32"/>
        <v>0</v>
      </c>
      <c r="BT17" s="15" t="str">
        <f t="shared" ca="1" si="16"/>
        <v/>
      </c>
      <c r="BV17" s="15" t="b">
        <f t="shared" ca="1" si="33"/>
        <v>0</v>
      </c>
      <c r="BW17" s="15" t="b">
        <f t="shared" ca="1" si="34"/>
        <v>0</v>
      </c>
      <c r="BX17" s="15" t="b">
        <f t="shared" ca="1" si="35"/>
        <v>0</v>
      </c>
      <c r="BY17" s="15" t="b">
        <f t="shared" ca="1" si="17"/>
        <v>0</v>
      </c>
      <c r="BZ17" s="15" t="b">
        <f t="shared" ca="1" si="36"/>
        <v>0</v>
      </c>
      <c r="CA17" s="15" t="b">
        <f t="shared" ca="1" si="59"/>
        <v>0</v>
      </c>
      <c r="CB17" s="15" t="b">
        <f t="shared" ca="1" si="60"/>
        <v>0</v>
      </c>
      <c r="CC17" s="15" t="b">
        <f t="shared" ca="1" si="61"/>
        <v>0</v>
      </c>
      <c r="CD17" s="15" t="b">
        <f t="shared" ca="1" si="61"/>
        <v>0</v>
      </c>
      <c r="CE17" s="15" t="b">
        <f t="shared" ca="1" si="37"/>
        <v>0</v>
      </c>
      <c r="CF17" s="15" t="b">
        <f t="shared" ca="1" si="62"/>
        <v>0</v>
      </c>
      <c r="CG17" s="15" t="b">
        <f t="shared" ca="1" si="63"/>
        <v>0</v>
      </c>
      <c r="CH17" s="15" t="b">
        <f t="shared" ca="1" si="18"/>
        <v>0</v>
      </c>
      <c r="CI17" s="15" t="b">
        <f t="shared" si="38"/>
        <v>0</v>
      </c>
      <c r="CJ17" s="15" t="b">
        <f t="shared" si="39"/>
        <v>0</v>
      </c>
      <c r="CK17" s="15" t="b">
        <f t="shared" ca="1" si="64"/>
        <v>0</v>
      </c>
      <c r="CL17" s="15" t="b">
        <f t="shared" ca="1" si="19"/>
        <v>0</v>
      </c>
      <c r="CM17" s="15" t="b">
        <f t="shared" ca="1" si="19"/>
        <v>0</v>
      </c>
      <c r="CN17" s="15" t="b">
        <f t="shared" ca="1" si="19"/>
        <v>0</v>
      </c>
      <c r="CO17" s="15" t="b">
        <f t="shared" ca="1" si="19"/>
        <v>0</v>
      </c>
      <c r="CP17" s="15" t="b">
        <f t="shared" ca="1" si="19"/>
        <v>0</v>
      </c>
      <c r="CQ17" s="15" t="b">
        <f t="shared" ca="1" si="19"/>
        <v>0</v>
      </c>
      <c r="CR17" s="21" t="b">
        <f t="shared" ca="1" si="19"/>
        <v>0</v>
      </c>
      <c r="CS17" s="22" t="b">
        <f t="shared" ca="1" si="20"/>
        <v>0</v>
      </c>
      <c r="CT17" s="22" t="b">
        <f t="shared" ca="1" si="20"/>
        <v>0</v>
      </c>
      <c r="CU17" s="22" t="b">
        <f t="shared" ca="1" si="20"/>
        <v>0</v>
      </c>
      <c r="CV17" s="22" t="b">
        <f t="shared" ca="1" si="20"/>
        <v>0</v>
      </c>
      <c r="CW17" s="22" t="b">
        <f t="shared" ca="1" si="20"/>
        <v>0</v>
      </c>
      <c r="CX17" s="22" t="b">
        <f t="shared" ca="1" si="20"/>
        <v>0</v>
      </c>
      <c r="CY17" s="22" t="b">
        <f t="shared" ca="1" si="20"/>
        <v>0</v>
      </c>
      <c r="CZ17" s="21" t="b">
        <f t="shared" ca="1" si="20"/>
        <v>0</v>
      </c>
      <c r="DB17" s="22" t="b">
        <f t="shared" ca="1" si="40"/>
        <v>0</v>
      </c>
      <c r="DC17" s="22" t="b">
        <f t="shared" ca="1" si="21"/>
        <v>0</v>
      </c>
      <c r="DD17" s="22" t="b">
        <f t="shared" ca="1" si="22"/>
        <v>0</v>
      </c>
      <c r="DE17" s="22" t="b">
        <f t="shared" ca="1" si="22"/>
        <v>0</v>
      </c>
      <c r="DF17" s="22" t="b">
        <f t="shared" ca="1" si="22"/>
        <v>0</v>
      </c>
      <c r="DG17" s="22" t="b">
        <f t="shared" ca="1" si="22"/>
        <v>0</v>
      </c>
      <c r="DH17" s="22" t="b">
        <f t="shared" ca="1" si="22"/>
        <v>0</v>
      </c>
      <c r="DI17" s="22" t="b">
        <f t="shared" ca="1" si="22"/>
        <v>0</v>
      </c>
      <c r="DJ17" s="22" t="b">
        <f t="shared" ca="1" si="22"/>
        <v>0</v>
      </c>
      <c r="DK17" s="22"/>
      <c r="DO17" s="15" t="str">
        <f t="shared" ca="1" si="23"/>
        <v/>
      </c>
      <c r="DP17" s="15" t="str">
        <f t="shared" ca="1" si="23"/>
        <v/>
      </c>
      <c r="DQ17" s="15" t="str">
        <f t="shared" ca="1" si="23"/>
        <v/>
      </c>
      <c r="DR17" s="15" t="str">
        <f t="shared" ca="1" si="23"/>
        <v/>
      </c>
      <c r="DS17" s="15" t="str">
        <f t="shared" ca="1" si="23"/>
        <v/>
      </c>
      <c r="DT17" s="15" t="str">
        <f t="shared" ca="1" si="23"/>
        <v/>
      </c>
      <c r="DU17" s="15" t="str">
        <f t="shared" ca="1" si="23"/>
        <v/>
      </c>
      <c r="DV17" s="15" t="str">
        <f t="shared" ca="1" si="23"/>
        <v/>
      </c>
    </row>
    <row r="18" spans="1:126" s="16" customFormat="1">
      <c r="A18" s="15">
        <f t="shared" si="24"/>
        <v>6</v>
      </c>
      <c r="B18" s="15" t="str">
        <f t="shared" ca="1" si="0"/>
        <v>ok.</v>
      </c>
      <c r="C18" s="15" t="s">
        <v>92</v>
      </c>
      <c r="D18" s="15" t="str">
        <f t="shared" si="25"/>
        <v>Zmienne TypyKod</v>
      </c>
      <c r="E18" s="16" t="s">
        <v>187</v>
      </c>
      <c r="F18" s="15" t="s">
        <v>183</v>
      </c>
      <c r="G18" s="16" t="s">
        <v>121</v>
      </c>
      <c r="H18" s="15"/>
      <c r="I18" s="15"/>
      <c r="J18" s="19" t="str">
        <f ca="1">CELL(_CELL_ADDRESS_NAME,variables!E2)</f>
        <v>'[dane surowe2d.xlsm]variables'!$E$2</v>
      </c>
      <c r="K18" s="16">
        <f t="shared" ref="K18:K28" si="65">VariableCount</f>
        <v>23</v>
      </c>
      <c r="M18" s="19"/>
      <c r="T18" s="15" t="str">
        <f t="shared" ca="1" si="1"/>
        <v>'[dane surowe2d.xlsm]variables'!$E$2:$E$24</v>
      </c>
      <c r="U18" s="15">
        <f t="shared" ca="1" si="2"/>
        <v>0</v>
      </c>
      <c r="V18" s="15" t="s">
        <v>115</v>
      </c>
      <c r="AD18" s="16" t="b">
        <f t="shared" si="41"/>
        <v>1</v>
      </c>
      <c r="AE18" s="16" t="b">
        <f t="shared" si="42"/>
        <v>0</v>
      </c>
      <c r="AF18" s="15" t="str">
        <f t="shared" si="3"/>
        <v/>
      </c>
      <c r="AG18" s="15" t="str">
        <f t="shared" ca="1" si="4"/>
        <v/>
      </c>
      <c r="AH18" s="15" t="str">
        <f t="shared" ca="1" si="5"/>
        <v/>
      </c>
      <c r="AI18" s="15" t="b">
        <f t="shared" ca="1" si="6"/>
        <v>0</v>
      </c>
      <c r="AJ18" s="15" t="str">
        <f t="shared" ca="1" si="26"/>
        <v/>
      </c>
      <c r="AK18" s="27" t="str">
        <f t="shared" ca="1" si="43"/>
        <v/>
      </c>
      <c r="AL18" s="15" t="b">
        <f t="shared" ca="1" si="7"/>
        <v>0</v>
      </c>
      <c r="AM18" s="15" t="str">
        <f t="shared" ca="1" si="44"/>
        <v/>
      </c>
      <c r="AN18" s="15">
        <f t="shared" ca="1" si="45"/>
        <v>3</v>
      </c>
      <c r="AO18" s="15" t="str">
        <f t="shared" ca="1" si="27"/>
        <v/>
      </c>
      <c r="AP18" s="15" t="str">
        <f t="shared" ca="1" si="8"/>
        <v/>
      </c>
      <c r="AQ18" s="27">
        <f t="shared" ca="1" si="46"/>
        <v>1</v>
      </c>
      <c r="AR18" s="15" t="b">
        <f t="shared" ca="1" si="47"/>
        <v>1</v>
      </c>
      <c r="AS18" s="27" t="b">
        <f t="shared" ca="1" si="48"/>
        <v>1</v>
      </c>
      <c r="AT18" s="27" t="b">
        <f t="shared" ca="1" si="49"/>
        <v>1</v>
      </c>
      <c r="AU18" s="27">
        <f t="shared" ca="1" si="50"/>
        <v>21</v>
      </c>
      <c r="AV18" s="16" t="e">
        <f t="shared" ca="1" si="51"/>
        <v>#REF!</v>
      </c>
      <c r="AW18" s="15" t="str">
        <f t="shared" ca="1" si="9"/>
        <v>'[dane surowe2d.xlsm]variables'!$E$2</v>
      </c>
      <c r="AX18" s="27" t="b">
        <f t="shared" ca="1" si="52"/>
        <v>0</v>
      </c>
      <c r="AY18" s="27" t="b">
        <f t="shared" ca="1" si="53"/>
        <v>0</v>
      </c>
      <c r="AZ18" s="15">
        <f t="shared" ca="1" si="54"/>
        <v>1</v>
      </c>
      <c r="BA18" s="15">
        <f t="shared" ca="1" si="28"/>
        <v>23</v>
      </c>
      <c r="BB18" s="15" t="str">
        <f t="shared" ca="1" si="55"/>
        <v>'[dane surowe2d.xlsm]variables'!$E$2</v>
      </c>
      <c r="BC18" s="15" t="str">
        <f t="shared" ca="1" si="29"/>
        <v>'[dane surowe2d.xlsm]variables'!$E$2:$E$24</v>
      </c>
      <c r="BD18" s="15" t="b">
        <f t="shared" ca="1" si="56"/>
        <v>1</v>
      </c>
      <c r="BE18" s="15" t="b">
        <f t="shared" ca="1" si="10"/>
        <v>0</v>
      </c>
      <c r="BF18" s="15" t="str">
        <f t="shared" ca="1" si="11"/>
        <v/>
      </c>
      <c r="BG18" s="15" t="str">
        <f t="shared" ca="1" si="12"/>
        <v/>
      </c>
      <c r="BH18" s="15">
        <f t="array" aca="1" ref="BH18" ca="1">IF(IFERROR( S18,1),1,IF(BC18="","", SUM(IF(ISERROR(INDIRECT(BC18)),1,0))))</f>
        <v>0</v>
      </c>
      <c r="BI18" s="15" t="b">
        <f t="shared" si="57"/>
        <v>0</v>
      </c>
      <c r="BJ18" s="15" t="b">
        <f t="shared" si="58"/>
        <v>1</v>
      </c>
      <c r="BK18" s="15">
        <f t="shared" ca="1" si="13"/>
        <v>2</v>
      </c>
      <c r="BL18" s="15">
        <f t="shared" ca="1" si="14"/>
        <v>2</v>
      </c>
      <c r="BM18" s="15"/>
      <c r="BN18" s="15"/>
      <c r="BO18" s="15"/>
      <c r="BP18" s="15" t="b">
        <f t="shared" si="30"/>
        <v>1</v>
      </c>
      <c r="BQ18" s="15" t="b">
        <f t="shared" ca="1" si="31"/>
        <v>0</v>
      </c>
      <c r="BR18" s="15" t="str">
        <f t="shared" ca="1" si="15"/>
        <v/>
      </c>
      <c r="BS18" s="15">
        <f t="shared" ca="1" si="32"/>
        <v>0</v>
      </c>
      <c r="BT18" s="15" t="str">
        <f t="shared" ca="1" si="16"/>
        <v/>
      </c>
      <c r="BU18" s="15"/>
      <c r="BV18" s="15" t="b">
        <f t="shared" ca="1" si="33"/>
        <v>0</v>
      </c>
      <c r="BW18" s="15" t="b">
        <f t="shared" ca="1" si="34"/>
        <v>0</v>
      </c>
      <c r="BX18" s="15" t="b">
        <f t="shared" ca="1" si="35"/>
        <v>0</v>
      </c>
      <c r="BY18" s="15" t="b">
        <f t="shared" ca="1" si="17"/>
        <v>0</v>
      </c>
      <c r="BZ18" s="15" t="b">
        <f t="shared" ca="1" si="36"/>
        <v>0</v>
      </c>
      <c r="CA18" s="15" t="b">
        <f t="shared" ca="1" si="59"/>
        <v>0</v>
      </c>
      <c r="CB18" s="15" t="b">
        <f t="shared" ca="1" si="60"/>
        <v>0</v>
      </c>
      <c r="CC18" s="15" t="b">
        <f t="shared" ca="1" si="61"/>
        <v>0</v>
      </c>
      <c r="CD18" s="15" t="b">
        <f t="shared" ca="1" si="61"/>
        <v>0</v>
      </c>
      <c r="CE18" s="15" t="b">
        <f t="shared" ca="1" si="37"/>
        <v>0</v>
      </c>
      <c r="CF18" s="15" t="b">
        <f t="shared" ca="1" si="62"/>
        <v>0</v>
      </c>
      <c r="CG18" s="15" t="b">
        <f t="shared" ca="1" si="63"/>
        <v>0</v>
      </c>
      <c r="CH18" s="15" t="b">
        <f t="shared" ca="1" si="18"/>
        <v>0</v>
      </c>
      <c r="CI18" s="15" t="b">
        <f t="shared" si="38"/>
        <v>0</v>
      </c>
      <c r="CJ18" s="15" t="b">
        <f t="shared" si="39"/>
        <v>0</v>
      </c>
      <c r="CK18" s="15" t="b">
        <f t="shared" ca="1" si="64"/>
        <v>0</v>
      </c>
      <c r="CL18" s="15" t="b">
        <f t="shared" ca="1" si="19"/>
        <v>0</v>
      </c>
      <c r="CM18" s="15" t="b">
        <f t="shared" ca="1" si="19"/>
        <v>0</v>
      </c>
      <c r="CN18" s="15" t="b">
        <f t="shared" ca="1" si="19"/>
        <v>0</v>
      </c>
      <c r="CO18" s="15" t="b">
        <f t="shared" ca="1" si="19"/>
        <v>0</v>
      </c>
      <c r="CP18" s="15" t="b">
        <f t="shared" ca="1" si="19"/>
        <v>0</v>
      </c>
      <c r="CQ18" s="15" t="b">
        <f t="shared" ca="1" si="19"/>
        <v>0</v>
      </c>
      <c r="CR18" s="21" t="b">
        <f t="shared" ca="1" si="19"/>
        <v>0</v>
      </c>
      <c r="CS18" s="22" t="b">
        <f t="shared" ca="1" si="20"/>
        <v>0</v>
      </c>
      <c r="CT18" s="22" t="b">
        <f t="shared" ca="1" si="20"/>
        <v>0</v>
      </c>
      <c r="CU18" s="22" t="b">
        <f t="shared" ca="1" si="20"/>
        <v>0</v>
      </c>
      <c r="CV18" s="22" t="b">
        <f t="shared" ca="1" si="20"/>
        <v>0</v>
      </c>
      <c r="CW18" s="22" t="b">
        <f t="shared" ca="1" si="20"/>
        <v>0</v>
      </c>
      <c r="CX18" s="22" t="b">
        <f t="shared" ca="1" si="20"/>
        <v>0</v>
      </c>
      <c r="CY18" s="22" t="b">
        <f t="shared" ca="1" si="20"/>
        <v>0</v>
      </c>
      <c r="CZ18" s="21" t="b">
        <f t="shared" ca="1" si="20"/>
        <v>0</v>
      </c>
      <c r="DA18" s="22"/>
      <c r="DB18" s="22" t="b">
        <f t="shared" ca="1" si="40"/>
        <v>0</v>
      </c>
      <c r="DC18" s="22" t="b">
        <f t="shared" ca="1" si="21"/>
        <v>0</v>
      </c>
      <c r="DD18" s="22" t="b">
        <f t="shared" ca="1" si="22"/>
        <v>0</v>
      </c>
      <c r="DE18" s="22" t="b">
        <f t="shared" ca="1" si="22"/>
        <v>0</v>
      </c>
      <c r="DF18" s="22" t="b">
        <f t="shared" ca="1" si="22"/>
        <v>0</v>
      </c>
      <c r="DG18" s="22" t="b">
        <f t="shared" ca="1" si="22"/>
        <v>0</v>
      </c>
      <c r="DH18" s="22" t="b">
        <f t="shared" ca="1" si="22"/>
        <v>0</v>
      </c>
      <c r="DI18" s="22" t="b">
        <f t="shared" ca="1" si="22"/>
        <v>0</v>
      </c>
      <c r="DJ18" s="22" t="b">
        <f t="shared" ca="1" si="22"/>
        <v>0</v>
      </c>
      <c r="DK18" s="22"/>
      <c r="DO18" s="15">
        <f t="shared" ca="1" si="23"/>
        <v>0</v>
      </c>
      <c r="DP18" s="15" t="str">
        <f t="shared" ca="1" si="23"/>
        <v/>
      </c>
      <c r="DQ18" s="15" t="str">
        <f t="shared" ca="1" si="23"/>
        <v/>
      </c>
      <c r="DR18" s="15" t="str">
        <f t="shared" ca="1" si="23"/>
        <v/>
      </c>
      <c r="DS18" s="15" t="str">
        <f t="shared" ca="1" si="23"/>
        <v/>
      </c>
      <c r="DT18" s="15" t="str">
        <f t="shared" ca="1" si="23"/>
        <v/>
      </c>
      <c r="DU18" s="15" t="str">
        <f t="shared" ca="1" si="23"/>
        <v/>
      </c>
      <c r="DV18" s="15" t="str">
        <f t="shared" ca="1" si="23"/>
        <v/>
      </c>
    </row>
    <row r="19" spans="1:126">
      <c r="A19" s="15">
        <f t="shared" si="24"/>
        <v>7</v>
      </c>
      <c r="B19" s="15" t="str">
        <f t="shared" ca="1" si="0"/>
        <v>ok.</v>
      </c>
      <c r="C19" s="15" t="s">
        <v>93</v>
      </c>
      <c r="D19" s="15" t="str">
        <f t="shared" si="25"/>
        <v>Zmienne IleEtykiet</v>
      </c>
      <c r="E19" s="15" t="s">
        <v>446</v>
      </c>
      <c r="G19" s="16" t="s">
        <v>88</v>
      </c>
      <c r="J19" s="19" t="str">
        <f ca="1">CELL(_CELL_ADDRESS_NAME,LabelCount)</f>
        <v>'[dane surowe2d.xlsm]variables'!$N$2</v>
      </c>
      <c r="K19" s="16">
        <f t="shared" si="65"/>
        <v>23</v>
      </c>
      <c r="M19" s="19"/>
      <c r="N19" s="16"/>
      <c r="Q19" s="16"/>
      <c r="T19" s="15" t="str">
        <f t="shared" ca="1" si="1"/>
        <v>'[dane surowe2d.xlsm]variables'!$N$2:$N$24</v>
      </c>
      <c r="U19" s="15">
        <f t="shared" ca="1" si="2"/>
        <v>0</v>
      </c>
      <c r="V19" s="15" t="s">
        <v>115</v>
      </c>
      <c r="AD19" s="16" t="b">
        <f t="shared" si="41"/>
        <v>1</v>
      </c>
      <c r="AE19" s="16" t="b">
        <f t="shared" si="42"/>
        <v>0</v>
      </c>
      <c r="AF19" s="15" t="str">
        <f>IF(AE19,"[" &amp; H19 &amp; "]" &amp; $B$2,"")</f>
        <v/>
      </c>
      <c r="AG19" s="15" t="str">
        <f t="shared" ca="1" si="4"/>
        <v/>
      </c>
      <c r="AH19" s="15" t="str">
        <f t="shared" ca="1" si="5"/>
        <v/>
      </c>
      <c r="AI19" s="15" t="b">
        <f t="shared" ca="1" si="6"/>
        <v>0</v>
      </c>
      <c r="AJ19" s="15" t="str">
        <f t="shared" ca="1" si="26"/>
        <v/>
      </c>
      <c r="AK19" s="27" t="str">
        <f t="shared" ca="1" si="43"/>
        <v/>
      </c>
      <c r="AL19" s="15" t="b">
        <f t="shared" ca="1" si="7"/>
        <v>0</v>
      </c>
      <c r="AM19" s="15" t="str">
        <f t="shared" ca="1" si="44"/>
        <v/>
      </c>
      <c r="AN19" s="15">
        <f t="shared" ca="1" si="45"/>
        <v>3</v>
      </c>
      <c r="AO19" s="15" t="str">
        <f t="shared" ca="1" si="27"/>
        <v/>
      </c>
      <c r="AP19" s="15" t="str">
        <f t="shared" ca="1" si="8"/>
        <v/>
      </c>
      <c r="AQ19" s="27">
        <f t="shared" ca="1" si="46"/>
        <v>1</v>
      </c>
      <c r="AR19" s="15" t="b">
        <f t="shared" ca="1" si="47"/>
        <v>1</v>
      </c>
      <c r="AS19" s="27" t="b">
        <f t="shared" ca="1" si="48"/>
        <v>1</v>
      </c>
      <c r="AT19" s="27" t="b">
        <f t="shared" ca="1" si="49"/>
        <v>1</v>
      </c>
      <c r="AU19" s="27">
        <f t="shared" ca="1" si="50"/>
        <v>21</v>
      </c>
      <c r="AV19" s="16" t="e">
        <f t="shared" ca="1" si="51"/>
        <v>#REF!</v>
      </c>
      <c r="AW19" s="15" t="str">
        <f t="shared" ca="1" si="9"/>
        <v>'[dane surowe2d.xlsm]variables'!$N$2</v>
      </c>
      <c r="AX19" s="27" t="b">
        <f t="shared" ca="1" si="52"/>
        <v>0</v>
      </c>
      <c r="AY19" s="27" t="b">
        <f t="shared" ca="1" si="53"/>
        <v>0</v>
      </c>
      <c r="AZ19" s="15">
        <f t="shared" ca="1" si="54"/>
        <v>1</v>
      </c>
      <c r="BA19" s="15">
        <f t="shared" ca="1" si="28"/>
        <v>23</v>
      </c>
      <c r="BB19" s="15" t="str">
        <f t="shared" ca="1" si="55"/>
        <v>'[dane surowe2d.xlsm]variables'!$N$2</v>
      </c>
      <c r="BC19" s="15" t="str">
        <f t="shared" ca="1" si="29"/>
        <v>'[dane surowe2d.xlsm]variables'!$N$2:$N$24</v>
      </c>
      <c r="BD19" s="15" t="b">
        <f t="shared" ca="1" si="56"/>
        <v>1</v>
      </c>
      <c r="BE19" s="15" t="b">
        <f t="shared" ca="1" si="10"/>
        <v>1</v>
      </c>
      <c r="BF19" s="15">
        <f t="shared" ca="1" si="11"/>
        <v>23</v>
      </c>
      <c r="BG19" s="15">
        <f t="shared" ca="1" si="12"/>
        <v>23</v>
      </c>
      <c r="BH19" s="15">
        <f t="array" aca="1" ref="BH19" ca="1">IF(IFERROR( S19,1),1,IF(BC19="","", SUM(IF(ISERROR(INDIRECT(BC19)),1,0))))</f>
        <v>0</v>
      </c>
      <c r="BI19" s="15" t="b">
        <f t="shared" si="57"/>
        <v>1</v>
      </c>
      <c r="BJ19" s="15" t="b">
        <f t="shared" si="58"/>
        <v>0</v>
      </c>
      <c r="BK19" s="15">
        <f t="shared" ca="1" si="13"/>
        <v>1</v>
      </c>
      <c r="BL19" s="15">
        <f t="shared" ca="1" si="14"/>
        <v>1</v>
      </c>
      <c r="BP19" s="15" t="b">
        <f t="shared" si="30"/>
        <v>1</v>
      </c>
      <c r="BQ19" s="15" t="b">
        <f t="shared" ca="1" si="31"/>
        <v>0</v>
      </c>
      <c r="BR19" s="15" t="str">
        <f t="shared" ca="1" si="15"/>
        <v/>
      </c>
      <c r="BS19" s="15">
        <f t="shared" ca="1" si="32"/>
        <v>0</v>
      </c>
      <c r="BT19" s="15" t="str">
        <f t="shared" ca="1" si="16"/>
        <v/>
      </c>
      <c r="BV19" s="15" t="b">
        <f t="shared" ca="1" si="33"/>
        <v>0</v>
      </c>
      <c r="BW19" s="15" t="b">
        <f t="shared" ca="1" si="34"/>
        <v>0</v>
      </c>
      <c r="BX19" s="15" t="b">
        <f t="shared" ca="1" si="35"/>
        <v>0</v>
      </c>
      <c r="BY19" s="15" t="b">
        <f t="shared" ca="1" si="17"/>
        <v>0</v>
      </c>
      <c r="BZ19" s="15" t="b">
        <f t="shared" ca="1" si="36"/>
        <v>0</v>
      </c>
      <c r="CA19" s="15" t="b">
        <f t="shared" ca="1" si="59"/>
        <v>0</v>
      </c>
      <c r="CB19" s="15" t="b">
        <f t="shared" ca="1" si="60"/>
        <v>0</v>
      </c>
      <c r="CC19" s="15" t="b">
        <f t="shared" ca="1" si="61"/>
        <v>0</v>
      </c>
      <c r="CD19" s="15" t="b">
        <f t="shared" ca="1" si="61"/>
        <v>0</v>
      </c>
      <c r="CE19" s="15" t="b">
        <f t="shared" ca="1" si="37"/>
        <v>0</v>
      </c>
      <c r="CF19" s="15" t="b">
        <f t="shared" ca="1" si="62"/>
        <v>0</v>
      </c>
      <c r="CG19" s="15" t="b">
        <f t="shared" ca="1" si="63"/>
        <v>0</v>
      </c>
      <c r="CH19" s="15" t="b">
        <f t="shared" ca="1" si="18"/>
        <v>0</v>
      </c>
      <c r="CI19" s="15" t="b">
        <f t="shared" si="38"/>
        <v>0</v>
      </c>
      <c r="CJ19" s="15" t="b">
        <f t="shared" si="39"/>
        <v>0</v>
      </c>
      <c r="CK19" s="15" t="b">
        <f t="shared" ca="1" si="64"/>
        <v>0</v>
      </c>
      <c r="CL19" s="15" t="b">
        <f t="shared" ca="1" si="19"/>
        <v>0</v>
      </c>
      <c r="CM19" s="15" t="b">
        <f t="shared" ca="1" si="19"/>
        <v>0</v>
      </c>
      <c r="CN19" s="15" t="b">
        <f t="shared" ca="1" si="19"/>
        <v>0</v>
      </c>
      <c r="CO19" s="15" t="b">
        <f t="shared" ca="1" si="19"/>
        <v>0</v>
      </c>
      <c r="CP19" s="15" t="b">
        <f t="shared" ca="1" si="19"/>
        <v>0</v>
      </c>
      <c r="CQ19" s="15" t="b">
        <f t="shared" ca="1" si="19"/>
        <v>0</v>
      </c>
      <c r="CR19" s="21" t="b">
        <f t="shared" ca="1" si="19"/>
        <v>0</v>
      </c>
      <c r="CS19" s="22" t="b">
        <f t="shared" ca="1" si="20"/>
        <v>0</v>
      </c>
      <c r="CT19" s="22" t="b">
        <f t="shared" ca="1" si="20"/>
        <v>0</v>
      </c>
      <c r="CU19" s="22" t="b">
        <f t="shared" ca="1" si="20"/>
        <v>0</v>
      </c>
      <c r="CV19" s="22" t="b">
        <f t="shared" ca="1" si="20"/>
        <v>0</v>
      </c>
      <c r="CW19" s="22" t="b">
        <f t="shared" ca="1" si="20"/>
        <v>0</v>
      </c>
      <c r="CX19" s="22" t="b">
        <f t="shared" ca="1" si="20"/>
        <v>0</v>
      </c>
      <c r="CY19" s="22" t="b">
        <f t="shared" ca="1" si="20"/>
        <v>0</v>
      </c>
      <c r="CZ19" s="21" t="b">
        <f t="shared" ca="1" si="20"/>
        <v>0</v>
      </c>
      <c r="DB19" s="22" t="b">
        <f t="shared" ca="1" si="40"/>
        <v>0</v>
      </c>
      <c r="DC19" s="22" t="b">
        <f t="shared" ca="1" si="21"/>
        <v>0</v>
      </c>
      <c r="DD19" s="22" t="b">
        <f t="shared" ca="1" si="22"/>
        <v>0</v>
      </c>
      <c r="DE19" s="22" t="b">
        <f t="shared" ca="1" si="22"/>
        <v>0</v>
      </c>
      <c r="DF19" s="22" t="b">
        <f t="shared" ca="1" si="22"/>
        <v>0</v>
      </c>
      <c r="DG19" s="22" t="b">
        <f t="shared" ca="1" si="22"/>
        <v>0</v>
      </c>
      <c r="DH19" s="22" t="b">
        <f t="shared" ca="1" si="22"/>
        <v>0</v>
      </c>
      <c r="DI19" s="22" t="b">
        <f t="shared" ca="1" si="22"/>
        <v>0</v>
      </c>
      <c r="DJ19" s="22" t="b">
        <f t="shared" ca="1" si="22"/>
        <v>0</v>
      </c>
      <c r="DK19" s="22"/>
      <c r="DO19" s="15">
        <f t="shared" ca="1" si="23"/>
        <v>0</v>
      </c>
      <c r="DP19" s="15" t="str">
        <f t="shared" ca="1" si="23"/>
        <v/>
      </c>
      <c r="DQ19" s="15" t="str">
        <f t="shared" ca="1" si="23"/>
        <v/>
      </c>
      <c r="DR19" s="15" t="str">
        <f t="shared" ca="1" si="23"/>
        <v/>
      </c>
      <c r="DS19" s="15" t="str">
        <f t="shared" ca="1" si="23"/>
        <v/>
      </c>
      <c r="DT19" s="15" t="str">
        <f t="shared" ca="1" si="23"/>
        <v/>
      </c>
      <c r="DU19" s="15" t="str">
        <f t="shared" ca="1" si="23"/>
        <v/>
      </c>
      <c r="DV19" s="15" t="str">
        <f t="shared" ca="1" si="23"/>
        <v/>
      </c>
    </row>
    <row r="20" spans="1:126">
      <c r="A20" s="15">
        <f t="shared" si="24"/>
        <v>8</v>
      </c>
      <c r="B20" s="15" t="str">
        <f t="shared" ca="1" si="0"/>
        <v>ok.</v>
      </c>
      <c r="C20" s="15" t="s">
        <v>447</v>
      </c>
      <c r="D20" s="15" t="str">
        <f t="shared" si="25"/>
        <v>Zmienne IleLabelledMissings</v>
      </c>
      <c r="E20" s="15" t="s">
        <v>448</v>
      </c>
      <c r="G20" s="15" t="s">
        <v>88</v>
      </c>
      <c r="J20" s="19" t="str">
        <f ca="1">CELL(_CELL_ADDRESS_NAME,variables!M2)</f>
        <v>'[dane surowe2d.xlsm]variables'!$M$2</v>
      </c>
      <c r="K20" s="16">
        <f t="shared" si="65"/>
        <v>23</v>
      </c>
      <c r="M20" s="19"/>
      <c r="Q20" s="16"/>
      <c r="T20" s="15" t="str">
        <f t="shared" ca="1" si="1"/>
        <v>'[dane surowe2d.xlsm]variables'!$M$2:$M$24</v>
      </c>
      <c r="U20" s="15">
        <f t="shared" ca="1" si="2"/>
        <v>0</v>
      </c>
      <c r="V20" s="15" t="s">
        <v>115</v>
      </c>
      <c r="AD20" s="16" t="b">
        <f t="shared" si="41"/>
        <v>1</v>
      </c>
      <c r="AE20" s="16" t="b">
        <f t="shared" si="42"/>
        <v>0</v>
      </c>
      <c r="AF20" s="15" t="str">
        <f t="shared" ref="AF20:AF68" si="66">IF(AE20,"[" &amp; H20 &amp; "]" &amp; $B$2,"")</f>
        <v/>
      </c>
      <c r="AG20" s="15" t="str">
        <f t="shared" ca="1" si="4"/>
        <v/>
      </c>
      <c r="AH20" s="15" t="str">
        <f t="shared" ca="1" si="5"/>
        <v/>
      </c>
      <c r="AI20" s="15" t="b">
        <f t="shared" ca="1" si="6"/>
        <v>0</v>
      </c>
      <c r="AJ20" s="15" t="str">
        <f t="shared" ca="1" si="26"/>
        <v/>
      </c>
      <c r="AK20" s="27" t="str">
        <f t="shared" ca="1" si="43"/>
        <v/>
      </c>
      <c r="AL20" s="15" t="b">
        <f t="shared" ca="1" si="7"/>
        <v>0</v>
      </c>
      <c r="AM20" s="15" t="str">
        <f t="shared" ca="1" si="44"/>
        <v/>
      </c>
      <c r="AN20" s="15">
        <f t="shared" ca="1" si="45"/>
        <v>3</v>
      </c>
      <c r="AO20" s="15" t="str">
        <f t="shared" ca="1" si="27"/>
        <v/>
      </c>
      <c r="AP20" s="15" t="str">
        <f t="shared" ref="AP20:AP39" ca="1" si="67">IF(AQ20=2,INDEX(INDIRECT(AO20),AH20),"")</f>
        <v/>
      </c>
      <c r="AQ20" s="27">
        <f t="shared" ca="1" si="46"/>
        <v>1</v>
      </c>
      <c r="AR20" s="15" t="b">
        <f t="shared" ca="1" si="47"/>
        <v>1</v>
      </c>
      <c r="AS20" s="27" t="b">
        <f t="shared" ca="1" si="48"/>
        <v>1</v>
      </c>
      <c r="AT20" s="27" t="b">
        <f t="shared" ca="1" si="49"/>
        <v>1</v>
      </c>
      <c r="AU20" s="27">
        <f t="shared" ca="1" si="50"/>
        <v>21</v>
      </c>
      <c r="AV20" s="16" t="e">
        <f t="shared" ca="1" si="51"/>
        <v>#REF!</v>
      </c>
      <c r="AW20" s="15" t="str">
        <f t="shared" ca="1" si="9"/>
        <v>'[dane surowe2d.xlsm]variables'!$M$2</v>
      </c>
      <c r="AX20" s="27" t="b">
        <f t="shared" ca="1" si="52"/>
        <v>0</v>
      </c>
      <c r="AY20" s="27" t="b">
        <f t="shared" ca="1" si="53"/>
        <v>0</v>
      </c>
      <c r="AZ20" s="15">
        <f t="shared" ca="1" si="54"/>
        <v>1</v>
      </c>
      <c r="BA20" s="15">
        <f t="shared" ca="1" si="28"/>
        <v>23</v>
      </c>
      <c r="BB20" s="15" t="str">
        <f t="shared" ca="1" si="55"/>
        <v>'[dane surowe2d.xlsm]variables'!$M$2</v>
      </c>
      <c r="BC20" s="15" t="str">
        <f t="shared" ca="1" si="29"/>
        <v>'[dane surowe2d.xlsm]variables'!$M$2:$M$24</v>
      </c>
      <c r="BD20" s="15" t="b">
        <f t="shared" ca="1" si="56"/>
        <v>1</v>
      </c>
      <c r="BE20" s="15" t="b">
        <f t="shared" ca="1" si="10"/>
        <v>1</v>
      </c>
      <c r="BF20" s="15">
        <f t="shared" ca="1" si="11"/>
        <v>23</v>
      </c>
      <c r="BG20" s="15">
        <f t="shared" ca="1" si="12"/>
        <v>23</v>
      </c>
      <c r="BH20" s="15">
        <f t="array" aca="1" ref="BH20" ca="1">IF(IFERROR( S20,1),1,IF(BC20="","", SUM(IF(ISERROR(INDIRECT(BC20)),1,0))))</f>
        <v>0</v>
      </c>
      <c r="BI20" s="15" t="b">
        <f t="shared" si="57"/>
        <v>1</v>
      </c>
      <c r="BJ20" s="15" t="b">
        <f t="shared" si="58"/>
        <v>0</v>
      </c>
      <c r="BK20" s="15">
        <f t="shared" ca="1" si="13"/>
        <v>1</v>
      </c>
      <c r="BL20" s="15">
        <f t="shared" ca="1" si="14"/>
        <v>1</v>
      </c>
      <c r="BP20" s="15" t="b">
        <f t="shared" si="30"/>
        <v>1</v>
      </c>
      <c r="BQ20" s="15" t="b">
        <f t="shared" ca="1" si="31"/>
        <v>0</v>
      </c>
      <c r="BR20" s="15" t="str">
        <f t="shared" ca="1" si="15"/>
        <v/>
      </c>
      <c r="BS20" s="15">
        <f t="shared" ca="1" si="32"/>
        <v>0</v>
      </c>
      <c r="BT20" s="15" t="str">
        <f t="shared" ca="1" si="16"/>
        <v/>
      </c>
      <c r="BV20" s="15" t="b">
        <f t="shared" ca="1" si="33"/>
        <v>0</v>
      </c>
      <c r="BW20" s="15" t="b">
        <f t="shared" ca="1" si="34"/>
        <v>0</v>
      </c>
      <c r="BX20" s="15" t="b">
        <f t="shared" ca="1" si="35"/>
        <v>0</v>
      </c>
      <c r="BY20" s="15" t="b">
        <f t="shared" ca="1" si="17"/>
        <v>0</v>
      </c>
      <c r="BZ20" s="15" t="b">
        <f t="shared" ca="1" si="36"/>
        <v>0</v>
      </c>
      <c r="CA20" s="15" t="b">
        <f t="shared" ca="1" si="59"/>
        <v>0</v>
      </c>
      <c r="CB20" s="15" t="b">
        <f t="shared" ca="1" si="60"/>
        <v>0</v>
      </c>
      <c r="CC20" s="15" t="b">
        <f t="shared" ca="1" si="61"/>
        <v>0</v>
      </c>
      <c r="CD20" s="15" t="b">
        <f t="shared" ca="1" si="61"/>
        <v>0</v>
      </c>
      <c r="CE20" s="15" t="b">
        <f t="shared" ca="1" si="37"/>
        <v>0</v>
      </c>
      <c r="CF20" s="15" t="b">
        <f t="shared" ca="1" si="62"/>
        <v>0</v>
      </c>
      <c r="CG20" s="15" t="b">
        <f t="shared" ca="1" si="63"/>
        <v>0</v>
      </c>
      <c r="CH20" s="15" t="b">
        <f t="shared" ca="1" si="18"/>
        <v>0</v>
      </c>
      <c r="CI20" s="15" t="b">
        <f t="shared" si="38"/>
        <v>0</v>
      </c>
      <c r="CJ20" s="15" t="b">
        <f t="shared" si="39"/>
        <v>0</v>
      </c>
      <c r="CK20" s="15" t="b">
        <f t="shared" ca="1" si="64"/>
        <v>0</v>
      </c>
      <c r="CL20" s="15" t="b">
        <f t="shared" ca="1" si="19"/>
        <v>0</v>
      </c>
      <c r="CM20" s="15" t="b">
        <f t="shared" ca="1" si="19"/>
        <v>0</v>
      </c>
      <c r="CN20" s="15" t="b">
        <f t="shared" ca="1" si="19"/>
        <v>0</v>
      </c>
      <c r="CO20" s="15" t="b">
        <f t="shared" ca="1" si="19"/>
        <v>0</v>
      </c>
      <c r="CP20" s="15" t="b">
        <f t="shared" ca="1" si="19"/>
        <v>0</v>
      </c>
      <c r="CQ20" s="15" t="b">
        <f t="shared" ca="1" si="19"/>
        <v>0</v>
      </c>
      <c r="CR20" s="21" t="b">
        <f t="shared" ca="1" si="19"/>
        <v>0</v>
      </c>
      <c r="CS20" s="22" t="b">
        <f t="shared" ca="1" si="20"/>
        <v>0</v>
      </c>
      <c r="CT20" s="22" t="b">
        <f t="shared" ca="1" si="20"/>
        <v>0</v>
      </c>
      <c r="CU20" s="22" t="b">
        <f t="shared" ca="1" si="20"/>
        <v>0</v>
      </c>
      <c r="CV20" s="22" t="b">
        <f t="shared" ca="1" si="20"/>
        <v>0</v>
      </c>
      <c r="CW20" s="22" t="b">
        <f t="shared" ca="1" si="20"/>
        <v>0</v>
      </c>
      <c r="CX20" s="22" t="b">
        <f t="shared" ca="1" si="20"/>
        <v>0</v>
      </c>
      <c r="CY20" s="22" t="b">
        <f t="shared" ca="1" si="20"/>
        <v>0</v>
      </c>
      <c r="CZ20" s="21" t="b">
        <f t="shared" ca="1" si="20"/>
        <v>0</v>
      </c>
      <c r="DB20" s="22" t="b">
        <f t="shared" ca="1" si="40"/>
        <v>0</v>
      </c>
      <c r="DC20" s="22" t="b">
        <f t="shared" ca="1" si="21"/>
        <v>0</v>
      </c>
      <c r="DD20" s="22" t="b">
        <f t="shared" ca="1" si="22"/>
        <v>0</v>
      </c>
      <c r="DE20" s="22" t="b">
        <f t="shared" ca="1" si="22"/>
        <v>0</v>
      </c>
      <c r="DF20" s="22" t="b">
        <f t="shared" ca="1" si="22"/>
        <v>0</v>
      </c>
      <c r="DG20" s="22" t="b">
        <f t="shared" ca="1" si="22"/>
        <v>0</v>
      </c>
      <c r="DH20" s="22" t="b">
        <f t="shared" ca="1" si="22"/>
        <v>0</v>
      </c>
      <c r="DI20" s="22" t="b">
        <f t="shared" ca="1" si="22"/>
        <v>0</v>
      </c>
      <c r="DJ20" s="22" t="b">
        <f ca="1">AND(DV20=4)</f>
        <v>0</v>
      </c>
      <c r="DK20" s="22"/>
      <c r="DO20" s="15">
        <f t="shared" ca="1" si="23"/>
        <v>0</v>
      </c>
      <c r="DP20" s="15" t="str">
        <f t="shared" ca="1" si="23"/>
        <v/>
      </c>
      <c r="DQ20" s="15" t="str">
        <f t="shared" ca="1" si="23"/>
        <v/>
      </c>
      <c r="DR20" s="15" t="str">
        <f t="shared" ca="1" si="23"/>
        <v/>
      </c>
      <c r="DS20" s="15" t="str">
        <f t="shared" ca="1" si="23"/>
        <v/>
      </c>
      <c r="DT20" s="15" t="str">
        <f t="shared" ca="1" si="23"/>
        <v/>
      </c>
      <c r="DU20" s="15" t="str">
        <f t="shared" ca="1" si="23"/>
        <v/>
      </c>
      <c r="DV20" s="15" t="str">
        <f t="shared" ca="1" si="23"/>
        <v/>
      </c>
    </row>
    <row r="21" spans="1:126">
      <c r="A21" s="15">
        <f t="shared" si="24"/>
        <v>9</v>
      </c>
      <c r="B21" s="15" t="str">
        <f t="shared" ca="1" si="0"/>
        <v>ok.</v>
      </c>
      <c r="C21" s="15" t="s">
        <v>234</v>
      </c>
      <c r="D21" s="15" t="str">
        <f t="shared" si="25"/>
        <v>Zmienne ZakresEtykietEtykiet</v>
      </c>
      <c r="G21" s="15" t="s">
        <v>88</v>
      </c>
      <c r="J21" s="19" t="str">
        <f ca="1">CELL(_CELL_ADDRESS_NAME,LevelLabels)</f>
        <v>'[dane surowe2d.xlsm]variables'!$L$2</v>
      </c>
      <c r="K21" s="16">
        <f t="shared" si="65"/>
        <v>23</v>
      </c>
      <c r="M21" s="19"/>
      <c r="Q21" s="16"/>
      <c r="T21" s="15" t="str">
        <f t="shared" ca="1" si="1"/>
        <v>'[dane surowe2d.xlsm]variables'!$L$2:$L$24</v>
      </c>
      <c r="U21" s="15">
        <f t="shared" ca="1" si="2"/>
        <v>0</v>
      </c>
      <c r="V21" s="15" t="s">
        <v>115</v>
      </c>
      <c r="AD21" s="16" t="b">
        <f t="shared" si="41"/>
        <v>1</v>
      </c>
      <c r="AE21" s="16" t="b">
        <f t="shared" si="42"/>
        <v>0</v>
      </c>
      <c r="AF21" s="15" t="str">
        <f t="shared" si="66"/>
        <v/>
      </c>
      <c r="AG21" s="15" t="str">
        <f t="shared" ca="1" si="4"/>
        <v/>
      </c>
      <c r="AH21" s="15" t="str">
        <f t="shared" ca="1" si="5"/>
        <v/>
      </c>
      <c r="AI21" s="15" t="b">
        <f t="shared" ca="1" si="6"/>
        <v>0</v>
      </c>
      <c r="AJ21" s="15" t="str">
        <f t="shared" ca="1" si="26"/>
        <v/>
      </c>
      <c r="AK21" s="27" t="str">
        <f t="shared" ca="1" si="43"/>
        <v/>
      </c>
      <c r="AL21" s="15" t="b">
        <f t="shared" ca="1" si="7"/>
        <v>0</v>
      </c>
      <c r="AM21" s="15" t="str">
        <f t="shared" ca="1" si="44"/>
        <v/>
      </c>
      <c r="AN21" s="15">
        <f t="shared" ca="1" si="45"/>
        <v>3</v>
      </c>
      <c r="AO21" s="15" t="str">
        <f t="shared" ca="1" si="27"/>
        <v/>
      </c>
      <c r="AP21" s="15" t="str">
        <f t="shared" ca="1" si="67"/>
        <v/>
      </c>
      <c r="AQ21" s="27">
        <f t="shared" ca="1" si="46"/>
        <v>1</v>
      </c>
      <c r="AR21" s="15" t="b">
        <f t="shared" ca="1" si="47"/>
        <v>1</v>
      </c>
      <c r="AS21" s="27" t="b">
        <f t="shared" ca="1" si="48"/>
        <v>1</v>
      </c>
      <c r="AT21" s="27" t="b">
        <f t="shared" ca="1" si="49"/>
        <v>1</v>
      </c>
      <c r="AU21" s="27">
        <f t="shared" ca="1" si="50"/>
        <v>21</v>
      </c>
      <c r="AV21" s="16" t="e">
        <f t="shared" ca="1" si="51"/>
        <v>#REF!</v>
      </c>
      <c r="AW21" s="15" t="str">
        <f t="shared" ca="1" si="9"/>
        <v>'[dane surowe2d.xlsm]variables'!$L$2</v>
      </c>
      <c r="AX21" s="27" t="b">
        <f t="shared" ca="1" si="52"/>
        <v>0</v>
      </c>
      <c r="AY21" s="27" t="b">
        <f t="shared" ca="1" si="53"/>
        <v>0</v>
      </c>
      <c r="AZ21" s="15">
        <f t="shared" ca="1" si="54"/>
        <v>1</v>
      </c>
      <c r="BA21" s="15">
        <f t="shared" ca="1" si="28"/>
        <v>23</v>
      </c>
      <c r="BB21" s="15" t="str">
        <f t="shared" ca="1" si="55"/>
        <v>'[dane surowe2d.xlsm]variables'!$L$2</v>
      </c>
      <c r="BC21" s="15" t="str">
        <f t="shared" ca="1" si="29"/>
        <v>'[dane surowe2d.xlsm]variables'!$L$2:$L$24</v>
      </c>
      <c r="BD21" s="15" t="b">
        <f t="shared" ca="1" si="56"/>
        <v>1</v>
      </c>
      <c r="BE21" s="15" t="b">
        <f t="shared" ca="1" si="10"/>
        <v>1</v>
      </c>
      <c r="BF21" s="15">
        <f t="shared" ca="1" si="11"/>
        <v>23</v>
      </c>
      <c r="BG21" s="15">
        <f t="shared" ca="1" si="12"/>
        <v>23</v>
      </c>
      <c r="BH21" s="15">
        <f t="array" aca="1" ref="BH21" ca="1">IF(IFERROR( S21,1),1,IF(BC21="","", SUM(IF(ISERROR(INDIRECT(BC21)),1,0))))</f>
        <v>0</v>
      </c>
      <c r="BI21" s="15" t="b">
        <f t="shared" si="57"/>
        <v>1</v>
      </c>
      <c r="BJ21" s="15" t="b">
        <f t="shared" si="58"/>
        <v>0</v>
      </c>
      <c r="BK21" s="15">
        <f t="shared" ca="1" si="13"/>
        <v>1</v>
      </c>
      <c r="BL21" s="15">
        <f t="shared" ca="1" si="14"/>
        <v>1</v>
      </c>
      <c r="BP21" s="15" t="b">
        <f t="shared" si="30"/>
        <v>1</v>
      </c>
      <c r="BQ21" s="15" t="b">
        <f t="shared" ca="1" si="31"/>
        <v>0</v>
      </c>
      <c r="BR21" s="15" t="str">
        <f t="shared" ca="1" si="15"/>
        <v/>
      </c>
      <c r="BS21" s="15">
        <f t="shared" ca="1" si="32"/>
        <v>0</v>
      </c>
      <c r="BT21" s="15" t="str">
        <f t="shared" ca="1" si="16"/>
        <v/>
      </c>
      <c r="BV21" s="15" t="b">
        <f t="shared" ca="1" si="33"/>
        <v>0</v>
      </c>
      <c r="BW21" s="15" t="b">
        <f t="shared" ca="1" si="34"/>
        <v>0</v>
      </c>
      <c r="BX21" s="15" t="b">
        <f t="shared" ca="1" si="35"/>
        <v>0</v>
      </c>
      <c r="BY21" s="15" t="b">
        <f t="shared" ca="1" si="17"/>
        <v>0</v>
      </c>
      <c r="BZ21" s="15" t="b">
        <f t="shared" ca="1" si="36"/>
        <v>0</v>
      </c>
      <c r="CA21" s="15" t="b">
        <f t="shared" ca="1" si="59"/>
        <v>0</v>
      </c>
      <c r="CB21" s="15" t="b">
        <f t="shared" ca="1" si="60"/>
        <v>0</v>
      </c>
      <c r="CC21" s="15" t="b">
        <f t="shared" ca="1" si="61"/>
        <v>0</v>
      </c>
      <c r="CD21" s="15" t="b">
        <f t="shared" ca="1" si="61"/>
        <v>0</v>
      </c>
      <c r="CE21" s="15" t="b">
        <f t="shared" ca="1" si="37"/>
        <v>0</v>
      </c>
      <c r="CF21" s="15" t="b">
        <f t="shared" ca="1" si="62"/>
        <v>0</v>
      </c>
      <c r="CG21" s="15" t="b">
        <f t="shared" ca="1" si="63"/>
        <v>0</v>
      </c>
      <c r="CH21" s="15" t="b">
        <f t="shared" ca="1" si="18"/>
        <v>0</v>
      </c>
      <c r="CI21" s="15" t="b">
        <f t="shared" si="38"/>
        <v>0</v>
      </c>
      <c r="CJ21" s="15" t="b">
        <f t="shared" si="39"/>
        <v>0</v>
      </c>
      <c r="CK21" s="15" t="b">
        <f t="shared" ca="1" si="64"/>
        <v>0</v>
      </c>
      <c r="CL21" s="15" t="b">
        <f t="shared" ca="1" si="19"/>
        <v>0</v>
      </c>
      <c r="CM21" s="15" t="b">
        <f t="shared" ca="1" si="19"/>
        <v>0</v>
      </c>
      <c r="CN21" s="15" t="b">
        <f t="shared" ca="1" si="19"/>
        <v>0</v>
      </c>
      <c r="CO21" s="15" t="b">
        <f t="shared" ca="1" si="19"/>
        <v>0</v>
      </c>
      <c r="CP21" s="15" t="b">
        <f t="shared" ca="1" si="19"/>
        <v>0</v>
      </c>
      <c r="CQ21" s="15" t="b">
        <f t="shared" ca="1" si="19"/>
        <v>0</v>
      </c>
      <c r="CR21" s="21" t="b">
        <f t="shared" ca="1" si="19"/>
        <v>0</v>
      </c>
      <c r="CS21" s="22" t="b">
        <f t="shared" ca="1" si="20"/>
        <v>0</v>
      </c>
      <c r="CT21" s="22" t="b">
        <f t="shared" ca="1" si="20"/>
        <v>0</v>
      </c>
      <c r="CU21" s="22" t="b">
        <f t="shared" ca="1" si="20"/>
        <v>0</v>
      </c>
      <c r="CV21" s="22" t="b">
        <f t="shared" ca="1" si="20"/>
        <v>0</v>
      </c>
      <c r="CW21" s="22" t="b">
        <f t="shared" ca="1" si="20"/>
        <v>0</v>
      </c>
      <c r="CX21" s="22" t="b">
        <f t="shared" ca="1" si="20"/>
        <v>0</v>
      </c>
      <c r="CY21" s="22" t="b">
        <f t="shared" ca="1" si="20"/>
        <v>0</v>
      </c>
      <c r="CZ21" s="21" t="b">
        <f t="shared" ca="1" si="20"/>
        <v>0</v>
      </c>
      <c r="DB21" s="22" t="b">
        <f t="shared" ca="1" si="40"/>
        <v>0</v>
      </c>
      <c r="DC21" s="22" t="b">
        <f t="shared" ca="1" si="21"/>
        <v>0</v>
      </c>
      <c r="DD21" s="22" t="b">
        <f t="shared" ca="1" si="22"/>
        <v>0</v>
      </c>
      <c r="DE21" s="22" t="b">
        <f t="shared" ca="1" si="22"/>
        <v>0</v>
      </c>
      <c r="DF21" s="22" t="b">
        <f t="shared" ca="1" si="22"/>
        <v>0</v>
      </c>
      <c r="DG21" s="22" t="b">
        <f t="shared" ca="1" si="22"/>
        <v>0</v>
      </c>
      <c r="DH21" s="22" t="b">
        <f t="shared" ca="1" si="22"/>
        <v>0</v>
      </c>
      <c r="DI21" s="22" t="b">
        <f t="shared" ca="1" si="22"/>
        <v>0</v>
      </c>
      <c r="DJ21" s="22" t="b">
        <f t="shared" ca="1" si="22"/>
        <v>0</v>
      </c>
      <c r="DK21" s="22"/>
      <c r="DO21" s="15">
        <f t="shared" ca="1" si="23"/>
        <v>0</v>
      </c>
      <c r="DP21" s="15" t="str">
        <f t="shared" ca="1" si="23"/>
        <v/>
      </c>
      <c r="DQ21" s="15" t="str">
        <f t="shared" ca="1" si="23"/>
        <v/>
      </c>
      <c r="DR21" s="15" t="str">
        <f t="shared" ca="1" si="23"/>
        <v/>
      </c>
      <c r="DS21" s="15" t="str">
        <f t="shared" ca="1" si="23"/>
        <v/>
      </c>
      <c r="DT21" s="15" t="str">
        <f t="shared" ca="1" si="23"/>
        <v/>
      </c>
      <c r="DU21" s="15" t="str">
        <f t="shared" ca="1" si="23"/>
        <v/>
      </c>
      <c r="DV21" s="15" t="str">
        <f t="shared" ca="1" si="23"/>
        <v/>
      </c>
    </row>
    <row r="22" spans="1:126">
      <c r="A22" s="15">
        <f t="shared" si="24"/>
        <v>10</v>
      </c>
      <c r="B22" s="15" t="str">
        <f t="shared" ca="1" si="0"/>
        <v>ok.</v>
      </c>
      <c r="C22" s="15" t="s">
        <v>235</v>
      </c>
      <c r="D22" s="15" t="str">
        <f t="shared" si="25"/>
        <v>Zmienne ZakresEtykietWartosci</v>
      </c>
      <c r="G22" s="15" t="s">
        <v>88</v>
      </c>
      <c r="J22" s="19" t="str">
        <f ca="1">CELL(_CELL_ADDRESS_NAME,LevelValues)</f>
        <v>'[dane surowe2d.xlsm]variables'!$K$2</v>
      </c>
      <c r="K22" s="16">
        <f t="shared" si="65"/>
        <v>23</v>
      </c>
      <c r="M22" s="19"/>
      <c r="Q22" s="16"/>
      <c r="T22" s="15" t="str">
        <f t="shared" ca="1" si="1"/>
        <v>'[dane surowe2d.xlsm]variables'!$K$2:$K$24</v>
      </c>
      <c r="U22" s="15">
        <f t="shared" ca="1" si="2"/>
        <v>0</v>
      </c>
      <c r="V22" s="15" t="s">
        <v>115</v>
      </c>
      <c r="AD22" s="16" t="b">
        <f t="shared" si="41"/>
        <v>1</v>
      </c>
      <c r="AE22" s="16" t="b">
        <f t="shared" si="42"/>
        <v>0</v>
      </c>
      <c r="AF22" s="15" t="str">
        <f t="shared" si="66"/>
        <v/>
      </c>
      <c r="AG22" s="15" t="str">
        <f t="shared" ca="1" si="4"/>
        <v/>
      </c>
      <c r="AH22" s="15" t="str">
        <f t="shared" ca="1" si="5"/>
        <v/>
      </c>
      <c r="AI22" s="15" t="b">
        <f t="shared" ca="1" si="6"/>
        <v>0</v>
      </c>
      <c r="AJ22" s="15" t="str">
        <f t="shared" ca="1" si="26"/>
        <v/>
      </c>
      <c r="AK22" s="27" t="str">
        <f t="shared" ca="1" si="43"/>
        <v/>
      </c>
      <c r="AL22" s="15" t="b">
        <f t="shared" ca="1" si="7"/>
        <v>0</v>
      </c>
      <c r="AM22" s="15" t="str">
        <f t="shared" ca="1" si="44"/>
        <v/>
      </c>
      <c r="AN22" s="15">
        <f t="shared" ca="1" si="45"/>
        <v>3</v>
      </c>
      <c r="AO22" s="15" t="str">
        <f t="shared" ca="1" si="27"/>
        <v/>
      </c>
      <c r="AP22" s="15" t="str">
        <f t="shared" ca="1" si="67"/>
        <v/>
      </c>
      <c r="AQ22" s="27">
        <f t="shared" ca="1" si="46"/>
        <v>1</v>
      </c>
      <c r="AR22" s="15" t="b">
        <f t="shared" ca="1" si="47"/>
        <v>1</v>
      </c>
      <c r="AS22" s="27" t="b">
        <f t="shared" ca="1" si="48"/>
        <v>1</v>
      </c>
      <c r="AT22" s="27" t="b">
        <f t="shared" ca="1" si="49"/>
        <v>1</v>
      </c>
      <c r="AU22" s="27">
        <f t="shared" ca="1" si="50"/>
        <v>21</v>
      </c>
      <c r="AV22" s="16" t="e">
        <f t="shared" ca="1" si="51"/>
        <v>#REF!</v>
      </c>
      <c r="AW22" s="15" t="str">
        <f t="shared" ca="1" si="9"/>
        <v>'[dane surowe2d.xlsm]variables'!$K$2</v>
      </c>
      <c r="AX22" s="27" t="b">
        <f t="shared" ca="1" si="52"/>
        <v>0</v>
      </c>
      <c r="AY22" s="27" t="b">
        <f t="shared" ca="1" si="53"/>
        <v>0</v>
      </c>
      <c r="AZ22" s="15">
        <f t="shared" ca="1" si="54"/>
        <v>1</v>
      </c>
      <c r="BA22" s="15">
        <f t="shared" ca="1" si="28"/>
        <v>23</v>
      </c>
      <c r="BB22" s="15" t="str">
        <f t="shared" ca="1" si="55"/>
        <v>'[dane surowe2d.xlsm]variables'!$K$2</v>
      </c>
      <c r="BC22" s="15" t="str">
        <f t="shared" ca="1" si="29"/>
        <v>'[dane surowe2d.xlsm]variables'!$K$2:$K$24</v>
      </c>
      <c r="BD22" s="15" t="b">
        <f t="shared" ca="1" si="56"/>
        <v>1</v>
      </c>
      <c r="BE22" s="15" t="b">
        <f t="shared" ca="1" si="10"/>
        <v>1</v>
      </c>
      <c r="BF22" s="15">
        <f t="shared" ca="1" si="11"/>
        <v>23</v>
      </c>
      <c r="BG22" s="15">
        <f t="shared" ca="1" si="12"/>
        <v>23</v>
      </c>
      <c r="BH22" s="15">
        <f t="array" aca="1" ref="BH22" ca="1">IF(IFERROR( S22,1),1,IF(BC22="","", SUM(IF(ISERROR(INDIRECT(BC22)),1,0))))</f>
        <v>0</v>
      </c>
      <c r="BI22" s="15" t="b">
        <f t="shared" si="57"/>
        <v>1</v>
      </c>
      <c r="BJ22" s="15" t="b">
        <f t="shared" si="58"/>
        <v>0</v>
      </c>
      <c r="BK22" s="15">
        <f t="shared" ca="1" si="13"/>
        <v>1</v>
      </c>
      <c r="BL22" s="15">
        <f t="shared" ca="1" si="14"/>
        <v>1</v>
      </c>
      <c r="BP22" s="15" t="b">
        <f t="shared" si="30"/>
        <v>1</v>
      </c>
      <c r="BQ22" s="15" t="b">
        <f t="shared" ca="1" si="31"/>
        <v>0</v>
      </c>
      <c r="BR22" s="15" t="str">
        <f t="shared" ca="1" si="15"/>
        <v/>
      </c>
      <c r="BS22" s="15">
        <f t="shared" ca="1" si="32"/>
        <v>0</v>
      </c>
      <c r="BT22" s="15" t="str">
        <f t="shared" ca="1" si="16"/>
        <v/>
      </c>
      <c r="BV22" s="15" t="b">
        <f t="shared" ca="1" si="33"/>
        <v>0</v>
      </c>
      <c r="BW22" s="15" t="b">
        <f t="shared" ca="1" si="34"/>
        <v>0</v>
      </c>
      <c r="BX22" s="15" t="b">
        <f t="shared" ca="1" si="35"/>
        <v>0</v>
      </c>
      <c r="BY22" s="15" t="b">
        <f t="shared" ca="1" si="17"/>
        <v>0</v>
      </c>
      <c r="BZ22" s="15" t="b">
        <f t="shared" ca="1" si="36"/>
        <v>0</v>
      </c>
      <c r="CA22" s="15" t="b">
        <f t="shared" ca="1" si="59"/>
        <v>0</v>
      </c>
      <c r="CB22" s="15" t="b">
        <f t="shared" ca="1" si="60"/>
        <v>0</v>
      </c>
      <c r="CC22" s="15" t="b">
        <f t="shared" ca="1" si="61"/>
        <v>0</v>
      </c>
      <c r="CD22" s="15" t="b">
        <f t="shared" ca="1" si="61"/>
        <v>0</v>
      </c>
      <c r="CE22" s="15" t="b">
        <f t="shared" ca="1" si="37"/>
        <v>0</v>
      </c>
      <c r="CF22" s="15" t="b">
        <f t="shared" ca="1" si="62"/>
        <v>0</v>
      </c>
      <c r="CG22" s="15" t="b">
        <f t="shared" ca="1" si="63"/>
        <v>0</v>
      </c>
      <c r="CH22" s="15" t="b">
        <f t="shared" ca="1" si="18"/>
        <v>0</v>
      </c>
      <c r="CI22" s="15" t="b">
        <f t="shared" si="38"/>
        <v>0</v>
      </c>
      <c r="CJ22" s="15" t="b">
        <f t="shared" si="39"/>
        <v>0</v>
      </c>
      <c r="CK22" s="15" t="b">
        <f t="shared" ca="1" si="64"/>
        <v>0</v>
      </c>
      <c r="CL22" s="15" t="b">
        <f t="shared" ca="1" si="19"/>
        <v>0</v>
      </c>
      <c r="CM22" s="15" t="b">
        <f t="shared" ca="1" si="19"/>
        <v>0</v>
      </c>
      <c r="CN22" s="15" t="b">
        <f t="shared" ca="1" si="19"/>
        <v>0</v>
      </c>
      <c r="CO22" s="15" t="b">
        <f t="shared" ca="1" si="19"/>
        <v>0</v>
      </c>
      <c r="CP22" s="15" t="b">
        <f t="shared" ca="1" si="19"/>
        <v>0</v>
      </c>
      <c r="CQ22" s="15" t="b">
        <f t="shared" ca="1" si="19"/>
        <v>0</v>
      </c>
      <c r="CR22" s="21" t="b">
        <f t="shared" ca="1" si="19"/>
        <v>0</v>
      </c>
      <c r="CS22" s="22" t="b">
        <f t="shared" ca="1" si="20"/>
        <v>0</v>
      </c>
      <c r="CT22" s="22" t="b">
        <f t="shared" ca="1" si="20"/>
        <v>0</v>
      </c>
      <c r="CU22" s="22" t="b">
        <f t="shared" ca="1" si="20"/>
        <v>0</v>
      </c>
      <c r="CV22" s="22" t="b">
        <f t="shared" ca="1" si="20"/>
        <v>0</v>
      </c>
      <c r="CW22" s="22" t="b">
        <f t="shared" ca="1" si="20"/>
        <v>0</v>
      </c>
      <c r="CX22" s="22" t="b">
        <f t="shared" ca="1" si="20"/>
        <v>0</v>
      </c>
      <c r="CY22" s="22" t="b">
        <f t="shared" ca="1" si="20"/>
        <v>0</v>
      </c>
      <c r="CZ22" s="21" t="b">
        <f t="shared" ca="1" si="20"/>
        <v>0</v>
      </c>
      <c r="DB22" s="22" t="b">
        <f t="shared" ca="1" si="40"/>
        <v>0</v>
      </c>
      <c r="DC22" s="22" t="b">
        <f t="shared" ca="1" si="21"/>
        <v>0</v>
      </c>
      <c r="DD22" s="22" t="b">
        <f t="shared" ca="1" si="22"/>
        <v>0</v>
      </c>
      <c r="DE22" s="22" t="b">
        <f t="shared" ca="1" si="22"/>
        <v>0</v>
      </c>
      <c r="DF22" s="22" t="b">
        <f t="shared" ca="1" si="22"/>
        <v>0</v>
      </c>
      <c r="DG22" s="22" t="b">
        <f t="shared" ca="1" si="22"/>
        <v>0</v>
      </c>
      <c r="DH22" s="22" t="b">
        <f t="shared" ca="1" si="22"/>
        <v>0</v>
      </c>
      <c r="DI22" s="22" t="b">
        <f t="shared" ca="1" si="22"/>
        <v>0</v>
      </c>
      <c r="DJ22" s="22" t="b">
        <f t="shared" ca="1" si="22"/>
        <v>0</v>
      </c>
      <c r="DK22" s="22"/>
      <c r="DO22" s="15">
        <f t="shared" ca="1" si="23"/>
        <v>0</v>
      </c>
      <c r="DP22" s="15" t="str">
        <f t="shared" ca="1" si="23"/>
        <v/>
      </c>
      <c r="DQ22" s="15" t="str">
        <f t="shared" ca="1" si="23"/>
        <v/>
      </c>
      <c r="DR22" s="15" t="str">
        <f t="shared" ca="1" si="23"/>
        <v/>
      </c>
      <c r="DS22" s="15" t="str">
        <f t="shared" ca="1" si="23"/>
        <v/>
      </c>
      <c r="DT22" s="15" t="str">
        <f t="shared" ca="1" si="23"/>
        <v/>
      </c>
      <c r="DU22" s="15" t="str">
        <f t="shared" ca="1" si="23"/>
        <v/>
      </c>
      <c r="DV22" s="15" t="str">
        <f t="shared" ca="1" si="23"/>
        <v/>
      </c>
    </row>
    <row r="23" spans="1:126">
      <c r="A23" s="15">
        <f t="shared" si="24"/>
        <v>11</v>
      </c>
      <c r="B23" s="15" t="str">
        <f t="shared" ref="B23:B49" ca="1" si="68">IF(AD23,IF(BS23&gt;0,BT23,IF(DA23,"Pole zależy od pól, które zależą od zamkniętego workbooka","ok.")),"")</f>
        <v>ok.</v>
      </c>
      <c r="C23" s="15" t="s">
        <v>94</v>
      </c>
      <c r="D23" s="15" t="str">
        <f t="shared" si="25"/>
        <v>Zmienne ZakresWartosci</v>
      </c>
      <c r="G23" s="15" t="s">
        <v>88</v>
      </c>
      <c r="J23" s="19" t="str">
        <f ca="1">CELL(_CELL_ADDRESS_NAME,variables!Q2)</f>
        <v>'[dane surowe2d.xlsm]variables'!$Q$2</v>
      </c>
      <c r="K23" s="16">
        <f t="shared" si="65"/>
        <v>23</v>
      </c>
      <c r="M23" s="19"/>
      <c r="Q23" s="16"/>
      <c r="T23" s="15" t="str">
        <f t="shared" ref="T23:T59" ca="1" si="69">BC23</f>
        <v>'[dane surowe2d.xlsm]variables'!$Q$2:$Q$24</v>
      </c>
      <c r="U23" s="15">
        <f t="shared" ref="U23:U48" ca="1" si="70">IF(AD23,BS23,"")</f>
        <v>0</v>
      </c>
      <c r="V23" s="15" t="s">
        <v>115</v>
      </c>
      <c r="AD23" s="16" t="b">
        <f t="shared" si="41"/>
        <v>1</v>
      </c>
      <c r="AE23" s="16" t="b">
        <f t="shared" si="42"/>
        <v>0</v>
      </c>
      <c r="AF23" s="15" t="str">
        <f t="shared" si="66"/>
        <v/>
      </c>
      <c r="AG23" s="15" t="str">
        <f t="shared" ca="1" si="4"/>
        <v/>
      </c>
      <c r="AH23" s="15" t="str">
        <f t="shared" ca="1" si="5"/>
        <v/>
      </c>
      <c r="AI23" s="15" t="b">
        <f t="shared" ca="1" si="6"/>
        <v>0</v>
      </c>
      <c r="AJ23" s="15" t="str">
        <f t="shared" ca="1" si="26"/>
        <v/>
      </c>
      <c r="AK23" s="27" t="str">
        <f t="shared" ca="1" si="43"/>
        <v/>
      </c>
      <c r="AL23" s="15" t="b">
        <f t="shared" ca="1" si="7"/>
        <v>0</v>
      </c>
      <c r="AM23" s="15" t="str">
        <f t="shared" ca="1" si="44"/>
        <v/>
      </c>
      <c r="AN23" s="15">
        <f t="shared" ca="1" si="45"/>
        <v>3</v>
      </c>
      <c r="AO23" s="15" t="str">
        <f t="shared" ca="1" si="27"/>
        <v/>
      </c>
      <c r="AP23" s="15" t="str">
        <f t="shared" ca="1" si="67"/>
        <v/>
      </c>
      <c r="AQ23" s="27">
        <f t="shared" ca="1" si="46"/>
        <v>1</v>
      </c>
      <c r="AR23" s="15" t="b">
        <f t="shared" ca="1" si="47"/>
        <v>1</v>
      </c>
      <c r="AS23" s="27" t="b">
        <f t="shared" ca="1" si="48"/>
        <v>1</v>
      </c>
      <c r="AT23" s="27" t="b">
        <f t="shared" ca="1" si="49"/>
        <v>1</v>
      </c>
      <c r="AU23" s="27">
        <f t="shared" ca="1" si="50"/>
        <v>21</v>
      </c>
      <c r="AV23" s="16" t="e">
        <f t="shared" ca="1" si="51"/>
        <v>#REF!</v>
      </c>
      <c r="AW23" s="15" t="str">
        <f t="shared" ca="1" si="9"/>
        <v>'[dane surowe2d.xlsm]variables'!$Q$2</v>
      </c>
      <c r="AX23" s="27" t="b">
        <f t="shared" ca="1" si="52"/>
        <v>0</v>
      </c>
      <c r="AY23" s="27" t="b">
        <f t="shared" ca="1" si="53"/>
        <v>0</v>
      </c>
      <c r="AZ23" s="15">
        <f t="shared" ca="1" si="54"/>
        <v>1</v>
      </c>
      <c r="BA23" s="15">
        <f t="shared" ca="1" si="28"/>
        <v>23</v>
      </c>
      <c r="BB23" s="15" t="str">
        <f t="shared" ca="1" si="55"/>
        <v>'[dane surowe2d.xlsm]variables'!$Q$2</v>
      </c>
      <c r="BC23" s="15" t="str">
        <f t="shared" ca="1" si="29"/>
        <v>'[dane surowe2d.xlsm]variables'!$Q$2:$Q$24</v>
      </c>
      <c r="BD23" s="15" t="b">
        <f t="shared" ca="1" si="56"/>
        <v>1</v>
      </c>
      <c r="BE23" s="15" t="b">
        <f t="shared" ca="1" si="10"/>
        <v>1</v>
      </c>
      <c r="BF23" s="15">
        <f t="shared" ca="1" si="11"/>
        <v>23</v>
      </c>
      <c r="BG23" s="15">
        <f t="shared" ca="1" si="12"/>
        <v>23</v>
      </c>
      <c r="BH23" s="15">
        <f t="array" aca="1" ref="BH23" ca="1">IF(IFERROR( S23,1),1,IF(BC23="","", SUM(IF(ISERROR(INDIRECT(BC23)),1,0))))</f>
        <v>0</v>
      </c>
      <c r="BI23" s="15" t="b">
        <f t="shared" si="57"/>
        <v>1</v>
      </c>
      <c r="BJ23" s="15" t="b">
        <f t="shared" si="58"/>
        <v>0</v>
      </c>
      <c r="BK23" s="15">
        <f t="shared" ca="1" si="13"/>
        <v>1</v>
      </c>
      <c r="BL23" s="15">
        <f t="shared" ca="1" si="14"/>
        <v>1</v>
      </c>
      <c r="BP23" s="15" t="b">
        <f t="shared" si="30"/>
        <v>1</v>
      </c>
      <c r="BQ23" s="15" t="b">
        <f t="shared" ca="1" si="31"/>
        <v>0</v>
      </c>
      <c r="BR23" s="15" t="str">
        <f t="shared" ca="1" si="15"/>
        <v/>
      </c>
      <c r="BS23" s="15">
        <f t="shared" ca="1" si="32"/>
        <v>0</v>
      </c>
      <c r="BT23" s="15" t="str">
        <f t="shared" ca="1" si="16"/>
        <v/>
      </c>
      <c r="BV23" s="15" t="b">
        <f t="shared" ca="1" si="33"/>
        <v>0</v>
      </c>
      <c r="BW23" s="15" t="b">
        <f t="shared" ca="1" si="34"/>
        <v>0</v>
      </c>
      <c r="BX23" s="15" t="b">
        <f t="shared" ca="1" si="35"/>
        <v>0</v>
      </c>
      <c r="BY23" s="15" t="b">
        <f t="shared" ca="1" si="17"/>
        <v>0</v>
      </c>
      <c r="BZ23" s="15" t="b">
        <f t="shared" ca="1" si="36"/>
        <v>0</v>
      </c>
      <c r="CA23" s="15" t="b">
        <f t="shared" ca="1" si="59"/>
        <v>0</v>
      </c>
      <c r="CB23" s="15" t="b">
        <f t="shared" ca="1" si="60"/>
        <v>0</v>
      </c>
      <c r="CC23" s="15" t="b">
        <f t="shared" ca="1" si="61"/>
        <v>0</v>
      </c>
      <c r="CD23" s="15" t="b">
        <f t="shared" ca="1" si="61"/>
        <v>0</v>
      </c>
      <c r="CE23" s="15" t="b">
        <f t="shared" ca="1" si="37"/>
        <v>0</v>
      </c>
      <c r="CF23" s="15" t="b">
        <f t="shared" ca="1" si="62"/>
        <v>0</v>
      </c>
      <c r="CG23" s="15" t="b">
        <f t="shared" ca="1" si="63"/>
        <v>0</v>
      </c>
      <c r="CH23" s="15" t="b">
        <f t="shared" ca="1" si="18"/>
        <v>0</v>
      </c>
      <c r="CI23" s="15" t="b">
        <f t="shared" si="38"/>
        <v>0</v>
      </c>
      <c r="CJ23" s="15" t="b">
        <f t="shared" si="39"/>
        <v>0</v>
      </c>
      <c r="CK23" s="15" t="b">
        <f t="shared" ca="1" si="64"/>
        <v>0</v>
      </c>
      <c r="CL23" s="15" t="b">
        <f t="shared" ca="1" si="19"/>
        <v>0</v>
      </c>
      <c r="CM23" s="15" t="b">
        <f t="shared" ca="1" si="19"/>
        <v>0</v>
      </c>
      <c r="CN23" s="15" t="b">
        <f t="shared" ca="1" si="19"/>
        <v>0</v>
      </c>
      <c r="CO23" s="15" t="b">
        <f t="shared" ca="1" si="19"/>
        <v>0</v>
      </c>
      <c r="CP23" s="15" t="b">
        <f t="shared" ca="1" si="19"/>
        <v>0</v>
      </c>
      <c r="CQ23" s="15" t="b">
        <f t="shared" ca="1" si="19"/>
        <v>0</v>
      </c>
      <c r="CR23" s="21" t="b">
        <f t="shared" ca="1" si="19"/>
        <v>0</v>
      </c>
      <c r="CS23" s="22" t="b">
        <f t="shared" ca="1" si="20"/>
        <v>0</v>
      </c>
      <c r="CT23" s="22" t="b">
        <f t="shared" ca="1" si="20"/>
        <v>0</v>
      </c>
      <c r="CU23" s="22" t="b">
        <f t="shared" ca="1" si="20"/>
        <v>0</v>
      </c>
      <c r="CV23" s="22" t="b">
        <f t="shared" ca="1" si="20"/>
        <v>0</v>
      </c>
      <c r="CW23" s="22" t="b">
        <f t="shared" ca="1" si="20"/>
        <v>0</v>
      </c>
      <c r="CX23" s="22" t="b">
        <f t="shared" ca="1" si="20"/>
        <v>0</v>
      </c>
      <c r="CY23" s="22" t="b">
        <f t="shared" ca="1" si="20"/>
        <v>0</v>
      </c>
      <c r="CZ23" s="21" t="b">
        <f t="shared" ca="1" si="20"/>
        <v>0</v>
      </c>
      <c r="DB23" s="22" t="b">
        <f t="shared" ca="1" si="40"/>
        <v>0</v>
      </c>
      <c r="DC23" s="22" t="b">
        <f t="shared" ca="1" si="21"/>
        <v>0</v>
      </c>
      <c r="DD23" s="22" t="b">
        <f t="shared" ca="1" si="22"/>
        <v>0</v>
      </c>
      <c r="DE23" s="22" t="b">
        <f t="shared" ca="1" si="22"/>
        <v>0</v>
      </c>
      <c r="DF23" s="22" t="b">
        <f t="shared" ca="1" si="22"/>
        <v>0</v>
      </c>
      <c r="DG23" s="22" t="b">
        <f t="shared" ca="1" si="22"/>
        <v>0</v>
      </c>
      <c r="DH23" s="22" t="b">
        <f t="shared" ca="1" si="22"/>
        <v>0</v>
      </c>
      <c r="DI23" s="22" t="b">
        <f t="shared" ca="1" si="22"/>
        <v>0</v>
      </c>
      <c r="DJ23" s="22" t="b">
        <f t="shared" ca="1" si="22"/>
        <v>0</v>
      </c>
      <c r="DK23" s="22"/>
      <c r="DO23" s="15">
        <f t="shared" ca="1" si="23"/>
        <v>0</v>
      </c>
      <c r="DP23" s="15" t="str">
        <f t="shared" ca="1" si="23"/>
        <v/>
      </c>
      <c r="DQ23" s="15" t="str">
        <f t="shared" ca="1" si="23"/>
        <v/>
      </c>
      <c r="DR23" s="15" t="str">
        <f t="shared" ca="1" si="23"/>
        <v/>
      </c>
      <c r="DS23" s="15" t="str">
        <f t="shared" ca="1" si="23"/>
        <v/>
      </c>
      <c r="DT23" s="15" t="str">
        <f t="shared" ca="1" si="23"/>
        <v/>
      </c>
      <c r="DU23" s="15" t="str">
        <f t="shared" ca="1" si="23"/>
        <v/>
      </c>
      <c r="DV23" s="15" t="str">
        <f t="shared" ca="1" si="23"/>
        <v/>
      </c>
    </row>
    <row r="24" spans="1:126">
      <c r="A24" s="15">
        <f t="shared" si="24"/>
        <v>12</v>
      </c>
      <c r="B24" s="15" t="str">
        <f t="shared" ca="1" si="68"/>
        <v>ok.</v>
      </c>
      <c r="C24" s="15" t="s">
        <v>124</v>
      </c>
      <c r="D24" s="15" t="str">
        <f t="shared" si="25"/>
        <v>Zmienne IleLiczb</v>
      </c>
      <c r="G24" s="15" t="s">
        <v>88</v>
      </c>
      <c r="J24" s="19" t="str">
        <f ca="1">CELL(_CELL_ADDRESS_NAME,variables!V2)</f>
        <v>'[dane surowe2d.xlsm]variables'!$V$2</v>
      </c>
      <c r="K24" s="16">
        <f t="shared" si="65"/>
        <v>23</v>
      </c>
      <c r="M24" s="19"/>
      <c r="Q24" s="16"/>
      <c r="T24" s="15" t="str">
        <f t="shared" ca="1" si="69"/>
        <v>'[dane surowe2d.xlsm]variables'!$V$2:$V$24</v>
      </c>
      <c r="U24" s="15">
        <f t="shared" ca="1" si="70"/>
        <v>0</v>
      </c>
      <c r="V24" s="15" t="s">
        <v>115</v>
      </c>
      <c r="AD24" s="16" t="b">
        <f t="shared" si="41"/>
        <v>1</v>
      </c>
      <c r="AE24" s="16" t="b">
        <f t="shared" si="42"/>
        <v>0</v>
      </c>
      <c r="AF24" s="15" t="str">
        <f t="shared" si="66"/>
        <v/>
      </c>
      <c r="AG24" s="15" t="str">
        <f t="shared" ca="1" si="4"/>
        <v/>
      </c>
      <c r="AH24" s="15" t="str">
        <f t="shared" ca="1" si="5"/>
        <v/>
      </c>
      <c r="AI24" s="15" t="b">
        <f t="shared" ca="1" si="6"/>
        <v>0</v>
      </c>
      <c r="AJ24" s="15" t="str">
        <f t="shared" ca="1" si="26"/>
        <v/>
      </c>
      <c r="AK24" s="27" t="str">
        <f t="shared" ca="1" si="43"/>
        <v/>
      </c>
      <c r="AL24" s="15" t="b">
        <f t="shared" ca="1" si="7"/>
        <v>0</v>
      </c>
      <c r="AM24" s="15" t="str">
        <f t="shared" ca="1" si="44"/>
        <v/>
      </c>
      <c r="AN24" s="15">
        <f t="shared" ca="1" si="45"/>
        <v>3</v>
      </c>
      <c r="AO24" s="15" t="str">
        <f t="shared" ca="1" si="27"/>
        <v/>
      </c>
      <c r="AP24" s="15" t="str">
        <f t="shared" ca="1" si="67"/>
        <v/>
      </c>
      <c r="AQ24" s="27">
        <f t="shared" ca="1" si="46"/>
        <v>1</v>
      </c>
      <c r="AR24" s="15" t="b">
        <f t="shared" ca="1" si="47"/>
        <v>1</v>
      </c>
      <c r="AS24" s="27" t="b">
        <f t="shared" ca="1" si="48"/>
        <v>1</v>
      </c>
      <c r="AT24" s="27" t="b">
        <f t="shared" ca="1" si="49"/>
        <v>1</v>
      </c>
      <c r="AU24" s="27">
        <f t="shared" ca="1" si="50"/>
        <v>21</v>
      </c>
      <c r="AV24" s="16" t="e">
        <f t="shared" ca="1" si="51"/>
        <v>#REF!</v>
      </c>
      <c r="AW24" s="15" t="str">
        <f t="shared" ca="1" si="9"/>
        <v>'[dane surowe2d.xlsm]variables'!$V$2</v>
      </c>
      <c r="AX24" s="27" t="b">
        <f t="shared" ca="1" si="52"/>
        <v>0</v>
      </c>
      <c r="AY24" s="27" t="b">
        <f t="shared" ca="1" si="53"/>
        <v>0</v>
      </c>
      <c r="AZ24" s="15">
        <f t="shared" ca="1" si="54"/>
        <v>1</v>
      </c>
      <c r="BA24" s="15">
        <f t="shared" ca="1" si="28"/>
        <v>23</v>
      </c>
      <c r="BB24" s="15" t="str">
        <f t="shared" ca="1" si="55"/>
        <v>'[dane surowe2d.xlsm]variables'!$V$2</v>
      </c>
      <c r="BC24" s="15" t="str">
        <f t="shared" ca="1" si="29"/>
        <v>'[dane surowe2d.xlsm]variables'!$V$2:$V$24</v>
      </c>
      <c r="BD24" s="15" t="b">
        <f t="shared" ca="1" si="56"/>
        <v>1</v>
      </c>
      <c r="BE24" s="15" t="b">
        <f t="shared" ca="1" si="10"/>
        <v>1</v>
      </c>
      <c r="BF24" s="15">
        <f t="shared" ca="1" si="11"/>
        <v>23</v>
      </c>
      <c r="BG24" s="15">
        <f t="shared" ca="1" si="12"/>
        <v>23</v>
      </c>
      <c r="BH24" s="15">
        <f t="array" aca="1" ref="BH24" ca="1">IF(IFERROR( S24,1),1,IF(BC24="","", SUM(IF(ISERROR(INDIRECT(BC24)),1,0))))</f>
        <v>0</v>
      </c>
      <c r="BI24" s="15" t="b">
        <f t="shared" si="57"/>
        <v>1</v>
      </c>
      <c r="BJ24" s="15" t="b">
        <f t="shared" si="58"/>
        <v>0</v>
      </c>
      <c r="BK24" s="15">
        <f t="shared" ca="1" si="13"/>
        <v>1</v>
      </c>
      <c r="BL24" s="15">
        <f t="shared" ca="1" si="14"/>
        <v>1</v>
      </c>
      <c r="BP24" s="15" t="b">
        <f t="shared" si="30"/>
        <v>1</v>
      </c>
      <c r="BQ24" s="15" t="b">
        <f t="shared" ca="1" si="31"/>
        <v>0</v>
      </c>
      <c r="BR24" s="15" t="str">
        <f t="shared" ca="1" si="15"/>
        <v/>
      </c>
      <c r="BS24" s="15">
        <f t="shared" ca="1" si="32"/>
        <v>0</v>
      </c>
      <c r="BT24" s="15" t="str">
        <f t="shared" ca="1" si="16"/>
        <v/>
      </c>
      <c r="BV24" s="15" t="b">
        <f t="shared" ca="1" si="33"/>
        <v>0</v>
      </c>
      <c r="BW24" s="15" t="b">
        <f t="shared" ca="1" si="34"/>
        <v>0</v>
      </c>
      <c r="BX24" s="15" t="b">
        <f t="shared" ca="1" si="35"/>
        <v>0</v>
      </c>
      <c r="BY24" s="15" t="b">
        <f t="shared" ca="1" si="17"/>
        <v>0</v>
      </c>
      <c r="BZ24" s="15" t="b">
        <f t="shared" ca="1" si="36"/>
        <v>0</v>
      </c>
      <c r="CA24" s="15" t="b">
        <f t="shared" ca="1" si="59"/>
        <v>0</v>
      </c>
      <c r="CB24" s="15" t="b">
        <f t="shared" ca="1" si="60"/>
        <v>0</v>
      </c>
      <c r="CC24" s="15" t="b">
        <f t="shared" ca="1" si="61"/>
        <v>0</v>
      </c>
      <c r="CD24" s="15" t="b">
        <f t="shared" ca="1" si="61"/>
        <v>0</v>
      </c>
      <c r="CE24" s="15" t="b">
        <f t="shared" ca="1" si="37"/>
        <v>0</v>
      </c>
      <c r="CF24" s="15" t="b">
        <f t="shared" ca="1" si="62"/>
        <v>0</v>
      </c>
      <c r="CG24" s="15" t="b">
        <f t="shared" ca="1" si="63"/>
        <v>0</v>
      </c>
      <c r="CH24" s="15" t="b">
        <f t="shared" ca="1" si="18"/>
        <v>0</v>
      </c>
      <c r="CI24" s="15" t="b">
        <f t="shared" si="38"/>
        <v>0</v>
      </c>
      <c r="CJ24" s="15" t="b">
        <f t="shared" si="39"/>
        <v>0</v>
      </c>
      <c r="CK24" s="15" t="b">
        <f t="shared" ca="1" si="64"/>
        <v>0</v>
      </c>
      <c r="CL24" s="15" t="b">
        <f t="shared" ca="1" si="19"/>
        <v>0</v>
      </c>
      <c r="CM24" s="15" t="b">
        <f t="shared" ca="1" si="19"/>
        <v>0</v>
      </c>
      <c r="CN24" s="15" t="b">
        <f t="shared" ca="1" si="19"/>
        <v>0</v>
      </c>
      <c r="CO24" s="15" t="b">
        <f t="shared" ca="1" si="19"/>
        <v>0</v>
      </c>
      <c r="CP24" s="15" t="b">
        <f t="shared" ca="1" si="19"/>
        <v>0</v>
      </c>
      <c r="CQ24" s="15" t="b">
        <f t="shared" ca="1" si="19"/>
        <v>0</v>
      </c>
      <c r="CR24" s="21" t="b">
        <f t="shared" ca="1" si="19"/>
        <v>0</v>
      </c>
      <c r="CS24" s="22" t="b">
        <f t="shared" ca="1" si="20"/>
        <v>0</v>
      </c>
      <c r="CT24" s="22" t="b">
        <f t="shared" ca="1" si="20"/>
        <v>0</v>
      </c>
      <c r="CU24" s="22" t="b">
        <f t="shared" ca="1" si="20"/>
        <v>0</v>
      </c>
      <c r="CV24" s="22" t="b">
        <f t="shared" ca="1" si="20"/>
        <v>0</v>
      </c>
      <c r="CW24" s="22" t="b">
        <f t="shared" ca="1" si="20"/>
        <v>0</v>
      </c>
      <c r="CX24" s="22" t="b">
        <f t="shared" ca="1" si="20"/>
        <v>0</v>
      </c>
      <c r="CY24" s="22" t="b">
        <f t="shared" ca="1" si="20"/>
        <v>0</v>
      </c>
      <c r="CZ24" s="21" t="b">
        <f t="shared" ca="1" si="20"/>
        <v>0</v>
      </c>
      <c r="DB24" s="22" t="b">
        <f t="shared" ca="1" si="40"/>
        <v>0</v>
      </c>
      <c r="DC24" s="22" t="b">
        <f t="shared" ca="1" si="21"/>
        <v>0</v>
      </c>
      <c r="DD24" s="22" t="b">
        <f t="shared" ca="1" si="22"/>
        <v>0</v>
      </c>
      <c r="DE24" s="22" t="b">
        <f t="shared" ca="1" si="22"/>
        <v>0</v>
      </c>
      <c r="DF24" s="22" t="b">
        <f t="shared" ca="1" si="22"/>
        <v>0</v>
      </c>
      <c r="DG24" s="22" t="b">
        <f t="shared" ca="1" si="22"/>
        <v>0</v>
      </c>
      <c r="DH24" s="22" t="b">
        <f t="shared" ca="1" si="22"/>
        <v>0</v>
      </c>
      <c r="DI24" s="22" t="b">
        <f t="shared" ca="1" si="22"/>
        <v>0</v>
      </c>
      <c r="DJ24" s="22" t="b">
        <f t="shared" ca="1" si="22"/>
        <v>0</v>
      </c>
      <c r="DK24" s="22"/>
      <c r="DO24" s="15">
        <f t="shared" ca="1" si="23"/>
        <v>0</v>
      </c>
      <c r="DP24" s="15" t="str">
        <f t="shared" ca="1" si="23"/>
        <v/>
      </c>
      <c r="DQ24" s="15" t="str">
        <f t="shared" ca="1" si="23"/>
        <v/>
      </c>
      <c r="DR24" s="15" t="str">
        <f t="shared" ca="1" si="23"/>
        <v/>
      </c>
      <c r="DS24" s="15" t="str">
        <f t="shared" ca="1" si="23"/>
        <v/>
      </c>
      <c r="DT24" s="15" t="str">
        <f t="shared" ca="1" si="23"/>
        <v/>
      </c>
      <c r="DU24" s="15" t="str">
        <f t="shared" ca="1" si="23"/>
        <v/>
      </c>
      <c r="DV24" s="15" t="str">
        <f t="shared" ca="1" si="23"/>
        <v/>
      </c>
    </row>
    <row r="25" spans="1:126">
      <c r="A25" s="15">
        <f t="shared" si="24"/>
        <v>13</v>
      </c>
      <c r="B25" s="15" t="str">
        <f t="shared" ca="1" si="68"/>
        <v>ok.</v>
      </c>
      <c r="C25" s="15" t="s">
        <v>95</v>
      </c>
      <c r="D25" s="15" t="str">
        <f t="shared" si="25"/>
        <v>Zmienne Min</v>
      </c>
      <c r="G25" s="15" t="s">
        <v>88</v>
      </c>
      <c r="J25" s="19" t="str">
        <f ca="1">CELL(_CELL_ADDRESS_NAME,variables!W2)</f>
        <v>'[dane surowe2d.xlsm]variables'!$W$2</v>
      </c>
      <c r="K25" s="16">
        <f t="shared" si="65"/>
        <v>23</v>
      </c>
      <c r="M25" s="19"/>
      <c r="Q25" s="16"/>
      <c r="T25" s="15" t="str">
        <f t="shared" ca="1" si="69"/>
        <v>'[dane surowe2d.xlsm]variables'!$W$2:$W$24</v>
      </c>
      <c r="U25" s="15">
        <f t="shared" ca="1" si="70"/>
        <v>0</v>
      </c>
      <c r="V25" s="15" t="s">
        <v>115</v>
      </c>
      <c r="AD25" s="16" t="b">
        <f t="shared" si="41"/>
        <v>1</v>
      </c>
      <c r="AE25" s="16" t="b">
        <f t="shared" si="42"/>
        <v>0</v>
      </c>
      <c r="AF25" s="15" t="str">
        <f t="shared" si="66"/>
        <v/>
      </c>
      <c r="AG25" s="15" t="str">
        <f t="shared" ca="1" si="4"/>
        <v/>
      </c>
      <c r="AH25" s="15" t="str">
        <f t="shared" ca="1" si="5"/>
        <v/>
      </c>
      <c r="AI25" s="15" t="b">
        <f t="shared" ca="1" si="6"/>
        <v>0</v>
      </c>
      <c r="AJ25" s="15" t="str">
        <f t="shared" ca="1" si="26"/>
        <v/>
      </c>
      <c r="AK25" s="27" t="str">
        <f t="shared" ca="1" si="43"/>
        <v/>
      </c>
      <c r="AL25" s="15" t="b">
        <f t="shared" ca="1" si="7"/>
        <v>0</v>
      </c>
      <c r="AM25" s="15" t="str">
        <f t="shared" ca="1" si="44"/>
        <v/>
      </c>
      <c r="AN25" s="15">
        <f t="shared" ca="1" si="45"/>
        <v>3</v>
      </c>
      <c r="AO25" s="15" t="str">
        <f t="shared" ca="1" si="27"/>
        <v/>
      </c>
      <c r="AP25" s="15" t="str">
        <f t="shared" ca="1" si="67"/>
        <v/>
      </c>
      <c r="AQ25" s="27">
        <f t="shared" ca="1" si="46"/>
        <v>1</v>
      </c>
      <c r="AR25" s="15" t="b">
        <f t="shared" ca="1" si="47"/>
        <v>1</v>
      </c>
      <c r="AS25" s="27" t="b">
        <f t="shared" ca="1" si="48"/>
        <v>1</v>
      </c>
      <c r="AT25" s="27" t="b">
        <f t="shared" ca="1" si="49"/>
        <v>1</v>
      </c>
      <c r="AU25" s="27">
        <f t="shared" ca="1" si="50"/>
        <v>21</v>
      </c>
      <c r="AV25" s="16" t="e">
        <f t="shared" ca="1" si="51"/>
        <v>#REF!</v>
      </c>
      <c r="AW25" s="15" t="str">
        <f t="shared" ca="1" si="9"/>
        <v>'[dane surowe2d.xlsm]variables'!$W$2</v>
      </c>
      <c r="AX25" s="27" t="b">
        <f t="shared" ca="1" si="52"/>
        <v>0</v>
      </c>
      <c r="AY25" s="27" t="b">
        <f t="shared" ca="1" si="53"/>
        <v>0</v>
      </c>
      <c r="AZ25" s="15">
        <f t="shared" ca="1" si="54"/>
        <v>1</v>
      </c>
      <c r="BA25" s="15">
        <f t="shared" ca="1" si="28"/>
        <v>23</v>
      </c>
      <c r="BB25" s="15" t="str">
        <f t="shared" ca="1" si="55"/>
        <v>'[dane surowe2d.xlsm]variables'!$W$2</v>
      </c>
      <c r="BC25" s="15" t="str">
        <f t="shared" ca="1" si="29"/>
        <v>'[dane surowe2d.xlsm]variables'!$W$2:$W$24</v>
      </c>
      <c r="BD25" s="15" t="b">
        <f t="shared" ca="1" si="56"/>
        <v>1</v>
      </c>
      <c r="BE25" s="15" t="b">
        <f t="shared" ca="1" si="10"/>
        <v>1</v>
      </c>
      <c r="BF25" s="15">
        <f t="shared" ca="1" si="11"/>
        <v>23</v>
      </c>
      <c r="BG25" s="15">
        <f t="shared" ca="1" si="12"/>
        <v>23</v>
      </c>
      <c r="BH25" s="15">
        <f t="array" aca="1" ref="BH25" ca="1">IF(IFERROR( S25,1),1,IF(BC25="","", SUM(IF(ISERROR(INDIRECT(BC25)),1,0))))</f>
        <v>0</v>
      </c>
      <c r="BI25" s="15" t="b">
        <f t="shared" si="57"/>
        <v>1</v>
      </c>
      <c r="BJ25" s="15" t="b">
        <f t="shared" si="58"/>
        <v>0</v>
      </c>
      <c r="BK25" s="15">
        <f t="shared" ca="1" si="13"/>
        <v>1</v>
      </c>
      <c r="BL25" s="15">
        <f t="shared" ca="1" si="14"/>
        <v>1</v>
      </c>
      <c r="BP25" s="15" t="b">
        <f t="shared" si="30"/>
        <v>1</v>
      </c>
      <c r="BQ25" s="15" t="b">
        <f t="shared" ca="1" si="31"/>
        <v>0</v>
      </c>
      <c r="BR25" s="15" t="str">
        <f t="shared" ca="1" si="15"/>
        <v/>
      </c>
      <c r="BS25" s="15">
        <f t="shared" ca="1" si="32"/>
        <v>0</v>
      </c>
      <c r="BT25" s="15" t="str">
        <f t="shared" ca="1" si="16"/>
        <v/>
      </c>
      <c r="BV25" s="15" t="b">
        <f t="shared" ca="1" si="33"/>
        <v>0</v>
      </c>
      <c r="BW25" s="15" t="b">
        <f t="shared" ca="1" si="34"/>
        <v>0</v>
      </c>
      <c r="BX25" s="15" t="b">
        <f t="shared" ca="1" si="35"/>
        <v>0</v>
      </c>
      <c r="BY25" s="15" t="b">
        <f t="shared" ca="1" si="17"/>
        <v>0</v>
      </c>
      <c r="BZ25" s="15" t="b">
        <f t="shared" ca="1" si="36"/>
        <v>0</v>
      </c>
      <c r="CA25" s="15" t="b">
        <f t="shared" ca="1" si="59"/>
        <v>0</v>
      </c>
      <c r="CB25" s="15" t="b">
        <f t="shared" ca="1" si="60"/>
        <v>0</v>
      </c>
      <c r="CC25" s="15" t="b">
        <f t="shared" ca="1" si="61"/>
        <v>0</v>
      </c>
      <c r="CD25" s="15" t="b">
        <f t="shared" ca="1" si="61"/>
        <v>0</v>
      </c>
      <c r="CE25" s="15" t="b">
        <f t="shared" ca="1" si="37"/>
        <v>0</v>
      </c>
      <c r="CF25" s="15" t="b">
        <f t="shared" ca="1" si="62"/>
        <v>0</v>
      </c>
      <c r="CG25" s="15" t="b">
        <f t="shared" ca="1" si="63"/>
        <v>0</v>
      </c>
      <c r="CH25" s="15" t="b">
        <f t="shared" ca="1" si="18"/>
        <v>0</v>
      </c>
      <c r="CI25" s="15" t="b">
        <f t="shared" si="38"/>
        <v>0</v>
      </c>
      <c r="CJ25" s="15" t="b">
        <f t="shared" si="39"/>
        <v>0</v>
      </c>
      <c r="CK25" s="15" t="b">
        <f t="shared" ca="1" si="64"/>
        <v>0</v>
      </c>
      <c r="CL25" s="15" t="b">
        <f t="shared" ca="1" si="19"/>
        <v>0</v>
      </c>
      <c r="CM25" s="15" t="b">
        <f t="shared" ca="1" si="19"/>
        <v>0</v>
      </c>
      <c r="CN25" s="15" t="b">
        <f t="shared" ca="1" si="19"/>
        <v>0</v>
      </c>
      <c r="CO25" s="15" t="b">
        <f t="shared" ca="1" si="19"/>
        <v>0</v>
      </c>
      <c r="CP25" s="15" t="b">
        <f t="shared" ca="1" si="19"/>
        <v>0</v>
      </c>
      <c r="CQ25" s="15" t="b">
        <f t="shared" ca="1" si="19"/>
        <v>0</v>
      </c>
      <c r="CR25" s="21" t="b">
        <f t="shared" ca="1" si="19"/>
        <v>0</v>
      </c>
      <c r="CS25" s="22" t="b">
        <f t="shared" ca="1" si="20"/>
        <v>0</v>
      </c>
      <c r="CT25" s="22" t="b">
        <f t="shared" ca="1" si="20"/>
        <v>0</v>
      </c>
      <c r="CU25" s="22" t="b">
        <f t="shared" ca="1" si="20"/>
        <v>0</v>
      </c>
      <c r="CV25" s="22" t="b">
        <f t="shared" ca="1" si="20"/>
        <v>0</v>
      </c>
      <c r="CW25" s="22" t="b">
        <f t="shared" ca="1" si="20"/>
        <v>0</v>
      </c>
      <c r="CX25" s="22" t="b">
        <f t="shared" ca="1" si="20"/>
        <v>0</v>
      </c>
      <c r="CY25" s="22" t="b">
        <f t="shared" ca="1" si="20"/>
        <v>0</v>
      </c>
      <c r="CZ25" s="21" t="b">
        <f t="shared" ca="1" si="20"/>
        <v>0</v>
      </c>
      <c r="DB25" s="22" t="b">
        <f t="shared" ca="1" si="40"/>
        <v>0</v>
      </c>
      <c r="DC25" s="22" t="b">
        <f t="shared" ca="1" si="21"/>
        <v>0</v>
      </c>
      <c r="DD25" s="22" t="b">
        <f t="shared" ca="1" si="22"/>
        <v>0</v>
      </c>
      <c r="DE25" s="22" t="b">
        <f t="shared" ca="1" si="22"/>
        <v>0</v>
      </c>
      <c r="DF25" s="22" t="b">
        <f t="shared" ca="1" si="22"/>
        <v>0</v>
      </c>
      <c r="DG25" s="22" t="b">
        <f t="shared" ca="1" si="22"/>
        <v>0</v>
      </c>
      <c r="DH25" s="22" t="b">
        <f t="shared" ca="1" si="22"/>
        <v>0</v>
      </c>
      <c r="DI25" s="22" t="b">
        <f t="shared" ca="1" si="22"/>
        <v>0</v>
      </c>
      <c r="DJ25" s="22" t="b">
        <f t="shared" ca="1" si="22"/>
        <v>0</v>
      </c>
      <c r="DK25" s="22"/>
      <c r="DO25" s="15">
        <f t="shared" ca="1" si="23"/>
        <v>0</v>
      </c>
      <c r="DP25" s="15" t="str">
        <f t="shared" ca="1" si="23"/>
        <v/>
      </c>
      <c r="DQ25" s="15" t="str">
        <f t="shared" ca="1" si="23"/>
        <v/>
      </c>
      <c r="DR25" s="15" t="str">
        <f t="shared" ca="1" si="23"/>
        <v/>
      </c>
      <c r="DS25" s="15" t="str">
        <f t="shared" ca="1" si="23"/>
        <v/>
      </c>
      <c r="DT25" s="15" t="str">
        <f t="shared" ca="1" si="23"/>
        <v/>
      </c>
      <c r="DU25" s="15" t="str">
        <f t="shared" ca="1" si="23"/>
        <v/>
      </c>
      <c r="DV25" s="15" t="str">
        <f t="shared" ca="1" si="23"/>
        <v/>
      </c>
    </row>
    <row r="26" spans="1:126">
      <c r="A26" s="15">
        <f t="shared" si="24"/>
        <v>14</v>
      </c>
      <c r="B26" s="15" t="str">
        <f t="shared" ca="1" si="68"/>
        <v>ok.</v>
      </c>
      <c r="C26" s="15" t="s">
        <v>96</v>
      </c>
      <c r="D26" s="15" t="str">
        <f t="shared" si="25"/>
        <v>Zmienne Max</v>
      </c>
      <c r="G26" s="15" t="s">
        <v>88</v>
      </c>
      <c r="J26" s="19" t="str">
        <f ca="1">CELL(_CELL_ADDRESS_NAME,variables!X2)</f>
        <v>'[dane surowe2d.xlsm]variables'!$X$2</v>
      </c>
      <c r="K26" s="16">
        <f t="shared" si="65"/>
        <v>23</v>
      </c>
      <c r="M26" s="19"/>
      <c r="Q26" s="16"/>
      <c r="T26" s="15" t="str">
        <f t="shared" ca="1" si="69"/>
        <v>'[dane surowe2d.xlsm]variables'!$X$2:$X$24</v>
      </c>
      <c r="U26" s="15">
        <f t="shared" ca="1" si="70"/>
        <v>0</v>
      </c>
      <c r="V26" s="15" t="s">
        <v>115</v>
      </c>
      <c r="AD26" s="16" t="b">
        <f t="shared" si="41"/>
        <v>1</v>
      </c>
      <c r="AE26" s="16" t="b">
        <f t="shared" si="42"/>
        <v>0</v>
      </c>
      <c r="AF26" s="15" t="str">
        <f t="shared" si="66"/>
        <v/>
      </c>
      <c r="AG26" s="15" t="str">
        <f t="shared" ca="1" si="4"/>
        <v/>
      </c>
      <c r="AH26" s="15" t="str">
        <f t="shared" ca="1" si="5"/>
        <v/>
      </c>
      <c r="AI26" s="15" t="b">
        <f t="shared" ca="1" si="6"/>
        <v>0</v>
      </c>
      <c r="AJ26" s="15" t="str">
        <f t="shared" ca="1" si="26"/>
        <v/>
      </c>
      <c r="AK26" s="27" t="str">
        <f t="shared" ca="1" si="43"/>
        <v/>
      </c>
      <c r="AL26" s="15" t="b">
        <f t="shared" ca="1" si="7"/>
        <v>0</v>
      </c>
      <c r="AM26" s="15" t="str">
        <f t="shared" ca="1" si="44"/>
        <v/>
      </c>
      <c r="AN26" s="15">
        <f t="shared" ca="1" si="45"/>
        <v>3</v>
      </c>
      <c r="AO26" s="15" t="str">
        <f t="shared" ca="1" si="27"/>
        <v/>
      </c>
      <c r="AP26" s="15" t="str">
        <f t="shared" ca="1" si="67"/>
        <v/>
      </c>
      <c r="AQ26" s="27">
        <f t="shared" ca="1" si="46"/>
        <v>1</v>
      </c>
      <c r="AR26" s="15" t="b">
        <f t="shared" ca="1" si="47"/>
        <v>1</v>
      </c>
      <c r="AS26" s="27" t="b">
        <f t="shared" ca="1" si="48"/>
        <v>1</v>
      </c>
      <c r="AT26" s="27" t="b">
        <f t="shared" ca="1" si="49"/>
        <v>1</v>
      </c>
      <c r="AU26" s="27">
        <f t="shared" ca="1" si="50"/>
        <v>21</v>
      </c>
      <c r="AV26" s="16" t="e">
        <f t="shared" ca="1" si="51"/>
        <v>#REF!</v>
      </c>
      <c r="AW26" s="15" t="str">
        <f t="shared" ca="1" si="9"/>
        <v>'[dane surowe2d.xlsm]variables'!$X$2</v>
      </c>
      <c r="AX26" s="27" t="b">
        <f t="shared" ca="1" si="52"/>
        <v>0</v>
      </c>
      <c r="AY26" s="27" t="b">
        <f t="shared" ca="1" si="53"/>
        <v>0</v>
      </c>
      <c r="AZ26" s="15">
        <f t="shared" ca="1" si="54"/>
        <v>1</v>
      </c>
      <c r="BA26" s="15">
        <f t="shared" ca="1" si="28"/>
        <v>23</v>
      </c>
      <c r="BB26" s="15" t="str">
        <f t="shared" ca="1" si="55"/>
        <v>'[dane surowe2d.xlsm]variables'!$X$2</v>
      </c>
      <c r="BC26" s="15" t="str">
        <f t="shared" ca="1" si="29"/>
        <v>'[dane surowe2d.xlsm]variables'!$X$2:$X$24</v>
      </c>
      <c r="BD26" s="15" t="b">
        <f t="shared" ca="1" si="56"/>
        <v>1</v>
      </c>
      <c r="BE26" s="15" t="b">
        <f t="shared" ca="1" si="10"/>
        <v>1</v>
      </c>
      <c r="BF26" s="15">
        <f t="shared" ca="1" si="11"/>
        <v>23</v>
      </c>
      <c r="BG26" s="15">
        <f t="shared" ca="1" si="12"/>
        <v>23</v>
      </c>
      <c r="BH26" s="15">
        <f t="array" aca="1" ref="BH26" ca="1">IF(IFERROR( S26,1),1,IF(BC26="","", SUM(IF(ISERROR(INDIRECT(BC26)),1,0))))</f>
        <v>0</v>
      </c>
      <c r="BI26" s="15" t="b">
        <f t="shared" si="57"/>
        <v>1</v>
      </c>
      <c r="BJ26" s="15" t="b">
        <f t="shared" si="58"/>
        <v>0</v>
      </c>
      <c r="BK26" s="15">
        <f t="shared" ca="1" si="13"/>
        <v>1</v>
      </c>
      <c r="BL26" s="15">
        <f t="shared" ca="1" si="14"/>
        <v>1</v>
      </c>
      <c r="BP26" s="15" t="b">
        <f t="shared" si="30"/>
        <v>1</v>
      </c>
      <c r="BQ26" s="15" t="b">
        <f t="shared" ca="1" si="31"/>
        <v>0</v>
      </c>
      <c r="BR26" s="15" t="str">
        <f t="shared" ca="1" si="15"/>
        <v/>
      </c>
      <c r="BS26" s="15">
        <f t="shared" ca="1" si="32"/>
        <v>0</v>
      </c>
      <c r="BT26" s="15" t="str">
        <f t="shared" ca="1" si="16"/>
        <v/>
      </c>
      <c r="BV26" s="15" t="b">
        <f t="shared" ca="1" si="33"/>
        <v>0</v>
      </c>
      <c r="BW26" s="15" t="b">
        <f t="shared" ca="1" si="34"/>
        <v>0</v>
      </c>
      <c r="BX26" s="15" t="b">
        <f t="shared" ca="1" si="35"/>
        <v>0</v>
      </c>
      <c r="BY26" s="15" t="b">
        <f t="shared" ca="1" si="17"/>
        <v>0</v>
      </c>
      <c r="BZ26" s="15" t="b">
        <f t="shared" ca="1" si="36"/>
        <v>0</v>
      </c>
      <c r="CA26" s="15" t="b">
        <f t="shared" ca="1" si="59"/>
        <v>0</v>
      </c>
      <c r="CB26" s="15" t="b">
        <f t="shared" ca="1" si="60"/>
        <v>0</v>
      </c>
      <c r="CC26" s="15" t="b">
        <f t="shared" ca="1" si="61"/>
        <v>0</v>
      </c>
      <c r="CD26" s="15" t="b">
        <f t="shared" ca="1" si="61"/>
        <v>0</v>
      </c>
      <c r="CE26" s="15" t="b">
        <f t="shared" ca="1" si="37"/>
        <v>0</v>
      </c>
      <c r="CF26" s="15" t="b">
        <f t="shared" ca="1" si="62"/>
        <v>0</v>
      </c>
      <c r="CG26" s="15" t="b">
        <f t="shared" ca="1" si="63"/>
        <v>0</v>
      </c>
      <c r="CH26" s="15" t="b">
        <f t="shared" ca="1" si="18"/>
        <v>0</v>
      </c>
      <c r="CI26" s="15" t="b">
        <f t="shared" si="38"/>
        <v>0</v>
      </c>
      <c r="CJ26" s="15" t="b">
        <f t="shared" si="39"/>
        <v>0</v>
      </c>
      <c r="CK26" s="15" t="b">
        <f t="shared" ca="1" si="64"/>
        <v>0</v>
      </c>
      <c r="CL26" s="15" t="b">
        <f t="shared" ca="1" si="19"/>
        <v>0</v>
      </c>
      <c r="CM26" s="15" t="b">
        <f t="shared" ca="1" si="19"/>
        <v>0</v>
      </c>
      <c r="CN26" s="15" t="b">
        <f t="shared" ca="1" si="19"/>
        <v>0</v>
      </c>
      <c r="CO26" s="15" t="b">
        <f t="shared" ca="1" si="19"/>
        <v>0</v>
      </c>
      <c r="CP26" s="15" t="b">
        <f t="shared" ca="1" si="19"/>
        <v>0</v>
      </c>
      <c r="CQ26" s="15" t="b">
        <f t="shared" ca="1" si="19"/>
        <v>0</v>
      </c>
      <c r="CR26" s="21" t="b">
        <f t="shared" ca="1" si="19"/>
        <v>0</v>
      </c>
      <c r="CS26" s="22" t="b">
        <f t="shared" ca="1" si="20"/>
        <v>0</v>
      </c>
      <c r="CT26" s="22" t="b">
        <f t="shared" ca="1" si="20"/>
        <v>0</v>
      </c>
      <c r="CU26" s="22" t="b">
        <f t="shared" ca="1" si="20"/>
        <v>0</v>
      </c>
      <c r="CV26" s="22" t="b">
        <f t="shared" ca="1" si="20"/>
        <v>0</v>
      </c>
      <c r="CW26" s="22" t="b">
        <f t="shared" ca="1" si="20"/>
        <v>0</v>
      </c>
      <c r="CX26" s="22" t="b">
        <f t="shared" ca="1" si="20"/>
        <v>0</v>
      </c>
      <c r="CY26" s="22" t="b">
        <f t="shared" ca="1" si="20"/>
        <v>0</v>
      </c>
      <c r="CZ26" s="21" t="b">
        <f t="shared" ca="1" si="20"/>
        <v>0</v>
      </c>
      <c r="DB26" s="22" t="b">
        <f t="shared" ca="1" si="40"/>
        <v>0</v>
      </c>
      <c r="DC26" s="22" t="b">
        <f t="shared" ca="1" si="21"/>
        <v>0</v>
      </c>
      <c r="DD26" s="22" t="b">
        <f t="shared" ca="1" si="22"/>
        <v>0</v>
      </c>
      <c r="DE26" s="22" t="b">
        <f t="shared" ca="1" si="22"/>
        <v>0</v>
      </c>
      <c r="DF26" s="22" t="b">
        <f t="shared" ca="1" si="22"/>
        <v>0</v>
      </c>
      <c r="DG26" s="22" t="b">
        <f t="shared" ca="1" si="22"/>
        <v>0</v>
      </c>
      <c r="DH26" s="22" t="b">
        <f t="shared" ca="1" si="22"/>
        <v>0</v>
      </c>
      <c r="DI26" s="22" t="b">
        <f t="shared" ca="1" si="22"/>
        <v>0</v>
      </c>
      <c r="DJ26" s="22" t="b">
        <f t="shared" ca="1" si="22"/>
        <v>0</v>
      </c>
      <c r="DK26" s="22"/>
      <c r="DO26" s="15">
        <f t="shared" ca="1" si="23"/>
        <v>0</v>
      </c>
      <c r="DP26" s="15" t="str">
        <f t="shared" ca="1" si="23"/>
        <v/>
      </c>
      <c r="DQ26" s="15" t="str">
        <f t="shared" ca="1" si="23"/>
        <v/>
      </c>
      <c r="DR26" s="15" t="str">
        <f t="shared" ca="1" si="23"/>
        <v/>
      </c>
      <c r="DS26" s="15" t="str">
        <f t="shared" ca="1" si="23"/>
        <v/>
      </c>
      <c r="DT26" s="15" t="str">
        <f t="shared" ca="1" si="23"/>
        <v/>
      </c>
      <c r="DU26" s="15" t="str">
        <f t="shared" ca="1" si="23"/>
        <v/>
      </c>
      <c r="DV26" s="15" t="str">
        <f t="shared" ca="1" si="23"/>
        <v/>
      </c>
    </row>
    <row r="27" spans="1:126">
      <c r="A27" s="15">
        <f t="shared" si="24"/>
        <v>15</v>
      </c>
      <c r="B27" s="15" t="str">
        <f t="shared" ca="1" si="68"/>
        <v>ok.</v>
      </c>
      <c r="C27" s="15" t="s">
        <v>127</v>
      </c>
      <c r="D27" s="15" t="str">
        <f t="shared" si="25"/>
        <v>Zmienne MinTeoret</v>
      </c>
      <c r="G27" s="15" t="s">
        <v>88</v>
      </c>
      <c r="J27" s="19" t="str">
        <f ca="1">CELL(_CELL_ADDRESS_NAME,variables!AN2)</f>
        <v>'[dane surowe2d.xlsm]variables'!$AN$2</v>
      </c>
      <c r="K27" s="16">
        <f t="shared" si="65"/>
        <v>23</v>
      </c>
      <c r="M27" s="19"/>
      <c r="Q27" s="16"/>
      <c r="T27" s="15" t="str">
        <f t="shared" ca="1" si="69"/>
        <v>'[dane surowe2d.xlsm]variables'!$AN$2:$AN$24</v>
      </c>
      <c r="U27" s="15">
        <f t="shared" ca="1" si="70"/>
        <v>0</v>
      </c>
      <c r="V27" s="15" t="s">
        <v>115</v>
      </c>
      <c r="AD27" s="16" t="b">
        <f t="shared" si="41"/>
        <v>1</v>
      </c>
      <c r="AE27" s="16" t="b">
        <f t="shared" si="42"/>
        <v>0</v>
      </c>
      <c r="AF27" s="15" t="str">
        <f t="shared" si="66"/>
        <v/>
      </c>
      <c r="AG27" s="15" t="str">
        <f t="shared" ca="1" si="4"/>
        <v/>
      </c>
      <c r="AH27" s="15" t="str">
        <f t="shared" ca="1" si="5"/>
        <v/>
      </c>
      <c r="AI27" s="15" t="b">
        <f t="shared" ca="1" si="6"/>
        <v>0</v>
      </c>
      <c r="AJ27" s="15" t="str">
        <f t="shared" ca="1" si="26"/>
        <v/>
      </c>
      <c r="AK27" s="27" t="str">
        <f t="shared" ca="1" si="43"/>
        <v/>
      </c>
      <c r="AL27" s="15" t="b">
        <f t="shared" ca="1" si="7"/>
        <v>0</v>
      </c>
      <c r="AM27" s="15" t="str">
        <f t="shared" ca="1" si="44"/>
        <v/>
      </c>
      <c r="AN27" s="15">
        <f t="shared" ca="1" si="45"/>
        <v>3</v>
      </c>
      <c r="AO27" s="15" t="str">
        <f t="shared" ca="1" si="27"/>
        <v/>
      </c>
      <c r="AP27" s="15" t="str">
        <f t="shared" ca="1" si="67"/>
        <v/>
      </c>
      <c r="AQ27" s="27">
        <f t="shared" ca="1" si="46"/>
        <v>1</v>
      </c>
      <c r="AR27" s="15" t="b">
        <f t="shared" ca="1" si="47"/>
        <v>1</v>
      </c>
      <c r="AS27" s="27" t="b">
        <f t="shared" ca="1" si="48"/>
        <v>1</v>
      </c>
      <c r="AT27" s="27" t="b">
        <f t="shared" ca="1" si="49"/>
        <v>1</v>
      </c>
      <c r="AU27" s="27">
        <f t="shared" ca="1" si="50"/>
        <v>21</v>
      </c>
      <c r="AV27" s="16" t="e">
        <f t="shared" ca="1" si="51"/>
        <v>#REF!</v>
      </c>
      <c r="AW27" s="15" t="str">
        <f t="shared" ca="1" si="9"/>
        <v>'[dane surowe2d.xlsm]variables'!$AN$2</v>
      </c>
      <c r="AX27" s="27" t="b">
        <f t="shared" ca="1" si="52"/>
        <v>0</v>
      </c>
      <c r="AY27" s="27" t="b">
        <f t="shared" ca="1" si="53"/>
        <v>0</v>
      </c>
      <c r="AZ27" s="15">
        <f t="shared" ca="1" si="54"/>
        <v>1</v>
      </c>
      <c r="BA27" s="15">
        <f t="shared" ca="1" si="28"/>
        <v>23</v>
      </c>
      <c r="BB27" s="15" t="str">
        <f t="shared" ca="1" si="55"/>
        <v>'[dane surowe2d.xlsm]variables'!$AN$2</v>
      </c>
      <c r="BC27" s="15" t="str">
        <f t="shared" ca="1" si="29"/>
        <v>'[dane surowe2d.xlsm]variables'!$AN$2:$AN$24</v>
      </c>
      <c r="BD27" s="15" t="b">
        <f t="shared" ca="1" si="56"/>
        <v>1</v>
      </c>
      <c r="BE27" s="15" t="b">
        <f t="shared" ca="1" si="10"/>
        <v>1</v>
      </c>
      <c r="BF27" s="15">
        <f t="shared" ca="1" si="11"/>
        <v>23</v>
      </c>
      <c r="BG27" s="15">
        <f t="shared" ca="1" si="12"/>
        <v>23</v>
      </c>
      <c r="BH27" s="15">
        <f t="array" aca="1" ref="BH27" ca="1">IF(IFERROR( S27,1),1,IF(BC27="","", SUM(IF(ISERROR(INDIRECT(BC27)),1,0))))</f>
        <v>0</v>
      </c>
      <c r="BI27" s="15" t="b">
        <f t="shared" si="57"/>
        <v>1</v>
      </c>
      <c r="BJ27" s="15" t="b">
        <f t="shared" si="58"/>
        <v>0</v>
      </c>
      <c r="BK27" s="15">
        <f t="shared" ca="1" si="13"/>
        <v>1</v>
      </c>
      <c r="BL27" s="15">
        <f t="shared" ca="1" si="14"/>
        <v>1</v>
      </c>
      <c r="BP27" s="15" t="b">
        <f t="shared" si="30"/>
        <v>1</v>
      </c>
      <c r="BQ27" s="15" t="b">
        <f t="shared" ca="1" si="31"/>
        <v>0</v>
      </c>
      <c r="BR27" s="15" t="str">
        <f t="shared" ca="1" si="15"/>
        <v/>
      </c>
      <c r="BS27" s="15">
        <f t="shared" ca="1" si="32"/>
        <v>0</v>
      </c>
      <c r="BT27" s="15" t="str">
        <f t="shared" ca="1" si="16"/>
        <v/>
      </c>
      <c r="BV27" s="15" t="b">
        <f t="shared" ca="1" si="33"/>
        <v>0</v>
      </c>
      <c r="BW27" s="15" t="b">
        <f t="shared" ca="1" si="34"/>
        <v>0</v>
      </c>
      <c r="BX27" s="15" t="b">
        <f t="shared" ca="1" si="35"/>
        <v>0</v>
      </c>
      <c r="BY27" s="15" t="b">
        <f t="shared" ca="1" si="17"/>
        <v>0</v>
      </c>
      <c r="BZ27" s="15" t="b">
        <f t="shared" ca="1" si="36"/>
        <v>0</v>
      </c>
      <c r="CA27" s="15" t="b">
        <f t="shared" ca="1" si="59"/>
        <v>0</v>
      </c>
      <c r="CB27" s="15" t="b">
        <f t="shared" ca="1" si="60"/>
        <v>0</v>
      </c>
      <c r="CC27" s="15" t="b">
        <f t="shared" ca="1" si="61"/>
        <v>0</v>
      </c>
      <c r="CD27" s="15" t="b">
        <f t="shared" ca="1" si="61"/>
        <v>0</v>
      </c>
      <c r="CE27" s="15" t="b">
        <f t="shared" ca="1" si="37"/>
        <v>0</v>
      </c>
      <c r="CF27" s="15" t="b">
        <f t="shared" ca="1" si="62"/>
        <v>0</v>
      </c>
      <c r="CG27" s="15" t="b">
        <f t="shared" ca="1" si="63"/>
        <v>0</v>
      </c>
      <c r="CH27" s="15" t="b">
        <f t="shared" ca="1" si="18"/>
        <v>0</v>
      </c>
      <c r="CI27" s="15" t="b">
        <f t="shared" si="38"/>
        <v>0</v>
      </c>
      <c r="CJ27" s="15" t="b">
        <f t="shared" si="39"/>
        <v>0</v>
      </c>
      <c r="CK27" s="15" t="b">
        <f t="shared" ca="1" si="64"/>
        <v>0</v>
      </c>
      <c r="CL27" s="15" t="b">
        <f t="shared" ca="1" si="19"/>
        <v>0</v>
      </c>
      <c r="CM27" s="15" t="b">
        <f t="shared" ca="1" si="19"/>
        <v>0</v>
      </c>
      <c r="CN27" s="15" t="b">
        <f t="shared" ca="1" si="19"/>
        <v>0</v>
      </c>
      <c r="CO27" s="15" t="b">
        <f t="shared" ca="1" si="19"/>
        <v>0</v>
      </c>
      <c r="CP27" s="15" t="b">
        <f t="shared" ca="1" si="19"/>
        <v>0</v>
      </c>
      <c r="CQ27" s="15" t="b">
        <f t="shared" ca="1" si="19"/>
        <v>0</v>
      </c>
      <c r="CR27" s="21" t="b">
        <f t="shared" ca="1" si="19"/>
        <v>0</v>
      </c>
      <c r="CS27" s="22" t="b">
        <f t="shared" ca="1" si="20"/>
        <v>0</v>
      </c>
      <c r="CT27" s="22" t="b">
        <f t="shared" ca="1" si="20"/>
        <v>0</v>
      </c>
      <c r="CU27" s="22" t="b">
        <f t="shared" ca="1" si="20"/>
        <v>0</v>
      </c>
      <c r="CV27" s="22" t="b">
        <f t="shared" ca="1" si="20"/>
        <v>0</v>
      </c>
      <c r="CW27" s="22" t="b">
        <f t="shared" ca="1" si="20"/>
        <v>0</v>
      </c>
      <c r="CX27" s="22" t="b">
        <f t="shared" ca="1" si="20"/>
        <v>0</v>
      </c>
      <c r="CY27" s="22" t="b">
        <f t="shared" ca="1" si="20"/>
        <v>0</v>
      </c>
      <c r="CZ27" s="21" t="b">
        <f t="shared" ca="1" si="20"/>
        <v>0</v>
      </c>
      <c r="DB27" s="22" t="b">
        <f t="shared" ca="1" si="40"/>
        <v>0</v>
      </c>
      <c r="DC27" s="22" t="b">
        <f t="shared" ca="1" si="21"/>
        <v>0</v>
      </c>
      <c r="DD27" s="22" t="b">
        <f t="shared" ca="1" si="22"/>
        <v>0</v>
      </c>
      <c r="DE27" s="22" t="b">
        <f t="shared" ca="1" si="22"/>
        <v>0</v>
      </c>
      <c r="DF27" s="22" t="b">
        <f t="shared" ca="1" si="22"/>
        <v>0</v>
      </c>
      <c r="DG27" s="22" t="b">
        <f t="shared" ca="1" si="22"/>
        <v>0</v>
      </c>
      <c r="DH27" s="22" t="b">
        <f t="shared" ca="1" si="22"/>
        <v>0</v>
      </c>
      <c r="DI27" s="22" t="b">
        <f t="shared" ca="1" si="22"/>
        <v>0</v>
      </c>
      <c r="DJ27" s="22" t="b">
        <f t="shared" ca="1" si="22"/>
        <v>0</v>
      </c>
      <c r="DK27" s="22"/>
      <c r="DO27" s="15">
        <f t="shared" ca="1" si="23"/>
        <v>0</v>
      </c>
      <c r="DP27" s="15" t="str">
        <f t="shared" ca="1" si="23"/>
        <v/>
      </c>
      <c r="DQ27" s="15" t="str">
        <f t="shared" ca="1" si="23"/>
        <v/>
      </c>
      <c r="DR27" s="15" t="str">
        <f t="shared" ca="1" si="23"/>
        <v/>
      </c>
      <c r="DS27" s="15" t="str">
        <f t="shared" ca="1" si="23"/>
        <v/>
      </c>
      <c r="DT27" s="15" t="str">
        <f t="shared" ca="1" si="23"/>
        <v/>
      </c>
      <c r="DU27" s="15" t="str">
        <f t="shared" ca="1" si="23"/>
        <v/>
      </c>
      <c r="DV27" s="15" t="str">
        <f t="shared" ca="1" si="23"/>
        <v/>
      </c>
    </row>
    <row r="28" spans="1:126">
      <c r="A28" s="15">
        <f t="shared" si="24"/>
        <v>16</v>
      </c>
      <c r="B28" s="15" t="str">
        <f t="shared" ca="1" si="68"/>
        <v>ok.</v>
      </c>
      <c r="C28" s="15" t="s">
        <v>128</v>
      </c>
      <c r="D28" s="15" t="str">
        <f t="shared" si="25"/>
        <v>Zmienne MaxTeoret</v>
      </c>
      <c r="G28" s="15" t="s">
        <v>88</v>
      </c>
      <c r="J28" s="19" t="str">
        <f ca="1">CELL(_CELL_ADDRESS_NAME,variables!AO2)</f>
        <v>'[dane surowe2d.xlsm]variables'!$AO$2</v>
      </c>
      <c r="K28" s="16">
        <f t="shared" si="65"/>
        <v>23</v>
      </c>
      <c r="M28" s="19"/>
      <c r="Q28" s="16"/>
      <c r="T28" s="15" t="str">
        <f t="shared" ca="1" si="69"/>
        <v>'[dane surowe2d.xlsm]variables'!$AO$2:$AO$24</v>
      </c>
      <c r="U28" s="15">
        <f t="shared" ca="1" si="70"/>
        <v>0</v>
      </c>
      <c r="V28" s="15" t="s">
        <v>115</v>
      </c>
      <c r="AD28" s="16" t="b">
        <f t="shared" si="41"/>
        <v>1</v>
      </c>
      <c r="AE28" s="16" t="b">
        <f t="shared" si="42"/>
        <v>0</v>
      </c>
      <c r="AF28" s="15" t="str">
        <f t="shared" si="66"/>
        <v/>
      </c>
      <c r="AG28" s="15" t="str">
        <f t="shared" ca="1" si="4"/>
        <v/>
      </c>
      <c r="AH28" s="15" t="str">
        <f t="shared" ca="1" si="5"/>
        <v/>
      </c>
      <c r="AI28" s="15" t="b">
        <f t="shared" ca="1" si="6"/>
        <v>0</v>
      </c>
      <c r="AJ28" s="15" t="str">
        <f t="shared" ca="1" si="26"/>
        <v/>
      </c>
      <c r="AK28" s="27" t="str">
        <f t="shared" ca="1" si="43"/>
        <v/>
      </c>
      <c r="AL28" s="15" t="b">
        <f t="shared" ca="1" si="7"/>
        <v>0</v>
      </c>
      <c r="AM28" s="15" t="str">
        <f t="shared" ca="1" si="44"/>
        <v/>
      </c>
      <c r="AN28" s="15">
        <f t="shared" ca="1" si="45"/>
        <v>3</v>
      </c>
      <c r="AO28" s="15" t="str">
        <f t="shared" ca="1" si="27"/>
        <v/>
      </c>
      <c r="AP28" s="15" t="str">
        <f t="shared" ca="1" si="67"/>
        <v/>
      </c>
      <c r="AQ28" s="27">
        <f t="shared" ca="1" si="46"/>
        <v>1</v>
      </c>
      <c r="AR28" s="15" t="b">
        <f t="shared" ca="1" si="47"/>
        <v>1</v>
      </c>
      <c r="AS28" s="27" t="b">
        <f t="shared" ca="1" si="48"/>
        <v>1</v>
      </c>
      <c r="AT28" s="27" t="b">
        <f t="shared" ca="1" si="49"/>
        <v>1</v>
      </c>
      <c r="AU28" s="27">
        <f t="shared" ca="1" si="50"/>
        <v>21</v>
      </c>
      <c r="AV28" s="16" t="e">
        <f t="shared" ca="1" si="51"/>
        <v>#REF!</v>
      </c>
      <c r="AW28" s="15" t="str">
        <f t="shared" ca="1" si="9"/>
        <v>'[dane surowe2d.xlsm]variables'!$AO$2</v>
      </c>
      <c r="AX28" s="27" t="b">
        <f t="shared" ca="1" si="52"/>
        <v>0</v>
      </c>
      <c r="AY28" s="27" t="b">
        <f t="shared" ca="1" si="53"/>
        <v>0</v>
      </c>
      <c r="AZ28" s="15">
        <f t="shared" ca="1" si="54"/>
        <v>1</v>
      </c>
      <c r="BA28" s="15">
        <f t="shared" ca="1" si="28"/>
        <v>23</v>
      </c>
      <c r="BB28" s="15" t="str">
        <f t="shared" ca="1" si="55"/>
        <v>'[dane surowe2d.xlsm]variables'!$AO$2</v>
      </c>
      <c r="BC28" s="15" t="str">
        <f t="shared" ca="1" si="29"/>
        <v>'[dane surowe2d.xlsm]variables'!$AO$2:$AO$24</v>
      </c>
      <c r="BD28" s="15" t="b">
        <f t="shared" ca="1" si="56"/>
        <v>1</v>
      </c>
      <c r="BE28" s="15" t="b">
        <f t="shared" ca="1" si="10"/>
        <v>1</v>
      </c>
      <c r="BF28" s="15">
        <f t="shared" ca="1" si="11"/>
        <v>23</v>
      </c>
      <c r="BG28" s="15">
        <f t="shared" ca="1" si="12"/>
        <v>23</v>
      </c>
      <c r="BH28" s="15">
        <f t="array" aca="1" ref="BH28" ca="1">IF(IFERROR( S28,1),1,IF(BC28="","", SUM(IF(ISERROR(INDIRECT(BC28)),1,0))))</f>
        <v>0</v>
      </c>
      <c r="BI28" s="15" t="b">
        <f t="shared" si="57"/>
        <v>1</v>
      </c>
      <c r="BJ28" s="15" t="b">
        <f t="shared" si="58"/>
        <v>0</v>
      </c>
      <c r="BK28" s="15">
        <f t="shared" ca="1" si="13"/>
        <v>1</v>
      </c>
      <c r="BL28" s="15">
        <f t="shared" ca="1" si="14"/>
        <v>1</v>
      </c>
      <c r="BP28" s="15" t="b">
        <f t="shared" si="30"/>
        <v>1</v>
      </c>
      <c r="BQ28" s="15" t="b">
        <f t="shared" ca="1" si="31"/>
        <v>0</v>
      </c>
      <c r="BR28" s="15" t="str">
        <f t="shared" ca="1" si="15"/>
        <v/>
      </c>
      <c r="BS28" s="15">
        <f t="shared" ca="1" si="32"/>
        <v>0</v>
      </c>
      <c r="BT28" s="15" t="str">
        <f t="shared" ca="1" si="16"/>
        <v/>
      </c>
      <c r="BV28" s="15" t="b">
        <f t="shared" ca="1" si="33"/>
        <v>0</v>
      </c>
      <c r="BW28" s="15" t="b">
        <f t="shared" ca="1" si="34"/>
        <v>0</v>
      </c>
      <c r="BX28" s="15" t="b">
        <f t="shared" ca="1" si="35"/>
        <v>0</v>
      </c>
      <c r="BY28" s="15" t="b">
        <f t="shared" ca="1" si="17"/>
        <v>0</v>
      </c>
      <c r="BZ28" s="15" t="b">
        <f t="shared" ca="1" si="36"/>
        <v>0</v>
      </c>
      <c r="CA28" s="15" t="b">
        <f t="shared" ca="1" si="59"/>
        <v>0</v>
      </c>
      <c r="CB28" s="15" t="b">
        <f t="shared" ca="1" si="60"/>
        <v>0</v>
      </c>
      <c r="CC28" s="15" t="b">
        <f t="shared" ca="1" si="61"/>
        <v>0</v>
      </c>
      <c r="CD28" s="15" t="b">
        <f t="shared" ca="1" si="61"/>
        <v>0</v>
      </c>
      <c r="CE28" s="15" t="b">
        <f t="shared" ca="1" si="37"/>
        <v>0</v>
      </c>
      <c r="CF28" s="15" t="b">
        <f t="shared" ca="1" si="62"/>
        <v>0</v>
      </c>
      <c r="CG28" s="15" t="b">
        <f t="shared" ca="1" si="63"/>
        <v>0</v>
      </c>
      <c r="CH28" s="15" t="b">
        <f t="shared" ca="1" si="18"/>
        <v>0</v>
      </c>
      <c r="CI28" s="15" t="b">
        <f t="shared" si="38"/>
        <v>0</v>
      </c>
      <c r="CJ28" s="15" t="b">
        <f t="shared" si="39"/>
        <v>0</v>
      </c>
      <c r="CK28" s="15" t="b">
        <f t="shared" ca="1" si="64"/>
        <v>0</v>
      </c>
      <c r="CL28" s="15" t="b">
        <f t="shared" ca="1" si="19"/>
        <v>0</v>
      </c>
      <c r="CM28" s="15" t="b">
        <f t="shared" ca="1" si="19"/>
        <v>0</v>
      </c>
      <c r="CN28" s="15" t="b">
        <f t="shared" ca="1" si="19"/>
        <v>0</v>
      </c>
      <c r="CO28" s="15" t="b">
        <f t="shared" ca="1" si="19"/>
        <v>0</v>
      </c>
      <c r="CP28" s="15" t="b">
        <f t="shared" ca="1" si="19"/>
        <v>0</v>
      </c>
      <c r="CQ28" s="15" t="b">
        <f t="shared" ca="1" si="19"/>
        <v>0</v>
      </c>
      <c r="CR28" s="21" t="b">
        <f t="shared" ca="1" si="19"/>
        <v>0</v>
      </c>
      <c r="CS28" s="22" t="b">
        <f t="shared" ca="1" si="20"/>
        <v>0</v>
      </c>
      <c r="CT28" s="22" t="b">
        <f t="shared" ca="1" si="20"/>
        <v>0</v>
      </c>
      <c r="CU28" s="22" t="b">
        <f t="shared" ca="1" si="20"/>
        <v>0</v>
      </c>
      <c r="CV28" s="22" t="b">
        <f t="shared" ca="1" si="20"/>
        <v>0</v>
      </c>
      <c r="CW28" s="22" t="b">
        <f t="shared" ca="1" si="20"/>
        <v>0</v>
      </c>
      <c r="CX28" s="22" t="b">
        <f t="shared" ca="1" si="20"/>
        <v>0</v>
      </c>
      <c r="CY28" s="22" t="b">
        <f t="shared" ca="1" si="20"/>
        <v>0</v>
      </c>
      <c r="CZ28" s="21" t="b">
        <f t="shared" ca="1" si="20"/>
        <v>0</v>
      </c>
      <c r="DB28" s="22" t="b">
        <f t="shared" ca="1" si="40"/>
        <v>0</v>
      </c>
      <c r="DC28" s="22" t="b">
        <f t="shared" ca="1" si="21"/>
        <v>0</v>
      </c>
      <c r="DD28" s="22" t="b">
        <f t="shared" ca="1" si="22"/>
        <v>0</v>
      </c>
      <c r="DE28" s="22" t="b">
        <f t="shared" ca="1" si="22"/>
        <v>0</v>
      </c>
      <c r="DF28" s="22" t="b">
        <f t="shared" ca="1" si="22"/>
        <v>0</v>
      </c>
      <c r="DG28" s="22" t="b">
        <f t="shared" ca="1" si="22"/>
        <v>0</v>
      </c>
      <c r="DH28" s="22" t="b">
        <f t="shared" ca="1" si="22"/>
        <v>0</v>
      </c>
      <c r="DI28" s="22" t="b">
        <f t="shared" ca="1" si="22"/>
        <v>0</v>
      </c>
      <c r="DJ28" s="22" t="b">
        <f t="shared" ca="1" si="22"/>
        <v>0</v>
      </c>
      <c r="DK28" s="22"/>
      <c r="DO28" s="15">
        <f t="shared" ca="1" si="23"/>
        <v>0</v>
      </c>
      <c r="DP28" s="15" t="str">
        <f t="shared" ca="1" si="23"/>
        <v/>
      </c>
      <c r="DQ28" s="15" t="str">
        <f t="shared" ca="1" si="23"/>
        <v/>
      </c>
      <c r="DR28" s="15" t="str">
        <f t="shared" ca="1" si="23"/>
        <v/>
      </c>
      <c r="DS28" s="15" t="str">
        <f t="shared" ca="1" si="23"/>
        <v/>
      </c>
      <c r="DT28" s="15" t="str">
        <f t="shared" ca="1" si="23"/>
        <v/>
      </c>
      <c r="DU28" s="15" t="str">
        <f t="shared" ca="1" si="23"/>
        <v/>
      </c>
      <c r="DV28" s="15" t="str">
        <f t="shared" ca="1" si="23"/>
        <v/>
      </c>
    </row>
    <row r="29" spans="1:126">
      <c r="A29" s="15">
        <f t="shared" si="24"/>
        <v>17</v>
      </c>
      <c r="B29" s="15" t="str">
        <f>IF(AD29,IF(BS29&gt;0,BT29,IF(DA29,"Pole zależy od pól, które zależą od zamkniętego workbooka","ok.")),"")</f>
        <v/>
      </c>
      <c r="D29" s="15" t="str">
        <f>IF(C29="","",C29)</f>
        <v/>
      </c>
      <c r="G29" s="15" t="s">
        <v>121</v>
      </c>
      <c r="J29" s="19" t="str">
        <f ca="1">CELL(_CELL_ADDRESS_NAME,variables!BW2)</f>
        <v>'[dane surowe2d.xlsm]variables'!$BW$2</v>
      </c>
      <c r="K29" s="15">
        <f>ster!$C$12</f>
        <v>23</v>
      </c>
      <c r="M29" s="19"/>
      <c r="Q29" s="16"/>
      <c r="T29" s="15" t="str">
        <f ca="1">BC29</f>
        <v/>
      </c>
      <c r="U29" s="15" t="str">
        <f>IF(AD29,BS29,"")</f>
        <v/>
      </c>
      <c r="AD29" s="16" t="b">
        <f>C29&lt;&gt;""</f>
        <v>0</v>
      </c>
      <c r="AE29" s="16" t="b">
        <f>AND(I29&lt;&gt;"",H29&lt;&gt;"")</f>
        <v>0</v>
      </c>
      <c r="AF29" s="15" t="str">
        <f>IF(AE29,"[" &amp; H29 &amp; "]" &amp; $B$2,"")</f>
        <v/>
      </c>
      <c r="AG29" s="15" t="str">
        <f ca="1">IF(AND(AE29,NOT(BX29)),INDIRECT(ADDRESS(ROW($D$4),COLUMN($D$4),,,AF29)),"")</f>
        <v/>
      </c>
      <c r="AH29" s="15" t="str">
        <f ca="1">IF(AND(AE29,NOT(BX29)),MATCH(I29,INDIRECT(AG29),0),"")</f>
        <v/>
      </c>
      <c r="AI29" s="15" t="b">
        <f ca="1">AND(AE29,NOT(BX29),NOT(BY29))</f>
        <v>0</v>
      </c>
      <c r="AJ29" s="15" t="str">
        <f ca="1">IF(AE29,INDIRECT(ADDRESS(ROW($T$4),COLUMN($T$4),,,AF29)),"")</f>
        <v/>
      </c>
      <c r="AK29" s="27" t="str">
        <f ca="1">IF(AE29,INDEX(INDIRECT(AJ29),AH29),"")</f>
        <v/>
      </c>
      <c r="AL29" s="15" t="b">
        <f ca="1">AND(AE29,NOT(OR(BX29,BY29)))</f>
        <v>0</v>
      </c>
      <c r="AM29" s="15" t="str">
        <f ca="1">IF(AE29,INDIRECT(ADDRESS(ROW($BK$4),COLUMN($BK$4),,,AF29)),"")</f>
        <v/>
      </c>
      <c r="AN29" s="15">
        <f ca="1">IFERROR(IF(AE29,INDEX(INDIRECT(AM29),AH29),3),3)</f>
        <v>3</v>
      </c>
      <c r="AO29" s="15" t="str">
        <f ca="1">IF(AE29,INDIRECT(ADDRESS(ROW($BS$4),COLUMN($BS$4),,,AF29)),"")</f>
        <v/>
      </c>
      <c r="AP29" s="15" t="str">
        <f ca="1">IF(AQ29=2,INDEX(INDIRECT(AO29),AH29),"")</f>
        <v/>
      </c>
      <c r="AQ29" s="27">
        <f ca="1">IF(AND(AE29,NOT(AR29)),2,IF(AND(AR29,NOT(AE29)),1,IF(AND(NOT(AE29),NOT(AR29)),4,3)))</f>
        <v>4</v>
      </c>
      <c r="AR29" s="15" t="b">
        <f ca="1">AND(J29&lt;&gt;"",AD29)</f>
        <v>0</v>
      </c>
      <c r="AS29" s="27" t="b">
        <f ca="1">NOT(ISERROR(FIND("[",J29)))</f>
        <v>1</v>
      </c>
      <c r="AT29" s="27" t="b">
        <f ca="1">MID(J29,1,1)="'"</f>
        <v>1</v>
      </c>
      <c r="AU29" s="27">
        <f ca="1">IF(AS29,FIND("]",J29),"")</f>
        <v>21</v>
      </c>
      <c r="AV29" s="16" t="e">
        <f ca="1">IF(AS29,MID(J29,1,AU29)&lt;&gt;$V$2,FALSE)</f>
        <v>#REF!</v>
      </c>
      <c r="AW29" s="15" t="str">
        <f t="shared" ca="1" si="9"/>
        <v/>
      </c>
      <c r="AX29" s="27" t="b">
        <f ca="1">IF(AR29,ROWS(INDIRECT(AW29))&gt;1)</f>
        <v>0</v>
      </c>
      <c r="AY29" s="27" t="b">
        <f ca="1">IF(AR29,COLUMNS(INDIRECT(AW29))&gt;1)</f>
        <v>0</v>
      </c>
      <c r="AZ29" s="15" t="b">
        <f ca="1">IF($AE29,IF(NOT(AI29),"?",COLUMNS(INDIRECT($AK29))),IF($AD29,IF(L29="",1,L29)))</f>
        <v>0</v>
      </c>
      <c r="BA29" s="15" t="b">
        <f ca="1">IF($AE29,IF(NOT(AI29),"?",ROWS(INDIRECT($AK29))),IF($AD29,IF(K29="",1,K29)))</f>
        <v>0</v>
      </c>
      <c r="BB29" s="15" t="str">
        <f>IF(AD29,CHOOSE(AQ29,AW29,AK29,"?"),"")</f>
        <v/>
      </c>
      <c r="BC29" s="15" t="str">
        <f ca="1">IFERROR(IF(MIN(AZ29:BA29)&lt;=0,"",  BB29 &amp; IF(AND(OR(AZ29&gt;1,BA29&gt;1),AQ29=1), ":" &amp; ADDRESS(ROW(INDIRECT(BB29)) +BA29-1,COLUMN(INDIRECT(BB29))+AZ29-1),"")),"")</f>
        <v/>
      </c>
      <c r="BD29" s="15" t="b">
        <f ca="1">AZ29*BA29&gt;1</f>
        <v>0</v>
      </c>
      <c r="BE29" s="15" t="b">
        <f ca="1">IF(AND(AD29,AQ29=1),IF(Q29="",BI29, IF(Q29,TRUE,FALSE)),FALSE)</f>
        <v>0</v>
      </c>
      <c r="BF29" s="15" t="str">
        <f ca="1">IF(BE29,COUNTA(INDIRECT(BC29)),"")</f>
        <v/>
      </c>
      <c r="BG29" s="15" t="str">
        <f ca="1">IF(BE29,AZ29*BA29,"")</f>
        <v/>
      </c>
      <c r="BH29" s="15" t="str">
        <f t="array" aca="1" ref="BH29" ca="1">IF(IFERROR( S29,1),1,IF(BC29="","", SUM(IF(ISERROR(INDIRECT(BC29)),1,0))))</f>
        <v/>
      </c>
      <c r="BI29" s="15" t="b">
        <f>G29="r"</f>
        <v>0</v>
      </c>
      <c r="BJ29" s="15" t="b">
        <f>G29="W"</f>
        <v>1</v>
      </c>
      <c r="BK29" s="15" t="str">
        <f ca="1">IF(AR29,IF(AND(BI29,NOT(BJ29)),1,IF(AND(BJ29,NOT(BI29)),2,3)),"")</f>
        <v/>
      </c>
      <c r="BL29" s="15">
        <f ca="1">CHOOSE(AQ29,BK29,AN29,3,4)</f>
        <v>4</v>
      </c>
      <c r="BP29" s="15" t="b">
        <f>IF(AD29,IF(M29="",TRUE,NOT(M29)),FALSE)</f>
        <v>0</v>
      </c>
      <c r="BQ29" s="15" t="b">
        <f>IF(BP29,OR(BU29:CZ29),FALSE)</f>
        <v>0</v>
      </c>
      <c r="BR29" s="15" t="str">
        <f>IF(BQ29,MATCH(TRUE,BU29:CZ29,0),"")</f>
        <v/>
      </c>
      <c r="BS29" s="15">
        <f>IF(BP29,IF(BQ29,BR29,IF(AQ29=2,AP29,0)),0)</f>
        <v>0</v>
      </c>
      <c r="BT29" s="15" t="str">
        <f>IF(BS29&gt;0,INDEX(BU$10:CZ$10,BS29),"")</f>
        <v/>
      </c>
      <c r="BV29" s="15" t="b">
        <f ca="1">IFERROR(IF($AD29,COUNTIF(INDIRECT($C$4),C29)&gt;1,FALSE),FALSE)</f>
        <v>0</v>
      </c>
      <c r="BW29" s="15" t="b">
        <f ca="1">IFERROR(IF($AD29,IF(D29&lt;&gt;"",COUNTIF(INDIRECT($D$4),D29)&gt;1,FALSE),FALSE),FALSE)</f>
        <v>0</v>
      </c>
      <c r="BX29" s="15" t="b">
        <f ca="1">IFERROR(IF(AE29,IFERROR(INDIRECT(ADDRESS(ROW($B$2),COLUMN($B$2),4,,AF29))&lt;&gt;$B$2,TRUE)),FALSE)</f>
        <v>0</v>
      </c>
      <c r="BY29" s="15" t="b">
        <f ca="1">IFERROR(IF(AND(AE29,NOT(BX29)),IF(ISERROR(AH29),TRUE,FALSE)),FALSE)</f>
        <v>0</v>
      </c>
      <c r="BZ29" s="15" t="b">
        <f ca="1">IFERROR(IF(BE29,BF29&lt;&gt;BG29,FALSE),FALSE)</f>
        <v>0</v>
      </c>
      <c r="CA29" s="15" t="b">
        <f ca="1">AND(AR29,AE29,AD29)</f>
        <v>0</v>
      </c>
      <c r="CB29" s="15" t="b">
        <f ca="1">ISERROR(COUNT(INDIRECT(J29)))</f>
        <v>0</v>
      </c>
      <c r="CC29" s="15" t="b">
        <f ca="1">AND(AD29,AQ29=2,Q29&lt;&gt;"")</f>
        <v>0</v>
      </c>
      <c r="CD29" s="15" t="b">
        <f ca="1">AND(AE29,AR29=2,R29&lt;&gt;"")</f>
        <v>0</v>
      </c>
      <c r="CE29" s="15" t="b">
        <f ca="1">IF(AD29, IF(AQ29=1, IF(OR(R29,DB29,AK29="" ),FALSE,OR(ISERROR(INDIRECT(T29)))),FALSE),FALSE)</f>
        <v>0</v>
      </c>
      <c r="CF29" s="15" t="b">
        <f ca="1">AND($AD29,$AQ29=2,COUNTA( S29)=1)</f>
        <v>0</v>
      </c>
      <c r="CG29" s="15" t="b">
        <f ca="1">AND(AND(AQ29&lt;&gt;1,AQ29&lt;&gt;3),G29&lt;&gt;"")</f>
        <v>1</v>
      </c>
      <c r="CH29" s="15" t="b">
        <f ca="1">AND(AQ29=1,BK29=3)</f>
        <v>0</v>
      </c>
      <c r="CI29" s="15" t="b">
        <f>ISERROR(S29)</f>
        <v>0</v>
      </c>
      <c r="CJ29" s="15" t="b">
        <f>IFERROR(IF(S29,TRUE,FALSE),FALSE)</f>
        <v>0</v>
      </c>
      <c r="CK29" s="15" t="b">
        <f t="shared" ref="CK29:CR30" ca="1" si="71">IF(V29&lt;&gt;"",IFERROR(MATCH(V29,INDIRECT($C$4),0)&lt;0,TRUE),FALSE)</f>
        <v>0</v>
      </c>
      <c r="CL29" s="15" t="b">
        <f t="shared" ca="1" si="71"/>
        <v>0</v>
      </c>
      <c r="CM29" s="15" t="b">
        <f t="shared" ca="1" si="71"/>
        <v>0</v>
      </c>
      <c r="CN29" s="15" t="b">
        <f t="shared" ca="1" si="71"/>
        <v>0</v>
      </c>
      <c r="CO29" s="15" t="b">
        <f t="shared" ca="1" si="71"/>
        <v>0</v>
      </c>
      <c r="CP29" s="15" t="b">
        <f t="shared" ca="1" si="71"/>
        <v>0</v>
      </c>
      <c r="CQ29" s="15" t="b">
        <f t="shared" ca="1" si="71"/>
        <v>0</v>
      </c>
      <c r="CR29" s="21" t="b">
        <f t="shared" ca="1" si="71"/>
        <v>0</v>
      </c>
      <c r="CS29" s="22" t="b">
        <f t="shared" ref="CS29:CZ30" ca="1" si="72">AND(DO29&lt;&gt;"",DO29&lt;&gt;0,DO29&lt;&gt;4)</f>
        <v>0</v>
      </c>
      <c r="CT29" s="22" t="b">
        <f t="shared" ca="1" si="72"/>
        <v>0</v>
      </c>
      <c r="CU29" s="22" t="b">
        <f t="shared" ca="1" si="72"/>
        <v>0</v>
      </c>
      <c r="CV29" s="22" t="b">
        <f t="shared" ca="1" si="72"/>
        <v>0</v>
      </c>
      <c r="CW29" s="22" t="b">
        <f t="shared" ca="1" si="72"/>
        <v>0</v>
      </c>
      <c r="CX29" s="22" t="b">
        <f t="shared" ca="1" si="72"/>
        <v>0</v>
      </c>
      <c r="CY29" s="22" t="b">
        <f t="shared" ca="1" si="72"/>
        <v>0</v>
      </c>
      <c r="CZ29" s="21" t="b">
        <f t="shared" ca="1" si="72"/>
        <v>0</v>
      </c>
      <c r="DB29" s="22" t="b">
        <f ca="1">OR(DC29:DJ29)</f>
        <v>0</v>
      </c>
      <c r="DC29" s="22" t="b">
        <f t="shared" ca="1" si="21"/>
        <v>0</v>
      </c>
      <c r="DD29" s="22" t="b">
        <f t="shared" ref="DD29:DJ30" ca="1" si="73">AND(DP29=4)</f>
        <v>0</v>
      </c>
      <c r="DE29" s="22" t="b">
        <f t="shared" ca="1" si="73"/>
        <v>0</v>
      </c>
      <c r="DF29" s="22" t="b">
        <f t="shared" ca="1" si="73"/>
        <v>0</v>
      </c>
      <c r="DG29" s="22" t="b">
        <f t="shared" ca="1" si="73"/>
        <v>0</v>
      </c>
      <c r="DH29" s="22" t="b">
        <f t="shared" ca="1" si="73"/>
        <v>0</v>
      </c>
      <c r="DI29" s="22" t="b">
        <f t="shared" ca="1" si="73"/>
        <v>0</v>
      </c>
      <c r="DJ29" s="22" t="b">
        <f t="shared" ca="1" si="73"/>
        <v>0</v>
      </c>
      <c r="DK29" s="22"/>
      <c r="DO29" s="15" t="str">
        <f t="shared" ref="DO29:DV30" ca="1" si="74">IF(V29&lt;&gt;"",IFERROR(INDEX(INDIRECT($BS$4),MATCH(V29,INDIRECT($C$4),0)),100),"")</f>
        <v/>
      </c>
      <c r="DP29" s="15" t="str">
        <f t="shared" ca="1" si="74"/>
        <v/>
      </c>
      <c r="DQ29" s="15" t="str">
        <f t="shared" ca="1" si="74"/>
        <v/>
      </c>
      <c r="DR29" s="15" t="str">
        <f t="shared" ca="1" si="74"/>
        <v/>
      </c>
      <c r="DS29" s="15" t="str">
        <f t="shared" ca="1" si="74"/>
        <v/>
      </c>
      <c r="DT29" s="15" t="str">
        <f t="shared" ca="1" si="74"/>
        <v/>
      </c>
      <c r="DU29" s="15" t="str">
        <f t="shared" ca="1" si="74"/>
        <v/>
      </c>
      <c r="DV29" s="15" t="str">
        <f t="shared" ca="1" si="74"/>
        <v/>
      </c>
    </row>
    <row r="30" spans="1:126">
      <c r="A30" s="15">
        <f t="shared" si="24"/>
        <v>18</v>
      </c>
      <c r="B30" s="15" t="str">
        <f>IF(AD30,IF(BS30&gt;0,BT30,IF(DA30,"Pole zależy od pól, które zależą od zamkniętego workbooka","ok.")),"")</f>
        <v/>
      </c>
      <c r="D30" s="15" t="str">
        <f>IF(C30="","",C30)</f>
        <v/>
      </c>
      <c r="G30" s="15" t="s">
        <v>121</v>
      </c>
      <c r="J30" s="19" t="str">
        <f ca="1">CELL(_CELL_ADDRESS_NAME,variables!BX2)</f>
        <v>'[dane surowe2d.xlsm]variables'!$BX$2</v>
      </c>
      <c r="K30" s="15">
        <f>ster!$C$12</f>
        <v>23</v>
      </c>
      <c r="M30" s="19"/>
      <c r="Q30" s="16"/>
      <c r="T30" s="15" t="str">
        <f ca="1">BC30</f>
        <v/>
      </c>
      <c r="U30" s="15" t="str">
        <f>IF(AD30,BS30,"")</f>
        <v/>
      </c>
      <c r="AD30" s="16" t="b">
        <f>C30&lt;&gt;""</f>
        <v>0</v>
      </c>
      <c r="AE30" s="16" t="b">
        <f>AND(I30&lt;&gt;"",H30&lt;&gt;"")</f>
        <v>0</v>
      </c>
      <c r="AF30" s="15" t="str">
        <f>IF(AE30,"[" &amp; H30 &amp; "]" &amp; $B$2,"")</f>
        <v/>
      </c>
      <c r="AG30" s="15" t="str">
        <f ca="1">IF(AND(AE30,NOT(BX30)),INDIRECT(ADDRESS(ROW($D$4),COLUMN($D$4),,,AF30)),"")</f>
        <v/>
      </c>
      <c r="AH30" s="15" t="str">
        <f ca="1">IF(AND(AE30,NOT(BX30)),MATCH(I30,INDIRECT(AG30),0),"")</f>
        <v/>
      </c>
      <c r="AI30" s="15" t="b">
        <f ca="1">AND(AE30,NOT(BX30),NOT(BY30))</f>
        <v>0</v>
      </c>
      <c r="AJ30" s="15" t="str">
        <f ca="1">IF(AE30,INDIRECT(ADDRESS(ROW($T$4),COLUMN($T$4),,,AF30)),"")</f>
        <v/>
      </c>
      <c r="AK30" s="27" t="str">
        <f ca="1">IF(AE30,INDEX(INDIRECT(AJ30),AH30),"")</f>
        <v/>
      </c>
      <c r="AL30" s="15" t="b">
        <f ca="1">AND(AE30,NOT(OR(BX30,BY30)))</f>
        <v>0</v>
      </c>
      <c r="AM30" s="15" t="str">
        <f ca="1">IF(AE30,INDIRECT(ADDRESS(ROW($BK$4),COLUMN($BK$4),,,AF30)),"")</f>
        <v/>
      </c>
      <c r="AN30" s="15">
        <f ca="1">IFERROR(IF(AE30,INDEX(INDIRECT(AM30),AH30),3),3)</f>
        <v>3</v>
      </c>
      <c r="AO30" s="15" t="str">
        <f ca="1">IF(AE30,INDIRECT(ADDRESS(ROW($BS$4),COLUMN($BS$4),,,AF30)),"")</f>
        <v/>
      </c>
      <c r="AP30" s="15" t="str">
        <f ca="1">IF(AQ30=2,INDEX(INDIRECT(AO30),AH30),"")</f>
        <v/>
      </c>
      <c r="AQ30" s="27">
        <f ca="1">IF(AND(AE30,NOT(AR30)),2,IF(AND(AR30,NOT(AE30)),1,IF(AND(NOT(AE30),NOT(AR30)),4,3)))</f>
        <v>4</v>
      </c>
      <c r="AR30" s="15" t="b">
        <f ca="1">AND(J30&lt;&gt;"",AD30)</f>
        <v>0</v>
      </c>
      <c r="AS30" s="27" t="b">
        <f ca="1">NOT(ISERROR(FIND("[",J30)))</f>
        <v>1</v>
      </c>
      <c r="AT30" s="27" t="b">
        <f ca="1">MID(J30,1,1)="'"</f>
        <v>1</v>
      </c>
      <c r="AU30" s="27">
        <f ca="1">IF(AS30,FIND("]",J30),"")</f>
        <v>21</v>
      </c>
      <c r="AV30" s="16" t="e">
        <f ca="1">IF(AS30,MID(J30,1,AU30)&lt;&gt;$V$2,FALSE)</f>
        <v>#REF!</v>
      </c>
      <c r="AW30" s="15" t="str">
        <f t="shared" ca="1" si="9"/>
        <v/>
      </c>
      <c r="AX30" s="27" t="b">
        <f ca="1">IF(AR30,ROWS(INDIRECT(AW30))&gt;1)</f>
        <v>0</v>
      </c>
      <c r="AY30" s="27" t="b">
        <f ca="1">IF(AR30,COLUMNS(INDIRECT(AW30))&gt;1)</f>
        <v>0</v>
      </c>
      <c r="AZ30" s="15" t="b">
        <f ca="1">IF($AE30,IF(NOT(AI30),"?",COLUMNS(INDIRECT($AK30))),IF($AD30,IF(L30="",1,L30)))</f>
        <v>0</v>
      </c>
      <c r="BA30" s="15" t="b">
        <f ca="1">IF($AE30,IF(NOT(AI30),"?",ROWS(INDIRECT($AK30))),IF($AD30,IF(K30="",1,K30)))</f>
        <v>0</v>
      </c>
      <c r="BB30" s="15" t="str">
        <f>IF(AD30,CHOOSE(AQ30,AW30,AK30,"?"),"")</f>
        <v/>
      </c>
      <c r="BC30" s="15" t="str">
        <f ca="1">IFERROR(IF(MIN(AZ30:BA30)&lt;=0,"",  BB30 &amp; IF(AND(OR(AZ30&gt;1,BA30&gt;1),AQ30=1), ":" &amp; ADDRESS(ROW(INDIRECT(BB30)) +BA30-1,COLUMN(INDIRECT(BB30))+AZ30-1),"")),"")</f>
        <v/>
      </c>
      <c r="BD30" s="15" t="b">
        <f ca="1">AZ30*BA30&gt;1</f>
        <v>0</v>
      </c>
      <c r="BE30" s="15" t="b">
        <f ca="1">IF(AND(AD30,AQ30=1),IF(Q30="",BI30, IF(Q30,TRUE,FALSE)),FALSE)</f>
        <v>0</v>
      </c>
      <c r="BF30" s="15" t="str">
        <f ca="1">IF(BE30,COUNTA(INDIRECT(BC30)),"")</f>
        <v/>
      </c>
      <c r="BG30" s="15" t="str">
        <f ca="1">IF(BE30,AZ30*BA30,"")</f>
        <v/>
      </c>
      <c r="BH30" s="15" t="str">
        <f t="array" aca="1" ref="BH30" ca="1">IF(IFERROR( S30,1),1,IF(BC30="","", SUM(IF(ISERROR(INDIRECT(BC30)),1,0))))</f>
        <v/>
      </c>
      <c r="BI30" s="15" t="b">
        <f>G30="r"</f>
        <v>0</v>
      </c>
      <c r="BJ30" s="15" t="b">
        <f>G30="W"</f>
        <v>1</v>
      </c>
      <c r="BK30" s="15" t="str">
        <f ca="1">IF(AR30,IF(AND(BI30,NOT(BJ30)),1,IF(AND(BJ30,NOT(BI30)),2,3)),"")</f>
        <v/>
      </c>
      <c r="BL30" s="15">
        <f ca="1">CHOOSE(AQ30,BK30,AN30,3,4)</f>
        <v>4</v>
      </c>
      <c r="BP30" s="15" t="b">
        <f>IF(AD30,IF(M30="",TRUE,NOT(M30)),FALSE)</f>
        <v>0</v>
      </c>
      <c r="BQ30" s="15" t="b">
        <f>IF(BP30,OR(BU30:CZ30),FALSE)</f>
        <v>0</v>
      </c>
      <c r="BR30" s="15" t="str">
        <f>IF(BQ30,MATCH(TRUE,BU30:CZ30,0),"")</f>
        <v/>
      </c>
      <c r="BS30" s="15">
        <f>IF(BP30,IF(BQ30,BR30,IF(AQ30=2,AP30,0)),0)</f>
        <v>0</v>
      </c>
      <c r="BT30" s="15" t="str">
        <f>IF(BS30&gt;0,INDEX(BU$10:CZ$10,BS30),"")</f>
        <v/>
      </c>
      <c r="BV30" s="15" t="b">
        <f ca="1">IFERROR(IF($AD30,COUNTIF(INDIRECT($C$4),C30)&gt;1,FALSE),FALSE)</f>
        <v>0</v>
      </c>
      <c r="BW30" s="15" t="b">
        <f ca="1">IFERROR(IF($AD30,IF(D30&lt;&gt;"",COUNTIF(INDIRECT($D$4),D30)&gt;1,FALSE),FALSE),FALSE)</f>
        <v>0</v>
      </c>
      <c r="BX30" s="15" t="b">
        <f ca="1">IFERROR(IF(AE30,IFERROR(INDIRECT(ADDRESS(ROW($B$2),COLUMN($B$2),4,,AF30))&lt;&gt;$B$2,TRUE)),FALSE)</f>
        <v>0</v>
      </c>
      <c r="BY30" s="15" t="b">
        <f ca="1">IFERROR(IF(AND(AE30,NOT(BX30)),IF(ISERROR(AH30),TRUE,FALSE)),FALSE)</f>
        <v>0</v>
      </c>
      <c r="BZ30" s="15" t="b">
        <f ca="1">IFERROR(IF(BE30,BF30&lt;&gt;BG30,FALSE),FALSE)</f>
        <v>0</v>
      </c>
      <c r="CA30" s="15" t="b">
        <f ca="1">AND(AR30,AE30,AD30)</f>
        <v>0</v>
      </c>
      <c r="CB30" s="15" t="b">
        <f ca="1">ISERROR(COUNT(INDIRECT(J30)))</f>
        <v>0</v>
      </c>
      <c r="CC30" s="15" t="b">
        <f ca="1">AND(AD30,AQ30=2,Q30&lt;&gt;"")</f>
        <v>0</v>
      </c>
      <c r="CD30" s="15" t="b">
        <f ca="1">AND(AE30,AR30=2,R30&lt;&gt;"")</f>
        <v>0</v>
      </c>
      <c r="CE30" s="15" t="b">
        <f ca="1">IF(AD30, IF(AQ30=1, IF(OR(R30,DB30,AK30="" ),FALSE,OR(ISERROR(INDIRECT(T30)))),FALSE),FALSE)</f>
        <v>0</v>
      </c>
      <c r="CF30" s="15" t="b">
        <f ca="1">AND($AD30,$AQ30=2,COUNTA( S30)=1)</f>
        <v>0</v>
      </c>
      <c r="CG30" s="15" t="b">
        <f ca="1">AND(AND(AQ30&lt;&gt;1,AQ30&lt;&gt;3),G30&lt;&gt;"")</f>
        <v>1</v>
      </c>
      <c r="CH30" s="15" t="b">
        <f ca="1">AND(AQ30=1,BK30=3)</f>
        <v>0</v>
      </c>
      <c r="CI30" s="15" t="b">
        <f>ISERROR(S30)</f>
        <v>0</v>
      </c>
      <c r="CJ30" s="15" t="b">
        <f>IFERROR(IF(S30,TRUE,FALSE),FALSE)</f>
        <v>0</v>
      </c>
      <c r="CK30" s="15" t="b">
        <f t="shared" ca="1" si="71"/>
        <v>0</v>
      </c>
      <c r="CL30" s="15" t="b">
        <f t="shared" ca="1" si="71"/>
        <v>0</v>
      </c>
      <c r="CM30" s="15" t="b">
        <f t="shared" ca="1" si="71"/>
        <v>0</v>
      </c>
      <c r="CN30" s="15" t="b">
        <f t="shared" ca="1" si="71"/>
        <v>0</v>
      </c>
      <c r="CO30" s="15" t="b">
        <f t="shared" ca="1" si="71"/>
        <v>0</v>
      </c>
      <c r="CP30" s="15" t="b">
        <f t="shared" ca="1" si="71"/>
        <v>0</v>
      </c>
      <c r="CQ30" s="15" t="b">
        <f t="shared" ca="1" si="71"/>
        <v>0</v>
      </c>
      <c r="CR30" s="21" t="b">
        <f t="shared" ca="1" si="71"/>
        <v>0</v>
      </c>
      <c r="CS30" s="22" t="b">
        <f t="shared" ca="1" si="72"/>
        <v>0</v>
      </c>
      <c r="CT30" s="22" t="b">
        <f t="shared" ca="1" si="72"/>
        <v>0</v>
      </c>
      <c r="CU30" s="22" t="b">
        <f t="shared" ca="1" si="72"/>
        <v>0</v>
      </c>
      <c r="CV30" s="22" t="b">
        <f t="shared" ca="1" si="72"/>
        <v>0</v>
      </c>
      <c r="CW30" s="22" t="b">
        <f t="shared" ca="1" si="72"/>
        <v>0</v>
      </c>
      <c r="CX30" s="22" t="b">
        <f t="shared" ca="1" si="72"/>
        <v>0</v>
      </c>
      <c r="CY30" s="22" t="b">
        <f t="shared" ca="1" si="72"/>
        <v>0</v>
      </c>
      <c r="CZ30" s="21" t="b">
        <f t="shared" ca="1" si="72"/>
        <v>0</v>
      </c>
      <c r="DB30" s="22" t="b">
        <f ca="1">OR(DC30:DJ30)</f>
        <v>0</v>
      </c>
      <c r="DC30" s="22" t="b">
        <f t="shared" ca="1" si="21"/>
        <v>0</v>
      </c>
      <c r="DD30" s="22" t="b">
        <f t="shared" ca="1" si="73"/>
        <v>0</v>
      </c>
      <c r="DE30" s="22" t="b">
        <f t="shared" ca="1" si="73"/>
        <v>0</v>
      </c>
      <c r="DF30" s="22" t="b">
        <f t="shared" ca="1" si="73"/>
        <v>0</v>
      </c>
      <c r="DG30" s="22" t="b">
        <f t="shared" ca="1" si="73"/>
        <v>0</v>
      </c>
      <c r="DH30" s="22" t="b">
        <f t="shared" ca="1" si="73"/>
        <v>0</v>
      </c>
      <c r="DI30" s="22" t="b">
        <f t="shared" ca="1" si="73"/>
        <v>0</v>
      </c>
      <c r="DJ30" s="22" t="b">
        <f t="shared" ca="1" si="73"/>
        <v>0</v>
      </c>
      <c r="DK30" s="22"/>
      <c r="DO30" s="15" t="str">
        <f t="shared" ca="1" si="74"/>
        <v/>
      </c>
      <c r="DP30" s="15" t="str">
        <f t="shared" ca="1" si="74"/>
        <v/>
      </c>
      <c r="DQ30" s="15" t="str">
        <f t="shared" ca="1" si="74"/>
        <v/>
      </c>
      <c r="DR30" s="15" t="str">
        <f t="shared" ca="1" si="74"/>
        <v/>
      </c>
      <c r="DS30" s="15" t="str">
        <f t="shared" ca="1" si="74"/>
        <v/>
      </c>
      <c r="DT30" s="15" t="str">
        <f t="shared" ca="1" si="74"/>
        <v/>
      </c>
      <c r="DU30" s="15" t="str">
        <f t="shared" ca="1" si="74"/>
        <v/>
      </c>
      <c r="DV30" s="15" t="str">
        <f t="shared" ca="1" si="74"/>
        <v/>
      </c>
    </row>
    <row r="31" spans="1:126">
      <c r="A31" s="15">
        <f t="shared" si="24"/>
        <v>19</v>
      </c>
      <c r="B31" s="15" t="str">
        <f t="shared" ca="1" si="68"/>
        <v>ok.</v>
      </c>
      <c r="C31" s="15" t="s">
        <v>125</v>
      </c>
      <c r="D31" s="15" t="str">
        <f t="shared" si="25"/>
        <v>Zmienne ProcPolLiczbowych</v>
      </c>
      <c r="G31" s="15" t="s">
        <v>88</v>
      </c>
      <c r="J31" s="19" t="str">
        <f ca="1">CELL(_CELL_ADDRESS_NAME,variables!Z2)</f>
        <v>'[dane surowe2d.xlsm]variables'!$Z$2</v>
      </c>
      <c r="K31" s="16">
        <f>VariableCount</f>
        <v>23</v>
      </c>
      <c r="M31" s="19"/>
      <c r="Q31" s="16"/>
      <c r="T31" s="15" t="str">
        <f t="shared" ca="1" si="69"/>
        <v>'[dane surowe2d.xlsm]variables'!$Z$2:$Z$24</v>
      </c>
      <c r="U31" s="15">
        <f t="shared" ca="1" si="70"/>
        <v>0</v>
      </c>
      <c r="V31" s="15" t="s">
        <v>115</v>
      </c>
      <c r="AD31" s="16" t="b">
        <f t="shared" si="41"/>
        <v>1</v>
      </c>
      <c r="AE31" s="16" t="b">
        <f t="shared" si="42"/>
        <v>0</v>
      </c>
      <c r="AF31" s="15" t="str">
        <f t="shared" si="66"/>
        <v/>
      </c>
      <c r="AG31" s="15" t="str">
        <f t="shared" ca="1" si="4"/>
        <v/>
      </c>
      <c r="AH31" s="15" t="str">
        <f t="shared" ca="1" si="5"/>
        <v/>
      </c>
      <c r="AI31" s="15" t="b">
        <f t="shared" ca="1" si="6"/>
        <v>0</v>
      </c>
      <c r="AJ31" s="15" t="str">
        <f t="shared" ca="1" si="26"/>
        <v/>
      </c>
      <c r="AK31" s="27" t="str">
        <f t="shared" ca="1" si="43"/>
        <v/>
      </c>
      <c r="AL31" s="15" t="b">
        <f t="shared" ca="1" si="7"/>
        <v>0</v>
      </c>
      <c r="AM31" s="15" t="str">
        <f t="shared" ca="1" si="44"/>
        <v/>
      </c>
      <c r="AN31" s="15">
        <f t="shared" ca="1" si="45"/>
        <v>3</v>
      </c>
      <c r="AO31" s="15" t="str">
        <f t="shared" ca="1" si="27"/>
        <v/>
      </c>
      <c r="AP31" s="15" t="str">
        <f t="shared" ca="1" si="67"/>
        <v/>
      </c>
      <c r="AQ31" s="27">
        <f t="shared" ca="1" si="46"/>
        <v>1</v>
      </c>
      <c r="AR31" s="15" t="b">
        <f t="shared" ca="1" si="47"/>
        <v>1</v>
      </c>
      <c r="AS31" s="27" t="b">
        <f t="shared" ca="1" si="48"/>
        <v>1</v>
      </c>
      <c r="AT31" s="27" t="b">
        <f t="shared" ca="1" si="49"/>
        <v>1</v>
      </c>
      <c r="AU31" s="27">
        <f t="shared" ca="1" si="50"/>
        <v>21</v>
      </c>
      <c r="AV31" s="16" t="e">
        <f t="shared" ca="1" si="51"/>
        <v>#REF!</v>
      </c>
      <c r="AW31" s="15" t="str">
        <f t="shared" ca="1" si="9"/>
        <v>'[dane surowe2d.xlsm]variables'!$Z$2</v>
      </c>
      <c r="AX31" s="27" t="b">
        <f t="shared" ca="1" si="52"/>
        <v>0</v>
      </c>
      <c r="AY31" s="27" t="b">
        <f t="shared" ca="1" si="53"/>
        <v>0</v>
      </c>
      <c r="AZ31" s="15">
        <f t="shared" ca="1" si="54"/>
        <v>1</v>
      </c>
      <c r="BA31" s="15">
        <f t="shared" ca="1" si="28"/>
        <v>23</v>
      </c>
      <c r="BB31" s="15" t="str">
        <f t="shared" ca="1" si="55"/>
        <v>'[dane surowe2d.xlsm]variables'!$Z$2</v>
      </c>
      <c r="BC31" s="15" t="str">
        <f t="shared" ca="1" si="29"/>
        <v>'[dane surowe2d.xlsm]variables'!$Z$2:$Z$24</v>
      </c>
      <c r="BD31" s="15" t="b">
        <f t="shared" ca="1" si="56"/>
        <v>1</v>
      </c>
      <c r="BE31" s="15" t="b">
        <f t="shared" ca="1" si="10"/>
        <v>1</v>
      </c>
      <c r="BF31" s="15">
        <f t="shared" ca="1" si="11"/>
        <v>23</v>
      </c>
      <c r="BG31" s="15">
        <f t="shared" ca="1" si="12"/>
        <v>23</v>
      </c>
      <c r="BH31" s="15">
        <f t="array" aca="1" ref="BH31" ca="1">IF(IFERROR( S31,1),1,IF(BC31="","", SUM(IF(ISERROR(INDIRECT(BC31)),1,0))))</f>
        <v>0</v>
      </c>
      <c r="BI31" s="15" t="b">
        <f t="shared" si="57"/>
        <v>1</v>
      </c>
      <c r="BJ31" s="15" t="b">
        <f t="shared" si="58"/>
        <v>0</v>
      </c>
      <c r="BK31" s="15">
        <f t="shared" ca="1" si="13"/>
        <v>1</v>
      </c>
      <c r="BL31" s="15">
        <f t="shared" ca="1" si="14"/>
        <v>1</v>
      </c>
      <c r="BP31" s="15" t="b">
        <f t="shared" si="30"/>
        <v>1</v>
      </c>
      <c r="BQ31" s="15" t="b">
        <f t="shared" ca="1" si="31"/>
        <v>0</v>
      </c>
      <c r="BR31" s="15" t="str">
        <f t="shared" ca="1" si="15"/>
        <v/>
      </c>
      <c r="BS31" s="15">
        <f t="shared" ca="1" si="32"/>
        <v>0</v>
      </c>
      <c r="BT31" s="15" t="str">
        <f t="shared" ca="1" si="16"/>
        <v/>
      </c>
      <c r="BV31" s="15" t="b">
        <f t="shared" ca="1" si="33"/>
        <v>0</v>
      </c>
      <c r="BW31" s="15" t="b">
        <f t="shared" ca="1" si="34"/>
        <v>0</v>
      </c>
      <c r="BX31" s="15" t="b">
        <f t="shared" ca="1" si="35"/>
        <v>0</v>
      </c>
      <c r="BY31" s="15" t="b">
        <f t="shared" ca="1" si="17"/>
        <v>0</v>
      </c>
      <c r="BZ31" s="15" t="b">
        <f t="shared" ca="1" si="36"/>
        <v>0</v>
      </c>
      <c r="CA31" s="15" t="b">
        <f t="shared" ca="1" si="59"/>
        <v>0</v>
      </c>
      <c r="CB31" s="15" t="b">
        <f t="shared" ca="1" si="60"/>
        <v>0</v>
      </c>
      <c r="CC31" s="15" t="b">
        <f t="shared" ca="1" si="61"/>
        <v>0</v>
      </c>
      <c r="CD31" s="15" t="b">
        <f t="shared" ca="1" si="61"/>
        <v>0</v>
      </c>
      <c r="CE31" s="15" t="b">
        <f t="shared" ca="1" si="37"/>
        <v>0</v>
      </c>
      <c r="CF31" s="15" t="b">
        <f t="shared" ca="1" si="62"/>
        <v>0</v>
      </c>
      <c r="CG31" s="15" t="b">
        <f t="shared" ca="1" si="63"/>
        <v>0</v>
      </c>
      <c r="CH31" s="15" t="b">
        <f t="shared" ca="1" si="18"/>
        <v>0</v>
      </c>
      <c r="CI31" s="15" t="b">
        <f t="shared" si="38"/>
        <v>0</v>
      </c>
      <c r="CJ31" s="15" t="b">
        <f t="shared" si="39"/>
        <v>0</v>
      </c>
      <c r="CK31" s="15" t="b">
        <f t="shared" ca="1" si="64"/>
        <v>0</v>
      </c>
      <c r="CL31" s="15" t="b">
        <f t="shared" ca="1" si="64"/>
        <v>0</v>
      </c>
      <c r="CM31" s="15" t="b">
        <f t="shared" ca="1" si="64"/>
        <v>0</v>
      </c>
      <c r="CN31" s="15" t="b">
        <f t="shared" ca="1" si="64"/>
        <v>0</v>
      </c>
      <c r="CO31" s="15" t="b">
        <f t="shared" ca="1" si="64"/>
        <v>0</v>
      </c>
      <c r="CP31" s="15" t="b">
        <f t="shared" ca="1" si="64"/>
        <v>0</v>
      </c>
      <c r="CQ31" s="15" t="b">
        <f t="shared" ca="1" si="64"/>
        <v>0</v>
      </c>
      <c r="CR31" s="21" t="b">
        <f t="shared" ca="1" si="64"/>
        <v>0</v>
      </c>
      <c r="CS31" s="22" t="b">
        <f t="shared" ca="1" si="20"/>
        <v>0</v>
      </c>
      <c r="CT31" s="22" t="b">
        <f t="shared" ca="1" si="20"/>
        <v>0</v>
      </c>
      <c r="CU31" s="22" t="b">
        <f t="shared" ca="1" si="20"/>
        <v>0</v>
      </c>
      <c r="CV31" s="22" t="b">
        <f t="shared" ca="1" si="20"/>
        <v>0</v>
      </c>
      <c r="CW31" s="22" t="b">
        <f t="shared" ca="1" si="20"/>
        <v>0</v>
      </c>
      <c r="CX31" s="22" t="b">
        <f t="shared" ca="1" si="20"/>
        <v>0</v>
      </c>
      <c r="CY31" s="22" t="b">
        <f t="shared" ca="1" si="20"/>
        <v>0</v>
      </c>
      <c r="CZ31" s="21" t="b">
        <f t="shared" ca="1" si="20"/>
        <v>0</v>
      </c>
      <c r="DB31" s="22" t="b">
        <f t="shared" ca="1" si="40"/>
        <v>0</v>
      </c>
      <c r="DC31" s="22" t="b">
        <f t="shared" ca="1" si="21"/>
        <v>0</v>
      </c>
      <c r="DD31" s="22" t="b">
        <f t="shared" ca="1" si="22"/>
        <v>0</v>
      </c>
      <c r="DE31" s="22" t="b">
        <f t="shared" ca="1" si="22"/>
        <v>0</v>
      </c>
      <c r="DF31" s="22" t="b">
        <f t="shared" ca="1" si="22"/>
        <v>0</v>
      </c>
      <c r="DG31" s="22" t="b">
        <f t="shared" ca="1" si="22"/>
        <v>0</v>
      </c>
      <c r="DH31" s="22" t="b">
        <f t="shared" ca="1" si="22"/>
        <v>0</v>
      </c>
      <c r="DI31" s="22" t="b">
        <f t="shared" ca="1" si="22"/>
        <v>0</v>
      </c>
      <c r="DJ31" s="22" t="b">
        <f t="shared" ca="1" si="22"/>
        <v>0</v>
      </c>
      <c r="DK31" s="22"/>
      <c r="DO31" s="15">
        <f t="shared" ca="1" si="23"/>
        <v>0</v>
      </c>
      <c r="DP31" s="15" t="str">
        <f t="shared" ca="1" si="23"/>
        <v/>
      </c>
      <c r="DQ31" s="15" t="str">
        <f t="shared" ca="1" si="23"/>
        <v/>
      </c>
      <c r="DR31" s="15" t="str">
        <f t="shared" ca="1" si="23"/>
        <v/>
      </c>
      <c r="DS31" s="15" t="str">
        <f t="shared" ca="1" si="23"/>
        <v/>
      </c>
      <c r="DT31" s="15" t="str">
        <f t="shared" ca="1" si="23"/>
        <v/>
      </c>
      <c r="DU31" s="15" t="str">
        <f t="shared" ca="1" si="23"/>
        <v/>
      </c>
      <c r="DV31" s="15" t="str">
        <f t="shared" ca="1" si="23"/>
        <v/>
      </c>
    </row>
    <row r="32" spans="1:126">
      <c r="A32" s="15">
        <f t="shared" si="24"/>
        <v>20</v>
      </c>
      <c r="B32" s="15" t="str">
        <f t="shared" ca="1" si="68"/>
        <v>ok.</v>
      </c>
      <c r="C32" s="15" t="s">
        <v>97</v>
      </c>
      <c r="D32" s="15" t="str">
        <f t="shared" si="25"/>
        <v>Zmienne Istnieje</v>
      </c>
      <c r="G32" s="15" t="s">
        <v>88</v>
      </c>
      <c r="J32" s="19" t="str">
        <f ca="1">CELL(_CELL_ADDRESS_NAME,variables!H2)</f>
        <v>'[dane surowe2d.xlsm]variables'!$H$2</v>
      </c>
      <c r="K32" s="16">
        <f>VariableCount</f>
        <v>23</v>
      </c>
      <c r="M32" s="19"/>
      <c r="Q32" s="16"/>
      <c r="T32" s="15" t="str">
        <f t="shared" ca="1" si="69"/>
        <v>'[dane surowe2d.xlsm]variables'!$H$2:$H$24</v>
      </c>
      <c r="U32" s="15">
        <f t="shared" ca="1" si="70"/>
        <v>0</v>
      </c>
      <c r="V32" s="15" t="s">
        <v>115</v>
      </c>
      <c r="AD32" s="16" t="b">
        <f t="shared" si="41"/>
        <v>1</v>
      </c>
      <c r="AE32" s="16" t="b">
        <f t="shared" si="42"/>
        <v>0</v>
      </c>
      <c r="AF32" s="15" t="str">
        <f t="shared" si="66"/>
        <v/>
      </c>
      <c r="AG32" s="15" t="str">
        <f t="shared" ca="1" si="4"/>
        <v/>
      </c>
      <c r="AH32" s="15" t="str">
        <f t="shared" ca="1" si="5"/>
        <v/>
      </c>
      <c r="AI32" s="15" t="b">
        <f t="shared" ca="1" si="6"/>
        <v>0</v>
      </c>
      <c r="AJ32" s="15" t="str">
        <f t="shared" ca="1" si="26"/>
        <v/>
      </c>
      <c r="AK32" s="27" t="str">
        <f t="shared" ca="1" si="43"/>
        <v/>
      </c>
      <c r="AL32" s="15" t="b">
        <f t="shared" ca="1" si="7"/>
        <v>0</v>
      </c>
      <c r="AM32" s="15" t="str">
        <f t="shared" ca="1" si="44"/>
        <v/>
      </c>
      <c r="AN32" s="15">
        <f t="shared" ca="1" si="45"/>
        <v>3</v>
      </c>
      <c r="AO32" s="15" t="str">
        <f t="shared" ca="1" si="27"/>
        <v/>
      </c>
      <c r="AP32" s="15" t="str">
        <f t="shared" ca="1" si="67"/>
        <v/>
      </c>
      <c r="AQ32" s="27">
        <f t="shared" ca="1" si="46"/>
        <v>1</v>
      </c>
      <c r="AR32" s="15" t="b">
        <f t="shared" ca="1" si="47"/>
        <v>1</v>
      </c>
      <c r="AS32" s="27" t="b">
        <f t="shared" ca="1" si="48"/>
        <v>1</v>
      </c>
      <c r="AT32" s="27" t="b">
        <f t="shared" ca="1" si="49"/>
        <v>1</v>
      </c>
      <c r="AU32" s="27">
        <f t="shared" ca="1" si="50"/>
        <v>21</v>
      </c>
      <c r="AV32" s="16" t="e">
        <f t="shared" ca="1" si="51"/>
        <v>#REF!</v>
      </c>
      <c r="AW32" s="15" t="str">
        <f t="shared" ca="1" si="9"/>
        <v>'[dane surowe2d.xlsm]variables'!$H$2</v>
      </c>
      <c r="AX32" s="27" t="b">
        <f t="shared" ca="1" si="52"/>
        <v>0</v>
      </c>
      <c r="AY32" s="27" t="b">
        <f t="shared" ca="1" si="53"/>
        <v>0</v>
      </c>
      <c r="AZ32" s="15">
        <f t="shared" ca="1" si="54"/>
        <v>1</v>
      </c>
      <c r="BA32" s="15">
        <f t="shared" ca="1" si="28"/>
        <v>23</v>
      </c>
      <c r="BB32" s="15" t="str">
        <f t="shared" ca="1" si="55"/>
        <v>'[dane surowe2d.xlsm]variables'!$H$2</v>
      </c>
      <c r="BC32" s="15" t="str">
        <f t="shared" ca="1" si="29"/>
        <v>'[dane surowe2d.xlsm]variables'!$H$2:$H$24</v>
      </c>
      <c r="BD32" s="15" t="b">
        <f t="shared" ca="1" si="56"/>
        <v>1</v>
      </c>
      <c r="BE32" s="15" t="b">
        <f t="shared" ca="1" si="10"/>
        <v>1</v>
      </c>
      <c r="BF32" s="15">
        <f t="shared" ca="1" si="11"/>
        <v>23</v>
      </c>
      <c r="BG32" s="15">
        <f t="shared" ca="1" si="12"/>
        <v>23</v>
      </c>
      <c r="BH32" s="15">
        <f t="array" aca="1" ref="BH32" ca="1">IF(IFERROR( S32,1),1,IF(BC32="","", SUM(IF(ISERROR(INDIRECT(BC32)),1,0))))</f>
        <v>0</v>
      </c>
      <c r="BI32" s="15" t="b">
        <f t="shared" si="57"/>
        <v>1</v>
      </c>
      <c r="BJ32" s="15" t="b">
        <f t="shared" si="58"/>
        <v>0</v>
      </c>
      <c r="BK32" s="15">
        <f t="shared" ca="1" si="13"/>
        <v>1</v>
      </c>
      <c r="BL32" s="15">
        <f t="shared" ca="1" si="14"/>
        <v>1</v>
      </c>
      <c r="BP32" s="15" t="b">
        <f t="shared" si="30"/>
        <v>1</v>
      </c>
      <c r="BQ32" s="15" t="b">
        <f t="shared" ca="1" si="31"/>
        <v>0</v>
      </c>
      <c r="BR32" s="15" t="str">
        <f t="shared" ca="1" si="15"/>
        <v/>
      </c>
      <c r="BS32" s="15">
        <f t="shared" ca="1" si="32"/>
        <v>0</v>
      </c>
      <c r="BT32" s="15" t="str">
        <f t="shared" ca="1" si="16"/>
        <v/>
      </c>
      <c r="BV32" s="15" t="b">
        <f t="shared" ca="1" si="33"/>
        <v>0</v>
      </c>
      <c r="BW32" s="15" t="b">
        <f t="shared" ca="1" si="34"/>
        <v>0</v>
      </c>
      <c r="BX32" s="15" t="b">
        <f t="shared" ca="1" si="35"/>
        <v>0</v>
      </c>
      <c r="BY32" s="15" t="b">
        <f t="shared" ca="1" si="17"/>
        <v>0</v>
      </c>
      <c r="BZ32" s="15" t="b">
        <f t="shared" ca="1" si="36"/>
        <v>0</v>
      </c>
      <c r="CA32" s="15" t="b">
        <f t="shared" ca="1" si="59"/>
        <v>0</v>
      </c>
      <c r="CB32" s="15" t="b">
        <f t="shared" ca="1" si="60"/>
        <v>0</v>
      </c>
      <c r="CC32" s="15" t="b">
        <f t="shared" ca="1" si="61"/>
        <v>0</v>
      </c>
      <c r="CD32" s="15" t="b">
        <f t="shared" ca="1" si="61"/>
        <v>0</v>
      </c>
      <c r="CE32" s="15" t="b">
        <f t="shared" ca="1" si="37"/>
        <v>0</v>
      </c>
      <c r="CF32" s="15" t="b">
        <f t="shared" ca="1" si="62"/>
        <v>0</v>
      </c>
      <c r="CG32" s="15" t="b">
        <f t="shared" ca="1" si="63"/>
        <v>0</v>
      </c>
      <c r="CH32" s="15" t="b">
        <f t="shared" ca="1" si="18"/>
        <v>0</v>
      </c>
      <c r="CI32" s="15" t="b">
        <f t="shared" si="38"/>
        <v>0</v>
      </c>
      <c r="CJ32" s="15" t="b">
        <f t="shared" si="39"/>
        <v>0</v>
      </c>
      <c r="CK32" s="15" t="b">
        <f t="shared" ca="1" si="64"/>
        <v>0</v>
      </c>
      <c r="CL32" s="15" t="b">
        <f t="shared" ca="1" si="64"/>
        <v>0</v>
      </c>
      <c r="CM32" s="15" t="b">
        <f t="shared" ca="1" si="64"/>
        <v>0</v>
      </c>
      <c r="CN32" s="15" t="b">
        <f t="shared" ca="1" si="64"/>
        <v>0</v>
      </c>
      <c r="CO32" s="15" t="b">
        <f t="shared" ca="1" si="64"/>
        <v>0</v>
      </c>
      <c r="CP32" s="15" t="b">
        <f t="shared" ca="1" si="64"/>
        <v>0</v>
      </c>
      <c r="CQ32" s="15" t="b">
        <f t="shared" ca="1" si="64"/>
        <v>0</v>
      </c>
      <c r="CR32" s="21" t="b">
        <f t="shared" ca="1" si="64"/>
        <v>0</v>
      </c>
      <c r="CS32" s="22" t="b">
        <f t="shared" ca="1" si="20"/>
        <v>0</v>
      </c>
      <c r="CT32" s="22" t="b">
        <f t="shared" ca="1" si="20"/>
        <v>0</v>
      </c>
      <c r="CU32" s="22" t="b">
        <f t="shared" ca="1" si="20"/>
        <v>0</v>
      </c>
      <c r="CV32" s="22" t="b">
        <f t="shared" ca="1" si="20"/>
        <v>0</v>
      </c>
      <c r="CW32" s="22" t="b">
        <f t="shared" ca="1" si="20"/>
        <v>0</v>
      </c>
      <c r="CX32" s="22" t="b">
        <f t="shared" ca="1" si="20"/>
        <v>0</v>
      </c>
      <c r="CY32" s="22" t="b">
        <f t="shared" ca="1" si="20"/>
        <v>0</v>
      </c>
      <c r="CZ32" s="21" t="b">
        <f t="shared" ca="1" si="20"/>
        <v>0</v>
      </c>
      <c r="DB32" s="22" t="b">
        <f t="shared" ca="1" si="40"/>
        <v>0</v>
      </c>
      <c r="DC32" s="22" t="b">
        <f t="shared" ca="1" si="21"/>
        <v>0</v>
      </c>
      <c r="DD32" s="22" t="b">
        <f t="shared" ca="1" si="22"/>
        <v>0</v>
      </c>
      <c r="DE32" s="22" t="b">
        <f t="shared" ca="1" si="22"/>
        <v>0</v>
      </c>
      <c r="DF32" s="22" t="b">
        <f t="shared" ca="1" si="22"/>
        <v>0</v>
      </c>
      <c r="DG32" s="22" t="b">
        <f t="shared" ca="1" si="22"/>
        <v>0</v>
      </c>
      <c r="DH32" s="22" t="b">
        <f t="shared" ca="1" si="22"/>
        <v>0</v>
      </c>
      <c r="DI32" s="22" t="b">
        <f t="shared" ca="1" si="22"/>
        <v>0</v>
      </c>
      <c r="DJ32" s="22" t="b">
        <f t="shared" ca="1" si="22"/>
        <v>0</v>
      </c>
      <c r="DK32" s="22"/>
      <c r="DO32" s="15">
        <f t="shared" ca="1" si="23"/>
        <v>0</v>
      </c>
      <c r="DP32" s="15" t="str">
        <f t="shared" ca="1" si="23"/>
        <v/>
      </c>
      <c r="DQ32" s="15" t="str">
        <f t="shared" ca="1" si="23"/>
        <v/>
      </c>
      <c r="DR32" s="15" t="str">
        <f t="shared" ca="1" si="23"/>
        <v/>
      </c>
      <c r="DS32" s="15" t="str">
        <f t="shared" ca="1" si="23"/>
        <v/>
      </c>
      <c r="DT32" s="15" t="str">
        <f t="shared" ca="1" si="23"/>
        <v/>
      </c>
      <c r="DU32" s="15" t="str">
        <f t="shared" ca="1" si="23"/>
        <v/>
      </c>
      <c r="DV32" s="15" t="str">
        <f t="shared" ca="1" si="23"/>
        <v/>
      </c>
    </row>
    <row r="33" spans="1:126">
      <c r="A33" s="15">
        <f t="shared" si="24"/>
        <v>21</v>
      </c>
      <c r="B33" s="15" t="str">
        <f ca="1">IF(AD33,IF(BS33&gt;0,BT33,IF(DA33,"Pole zależy od pól, które zależą od zamkniętego workbooka","ok.")),"")</f>
        <v>ok.</v>
      </c>
      <c r="C33" s="15" t="s">
        <v>272</v>
      </c>
      <c r="D33" s="15" t="str">
        <f>IF(C33="","",C33)</f>
        <v>Zmienne CzyDyskretna</v>
      </c>
      <c r="G33" s="15" t="s">
        <v>88</v>
      </c>
      <c r="J33" s="19" t="str">
        <f ca="1">CELL(_CELL_ADDRESS_NAME,variables!AP2)</f>
        <v>'[dane surowe2d.xlsm]variables'!$AP$2</v>
      </c>
      <c r="K33" s="16">
        <f>VariableCount</f>
        <v>23</v>
      </c>
      <c r="M33" s="19"/>
      <c r="Q33" s="16"/>
      <c r="T33" s="15" t="str">
        <f ca="1">BC33</f>
        <v>'[dane surowe2d.xlsm]variables'!$AP$2:$AP$24</v>
      </c>
      <c r="U33" s="15">
        <f ca="1">IF(AD33,BS33,"")</f>
        <v>0</v>
      </c>
      <c r="V33" s="15" t="s">
        <v>115</v>
      </c>
      <c r="AD33" s="16" t="b">
        <f>C33&lt;&gt;""</f>
        <v>1</v>
      </c>
      <c r="AE33" s="16" t="b">
        <f>AND(I33&lt;&gt;"",H33&lt;&gt;"")</f>
        <v>0</v>
      </c>
      <c r="AF33" s="15" t="str">
        <f>IF(AE33,"[" &amp; H33 &amp; "]" &amp; $B$2,"")</f>
        <v/>
      </c>
      <c r="AG33" s="15" t="str">
        <f ca="1">IF(AND(AE33,NOT(BX33)),INDIRECT(ADDRESS(ROW($D$4),COLUMN($D$4),,,AF33)),"")</f>
        <v/>
      </c>
      <c r="AH33" s="15" t="str">
        <f ca="1">IF(AND(AE33,NOT(BX33)),MATCH(I33,INDIRECT(AG33),0),"")</f>
        <v/>
      </c>
      <c r="AI33" s="15" t="b">
        <f ca="1">AND(AE33,NOT(BX33),NOT(BY33))</f>
        <v>0</v>
      </c>
      <c r="AJ33" s="15" t="str">
        <f ca="1">IF(AE33,INDIRECT(ADDRESS(ROW($T$4),COLUMN($T$4),,,AF33)),"")</f>
        <v/>
      </c>
      <c r="AK33" s="27" t="str">
        <f ca="1">IF(AE33,INDEX(INDIRECT(AJ33),AH33),"")</f>
        <v/>
      </c>
      <c r="AL33" s="15" t="b">
        <f ca="1">AND(AE33,NOT(OR(BX33,BY33)))</f>
        <v>0</v>
      </c>
      <c r="AM33" s="15" t="str">
        <f ca="1">IF(AE33,INDIRECT(ADDRESS(ROW($BK$4),COLUMN($BK$4),,,AF33)),"")</f>
        <v/>
      </c>
      <c r="AN33" s="15">
        <f ca="1">IFERROR(IF(AE33,INDEX(INDIRECT(AM33),AH33),3),3)</f>
        <v>3</v>
      </c>
      <c r="AO33" s="15" t="str">
        <f ca="1">IF(AE33,INDIRECT(ADDRESS(ROW($BS$4),COLUMN($BS$4),,,AF33)),"")</f>
        <v/>
      </c>
      <c r="AP33" s="15" t="str">
        <f ca="1">IF(AQ33=2,INDEX(INDIRECT(AO33),AH33),"")</f>
        <v/>
      </c>
      <c r="AQ33" s="27">
        <f ca="1">IF(AND(AE33,NOT(AR33)),2,IF(AND(AR33,NOT(AE33)),1,IF(AND(NOT(AE33),NOT(AR33)),4,3)))</f>
        <v>1</v>
      </c>
      <c r="AR33" s="15" t="b">
        <f ca="1">AND(J33&lt;&gt;"",AD33)</f>
        <v>1</v>
      </c>
      <c r="AS33" s="27" t="b">
        <f ca="1">NOT(ISERROR(FIND("[",J33)))</f>
        <v>1</v>
      </c>
      <c r="AT33" s="27" t="b">
        <f ca="1">MID(J33,1,1)="'"</f>
        <v>1</v>
      </c>
      <c r="AU33" s="27">
        <f ca="1">IF(AS33,FIND("]",J33),"")</f>
        <v>21</v>
      </c>
      <c r="AV33" s="16" t="e">
        <f ca="1">IF(AS33,MID(J33,1,AU33)&lt;&gt;$V$2,FALSE)</f>
        <v>#REF!</v>
      </c>
      <c r="AW33" s="15" t="str">
        <f t="shared" ca="1" si="9"/>
        <v>'[dane surowe2d.xlsm]variables'!$AP$2</v>
      </c>
      <c r="AX33" s="27" t="b">
        <f ca="1">IF(AR33,ROWS(INDIRECT(AW33))&gt;1)</f>
        <v>0</v>
      </c>
      <c r="AY33" s="27" t="b">
        <f ca="1">IF(AR33,COLUMNS(INDIRECT(AW33))&gt;1)</f>
        <v>0</v>
      </c>
      <c r="AZ33" s="15">
        <f ca="1">IF($AE33,IF(NOT(AI33),"?",COLUMNS(INDIRECT($AK33))),IF($AD33,IF(L33="",1,L33)))</f>
        <v>1</v>
      </c>
      <c r="BA33" s="15">
        <f ca="1">IF($AE33,IF(NOT(AI33),"?",ROWS(INDIRECT($AK33))),IF($AD33,IF(K33="",1,K33)))</f>
        <v>23</v>
      </c>
      <c r="BB33" s="15" t="str">
        <f ca="1">IF(AD33,CHOOSE(AQ33,AW33,AK33,"?"),"")</f>
        <v>'[dane surowe2d.xlsm]variables'!$AP$2</v>
      </c>
      <c r="BC33" s="15" t="str">
        <f ca="1">IFERROR(IF(MIN(AZ33:BA33)&lt;=0,"",  BB33 &amp; IF(AND(OR(AZ33&gt;1,BA33&gt;1),AQ33=1), ":" &amp; ADDRESS(ROW(INDIRECT(BB33)) +BA33-1,COLUMN(INDIRECT(BB33))+AZ33-1),"")),"")</f>
        <v>'[dane surowe2d.xlsm]variables'!$AP$2:$AP$24</v>
      </c>
      <c r="BD33" s="15" t="b">
        <f ca="1">AZ33*BA33&gt;1</f>
        <v>1</v>
      </c>
      <c r="BE33" s="15" t="b">
        <f ca="1">IF(AND(AD33,AQ33=1),IF(Q33="",BI33, IF(Q33,TRUE,FALSE)),FALSE)</f>
        <v>1</v>
      </c>
      <c r="BF33" s="15">
        <f ca="1">IF(BE33,COUNTA(INDIRECT(BC33)),"")</f>
        <v>23</v>
      </c>
      <c r="BG33" s="15">
        <f ca="1">IF(BE33,AZ33*BA33,"")</f>
        <v>23</v>
      </c>
      <c r="BH33" s="15">
        <f t="array" aca="1" ref="BH33" ca="1">IF(IFERROR( S33,1),1,IF(BC33="","", SUM(IF(ISERROR(INDIRECT(BC33)),1,0))))</f>
        <v>0</v>
      </c>
      <c r="BI33" s="15" t="b">
        <f>G33="r"</f>
        <v>1</v>
      </c>
      <c r="BJ33" s="15" t="b">
        <f>G33="W"</f>
        <v>0</v>
      </c>
      <c r="BK33" s="15">
        <f ca="1">IF(AR33,IF(AND(BI33,NOT(BJ33)),1,IF(AND(BJ33,NOT(BI33)),2,3)),"")</f>
        <v>1</v>
      </c>
      <c r="BL33" s="15">
        <f ca="1">CHOOSE(AQ33,BK33,AN33,3,4)</f>
        <v>1</v>
      </c>
      <c r="BP33" s="15" t="b">
        <f>IF(AD33,IF(M33="",TRUE,NOT(M33)),FALSE)</f>
        <v>1</v>
      </c>
      <c r="BQ33" s="15" t="b">
        <f ca="1">IF(BP33,OR(BU33:CZ33),FALSE)</f>
        <v>0</v>
      </c>
      <c r="BR33" s="15" t="str">
        <f ca="1">IF(BQ33,MATCH(TRUE,BU33:CZ33,0),"")</f>
        <v/>
      </c>
      <c r="BS33" s="15">
        <f ca="1">IF(BP33,IF(BQ33,BR33,IF(AQ33=2,AP33,0)),0)</f>
        <v>0</v>
      </c>
      <c r="BT33" s="15" t="str">
        <f ca="1">IF(BS33&gt;0,INDEX(BU$10:CZ$10,BS33),"")</f>
        <v/>
      </c>
      <c r="BV33" s="15" t="b">
        <f ca="1">IFERROR(IF($AD33,COUNTIF(INDIRECT($C$4),C33)&gt;1,FALSE),FALSE)</f>
        <v>0</v>
      </c>
      <c r="BW33" s="15" t="b">
        <f ca="1">IFERROR(IF($AD33,IF(D33&lt;&gt;"",COUNTIF(INDIRECT($D$4),D33)&gt;1,FALSE),FALSE),FALSE)</f>
        <v>0</v>
      </c>
      <c r="BX33" s="15" t="b">
        <f ca="1">IFERROR(IF(AE33,IFERROR(INDIRECT(ADDRESS(ROW($B$2),COLUMN($B$2),4,,AF33))&lt;&gt;$B$2,TRUE)),FALSE)</f>
        <v>0</v>
      </c>
      <c r="BY33" s="15" t="b">
        <f ca="1">IFERROR(IF(AND(AE33,NOT(BX33)),IF(ISERROR(AH33),TRUE,FALSE)),FALSE)</f>
        <v>0</v>
      </c>
      <c r="BZ33" s="15" t="b">
        <f ca="1">IFERROR(IF(BE33,BF33&lt;&gt;BG33,FALSE),FALSE)</f>
        <v>0</v>
      </c>
      <c r="CA33" s="15" t="b">
        <f ca="1">AND(AR33,AE33,AD33)</f>
        <v>0</v>
      </c>
      <c r="CB33" s="15" t="b">
        <f ca="1">ISERROR(COUNT(INDIRECT(J33)))</f>
        <v>0</v>
      </c>
      <c r="CC33" s="15" t="b">
        <f t="shared" ref="CC33:CD36" ca="1" si="75">AND(AD33,AQ33=2,Q33&lt;&gt;"")</f>
        <v>0</v>
      </c>
      <c r="CD33" s="15" t="b">
        <f t="shared" ca="1" si="75"/>
        <v>0</v>
      </c>
      <c r="CE33" s="15" t="b">
        <f ca="1">IF(AD33, IF(AQ33=1, IF(OR(R33,DB33,AK33="" ),FALSE,OR(ISERROR(INDIRECT(T33)))),FALSE),FALSE)</f>
        <v>0</v>
      </c>
      <c r="CF33" s="15" t="b">
        <f ca="1">AND($AD33,$AQ33=2,COUNTA( S33)=1)</f>
        <v>0</v>
      </c>
      <c r="CG33" s="15" t="b">
        <f ca="1">AND(AND(AQ33&lt;&gt;1,AQ33&lt;&gt;3),G33&lt;&gt;"")</f>
        <v>0</v>
      </c>
      <c r="CH33" s="15" t="b">
        <f ca="1">AND(AQ33=1,BK33=3)</f>
        <v>0</v>
      </c>
      <c r="CI33" s="15" t="b">
        <f>ISERROR(S33)</f>
        <v>0</v>
      </c>
      <c r="CJ33" s="15" t="b">
        <f>IFERROR(IF(S33,TRUE,FALSE),FALSE)</f>
        <v>0</v>
      </c>
      <c r="CK33" s="15" t="b">
        <f t="shared" ref="CK33:CR36" ca="1" si="76">IF(V33&lt;&gt;"",IFERROR(MATCH(V33,INDIRECT($C$4),0)&lt;0,TRUE),FALSE)</f>
        <v>0</v>
      </c>
      <c r="CL33" s="15" t="b">
        <f t="shared" ca="1" si="76"/>
        <v>0</v>
      </c>
      <c r="CM33" s="15" t="b">
        <f t="shared" ca="1" si="76"/>
        <v>0</v>
      </c>
      <c r="CN33" s="15" t="b">
        <f t="shared" ca="1" si="76"/>
        <v>0</v>
      </c>
      <c r="CO33" s="15" t="b">
        <f t="shared" ca="1" si="76"/>
        <v>0</v>
      </c>
      <c r="CP33" s="15" t="b">
        <f t="shared" ca="1" si="76"/>
        <v>0</v>
      </c>
      <c r="CQ33" s="15" t="b">
        <f t="shared" ca="1" si="76"/>
        <v>0</v>
      </c>
      <c r="CR33" s="21" t="b">
        <f t="shared" ca="1" si="76"/>
        <v>0</v>
      </c>
      <c r="CS33" s="22" t="b">
        <f t="shared" ref="CS33:CZ36" ca="1" si="77">AND(DO33&lt;&gt;"",DO33&lt;&gt;0,DO33&lt;&gt;4)</f>
        <v>0</v>
      </c>
      <c r="CT33" s="22" t="b">
        <f t="shared" ca="1" si="77"/>
        <v>0</v>
      </c>
      <c r="CU33" s="22" t="b">
        <f t="shared" ca="1" si="77"/>
        <v>0</v>
      </c>
      <c r="CV33" s="22" t="b">
        <f t="shared" ca="1" si="77"/>
        <v>0</v>
      </c>
      <c r="CW33" s="22" t="b">
        <f t="shared" ca="1" si="77"/>
        <v>0</v>
      </c>
      <c r="CX33" s="22" t="b">
        <f t="shared" ca="1" si="77"/>
        <v>0</v>
      </c>
      <c r="CY33" s="22" t="b">
        <f t="shared" ca="1" si="77"/>
        <v>0</v>
      </c>
      <c r="CZ33" s="21" t="b">
        <f t="shared" ca="1" si="77"/>
        <v>0</v>
      </c>
      <c r="DB33" s="22" t="b">
        <f ca="1">OR(DC33:DJ33)</f>
        <v>0</v>
      </c>
      <c r="DC33" s="22" t="b">
        <f t="shared" ca="1" si="21"/>
        <v>0</v>
      </c>
      <c r="DD33" s="22" t="b">
        <f t="shared" ref="DD33:DJ36" ca="1" si="78">AND(DP33=4)</f>
        <v>0</v>
      </c>
      <c r="DE33" s="22" t="b">
        <f t="shared" ca="1" si="78"/>
        <v>0</v>
      </c>
      <c r="DF33" s="22" t="b">
        <f t="shared" ca="1" si="78"/>
        <v>0</v>
      </c>
      <c r="DG33" s="22" t="b">
        <f t="shared" ca="1" si="78"/>
        <v>0</v>
      </c>
      <c r="DH33" s="22" t="b">
        <f t="shared" ca="1" si="78"/>
        <v>0</v>
      </c>
      <c r="DI33" s="22" t="b">
        <f t="shared" ca="1" si="78"/>
        <v>0</v>
      </c>
      <c r="DJ33" s="22" t="b">
        <f t="shared" ca="1" si="78"/>
        <v>0</v>
      </c>
      <c r="DK33" s="22"/>
      <c r="DO33" s="15">
        <f t="shared" ref="DO33:DV36" ca="1" si="79">IF(V33&lt;&gt;"",IFERROR(INDEX(INDIRECT($BS$4),MATCH(V33,INDIRECT($C$4),0)),100),"")</f>
        <v>0</v>
      </c>
      <c r="DP33" s="15" t="str">
        <f t="shared" ca="1" si="79"/>
        <v/>
      </c>
      <c r="DQ33" s="15" t="str">
        <f t="shared" ca="1" si="79"/>
        <v/>
      </c>
      <c r="DR33" s="15" t="str">
        <f t="shared" ca="1" si="79"/>
        <v/>
      </c>
      <c r="DS33" s="15" t="str">
        <f t="shared" ca="1" si="79"/>
        <v/>
      </c>
      <c r="DT33" s="15" t="str">
        <f t="shared" ca="1" si="79"/>
        <v/>
      </c>
      <c r="DU33" s="15" t="str">
        <f t="shared" ca="1" si="79"/>
        <v/>
      </c>
      <c r="DV33" s="15" t="str">
        <f t="shared" ca="1" si="79"/>
        <v/>
      </c>
    </row>
    <row r="34" spans="1:126">
      <c r="A34" s="15">
        <f t="shared" si="24"/>
        <v>22</v>
      </c>
      <c r="B34" s="15" t="str">
        <f ca="1">IF(AD34,IF(BS34&gt;0,BT34,IF(DA34,"Pole zależy od pól, które zależą od zamkniętego workbooka","ok.")),"")</f>
        <v>ok.</v>
      </c>
      <c r="C34" s="15" t="s">
        <v>277</v>
      </c>
      <c r="G34" s="15" t="s">
        <v>88</v>
      </c>
      <c r="J34" s="19" t="str">
        <f ca="1">CELL(_CELL_ADDRESS_NAME,variables!AJ2)</f>
        <v>'[dane surowe2d.xlsm]variables'!$AJ$2</v>
      </c>
      <c r="K34" s="16">
        <f>VariableCount</f>
        <v>23</v>
      </c>
      <c r="M34" s="19"/>
      <c r="Q34" s="16"/>
      <c r="T34" s="15" t="str">
        <f ca="1">BC34</f>
        <v>'[dane surowe2d.xlsm]variables'!$AJ$2:$AJ$24</v>
      </c>
      <c r="U34" s="15">
        <f ca="1">IF(AD34,BS34,"")</f>
        <v>0</v>
      </c>
      <c r="V34" s="15" t="s">
        <v>115</v>
      </c>
      <c r="AD34" s="16" t="b">
        <f>C34&lt;&gt;""</f>
        <v>1</v>
      </c>
      <c r="AE34" s="16" t="b">
        <f>AND(I34&lt;&gt;"",H34&lt;&gt;"")</f>
        <v>0</v>
      </c>
      <c r="AF34" s="15" t="str">
        <f>IF(AE34,"[" &amp; H34 &amp; "]" &amp; $B$2,"")</f>
        <v/>
      </c>
      <c r="AG34" s="15" t="str">
        <f ca="1">IF(AND(AE34,NOT(BX34)),INDIRECT(ADDRESS(ROW($D$4),COLUMN($D$4),,,AF34)),"")</f>
        <v/>
      </c>
      <c r="AH34" s="15" t="str">
        <f ca="1">IF(AND(AE34,NOT(BX34)),MATCH(I34,INDIRECT(AG34),0),"")</f>
        <v/>
      </c>
      <c r="AI34" s="15" t="b">
        <f ca="1">AND(AE34,NOT(BX34),NOT(BY34))</f>
        <v>0</v>
      </c>
      <c r="AJ34" s="15" t="str">
        <f ca="1">IF(AE34,INDIRECT(ADDRESS(ROW($T$4),COLUMN($T$4),,,AF34)),"")</f>
        <v/>
      </c>
      <c r="AK34" s="27" t="str">
        <f ca="1">IF(AE34,INDEX(INDIRECT(AJ34),AH34),"")</f>
        <v/>
      </c>
      <c r="AL34" s="15" t="b">
        <f ca="1">AND(AE34,NOT(OR(BX34,BY34)))</f>
        <v>0</v>
      </c>
      <c r="AM34" s="15" t="str">
        <f ca="1">IF(AE34,INDIRECT(ADDRESS(ROW($BK$4),COLUMN($BK$4),,,AF34)),"")</f>
        <v/>
      </c>
      <c r="AN34" s="15">
        <f ca="1">IFERROR(IF(AE34,INDEX(INDIRECT(AM34),AH34),3),3)</f>
        <v>3</v>
      </c>
      <c r="AO34" s="15" t="str">
        <f ca="1">IF(AE34,INDIRECT(ADDRESS(ROW($BS$4),COLUMN($BS$4),,,AF34)),"")</f>
        <v/>
      </c>
      <c r="AP34" s="15" t="str">
        <f ca="1">IF(AQ34=2,INDEX(INDIRECT(AO34),AH34),"")</f>
        <v/>
      </c>
      <c r="AQ34" s="27">
        <f ca="1">IF(AND(AE34,NOT(AR34)),2,IF(AND(AR34,NOT(AE34)),1,IF(AND(NOT(AE34),NOT(AR34)),4,3)))</f>
        <v>1</v>
      </c>
      <c r="AR34" s="15" t="b">
        <f ca="1">AND(J34&lt;&gt;"",AD34)</f>
        <v>1</v>
      </c>
      <c r="AS34" s="27" t="b">
        <f ca="1">NOT(ISERROR(FIND("[",J34)))</f>
        <v>1</v>
      </c>
      <c r="AT34" s="27" t="b">
        <f ca="1">MID(J34,1,1)="'"</f>
        <v>1</v>
      </c>
      <c r="AU34" s="27">
        <f ca="1">IF(AS34,FIND("]",J34),"")</f>
        <v>21</v>
      </c>
      <c r="AV34" s="16" t="e">
        <f ca="1">IF(AS34,MID(J34,1,AU34)&lt;&gt;$V$2,FALSE)</f>
        <v>#REF!</v>
      </c>
      <c r="AW34" s="15" t="str">
        <f t="shared" ca="1" si="9"/>
        <v>'[dane surowe2d.xlsm]variables'!$AJ$2</v>
      </c>
      <c r="AX34" s="27" t="b">
        <f ca="1">IF(AR34,ROWS(INDIRECT(AW34))&gt;1)</f>
        <v>0</v>
      </c>
      <c r="AY34" s="27" t="b">
        <f ca="1">IF(AR34,COLUMNS(INDIRECT(AW34))&gt;1)</f>
        <v>0</v>
      </c>
      <c r="AZ34" s="15">
        <f ca="1">IF($AE34,IF(NOT(AI34),"?",COLUMNS(INDIRECT($AK34))),IF($AD34,IF(L34="",1,L34)))</f>
        <v>1</v>
      </c>
      <c r="BA34" s="15">
        <f ca="1">IF($AE34,IF(NOT(AI34),"?",ROWS(INDIRECT($AK34))),IF($AD34,IF(K34="",1,K34)))</f>
        <v>23</v>
      </c>
      <c r="BB34" s="15" t="str">
        <f ca="1">IF(AD34,CHOOSE(AQ34,AW34,AK34,"?"),"")</f>
        <v>'[dane surowe2d.xlsm]variables'!$AJ$2</v>
      </c>
      <c r="BC34" s="15" t="str">
        <f ca="1">IFERROR(IF(MIN(AZ34:BA34)&lt;=0,"",  BB34 &amp; IF(AND(OR(AZ34&gt;1,BA34&gt;1),AQ34=1), ":" &amp; ADDRESS(ROW(INDIRECT(BB34)) +BA34-1,COLUMN(INDIRECT(BB34))+AZ34-1),"")),"")</f>
        <v>'[dane surowe2d.xlsm]variables'!$AJ$2:$AJ$24</v>
      </c>
      <c r="BD34" s="15" t="b">
        <f ca="1">AZ34*BA34&gt;1</f>
        <v>1</v>
      </c>
      <c r="BE34" s="15" t="b">
        <f ca="1">IF(AND(AD34,AQ34=1),IF(Q34="",BI34, IF(Q34,TRUE,FALSE)),FALSE)</f>
        <v>1</v>
      </c>
      <c r="BF34" s="15">
        <f ca="1">IF(BE34,COUNTA(INDIRECT(BC34)),"")</f>
        <v>23</v>
      </c>
      <c r="BG34" s="15">
        <f ca="1">IF(BE34,AZ34*BA34,"")</f>
        <v>23</v>
      </c>
      <c r="BH34" s="15">
        <f t="array" aca="1" ref="BH34" ca="1">IF(IFERROR( S34,1),1,IF(BC34="","", SUM(IF(ISERROR(INDIRECT(BC34)),1,0))))</f>
        <v>0</v>
      </c>
      <c r="BI34" s="15" t="b">
        <f>G34="r"</f>
        <v>1</v>
      </c>
      <c r="BJ34" s="15" t="b">
        <f>G34="W"</f>
        <v>0</v>
      </c>
      <c r="BK34" s="15">
        <f ca="1">IF(AR34,IF(AND(BI34,NOT(BJ34)),1,IF(AND(BJ34,NOT(BI34)),2,3)),"")</f>
        <v>1</v>
      </c>
      <c r="BL34" s="15">
        <f ca="1">CHOOSE(AQ34,BK34,AN34,3,4)</f>
        <v>1</v>
      </c>
      <c r="BP34" s="15" t="b">
        <f>IF(AD34,IF(M34="",TRUE,NOT(M34)),FALSE)</f>
        <v>1</v>
      </c>
      <c r="BQ34" s="15" t="b">
        <f ca="1">IF(BP34,OR(BU34:CZ34),FALSE)</f>
        <v>0</v>
      </c>
      <c r="BR34" s="15" t="str">
        <f ca="1">IF(BQ34,MATCH(TRUE,BU34:CZ34,0),"")</f>
        <v/>
      </c>
      <c r="BS34" s="15">
        <f ca="1">IF(BP34,IF(BQ34,BR34,IF(AQ34=2,AP34,0)),0)</f>
        <v>0</v>
      </c>
      <c r="BT34" s="15" t="str">
        <f ca="1">IF(BS34&gt;0,INDEX(BU$10:CZ$10,BS34),"")</f>
        <v/>
      </c>
      <c r="BV34" s="15" t="b">
        <f ca="1">IFERROR(IF($AD34,COUNTIF(INDIRECT($C$4),C34)&gt;1,FALSE),FALSE)</f>
        <v>0</v>
      </c>
      <c r="BW34" s="15" t="b">
        <f ca="1">IFERROR(IF($AD34,IF(D34&lt;&gt;"",COUNTIF(INDIRECT($D$4),D34)&gt;1,FALSE),FALSE),FALSE)</f>
        <v>0</v>
      </c>
      <c r="BX34" s="15" t="b">
        <f ca="1">IFERROR(IF(AE34,IFERROR(INDIRECT(ADDRESS(ROW($B$2),COLUMN($B$2),4,,AF34))&lt;&gt;$B$2,TRUE)),FALSE)</f>
        <v>0</v>
      </c>
      <c r="BY34" s="15" t="b">
        <f ca="1">IFERROR(IF(AND(AE34,NOT(BX34)),IF(ISERROR(AH34),TRUE,FALSE)),FALSE)</f>
        <v>0</v>
      </c>
      <c r="BZ34" s="15" t="b">
        <f ca="1">IFERROR(IF(BE34,BF34&lt;&gt;BG34,FALSE),FALSE)</f>
        <v>0</v>
      </c>
      <c r="CA34" s="15" t="b">
        <f ca="1">AND(AR34,AE34,AD34)</f>
        <v>0</v>
      </c>
      <c r="CB34" s="15" t="b">
        <f ca="1">ISERROR(COUNT(INDIRECT(J34)))</f>
        <v>0</v>
      </c>
      <c r="CC34" s="15" t="b">
        <f t="shared" ca="1" si="75"/>
        <v>0</v>
      </c>
      <c r="CD34" s="15" t="b">
        <f t="shared" ca="1" si="75"/>
        <v>0</v>
      </c>
      <c r="CE34" s="15" t="b">
        <f ca="1">IF(AD34, IF(AQ34=1, IF(OR(R34,DB34,AK34="" ),FALSE,OR(ISERROR(INDIRECT(T34)))),FALSE),FALSE)</f>
        <v>0</v>
      </c>
      <c r="CF34" s="15" t="b">
        <f ca="1">AND($AD34,$AQ34=2,COUNTA( S34)=1)</f>
        <v>0</v>
      </c>
      <c r="CG34" s="15" t="b">
        <f ca="1">AND(AND(AQ34&lt;&gt;1,AQ34&lt;&gt;3),G34&lt;&gt;"")</f>
        <v>0</v>
      </c>
      <c r="CH34" s="15" t="b">
        <f ca="1">AND(AQ34=1,BK34=3)</f>
        <v>0</v>
      </c>
      <c r="CI34" s="15" t="b">
        <f>ISERROR(S34)</f>
        <v>0</v>
      </c>
      <c r="CJ34" s="15" t="b">
        <f>IFERROR(IF(S34,TRUE,FALSE),FALSE)</f>
        <v>0</v>
      </c>
      <c r="CK34" s="15" t="b">
        <f t="shared" ref="CK34:CR35" ca="1" si="80">IF(V34&lt;&gt;"",IFERROR(MATCH(V34,INDIRECT($C$4),0)&lt;0,TRUE),FALSE)</f>
        <v>0</v>
      </c>
      <c r="CL34" s="15" t="b">
        <f t="shared" ca="1" si="80"/>
        <v>0</v>
      </c>
      <c r="CM34" s="15" t="b">
        <f t="shared" ca="1" si="80"/>
        <v>0</v>
      </c>
      <c r="CN34" s="15" t="b">
        <f t="shared" ca="1" si="80"/>
        <v>0</v>
      </c>
      <c r="CO34" s="15" t="b">
        <f t="shared" ca="1" si="80"/>
        <v>0</v>
      </c>
      <c r="CP34" s="15" t="b">
        <f t="shared" ca="1" si="80"/>
        <v>0</v>
      </c>
      <c r="CQ34" s="15" t="b">
        <f t="shared" ca="1" si="80"/>
        <v>0</v>
      </c>
      <c r="CR34" s="21" t="b">
        <f t="shared" ca="1" si="80"/>
        <v>0</v>
      </c>
      <c r="CS34" s="22" t="b">
        <f t="shared" ca="1" si="77"/>
        <v>0</v>
      </c>
      <c r="CT34" s="22" t="b">
        <f t="shared" ca="1" si="77"/>
        <v>0</v>
      </c>
      <c r="CU34" s="22" t="b">
        <f t="shared" ca="1" si="77"/>
        <v>0</v>
      </c>
      <c r="CV34" s="22" t="b">
        <f t="shared" ca="1" si="77"/>
        <v>0</v>
      </c>
      <c r="CW34" s="22" t="b">
        <f t="shared" ca="1" si="77"/>
        <v>0</v>
      </c>
      <c r="CX34" s="22" t="b">
        <f t="shared" ca="1" si="77"/>
        <v>0</v>
      </c>
      <c r="CY34" s="22" t="b">
        <f t="shared" ca="1" si="77"/>
        <v>0</v>
      </c>
      <c r="CZ34" s="21" t="b">
        <f t="shared" ca="1" si="77"/>
        <v>0</v>
      </c>
      <c r="DB34" s="22" t="b">
        <f ca="1">OR(DC34:DJ34)</f>
        <v>0</v>
      </c>
      <c r="DC34" s="22" t="b">
        <f t="shared" ca="1" si="21"/>
        <v>0</v>
      </c>
      <c r="DD34" s="22" t="b">
        <f t="shared" ca="1" si="78"/>
        <v>0</v>
      </c>
      <c r="DE34" s="22" t="b">
        <f t="shared" ca="1" si="78"/>
        <v>0</v>
      </c>
      <c r="DF34" s="22" t="b">
        <f t="shared" ca="1" si="78"/>
        <v>0</v>
      </c>
      <c r="DG34" s="22" t="b">
        <f t="shared" ca="1" si="78"/>
        <v>0</v>
      </c>
      <c r="DH34" s="22" t="b">
        <f t="shared" ca="1" si="78"/>
        <v>0</v>
      </c>
      <c r="DI34" s="22" t="b">
        <f t="shared" ca="1" si="78"/>
        <v>0</v>
      </c>
      <c r="DJ34" s="22" t="b">
        <f t="shared" ca="1" si="78"/>
        <v>0</v>
      </c>
      <c r="DK34" s="22"/>
      <c r="DO34" s="15">
        <f t="shared" ca="1" si="79"/>
        <v>0</v>
      </c>
      <c r="DP34" s="15" t="str">
        <f t="shared" ca="1" si="79"/>
        <v/>
      </c>
      <c r="DQ34" s="15" t="str">
        <f t="shared" ca="1" si="79"/>
        <v/>
      </c>
      <c r="DR34" s="15" t="str">
        <f t="shared" ca="1" si="79"/>
        <v/>
      </c>
      <c r="DS34" s="15" t="str">
        <f t="shared" ca="1" si="79"/>
        <v/>
      </c>
      <c r="DT34" s="15" t="str">
        <f t="shared" ca="1" si="79"/>
        <v/>
      </c>
      <c r="DU34" s="15" t="str">
        <f t="shared" ca="1" si="79"/>
        <v/>
      </c>
      <c r="DV34" s="15" t="str">
        <f t="shared" ca="1" si="79"/>
        <v/>
      </c>
    </row>
    <row r="35" spans="1:126">
      <c r="A35" s="15">
        <f t="shared" si="24"/>
        <v>23</v>
      </c>
      <c r="B35" s="15" t="str">
        <f ca="1">IF(AD35,IF(BS35&gt;0,BT35,IF(DA35,"Pole zależy od pól, które zależą od zamkniętego workbooka","ok.")),"")</f>
        <v>ok.</v>
      </c>
      <c r="C35" s="15" t="s">
        <v>279</v>
      </c>
      <c r="G35" s="15" t="s">
        <v>88</v>
      </c>
      <c r="J35" s="19" t="str">
        <f ca="1">CELL(_CELL_ADDRESS_NAME,variables!AM2)</f>
        <v>'[dane surowe2d.xlsm]variables'!$AM$2</v>
      </c>
      <c r="K35" s="15">
        <f>ster!$C$12</f>
        <v>23</v>
      </c>
      <c r="M35" s="19"/>
      <c r="Q35" s="16"/>
      <c r="T35" s="15" t="str">
        <f ca="1">BC35</f>
        <v>'[dane surowe2d.xlsm]variables'!$AM$2:$AM$24</v>
      </c>
      <c r="U35" s="15">
        <f ca="1">IF(AD35,BS35,"")</f>
        <v>0</v>
      </c>
      <c r="V35" s="15" t="s">
        <v>115</v>
      </c>
      <c r="AD35" s="16" t="b">
        <f>C35&lt;&gt;""</f>
        <v>1</v>
      </c>
      <c r="AE35" s="16" t="b">
        <f>AND(I35&lt;&gt;"",H35&lt;&gt;"")</f>
        <v>0</v>
      </c>
      <c r="AF35" s="15" t="str">
        <f>IF(AE35,"[" &amp; H35 &amp; "]" &amp; $B$2,"")</f>
        <v/>
      </c>
      <c r="AG35" s="15" t="str">
        <f ca="1">IF(AND(AE35,NOT(BX35)),INDIRECT(ADDRESS(ROW($D$4),COLUMN($D$4),,,AF35)),"")</f>
        <v/>
      </c>
      <c r="AH35" s="15" t="str">
        <f ca="1">IF(AND(AE35,NOT(BX35)),MATCH(I35,INDIRECT(AG35),0),"")</f>
        <v/>
      </c>
      <c r="AI35" s="15" t="b">
        <f ca="1">AND(AE35,NOT(BX35),NOT(BY35))</f>
        <v>0</v>
      </c>
      <c r="AJ35" s="15" t="str">
        <f ca="1">IF(AE35,INDIRECT(ADDRESS(ROW($T$4),COLUMN($T$4),,,AF35)),"")</f>
        <v/>
      </c>
      <c r="AK35" s="27" t="str">
        <f ca="1">IF(AE35,INDEX(INDIRECT(AJ35),AH35),"")</f>
        <v/>
      </c>
      <c r="AL35" s="15" t="b">
        <f ca="1">AND(AE35,NOT(OR(BX35,BY35)))</f>
        <v>0</v>
      </c>
      <c r="AM35" s="15" t="str">
        <f ca="1">IF(AE35,INDIRECT(ADDRESS(ROW($BK$4),COLUMN($BK$4),,,AF35)),"")</f>
        <v/>
      </c>
      <c r="AN35" s="15">
        <f ca="1">IFERROR(IF(AE35,INDEX(INDIRECT(AM35),AH35),3),3)</f>
        <v>3</v>
      </c>
      <c r="AO35" s="15" t="str">
        <f ca="1">IF(AE35,INDIRECT(ADDRESS(ROW($BS$4),COLUMN($BS$4),,,AF35)),"")</f>
        <v/>
      </c>
      <c r="AP35" s="15" t="str">
        <f ca="1">IF(AQ35=2,INDEX(INDIRECT(AO35),AH35),"")</f>
        <v/>
      </c>
      <c r="AQ35" s="27">
        <f ca="1">IF(AND(AE35,NOT(AR35)),2,IF(AND(AR35,NOT(AE35)),1,IF(AND(NOT(AE35),NOT(AR35)),4,3)))</f>
        <v>1</v>
      </c>
      <c r="AR35" s="15" t="b">
        <f ca="1">AND(J35&lt;&gt;"",AD35)</f>
        <v>1</v>
      </c>
      <c r="AS35" s="27" t="b">
        <f ca="1">NOT(ISERROR(FIND("[",J35)))</f>
        <v>1</v>
      </c>
      <c r="AT35" s="27" t="b">
        <f ca="1">MID(J35,1,1)="'"</f>
        <v>1</v>
      </c>
      <c r="AU35" s="27">
        <f ca="1">IF(AS35,FIND("]",J35),"")</f>
        <v>21</v>
      </c>
      <c r="AV35" s="16" t="e">
        <f ca="1">IF(AS35,MID(J35,1,AU35)&lt;&gt;$V$2,FALSE)</f>
        <v>#REF!</v>
      </c>
      <c r="AW35" s="15" t="str">
        <f t="shared" ca="1" si="9"/>
        <v>'[dane surowe2d.xlsm]variables'!$AM$2</v>
      </c>
      <c r="AX35" s="27" t="b">
        <f ca="1">IF(AR35,ROWS(INDIRECT(AW35))&gt;1)</f>
        <v>0</v>
      </c>
      <c r="AY35" s="27" t="b">
        <f ca="1">IF(AR35,COLUMNS(INDIRECT(AW35))&gt;1)</f>
        <v>0</v>
      </c>
      <c r="AZ35" s="15">
        <f ca="1">IF($AE35,IF(NOT(AI35),"?",COLUMNS(INDIRECT($AK35))),IF($AD35,IF(L35="",1,L35)))</f>
        <v>1</v>
      </c>
      <c r="BA35" s="15">
        <f ca="1">IF($AE35,IF(NOT(AI35),"?",ROWS(INDIRECT($AK35))),IF($AD35,IF(K35="",1,K35)))</f>
        <v>23</v>
      </c>
      <c r="BB35" s="15" t="str">
        <f ca="1">IF(AD35,CHOOSE(AQ35,AW35,AK35,"?"),"")</f>
        <v>'[dane surowe2d.xlsm]variables'!$AM$2</v>
      </c>
      <c r="BC35" s="15" t="str">
        <f ca="1">IFERROR(IF(MIN(AZ35:BA35)&lt;=0,"",  BB35 &amp; IF(AND(OR(AZ35&gt;1,BA35&gt;1),AQ35=1), ":" &amp; ADDRESS(ROW(INDIRECT(BB35)) +BA35-1,COLUMN(INDIRECT(BB35))+AZ35-1),"")),"")</f>
        <v>'[dane surowe2d.xlsm]variables'!$AM$2:$AM$24</v>
      </c>
      <c r="BD35" s="15" t="b">
        <f ca="1">AZ35*BA35&gt;1</f>
        <v>1</v>
      </c>
      <c r="BE35" s="15" t="b">
        <f ca="1">IF(AND(AD35,AQ35=1),IF(Q35="",BI35, IF(Q35,TRUE,FALSE)),FALSE)</f>
        <v>1</v>
      </c>
      <c r="BF35" s="15">
        <f ca="1">IF(BE35,COUNTA(INDIRECT(BC35)),"")</f>
        <v>23</v>
      </c>
      <c r="BG35" s="15">
        <f ca="1">IF(BE35,AZ35*BA35,"")</f>
        <v>23</v>
      </c>
      <c r="BH35" s="15">
        <f t="array" aca="1" ref="BH35" ca="1">IF(IFERROR( S35,1),1,IF(BC35="","", SUM(IF(ISERROR(INDIRECT(BC35)),1,0))))</f>
        <v>0</v>
      </c>
      <c r="BI35" s="15" t="b">
        <f>G35="r"</f>
        <v>1</v>
      </c>
      <c r="BJ35" s="15" t="b">
        <f>G35="W"</f>
        <v>0</v>
      </c>
      <c r="BK35" s="15">
        <f ca="1">IF(AR35,IF(AND(BI35,NOT(BJ35)),1,IF(AND(BJ35,NOT(BI35)),2,3)),"")</f>
        <v>1</v>
      </c>
      <c r="BL35" s="15">
        <f ca="1">CHOOSE(AQ35,BK35,AN35,3,4)</f>
        <v>1</v>
      </c>
      <c r="BP35" s="15" t="b">
        <f>IF(AD35,IF(M35="",TRUE,NOT(M35)),FALSE)</f>
        <v>1</v>
      </c>
      <c r="BQ35" s="15" t="b">
        <f ca="1">IF(BP35,OR(BU35:CZ35),FALSE)</f>
        <v>0</v>
      </c>
      <c r="BR35" s="15" t="str">
        <f ca="1">IF(BQ35,MATCH(TRUE,BU35:CZ35,0),"")</f>
        <v/>
      </c>
      <c r="BS35" s="15">
        <f ca="1">IF(BP35,IF(BQ35,BR35,IF(AQ35=2,AP35,0)),0)</f>
        <v>0</v>
      </c>
      <c r="BT35" s="15" t="str">
        <f ca="1">IF(BS35&gt;0,INDEX(BU$10:CZ$10,BS35),"")</f>
        <v/>
      </c>
      <c r="BV35" s="15" t="b">
        <f ca="1">IFERROR(IF($AD35,COUNTIF(INDIRECT($C$4),C35)&gt;1,FALSE),FALSE)</f>
        <v>0</v>
      </c>
      <c r="BW35" s="15" t="b">
        <f ca="1">IFERROR(IF($AD35,IF(D35&lt;&gt;"",COUNTIF(INDIRECT($D$4),D35)&gt;1,FALSE),FALSE),FALSE)</f>
        <v>0</v>
      </c>
      <c r="BX35" s="15" t="b">
        <f ca="1">IFERROR(IF(AE35,IFERROR(INDIRECT(ADDRESS(ROW($B$2),COLUMN($B$2),4,,AF35))&lt;&gt;$B$2,TRUE)),FALSE)</f>
        <v>0</v>
      </c>
      <c r="BY35" s="15" t="b">
        <f ca="1">IFERROR(IF(AND(AE35,NOT(BX35)),IF(ISERROR(AH35),TRUE,FALSE)),FALSE)</f>
        <v>0</v>
      </c>
      <c r="BZ35" s="15" t="b">
        <f ca="1">IFERROR(IF(BE35,BF35&lt;&gt;BG35,FALSE),FALSE)</f>
        <v>0</v>
      </c>
      <c r="CA35" s="15" t="b">
        <f ca="1">AND(AR35,AE35,AD35)</f>
        <v>0</v>
      </c>
      <c r="CB35" s="15" t="b">
        <f ca="1">ISERROR(COUNT(INDIRECT(J35)))</f>
        <v>0</v>
      </c>
      <c r="CC35" s="15" t="b">
        <f t="shared" ca="1" si="75"/>
        <v>0</v>
      </c>
      <c r="CD35" s="15" t="b">
        <f t="shared" ca="1" si="75"/>
        <v>0</v>
      </c>
      <c r="CE35" s="15" t="b">
        <f ca="1">IF(AD35, IF(AQ35=1, IF(OR(R35,DB35,AK35="" ),FALSE,OR(ISERROR(INDIRECT(T35)))),FALSE),FALSE)</f>
        <v>0</v>
      </c>
      <c r="CF35" s="15" t="b">
        <f ca="1">AND($AD35,$AQ35=2,COUNTA( S35)=1)</f>
        <v>0</v>
      </c>
      <c r="CG35" s="15" t="b">
        <f ca="1">AND(AND(AQ35&lt;&gt;1,AQ35&lt;&gt;3),G35&lt;&gt;"")</f>
        <v>0</v>
      </c>
      <c r="CH35" s="15" t="b">
        <f ca="1">AND(AQ35=1,BK35=3)</f>
        <v>0</v>
      </c>
      <c r="CI35" s="15" t="b">
        <f>ISERROR(S35)</f>
        <v>0</v>
      </c>
      <c r="CJ35" s="15" t="b">
        <f>IFERROR(IF(S35,TRUE,FALSE),FALSE)</f>
        <v>0</v>
      </c>
      <c r="CK35" s="15" t="b">
        <f t="shared" ca="1" si="80"/>
        <v>0</v>
      </c>
      <c r="CL35" s="15" t="b">
        <f t="shared" ca="1" si="80"/>
        <v>0</v>
      </c>
      <c r="CM35" s="15" t="b">
        <f t="shared" ca="1" si="80"/>
        <v>0</v>
      </c>
      <c r="CN35" s="15" t="b">
        <f t="shared" ca="1" si="80"/>
        <v>0</v>
      </c>
      <c r="CO35" s="15" t="b">
        <f t="shared" ca="1" si="80"/>
        <v>0</v>
      </c>
      <c r="CP35" s="15" t="b">
        <f t="shared" ca="1" si="80"/>
        <v>0</v>
      </c>
      <c r="CQ35" s="15" t="b">
        <f t="shared" ca="1" si="80"/>
        <v>0</v>
      </c>
      <c r="CR35" s="21" t="b">
        <f t="shared" ca="1" si="80"/>
        <v>0</v>
      </c>
      <c r="CS35" s="22" t="b">
        <f t="shared" ca="1" si="77"/>
        <v>0</v>
      </c>
      <c r="CT35" s="22" t="b">
        <f t="shared" ca="1" si="77"/>
        <v>0</v>
      </c>
      <c r="CU35" s="22" t="b">
        <f t="shared" ca="1" si="77"/>
        <v>0</v>
      </c>
      <c r="CV35" s="22" t="b">
        <f t="shared" ca="1" si="77"/>
        <v>0</v>
      </c>
      <c r="CW35" s="22" t="b">
        <f t="shared" ca="1" si="77"/>
        <v>0</v>
      </c>
      <c r="CX35" s="22" t="b">
        <f t="shared" ca="1" si="77"/>
        <v>0</v>
      </c>
      <c r="CY35" s="22" t="b">
        <f t="shared" ca="1" si="77"/>
        <v>0</v>
      </c>
      <c r="CZ35" s="21" t="b">
        <f t="shared" ca="1" si="77"/>
        <v>0</v>
      </c>
      <c r="DB35" s="22" t="b">
        <f ca="1">OR(DC35:DJ35)</f>
        <v>0</v>
      </c>
      <c r="DC35" s="22" t="b">
        <f t="shared" ca="1" si="21"/>
        <v>0</v>
      </c>
      <c r="DD35" s="22" t="b">
        <f t="shared" ca="1" si="78"/>
        <v>0</v>
      </c>
      <c r="DE35" s="22" t="b">
        <f t="shared" ca="1" si="78"/>
        <v>0</v>
      </c>
      <c r="DF35" s="22" t="b">
        <f t="shared" ca="1" si="78"/>
        <v>0</v>
      </c>
      <c r="DG35" s="22" t="b">
        <f t="shared" ca="1" si="78"/>
        <v>0</v>
      </c>
      <c r="DH35" s="22" t="b">
        <f t="shared" ca="1" si="78"/>
        <v>0</v>
      </c>
      <c r="DI35" s="22" t="b">
        <f t="shared" ca="1" si="78"/>
        <v>0</v>
      </c>
      <c r="DJ35" s="22" t="b">
        <f t="shared" ca="1" si="78"/>
        <v>0</v>
      </c>
      <c r="DK35" s="22"/>
      <c r="DO35" s="15">
        <f t="shared" ca="1" si="79"/>
        <v>0</v>
      </c>
      <c r="DP35" s="15" t="str">
        <f t="shared" ca="1" si="79"/>
        <v/>
      </c>
      <c r="DQ35" s="15" t="str">
        <f t="shared" ca="1" si="79"/>
        <v/>
      </c>
      <c r="DR35" s="15" t="str">
        <f t="shared" ca="1" si="79"/>
        <v/>
      </c>
      <c r="DS35" s="15" t="str">
        <f t="shared" ca="1" si="79"/>
        <v/>
      </c>
      <c r="DT35" s="15" t="str">
        <f t="shared" ca="1" si="79"/>
        <v/>
      </c>
      <c r="DU35" s="15" t="str">
        <f t="shared" ca="1" si="79"/>
        <v/>
      </c>
      <c r="DV35" s="15" t="str">
        <f t="shared" ca="1" si="79"/>
        <v/>
      </c>
    </row>
    <row r="36" spans="1:126">
      <c r="A36" s="15">
        <f t="shared" si="24"/>
        <v>24</v>
      </c>
      <c r="B36" s="15" t="str">
        <f ca="1">IF(AD36,IF(BS36&gt;0,BT36,IF(DA36,"Pole zależy od pól, które zależą od zamkniętego workbooka","ok.")),"")</f>
        <v>ok.</v>
      </c>
      <c r="C36" s="15" t="s">
        <v>273</v>
      </c>
      <c r="D36" s="15" t="str">
        <f>IF(C36="","",C36)</f>
        <v>Zmienne UstawDyskretna</v>
      </c>
      <c r="G36" s="15" t="s">
        <v>121</v>
      </c>
      <c r="J36" s="19" t="str">
        <f ca="1">CELL(_CELL_ADDRESS_NAME,variables!BY2)</f>
        <v>'[dane surowe2d.xlsm]variables'!$BY$2</v>
      </c>
      <c r="K36" s="15">
        <f>ster!$C$12</f>
        <v>23</v>
      </c>
      <c r="M36" s="19"/>
      <c r="Q36" s="16"/>
      <c r="T36" s="15" t="str">
        <f ca="1">BC36</f>
        <v>'[dane surowe2d.xlsm]variables'!$BY$2:$BY$24</v>
      </c>
      <c r="U36" s="15">
        <f ca="1">IF(AD36,BS36,"")</f>
        <v>0</v>
      </c>
      <c r="V36" s="15" t="s">
        <v>115</v>
      </c>
      <c r="AD36" s="16" t="b">
        <f>C36&lt;&gt;""</f>
        <v>1</v>
      </c>
      <c r="AE36" s="16" t="b">
        <f>AND(I36&lt;&gt;"",H36&lt;&gt;"")</f>
        <v>0</v>
      </c>
      <c r="AF36" s="15" t="str">
        <f>IF(AE36,"[" &amp; H36 &amp; "]" &amp; $B$2,"")</f>
        <v/>
      </c>
      <c r="AG36" s="15" t="str">
        <f ca="1">IF(AND(AE36,NOT(BX36)),INDIRECT(ADDRESS(ROW($D$4),COLUMN($D$4),,,AF36)),"")</f>
        <v/>
      </c>
      <c r="AH36" s="15" t="str">
        <f ca="1">IF(AND(AE36,NOT(BX36)),MATCH(I36,INDIRECT(AG36),0),"")</f>
        <v/>
      </c>
      <c r="AI36" s="15" t="b">
        <f ca="1">AND(AE36,NOT(BX36),NOT(BY36))</f>
        <v>0</v>
      </c>
      <c r="AJ36" s="15" t="str">
        <f ca="1">IF(AE36,INDIRECT(ADDRESS(ROW($T$4),COLUMN($T$4),,,AF36)),"")</f>
        <v/>
      </c>
      <c r="AK36" s="27" t="str">
        <f ca="1">IF(AE36,INDEX(INDIRECT(AJ36),AH36),"")</f>
        <v/>
      </c>
      <c r="AL36" s="15" t="b">
        <f ca="1">AND(AE36,NOT(OR(BX36,BY36)))</f>
        <v>0</v>
      </c>
      <c r="AM36" s="15" t="str">
        <f ca="1">IF(AE36,INDIRECT(ADDRESS(ROW($BK$4),COLUMN($BK$4),,,AF36)),"")</f>
        <v/>
      </c>
      <c r="AN36" s="15">
        <f ca="1">IFERROR(IF(AE36,INDEX(INDIRECT(AM36),AH36),3),3)</f>
        <v>3</v>
      </c>
      <c r="AO36" s="15" t="str">
        <f ca="1">IF(AE36,INDIRECT(ADDRESS(ROW($BS$4),COLUMN($BS$4),,,AF36)),"")</f>
        <v/>
      </c>
      <c r="AP36" s="15" t="str">
        <f ca="1">IF(AQ36=2,INDEX(INDIRECT(AO36),AH36),"")</f>
        <v/>
      </c>
      <c r="AQ36" s="27">
        <f ca="1">IF(AND(AE36,NOT(AR36)),2,IF(AND(AR36,NOT(AE36)),1,IF(AND(NOT(AE36),NOT(AR36)),4,3)))</f>
        <v>1</v>
      </c>
      <c r="AR36" s="15" t="b">
        <f ca="1">AND(J36&lt;&gt;"",AD36)</f>
        <v>1</v>
      </c>
      <c r="AS36" s="27" t="b">
        <f ca="1">NOT(ISERROR(FIND("[",J36)))</f>
        <v>1</v>
      </c>
      <c r="AT36" s="27" t="b">
        <f ca="1">MID(J36,1,1)="'"</f>
        <v>1</v>
      </c>
      <c r="AU36" s="27">
        <f ca="1">IF(AS36,FIND("]",J36),"")</f>
        <v>21</v>
      </c>
      <c r="AV36" s="16" t="e">
        <f ca="1">IF(AS36,MID(J36,1,AU36)&lt;&gt;$V$2,FALSE)</f>
        <v>#REF!</v>
      </c>
      <c r="AW36" s="15" t="str">
        <f t="shared" ca="1" si="9"/>
        <v>'[dane surowe2d.xlsm]variables'!$BY$2</v>
      </c>
      <c r="AX36" s="27" t="b">
        <f ca="1">IF(AR36,ROWS(INDIRECT(AW36))&gt;1)</f>
        <v>0</v>
      </c>
      <c r="AY36" s="27" t="b">
        <f ca="1">IF(AR36,COLUMNS(INDIRECT(AW36))&gt;1)</f>
        <v>0</v>
      </c>
      <c r="AZ36" s="15">
        <f ca="1">IF($AE36,IF(NOT(AI36),"?",COLUMNS(INDIRECT($AK36))),IF($AD36,IF(L36="",1,L36)))</f>
        <v>1</v>
      </c>
      <c r="BA36" s="15">
        <f ca="1">IF($AE36,IF(NOT(AI36),"?",ROWS(INDIRECT($AK36))),IF($AD36,IF(K36="",1,K36)))</f>
        <v>23</v>
      </c>
      <c r="BB36" s="15" t="str">
        <f ca="1">IF(AD36,CHOOSE(AQ36,AW36,AK36,"?"),"")</f>
        <v>'[dane surowe2d.xlsm]variables'!$BY$2</v>
      </c>
      <c r="BC36" s="15" t="str">
        <f ca="1">IFERROR(IF(MIN(AZ36:BA36)&lt;=0,"",  BB36 &amp; IF(AND(OR(AZ36&gt;1,BA36&gt;1),AQ36=1), ":" &amp; ADDRESS(ROW(INDIRECT(BB36)) +BA36-1,COLUMN(INDIRECT(BB36))+AZ36-1),"")),"")</f>
        <v>'[dane surowe2d.xlsm]variables'!$BY$2:$BY$24</v>
      </c>
      <c r="BD36" s="15" t="b">
        <f ca="1">AZ36*BA36&gt;1</f>
        <v>1</v>
      </c>
      <c r="BE36" s="15" t="b">
        <f ca="1">IF(AND(AD36,AQ36=1),IF(Q36="",BI36, IF(Q36,TRUE,FALSE)),FALSE)</f>
        <v>0</v>
      </c>
      <c r="BF36" s="15" t="str">
        <f ca="1">IF(BE36,COUNTA(INDIRECT(BC36)),"")</f>
        <v/>
      </c>
      <c r="BG36" s="15" t="str">
        <f ca="1">IF(BE36,AZ36*BA36,"")</f>
        <v/>
      </c>
      <c r="BH36" s="15">
        <f t="array" aca="1" ref="BH36" ca="1">IF(IFERROR( S36,1),1,IF(BC36="","", SUM(IF(ISERROR(INDIRECT(BC36)),1,0))))</f>
        <v>0</v>
      </c>
      <c r="BI36" s="15" t="b">
        <f>G36="r"</f>
        <v>0</v>
      </c>
      <c r="BJ36" s="15" t="b">
        <f>G36="W"</f>
        <v>1</v>
      </c>
      <c r="BK36" s="15">
        <f ca="1">IF(AR36,IF(AND(BI36,NOT(BJ36)),1,IF(AND(BJ36,NOT(BI36)),2,3)),"")</f>
        <v>2</v>
      </c>
      <c r="BL36" s="15">
        <f ca="1">CHOOSE(AQ36,BK36,AN36,3,4)</f>
        <v>2</v>
      </c>
      <c r="BP36" s="15" t="b">
        <f>IF(AD36,IF(M36="",TRUE,NOT(M36)),FALSE)</f>
        <v>1</v>
      </c>
      <c r="BQ36" s="15" t="b">
        <f ca="1">IF(BP36,OR(BU36:CZ36),FALSE)</f>
        <v>0</v>
      </c>
      <c r="BR36" s="15" t="str">
        <f ca="1">IF(BQ36,MATCH(TRUE,BU36:CZ36,0),"")</f>
        <v/>
      </c>
      <c r="BS36" s="15">
        <f ca="1">IF(BP36,IF(BQ36,BR36,IF(AQ36=2,AP36,0)),0)</f>
        <v>0</v>
      </c>
      <c r="BT36" s="15" t="str">
        <f ca="1">IF(BS36&gt;0,INDEX(BU$10:CZ$10,BS36),"")</f>
        <v/>
      </c>
      <c r="BV36" s="15" t="b">
        <f ca="1">IFERROR(IF($AD36,COUNTIF(INDIRECT($C$4),C36)&gt;1,FALSE),FALSE)</f>
        <v>0</v>
      </c>
      <c r="BW36" s="15" t="b">
        <f ca="1">IFERROR(IF($AD36,IF(D36&lt;&gt;"",COUNTIF(INDIRECT($D$4),D36)&gt;1,FALSE),FALSE),FALSE)</f>
        <v>0</v>
      </c>
      <c r="BX36" s="15" t="b">
        <f ca="1">IFERROR(IF(AE36,IFERROR(INDIRECT(ADDRESS(ROW($B$2),COLUMN($B$2),4,,AF36))&lt;&gt;$B$2,TRUE)),FALSE)</f>
        <v>0</v>
      </c>
      <c r="BY36" s="15" t="b">
        <f ca="1">IFERROR(IF(AND(AE36,NOT(BX36)),IF(ISERROR(AH36),TRUE,FALSE)),FALSE)</f>
        <v>0</v>
      </c>
      <c r="BZ36" s="15" t="b">
        <f ca="1">IFERROR(IF(BE36,BF36&lt;&gt;BG36,FALSE),FALSE)</f>
        <v>0</v>
      </c>
      <c r="CA36" s="15" t="b">
        <f ca="1">AND(AR36,AE36,AD36)</f>
        <v>0</v>
      </c>
      <c r="CB36" s="15" t="b">
        <f ca="1">ISERROR(COUNT(INDIRECT(J36)))</f>
        <v>0</v>
      </c>
      <c r="CC36" s="15" t="b">
        <f t="shared" ca="1" si="75"/>
        <v>0</v>
      </c>
      <c r="CD36" s="15" t="b">
        <f t="shared" ca="1" si="75"/>
        <v>0</v>
      </c>
      <c r="CE36" s="15" t="b">
        <f ca="1">IF(AD36, IF(AQ36=1, IF(OR(R36,DB36,AK36="" ),FALSE,OR(ISERROR(INDIRECT(T36)))),FALSE),FALSE)</f>
        <v>0</v>
      </c>
      <c r="CF36" s="15" t="b">
        <f ca="1">AND($AD36,$AQ36=2,COUNTA( S36)=1)</f>
        <v>0</v>
      </c>
      <c r="CG36" s="15" t="b">
        <f ca="1">AND(AND(AQ36&lt;&gt;1,AQ36&lt;&gt;3),G36&lt;&gt;"")</f>
        <v>0</v>
      </c>
      <c r="CH36" s="15" t="b">
        <f ca="1">AND(AQ36=1,BK36=3)</f>
        <v>0</v>
      </c>
      <c r="CI36" s="15" t="b">
        <f>ISERROR(S36)</f>
        <v>0</v>
      </c>
      <c r="CJ36" s="15" t="b">
        <f>IFERROR(IF(S36,TRUE,FALSE),FALSE)</f>
        <v>0</v>
      </c>
      <c r="CK36" s="15" t="b">
        <f t="shared" ca="1" si="76"/>
        <v>0</v>
      </c>
      <c r="CL36" s="15" t="b">
        <f t="shared" ca="1" si="76"/>
        <v>0</v>
      </c>
      <c r="CM36" s="15" t="b">
        <f t="shared" ca="1" si="76"/>
        <v>0</v>
      </c>
      <c r="CN36" s="15" t="b">
        <f t="shared" ca="1" si="76"/>
        <v>0</v>
      </c>
      <c r="CO36" s="15" t="b">
        <f t="shared" ca="1" si="76"/>
        <v>0</v>
      </c>
      <c r="CP36" s="15" t="b">
        <f t="shared" ca="1" si="76"/>
        <v>0</v>
      </c>
      <c r="CQ36" s="15" t="b">
        <f t="shared" ca="1" si="76"/>
        <v>0</v>
      </c>
      <c r="CR36" s="21" t="b">
        <f t="shared" ca="1" si="76"/>
        <v>0</v>
      </c>
      <c r="CS36" s="22" t="b">
        <f t="shared" ca="1" si="77"/>
        <v>0</v>
      </c>
      <c r="CT36" s="22" t="b">
        <f t="shared" ca="1" si="77"/>
        <v>0</v>
      </c>
      <c r="CU36" s="22" t="b">
        <f t="shared" ca="1" si="77"/>
        <v>0</v>
      </c>
      <c r="CV36" s="22" t="b">
        <f t="shared" ca="1" si="77"/>
        <v>0</v>
      </c>
      <c r="CW36" s="22" t="b">
        <f t="shared" ca="1" si="77"/>
        <v>0</v>
      </c>
      <c r="CX36" s="22" t="b">
        <f t="shared" ca="1" si="77"/>
        <v>0</v>
      </c>
      <c r="CY36" s="22" t="b">
        <f t="shared" ca="1" si="77"/>
        <v>0</v>
      </c>
      <c r="CZ36" s="21" t="b">
        <f t="shared" ca="1" si="77"/>
        <v>0</v>
      </c>
      <c r="DB36" s="22" t="b">
        <f ca="1">OR(DC36:DJ36)</f>
        <v>0</v>
      </c>
      <c r="DC36" s="22" t="b">
        <f t="shared" ca="1" si="21"/>
        <v>0</v>
      </c>
      <c r="DD36" s="22" t="b">
        <f t="shared" ca="1" si="78"/>
        <v>0</v>
      </c>
      <c r="DE36" s="22" t="b">
        <f t="shared" ca="1" si="78"/>
        <v>0</v>
      </c>
      <c r="DF36" s="22" t="b">
        <f t="shared" ca="1" si="78"/>
        <v>0</v>
      </c>
      <c r="DG36" s="22" t="b">
        <f t="shared" ca="1" si="78"/>
        <v>0</v>
      </c>
      <c r="DH36" s="22" t="b">
        <f t="shared" ca="1" si="78"/>
        <v>0</v>
      </c>
      <c r="DI36" s="22" t="b">
        <f t="shared" ca="1" si="78"/>
        <v>0</v>
      </c>
      <c r="DJ36" s="22" t="b">
        <f t="shared" ca="1" si="78"/>
        <v>0</v>
      </c>
      <c r="DK36" s="22"/>
      <c r="DO36" s="15">
        <f t="shared" ca="1" si="79"/>
        <v>0</v>
      </c>
      <c r="DP36" s="15" t="str">
        <f t="shared" ca="1" si="79"/>
        <v/>
      </c>
      <c r="DQ36" s="15" t="str">
        <f t="shared" ca="1" si="79"/>
        <v/>
      </c>
      <c r="DR36" s="15" t="str">
        <f t="shared" ca="1" si="79"/>
        <v/>
      </c>
      <c r="DS36" s="15" t="str">
        <f t="shared" ca="1" si="79"/>
        <v/>
      </c>
      <c r="DT36" s="15" t="str">
        <f t="shared" ca="1" si="79"/>
        <v/>
      </c>
      <c r="DU36" s="15" t="str">
        <f t="shared" ca="1" si="79"/>
        <v/>
      </c>
      <c r="DV36" s="15" t="str">
        <f t="shared" ca="1" si="79"/>
        <v/>
      </c>
    </row>
    <row r="37" spans="1:126">
      <c r="A37" s="15">
        <f t="shared" si="24"/>
        <v>25</v>
      </c>
      <c r="B37" s="15" t="str">
        <f t="shared" ca="1" si="68"/>
        <v>ok.</v>
      </c>
      <c r="C37" s="15" t="s">
        <v>98</v>
      </c>
      <c r="D37" s="15" t="str">
        <f t="shared" si="25"/>
        <v>Zmienne CzyOgrDoEtykiet</v>
      </c>
      <c r="G37" s="15" t="s">
        <v>121</v>
      </c>
      <c r="J37" s="19" t="str">
        <f ca="1">CELL(_CELL_ADDRESS_NAME,variables!BP2)</f>
        <v>'[dane surowe2d.xlsm]variables'!$BP$2</v>
      </c>
      <c r="K37" s="15">
        <f>ster!$C$12</f>
        <v>23</v>
      </c>
      <c r="M37" s="19"/>
      <c r="Q37" s="16"/>
      <c r="T37" s="15" t="str">
        <f t="shared" ca="1" si="69"/>
        <v>'[dane surowe2d.xlsm]variables'!$BP$2:$BP$24</v>
      </c>
      <c r="U37" s="15">
        <f t="shared" ca="1" si="70"/>
        <v>0</v>
      </c>
      <c r="V37" s="15" t="s">
        <v>115</v>
      </c>
      <c r="AD37" s="16" t="b">
        <f t="shared" si="41"/>
        <v>1</v>
      </c>
      <c r="AE37" s="16" t="b">
        <f t="shared" si="42"/>
        <v>0</v>
      </c>
      <c r="AF37" s="15" t="str">
        <f t="shared" si="66"/>
        <v/>
      </c>
      <c r="AG37" s="15" t="str">
        <f t="shared" ca="1" si="4"/>
        <v/>
      </c>
      <c r="AH37" s="15" t="str">
        <f t="shared" ca="1" si="5"/>
        <v/>
      </c>
      <c r="AI37" s="15" t="b">
        <f t="shared" ca="1" si="6"/>
        <v>0</v>
      </c>
      <c r="AJ37" s="15" t="str">
        <f t="shared" ca="1" si="26"/>
        <v/>
      </c>
      <c r="AK37" s="27" t="str">
        <f t="shared" ca="1" si="43"/>
        <v/>
      </c>
      <c r="AL37" s="15" t="b">
        <f t="shared" ca="1" si="7"/>
        <v>0</v>
      </c>
      <c r="AM37" s="15" t="str">
        <f t="shared" ca="1" si="44"/>
        <v/>
      </c>
      <c r="AN37" s="15">
        <f t="shared" ca="1" si="45"/>
        <v>3</v>
      </c>
      <c r="AO37" s="15" t="str">
        <f t="shared" ca="1" si="27"/>
        <v/>
      </c>
      <c r="AP37" s="15" t="str">
        <f t="shared" ca="1" si="67"/>
        <v/>
      </c>
      <c r="AQ37" s="27">
        <f t="shared" ca="1" si="46"/>
        <v>1</v>
      </c>
      <c r="AR37" s="15" t="b">
        <f t="shared" ca="1" si="47"/>
        <v>1</v>
      </c>
      <c r="AS37" s="27" t="b">
        <f t="shared" ca="1" si="48"/>
        <v>1</v>
      </c>
      <c r="AT37" s="27" t="b">
        <f t="shared" ca="1" si="49"/>
        <v>1</v>
      </c>
      <c r="AU37" s="27">
        <f t="shared" ca="1" si="50"/>
        <v>21</v>
      </c>
      <c r="AV37" s="16" t="e">
        <f t="shared" ca="1" si="51"/>
        <v>#REF!</v>
      </c>
      <c r="AW37" s="15" t="str">
        <f t="shared" ca="1" si="9"/>
        <v>'[dane surowe2d.xlsm]variables'!$BP$2</v>
      </c>
      <c r="AX37" s="27" t="b">
        <f t="shared" ca="1" si="52"/>
        <v>0</v>
      </c>
      <c r="AY37" s="27" t="b">
        <f t="shared" ca="1" si="53"/>
        <v>0</v>
      </c>
      <c r="AZ37" s="15">
        <f t="shared" ca="1" si="54"/>
        <v>1</v>
      </c>
      <c r="BA37" s="15">
        <f t="shared" ca="1" si="28"/>
        <v>23</v>
      </c>
      <c r="BB37" s="15" t="str">
        <f t="shared" ca="1" si="55"/>
        <v>'[dane surowe2d.xlsm]variables'!$BP$2</v>
      </c>
      <c r="BC37" s="15" t="str">
        <f t="shared" ca="1" si="29"/>
        <v>'[dane surowe2d.xlsm]variables'!$BP$2:$BP$24</v>
      </c>
      <c r="BD37" s="15" t="b">
        <f t="shared" ca="1" si="56"/>
        <v>1</v>
      </c>
      <c r="BE37" s="15" t="b">
        <f t="shared" ca="1" si="10"/>
        <v>0</v>
      </c>
      <c r="BF37" s="15" t="str">
        <f t="shared" ca="1" si="11"/>
        <v/>
      </c>
      <c r="BG37" s="15" t="str">
        <f t="shared" ca="1" si="12"/>
        <v/>
      </c>
      <c r="BH37" s="15">
        <f t="array" aca="1" ref="BH37" ca="1">IF(IFERROR( S37,1),1,IF(BC37="","", SUM(IF(ISERROR(INDIRECT(BC37)),1,0))))</f>
        <v>0</v>
      </c>
      <c r="BI37" s="15" t="b">
        <f t="shared" si="57"/>
        <v>0</v>
      </c>
      <c r="BJ37" s="15" t="b">
        <f t="shared" si="58"/>
        <v>1</v>
      </c>
      <c r="BK37" s="15">
        <f t="shared" ca="1" si="13"/>
        <v>2</v>
      </c>
      <c r="BL37" s="15">
        <f t="shared" ca="1" si="14"/>
        <v>2</v>
      </c>
      <c r="BP37" s="15" t="b">
        <f t="shared" si="30"/>
        <v>1</v>
      </c>
      <c r="BQ37" s="15" t="b">
        <f t="shared" ca="1" si="31"/>
        <v>0</v>
      </c>
      <c r="BR37" s="15" t="str">
        <f t="shared" ca="1" si="15"/>
        <v/>
      </c>
      <c r="BS37" s="15">
        <f t="shared" ca="1" si="32"/>
        <v>0</v>
      </c>
      <c r="BT37" s="15" t="str">
        <f t="shared" ca="1" si="16"/>
        <v/>
      </c>
      <c r="BV37" s="15" t="b">
        <f t="shared" ca="1" si="33"/>
        <v>0</v>
      </c>
      <c r="BW37" s="15" t="b">
        <f t="shared" ca="1" si="34"/>
        <v>0</v>
      </c>
      <c r="BX37" s="15" t="b">
        <f t="shared" ca="1" si="35"/>
        <v>0</v>
      </c>
      <c r="BY37" s="15" t="b">
        <f t="shared" ca="1" si="17"/>
        <v>0</v>
      </c>
      <c r="BZ37" s="15" t="b">
        <f t="shared" ca="1" si="36"/>
        <v>0</v>
      </c>
      <c r="CA37" s="15" t="b">
        <f t="shared" ca="1" si="59"/>
        <v>0</v>
      </c>
      <c r="CB37" s="15" t="b">
        <f t="shared" ca="1" si="60"/>
        <v>0</v>
      </c>
      <c r="CC37" s="15" t="b">
        <f t="shared" ca="1" si="61"/>
        <v>0</v>
      </c>
      <c r="CD37" s="15" t="b">
        <f t="shared" ca="1" si="61"/>
        <v>0</v>
      </c>
      <c r="CE37" s="15" t="b">
        <f t="shared" ca="1" si="37"/>
        <v>0</v>
      </c>
      <c r="CF37" s="15" t="b">
        <f t="shared" ca="1" si="62"/>
        <v>0</v>
      </c>
      <c r="CG37" s="15" t="b">
        <f t="shared" ca="1" si="63"/>
        <v>0</v>
      </c>
      <c r="CH37" s="15" t="b">
        <f t="shared" ca="1" si="18"/>
        <v>0</v>
      </c>
      <c r="CI37" s="15" t="b">
        <f t="shared" si="38"/>
        <v>0</v>
      </c>
      <c r="CJ37" s="15" t="b">
        <f t="shared" si="39"/>
        <v>0</v>
      </c>
      <c r="CK37" s="15" t="b">
        <f t="shared" ca="1" si="64"/>
        <v>0</v>
      </c>
      <c r="CL37" s="15" t="b">
        <f t="shared" ca="1" si="64"/>
        <v>0</v>
      </c>
      <c r="CM37" s="15" t="b">
        <f t="shared" ca="1" si="64"/>
        <v>0</v>
      </c>
      <c r="CN37" s="15" t="b">
        <f t="shared" ca="1" si="64"/>
        <v>0</v>
      </c>
      <c r="CO37" s="15" t="b">
        <f t="shared" ca="1" si="64"/>
        <v>0</v>
      </c>
      <c r="CP37" s="15" t="b">
        <f t="shared" ca="1" si="64"/>
        <v>0</v>
      </c>
      <c r="CQ37" s="15" t="b">
        <f t="shared" ca="1" si="64"/>
        <v>0</v>
      </c>
      <c r="CR37" s="21" t="b">
        <f t="shared" ca="1" si="64"/>
        <v>0</v>
      </c>
      <c r="CS37" s="22" t="b">
        <f t="shared" ca="1" si="20"/>
        <v>0</v>
      </c>
      <c r="CT37" s="22" t="b">
        <f t="shared" ca="1" si="20"/>
        <v>0</v>
      </c>
      <c r="CU37" s="22" t="b">
        <f t="shared" ca="1" si="20"/>
        <v>0</v>
      </c>
      <c r="CV37" s="22" t="b">
        <f t="shared" ca="1" si="20"/>
        <v>0</v>
      </c>
      <c r="CW37" s="22" t="b">
        <f t="shared" ca="1" si="20"/>
        <v>0</v>
      </c>
      <c r="CX37" s="22" t="b">
        <f t="shared" ca="1" si="20"/>
        <v>0</v>
      </c>
      <c r="CY37" s="22" t="b">
        <f t="shared" ca="1" si="20"/>
        <v>0</v>
      </c>
      <c r="CZ37" s="21" t="b">
        <f t="shared" ca="1" si="20"/>
        <v>0</v>
      </c>
      <c r="DB37" s="22" t="b">
        <f t="shared" ca="1" si="40"/>
        <v>0</v>
      </c>
      <c r="DC37" s="22" t="b">
        <f t="shared" ca="1" si="21"/>
        <v>0</v>
      </c>
      <c r="DD37" s="22" t="b">
        <f t="shared" ca="1" si="22"/>
        <v>0</v>
      </c>
      <c r="DE37" s="22" t="b">
        <f t="shared" ca="1" si="22"/>
        <v>0</v>
      </c>
      <c r="DF37" s="22" t="b">
        <f t="shared" ca="1" si="22"/>
        <v>0</v>
      </c>
      <c r="DG37" s="22" t="b">
        <f t="shared" ca="1" si="22"/>
        <v>0</v>
      </c>
      <c r="DH37" s="22" t="b">
        <f t="shared" ca="1" si="22"/>
        <v>0</v>
      </c>
      <c r="DI37" s="22" t="b">
        <f t="shared" ca="1" si="22"/>
        <v>0</v>
      </c>
      <c r="DJ37" s="22" t="b">
        <f t="shared" ca="1" si="22"/>
        <v>0</v>
      </c>
      <c r="DK37" s="22"/>
      <c r="DO37" s="15">
        <f t="shared" ca="1" si="23"/>
        <v>0</v>
      </c>
      <c r="DP37" s="15" t="str">
        <f t="shared" ca="1" si="23"/>
        <v/>
      </c>
      <c r="DQ37" s="15" t="str">
        <f t="shared" ca="1" si="23"/>
        <v/>
      </c>
      <c r="DR37" s="15" t="str">
        <f t="shared" ca="1" si="23"/>
        <v/>
      </c>
      <c r="DS37" s="15" t="str">
        <f t="shared" ca="1" si="23"/>
        <v/>
      </c>
      <c r="DT37" s="15" t="str">
        <f t="shared" ca="1" si="23"/>
        <v/>
      </c>
      <c r="DU37" s="15" t="str">
        <f t="shared" ca="1" si="23"/>
        <v/>
      </c>
      <c r="DV37" s="15" t="str">
        <f t="shared" ca="1" si="23"/>
        <v/>
      </c>
    </row>
    <row r="38" spans="1:126">
      <c r="A38" s="15">
        <f t="shared" si="24"/>
        <v>26</v>
      </c>
      <c r="B38" s="15" t="str">
        <f t="shared" ca="1" si="68"/>
        <v>ok.</v>
      </c>
      <c r="C38" s="15" t="s">
        <v>99</v>
      </c>
      <c r="D38" s="15" t="str">
        <f t="shared" si="25"/>
        <v>Zmienne Jednostki</v>
      </c>
      <c r="F38" s="15" t="s">
        <v>188</v>
      </c>
      <c r="G38" s="15" t="s">
        <v>121</v>
      </c>
      <c r="J38" s="19" t="str">
        <f ca="1">CELL(_CELL_ADDRESS_NAME,variables!BV2)</f>
        <v>'[dane surowe2d.xlsm]variables'!$BV$2</v>
      </c>
      <c r="K38" s="15">
        <f>ster!$C$12</f>
        <v>23</v>
      </c>
      <c r="M38" s="19"/>
      <c r="Q38" s="16"/>
      <c r="T38" s="15" t="str">
        <f t="shared" ca="1" si="69"/>
        <v>'[dane surowe2d.xlsm]variables'!$BV$2:$BV$24</v>
      </c>
      <c r="U38" s="15">
        <f t="shared" ca="1" si="70"/>
        <v>0</v>
      </c>
      <c r="V38" s="15" t="s">
        <v>115</v>
      </c>
      <c r="AD38" s="16" t="b">
        <f t="shared" si="41"/>
        <v>1</v>
      </c>
      <c r="AE38" s="16" t="b">
        <f t="shared" si="42"/>
        <v>0</v>
      </c>
      <c r="AF38" s="15" t="str">
        <f t="shared" si="66"/>
        <v/>
      </c>
      <c r="AG38" s="15" t="str">
        <f t="shared" ca="1" si="4"/>
        <v/>
      </c>
      <c r="AH38" s="15" t="str">
        <f t="shared" ca="1" si="5"/>
        <v/>
      </c>
      <c r="AI38" s="15" t="b">
        <f t="shared" ca="1" si="6"/>
        <v>0</v>
      </c>
      <c r="AJ38" s="15" t="str">
        <f t="shared" ca="1" si="26"/>
        <v/>
      </c>
      <c r="AK38" s="27" t="str">
        <f t="shared" ca="1" si="43"/>
        <v/>
      </c>
      <c r="AL38" s="15" t="b">
        <f t="shared" ca="1" si="7"/>
        <v>0</v>
      </c>
      <c r="AM38" s="15" t="str">
        <f t="shared" ca="1" si="44"/>
        <v/>
      </c>
      <c r="AN38" s="15">
        <f t="shared" ca="1" si="45"/>
        <v>3</v>
      </c>
      <c r="AO38" s="15" t="str">
        <f t="shared" ca="1" si="27"/>
        <v/>
      </c>
      <c r="AP38" s="15" t="str">
        <f t="shared" ca="1" si="67"/>
        <v/>
      </c>
      <c r="AQ38" s="27">
        <f t="shared" ca="1" si="46"/>
        <v>1</v>
      </c>
      <c r="AR38" s="15" t="b">
        <f t="shared" ca="1" si="47"/>
        <v>1</v>
      </c>
      <c r="AS38" s="27" t="b">
        <f t="shared" ca="1" si="48"/>
        <v>1</v>
      </c>
      <c r="AT38" s="27" t="b">
        <f t="shared" ca="1" si="49"/>
        <v>1</v>
      </c>
      <c r="AU38" s="27">
        <f t="shared" ca="1" si="50"/>
        <v>21</v>
      </c>
      <c r="AV38" s="16" t="e">
        <f t="shared" ca="1" si="51"/>
        <v>#REF!</v>
      </c>
      <c r="AW38" s="15" t="str">
        <f t="shared" ca="1" si="9"/>
        <v>'[dane surowe2d.xlsm]variables'!$BV$2</v>
      </c>
      <c r="AX38" s="27" t="b">
        <f t="shared" ca="1" si="52"/>
        <v>0</v>
      </c>
      <c r="AY38" s="27" t="b">
        <f t="shared" ca="1" si="53"/>
        <v>0</v>
      </c>
      <c r="AZ38" s="15">
        <f t="shared" ca="1" si="54"/>
        <v>1</v>
      </c>
      <c r="BA38" s="15">
        <f t="shared" ca="1" si="28"/>
        <v>23</v>
      </c>
      <c r="BB38" s="15" t="str">
        <f t="shared" ca="1" si="55"/>
        <v>'[dane surowe2d.xlsm]variables'!$BV$2</v>
      </c>
      <c r="BC38" s="15" t="str">
        <f t="shared" ca="1" si="29"/>
        <v>'[dane surowe2d.xlsm]variables'!$BV$2:$BV$24</v>
      </c>
      <c r="BD38" s="15" t="b">
        <f t="shared" ca="1" si="56"/>
        <v>1</v>
      </c>
      <c r="BE38" s="15" t="b">
        <f t="shared" ca="1" si="10"/>
        <v>0</v>
      </c>
      <c r="BF38" s="15" t="str">
        <f t="shared" ca="1" si="11"/>
        <v/>
      </c>
      <c r="BG38" s="15" t="str">
        <f t="shared" ca="1" si="12"/>
        <v/>
      </c>
      <c r="BH38" s="15">
        <f t="array" aca="1" ref="BH38" ca="1">IF(IFERROR( S38,1),1,IF(BC38="","", SUM(IF(ISERROR(INDIRECT(BC38)),1,0))))</f>
        <v>0</v>
      </c>
      <c r="BI38" s="15" t="b">
        <f t="shared" si="57"/>
        <v>0</v>
      </c>
      <c r="BJ38" s="15" t="b">
        <f t="shared" si="58"/>
        <v>1</v>
      </c>
      <c r="BK38" s="15">
        <f t="shared" ca="1" si="13"/>
        <v>2</v>
      </c>
      <c r="BL38" s="15">
        <f t="shared" ca="1" si="14"/>
        <v>2</v>
      </c>
      <c r="BP38" s="15" t="b">
        <f t="shared" si="30"/>
        <v>1</v>
      </c>
      <c r="BQ38" s="15" t="b">
        <f t="shared" ca="1" si="31"/>
        <v>0</v>
      </c>
      <c r="BR38" s="15" t="str">
        <f t="shared" ca="1" si="15"/>
        <v/>
      </c>
      <c r="BS38" s="15">
        <f t="shared" ca="1" si="32"/>
        <v>0</v>
      </c>
      <c r="BT38" s="15" t="str">
        <f t="shared" ca="1" si="16"/>
        <v/>
      </c>
      <c r="BV38" s="15" t="b">
        <f t="shared" ca="1" si="33"/>
        <v>0</v>
      </c>
      <c r="BW38" s="15" t="b">
        <f t="shared" ca="1" si="34"/>
        <v>0</v>
      </c>
      <c r="BX38" s="15" t="b">
        <f t="shared" ca="1" si="35"/>
        <v>0</v>
      </c>
      <c r="BY38" s="15" t="b">
        <f t="shared" ca="1" si="17"/>
        <v>0</v>
      </c>
      <c r="BZ38" s="15" t="b">
        <f t="shared" ca="1" si="36"/>
        <v>0</v>
      </c>
      <c r="CA38" s="15" t="b">
        <f t="shared" ca="1" si="59"/>
        <v>0</v>
      </c>
      <c r="CB38" s="15" t="b">
        <f t="shared" ca="1" si="60"/>
        <v>0</v>
      </c>
      <c r="CC38" s="15" t="b">
        <f t="shared" ref="CC38:CD40" ca="1" si="81">AND(AD38,AQ38=2,Q38&lt;&gt;"")</f>
        <v>0</v>
      </c>
      <c r="CD38" s="15" t="b">
        <f t="shared" ca="1" si="81"/>
        <v>0</v>
      </c>
      <c r="CE38" s="15" t="b">
        <f t="shared" ca="1" si="37"/>
        <v>0</v>
      </c>
      <c r="CF38" s="15" t="b">
        <f t="shared" ca="1" si="62"/>
        <v>0</v>
      </c>
      <c r="CG38" s="15" t="b">
        <f t="shared" ca="1" si="63"/>
        <v>0</v>
      </c>
      <c r="CH38" s="15" t="b">
        <f t="shared" ca="1" si="18"/>
        <v>0</v>
      </c>
      <c r="CI38" s="15" t="b">
        <f t="shared" si="38"/>
        <v>0</v>
      </c>
      <c r="CJ38" s="15" t="b">
        <f t="shared" si="39"/>
        <v>0</v>
      </c>
      <c r="CK38" s="15" t="b">
        <f t="shared" ca="1" si="64"/>
        <v>0</v>
      </c>
      <c r="CL38" s="15" t="b">
        <f t="shared" ca="1" si="64"/>
        <v>0</v>
      </c>
      <c r="CM38" s="15" t="b">
        <f t="shared" ca="1" si="64"/>
        <v>0</v>
      </c>
      <c r="CN38" s="15" t="b">
        <f t="shared" ca="1" si="64"/>
        <v>0</v>
      </c>
      <c r="CO38" s="15" t="b">
        <f t="shared" ca="1" si="64"/>
        <v>0</v>
      </c>
      <c r="CP38" s="15" t="b">
        <f t="shared" ca="1" si="64"/>
        <v>0</v>
      </c>
      <c r="CQ38" s="15" t="b">
        <f t="shared" ca="1" si="64"/>
        <v>0</v>
      </c>
      <c r="CR38" s="21" t="b">
        <f t="shared" ca="1" si="64"/>
        <v>0</v>
      </c>
      <c r="CS38" s="22" t="b">
        <f t="shared" ref="CS38:CZ57" ca="1" si="82">AND(DO38&lt;&gt;"",DO38&lt;&gt;0,DO38&lt;&gt;4)</f>
        <v>0</v>
      </c>
      <c r="CT38" s="22" t="b">
        <f t="shared" ca="1" si="82"/>
        <v>0</v>
      </c>
      <c r="CU38" s="22" t="b">
        <f t="shared" ca="1" si="82"/>
        <v>0</v>
      </c>
      <c r="CV38" s="22" t="b">
        <f t="shared" ca="1" si="82"/>
        <v>0</v>
      </c>
      <c r="CW38" s="22" t="b">
        <f t="shared" ca="1" si="82"/>
        <v>0</v>
      </c>
      <c r="CX38" s="22" t="b">
        <f t="shared" ca="1" si="82"/>
        <v>0</v>
      </c>
      <c r="CY38" s="22" t="b">
        <f t="shared" ca="1" si="82"/>
        <v>0</v>
      </c>
      <c r="CZ38" s="21" t="b">
        <f t="shared" ca="1" si="82"/>
        <v>0</v>
      </c>
      <c r="DB38" s="22" t="b">
        <f t="shared" ca="1" si="40"/>
        <v>0</v>
      </c>
      <c r="DC38" s="22" t="b">
        <f t="shared" ca="1" si="21"/>
        <v>0</v>
      </c>
      <c r="DD38" s="22" t="b">
        <f t="shared" ref="DD38:DD55" ca="1" si="83">AND(DP38=4)</f>
        <v>0</v>
      </c>
      <c r="DE38" s="22" t="b">
        <f t="shared" ref="DE38:DE55" ca="1" si="84">AND(DQ38=4)</f>
        <v>0</v>
      </c>
      <c r="DF38" s="22" t="b">
        <f t="shared" ref="DF38:DF55" ca="1" si="85">AND(DR38=4)</f>
        <v>0</v>
      </c>
      <c r="DG38" s="22" t="b">
        <f t="shared" ref="DG38:DG55" ca="1" si="86">AND(DS38=4)</f>
        <v>0</v>
      </c>
      <c r="DH38" s="22" t="b">
        <f t="shared" ref="DH38:DH55" ca="1" si="87">AND(DT38=4)</f>
        <v>0</v>
      </c>
      <c r="DI38" s="22" t="b">
        <f t="shared" ref="DI38:DI55" ca="1" si="88">AND(DU38=4)</f>
        <v>0</v>
      </c>
      <c r="DJ38" s="22" t="b">
        <f t="shared" ref="DJ38:DJ55" ca="1" si="89">AND(DV38=4)</f>
        <v>0</v>
      </c>
      <c r="DK38" s="22"/>
      <c r="DO38" s="15">
        <f t="shared" ca="1" si="23"/>
        <v>0</v>
      </c>
      <c r="DP38" s="15" t="str">
        <f t="shared" ca="1" si="23"/>
        <v/>
      </c>
      <c r="DQ38" s="15" t="str">
        <f t="shared" ca="1" si="23"/>
        <v/>
      </c>
      <c r="DR38" s="15" t="str">
        <f t="shared" ca="1" si="23"/>
        <v/>
      </c>
      <c r="DS38" s="15" t="str">
        <f t="shared" ca="1" si="23"/>
        <v/>
      </c>
      <c r="DT38" s="15" t="str">
        <f t="shared" ca="1" si="23"/>
        <v/>
      </c>
      <c r="DU38" s="15" t="str">
        <f t="shared" ca="1" si="23"/>
        <v/>
      </c>
      <c r="DV38" s="15" t="str">
        <f t="shared" ca="1" si="23"/>
        <v/>
      </c>
    </row>
    <row r="39" spans="1:126">
      <c r="A39" s="15">
        <f t="shared" si="24"/>
        <v>27</v>
      </c>
      <c r="B39" s="15" t="str">
        <f t="shared" ca="1" si="68"/>
        <v>ok.</v>
      </c>
      <c r="C39" s="15" t="s">
        <v>100</v>
      </c>
      <c r="D39" s="15" t="str">
        <f t="shared" si="25"/>
        <v>Zmienne Grupy</v>
      </c>
      <c r="F39" s="15" t="s">
        <v>184</v>
      </c>
      <c r="G39" s="15" t="s">
        <v>121</v>
      </c>
      <c r="J39" s="19" t="str">
        <f ca="1">CELL(_CELL_ADDRESS_NAME,variables!BZ2)</f>
        <v>'[dane surowe2d.xlsm]variables'!$BZ$2</v>
      </c>
      <c r="K39" s="15">
        <f>ster!$C$12</f>
        <v>23</v>
      </c>
      <c r="L39" s="15">
        <f ca="1">wew!$G$11</f>
        <v>1</v>
      </c>
      <c r="M39" s="19"/>
      <c r="O39" s="15">
        <f ca="1">wew!$G$11</f>
        <v>1</v>
      </c>
      <c r="T39" s="15" t="str">
        <f t="shared" ca="1" si="69"/>
        <v>'[dane surowe2d.xlsm]variables'!$BZ$2:$BZ$24</v>
      </c>
      <c r="U39" s="15">
        <f t="shared" ca="1" si="70"/>
        <v>0</v>
      </c>
      <c r="V39" s="15" t="s">
        <v>115</v>
      </c>
      <c r="AD39" s="16" t="b">
        <f t="shared" si="41"/>
        <v>1</v>
      </c>
      <c r="AE39" s="16" t="b">
        <f t="shared" si="42"/>
        <v>0</v>
      </c>
      <c r="AF39" s="15" t="str">
        <f t="shared" si="66"/>
        <v/>
      </c>
      <c r="AG39" s="15" t="str">
        <f t="shared" ca="1" si="4"/>
        <v/>
      </c>
      <c r="AH39" s="15" t="str">
        <f t="shared" ca="1" si="5"/>
        <v/>
      </c>
      <c r="AI39" s="15" t="b">
        <f t="shared" ca="1" si="6"/>
        <v>0</v>
      </c>
      <c r="AJ39" s="15" t="str">
        <f t="shared" ca="1" si="26"/>
        <v/>
      </c>
      <c r="AK39" s="27" t="str">
        <f t="shared" ca="1" si="43"/>
        <v/>
      </c>
      <c r="AL39" s="15" t="b">
        <f t="shared" ca="1" si="7"/>
        <v>0</v>
      </c>
      <c r="AM39" s="15" t="str">
        <f t="shared" ca="1" si="44"/>
        <v/>
      </c>
      <c r="AN39" s="15">
        <f t="shared" ca="1" si="45"/>
        <v>3</v>
      </c>
      <c r="AO39" s="15" t="str">
        <f t="shared" ca="1" si="27"/>
        <v/>
      </c>
      <c r="AP39" s="15" t="str">
        <f t="shared" ca="1" si="67"/>
        <v/>
      </c>
      <c r="AQ39" s="27">
        <f t="shared" ca="1" si="46"/>
        <v>1</v>
      </c>
      <c r="AR39" s="15" t="b">
        <f t="shared" ca="1" si="47"/>
        <v>1</v>
      </c>
      <c r="AS39" s="27" t="b">
        <f t="shared" ca="1" si="48"/>
        <v>1</v>
      </c>
      <c r="AT39" s="27" t="b">
        <f t="shared" ca="1" si="49"/>
        <v>1</v>
      </c>
      <c r="AU39" s="27">
        <f t="shared" ca="1" si="50"/>
        <v>21</v>
      </c>
      <c r="AV39" s="16" t="e">
        <f t="shared" ca="1" si="51"/>
        <v>#REF!</v>
      </c>
      <c r="AW39" s="15" t="str">
        <f t="shared" ca="1" si="9"/>
        <v>'[dane surowe2d.xlsm]variables'!$BZ$2</v>
      </c>
      <c r="AX39" s="27" t="b">
        <f t="shared" ca="1" si="52"/>
        <v>0</v>
      </c>
      <c r="AY39" s="27" t="b">
        <f t="shared" ca="1" si="53"/>
        <v>0</v>
      </c>
      <c r="AZ39" s="15">
        <f t="shared" ca="1" si="54"/>
        <v>1</v>
      </c>
      <c r="BA39" s="15">
        <f t="shared" ca="1" si="28"/>
        <v>23</v>
      </c>
      <c r="BB39" s="15" t="str">
        <f t="shared" ca="1" si="55"/>
        <v>'[dane surowe2d.xlsm]variables'!$BZ$2</v>
      </c>
      <c r="BC39" s="15" t="str">
        <f t="shared" ca="1" si="29"/>
        <v>'[dane surowe2d.xlsm]variables'!$BZ$2:$BZ$24</v>
      </c>
      <c r="BD39" s="15" t="b">
        <f t="shared" ca="1" si="56"/>
        <v>1</v>
      </c>
      <c r="BE39" s="15" t="b">
        <f t="shared" ca="1" si="10"/>
        <v>0</v>
      </c>
      <c r="BF39" s="15" t="str">
        <f t="shared" ca="1" si="11"/>
        <v/>
      </c>
      <c r="BG39" s="15" t="str">
        <f t="shared" ca="1" si="12"/>
        <v/>
      </c>
      <c r="BH39" s="15">
        <f t="array" aca="1" ref="BH39" ca="1">IF(IFERROR( S39,1),1,IF(BC39="","", SUM(IF(ISERROR(INDIRECT(BC39)),1,0))))</f>
        <v>0</v>
      </c>
      <c r="BI39" s="15" t="b">
        <f t="shared" si="57"/>
        <v>0</v>
      </c>
      <c r="BJ39" s="15" t="b">
        <f t="shared" si="58"/>
        <v>1</v>
      </c>
      <c r="BK39" s="15">
        <f t="shared" ca="1" si="13"/>
        <v>2</v>
      </c>
      <c r="BL39" s="15">
        <f t="shared" ca="1" si="14"/>
        <v>2</v>
      </c>
      <c r="BP39" s="15" t="b">
        <f t="shared" si="30"/>
        <v>1</v>
      </c>
      <c r="BQ39" s="15" t="b">
        <f t="shared" ca="1" si="31"/>
        <v>0</v>
      </c>
      <c r="BR39" s="15" t="str">
        <f t="shared" ca="1" si="15"/>
        <v/>
      </c>
      <c r="BS39" s="15">
        <f t="shared" ca="1" si="32"/>
        <v>0</v>
      </c>
      <c r="BT39" s="15" t="str">
        <f t="shared" ca="1" si="16"/>
        <v/>
      </c>
      <c r="BV39" s="15" t="b">
        <f t="shared" ca="1" si="33"/>
        <v>0</v>
      </c>
      <c r="BW39" s="15" t="b">
        <f t="shared" ca="1" si="34"/>
        <v>0</v>
      </c>
      <c r="BX39" s="15" t="b">
        <f t="shared" ca="1" si="35"/>
        <v>0</v>
      </c>
      <c r="BY39" s="15" t="b">
        <f t="shared" ca="1" si="17"/>
        <v>0</v>
      </c>
      <c r="BZ39" s="15" t="b">
        <f t="shared" ca="1" si="36"/>
        <v>0</v>
      </c>
      <c r="CA39" s="15" t="b">
        <f t="shared" ca="1" si="59"/>
        <v>0</v>
      </c>
      <c r="CB39" s="15" t="b">
        <f t="shared" ca="1" si="60"/>
        <v>0</v>
      </c>
      <c r="CC39" s="15" t="b">
        <f t="shared" ca="1" si="81"/>
        <v>0</v>
      </c>
      <c r="CD39" s="15" t="b">
        <f t="shared" ca="1" si="81"/>
        <v>0</v>
      </c>
      <c r="CE39" s="15" t="b">
        <f t="shared" ca="1" si="37"/>
        <v>0</v>
      </c>
      <c r="CF39" s="15" t="b">
        <f t="shared" ca="1" si="62"/>
        <v>0</v>
      </c>
      <c r="CG39" s="15" t="b">
        <f t="shared" ca="1" si="63"/>
        <v>0</v>
      </c>
      <c r="CH39" s="15" t="b">
        <f t="shared" ca="1" si="18"/>
        <v>0</v>
      </c>
      <c r="CI39" s="15" t="b">
        <f t="shared" si="38"/>
        <v>0</v>
      </c>
      <c r="CJ39" s="15" t="b">
        <f t="shared" si="39"/>
        <v>0</v>
      </c>
      <c r="CK39" s="15" t="b">
        <f t="shared" ca="1" si="64"/>
        <v>0</v>
      </c>
      <c r="CL39" s="15" t="b">
        <f t="shared" ca="1" si="64"/>
        <v>0</v>
      </c>
      <c r="CM39" s="15" t="b">
        <f t="shared" ca="1" si="64"/>
        <v>0</v>
      </c>
      <c r="CN39" s="15" t="b">
        <f t="shared" ca="1" si="64"/>
        <v>0</v>
      </c>
      <c r="CO39" s="15" t="b">
        <f t="shared" ca="1" si="64"/>
        <v>0</v>
      </c>
      <c r="CP39" s="15" t="b">
        <f t="shared" ca="1" si="64"/>
        <v>0</v>
      </c>
      <c r="CQ39" s="15" t="b">
        <f t="shared" ca="1" si="64"/>
        <v>0</v>
      </c>
      <c r="CR39" s="21" t="b">
        <f t="shared" ca="1" si="64"/>
        <v>0</v>
      </c>
      <c r="CS39" s="22" t="b">
        <f t="shared" ca="1" si="82"/>
        <v>0</v>
      </c>
      <c r="CT39" s="22" t="b">
        <f t="shared" ca="1" si="82"/>
        <v>0</v>
      </c>
      <c r="CU39" s="22" t="b">
        <f t="shared" ca="1" si="82"/>
        <v>0</v>
      </c>
      <c r="CV39" s="22" t="b">
        <f t="shared" ca="1" si="82"/>
        <v>0</v>
      </c>
      <c r="CW39" s="22" t="b">
        <f t="shared" ca="1" si="82"/>
        <v>0</v>
      </c>
      <c r="CX39" s="22" t="b">
        <f t="shared" ca="1" si="82"/>
        <v>0</v>
      </c>
      <c r="CY39" s="22" t="b">
        <f t="shared" ca="1" si="82"/>
        <v>0</v>
      </c>
      <c r="CZ39" s="21" t="b">
        <f t="shared" ca="1" si="82"/>
        <v>0</v>
      </c>
      <c r="DB39" s="22" t="b">
        <f t="shared" ca="1" si="40"/>
        <v>0</v>
      </c>
      <c r="DC39" s="22" t="b">
        <f t="shared" ca="1" si="21"/>
        <v>0</v>
      </c>
      <c r="DD39" s="22" t="b">
        <f t="shared" ca="1" si="83"/>
        <v>0</v>
      </c>
      <c r="DE39" s="22" t="b">
        <f t="shared" ca="1" si="84"/>
        <v>0</v>
      </c>
      <c r="DF39" s="22" t="b">
        <f t="shared" ca="1" si="85"/>
        <v>0</v>
      </c>
      <c r="DG39" s="22" t="b">
        <f t="shared" ca="1" si="86"/>
        <v>0</v>
      </c>
      <c r="DH39" s="22" t="b">
        <f t="shared" ca="1" si="87"/>
        <v>0</v>
      </c>
      <c r="DI39" s="22" t="b">
        <f t="shared" ca="1" si="88"/>
        <v>0</v>
      </c>
      <c r="DJ39" s="22" t="b">
        <f t="shared" ca="1" si="89"/>
        <v>0</v>
      </c>
      <c r="DK39" s="22"/>
      <c r="DO39" s="15">
        <f t="shared" ref="DO39:DV68" ca="1" si="90">IF(V39&lt;&gt;"",IFERROR(INDEX(INDIRECT($BS$4),MATCH(V39,INDIRECT($C$4),0)),100),"")</f>
        <v>0</v>
      </c>
      <c r="DP39" s="15" t="str">
        <f t="shared" ca="1" si="90"/>
        <v/>
      </c>
      <c r="DQ39" s="15" t="str">
        <f t="shared" ca="1" si="90"/>
        <v/>
      </c>
      <c r="DR39" s="15" t="str">
        <f t="shared" ca="1" si="90"/>
        <v/>
      </c>
      <c r="DS39" s="15" t="str">
        <f t="shared" ca="1" si="90"/>
        <v/>
      </c>
      <c r="DT39" s="15" t="str">
        <f t="shared" ca="1" si="90"/>
        <v/>
      </c>
      <c r="DU39" s="15" t="str">
        <f t="shared" ca="1" si="90"/>
        <v/>
      </c>
      <c r="DV39" s="15" t="str">
        <f t="shared" ca="1" si="90"/>
        <v/>
      </c>
    </row>
    <row r="40" spans="1:126">
      <c r="A40" s="15">
        <f t="shared" si="24"/>
        <v>28</v>
      </c>
      <c r="B40" s="15" t="str">
        <f t="shared" ca="1" si="68"/>
        <v>ok.</v>
      </c>
      <c r="C40" s="15" t="s">
        <v>101</v>
      </c>
      <c r="D40" s="15" t="str">
        <f t="shared" si="25"/>
        <v>Ster KatalogDocelowy</v>
      </c>
      <c r="F40" s="15" t="s">
        <v>194</v>
      </c>
      <c r="G40" s="15" t="s">
        <v>121</v>
      </c>
      <c r="J40" s="19" t="str">
        <f ca="1">CELL(_CELL_ADDRESS_NAME,ster!B3)</f>
        <v>'[dane surowe2d.xlsm]ster'!$B$3</v>
      </c>
      <c r="M40" s="19"/>
      <c r="T40" s="15" t="str">
        <f t="shared" ca="1" si="69"/>
        <v>'[dane surowe2d.xlsm]ster'!$B$3</v>
      </c>
      <c r="U40" s="15">
        <f t="shared" ca="1" si="70"/>
        <v>0</v>
      </c>
      <c r="AD40" s="16" t="b">
        <f>C40&lt;&gt;""</f>
        <v>1</v>
      </c>
      <c r="AE40" s="16" t="b">
        <f>AND(I40&lt;&gt;"",H40&lt;&gt;"")</f>
        <v>0</v>
      </c>
      <c r="AF40" s="15" t="str">
        <f t="shared" si="66"/>
        <v/>
      </c>
      <c r="AG40" s="15" t="str">
        <f t="shared" ca="1" si="4"/>
        <v/>
      </c>
      <c r="AH40" s="15" t="str">
        <f t="shared" ca="1" si="5"/>
        <v/>
      </c>
      <c r="AI40" s="15" t="b">
        <f t="shared" ca="1" si="6"/>
        <v>0</v>
      </c>
      <c r="AJ40" s="15" t="str">
        <f t="shared" ca="1" si="26"/>
        <v/>
      </c>
      <c r="AK40" s="27" t="str">
        <f ca="1">IF(AE40,INDEX(INDIRECT(AJ40),AH40),"")</f>
        <v/>
      </c>
      <c r="AL40" s="15" t="b">
        <f t="shared" ca="1" si="7"/>
        <v>0</v>
      </c>
      <c r="AM40" s="15" t="str">
        <f ca="1">IF(AE40,INDIRECT(ADDRESS(ROW($BK$4),COLUMN($BK$4),,,AF40)),"")</f>
        <v/>
      </c>
      <c r="AN40" s="15">
        <f ca="1">IFERROR(IF(AE40,INDEX(INDIRECT(AM40),AH40),3),3)</f>
        <v>3</v>
      </c>
      <c r="AO40" s="15" t="str">
        <f t="shared" ca="1" si="27"/>
        <v/>
      </c>
      <c r="AP40" s="15" t="str">
        <f ca="1">IF(AQ40=2,INDEX(INDIRECT(AO40),AH40),"")</f>
        <v/>
      </c>
      <c r="AQ40" s="27">
        <f ca="1">IF(AND(AE40,NOT(AR40)),2,IF(AND(AR40,NOT(AE40)),1,IF(AND(NOT(AE40),NOT(AR40)),4,3)))</f>
        <v>1</v>
      </c>
      <c r="AR40" s="15" t="b">
        <f ca="1">AND(J40&lt;&gt;"",AD40)</f>
        <v>1</v>
      </c>
      <c r="AS40" s="27" t="b">
        <f ca="1">NOT(ISERROR(FIND("[",J40)))</f>
        <v>1</v>
      </c>
      <c r="AT40" s="27" t="b">
        <f ca="1">MID(J40,1,1)="'"</f>
        <v>1</v>
      </c>
      <c r="AU40" s="27">
        <f ca="1">IF(AS40,FIND("]",J40),"")</f>
        <v>21</v>
      </c>
      <c r="AV40" s="16" t="b">
        <f ca="1">IF(AS40,MID(J40,1,AU40)&lt;&gt;$U$2,FALSE)</f>
        <v>0</v>
      </c>
      <c r="AW40" s="15" t="str">
        <f t="shared" ca="1" si="9"/>
        <v>'[dane surowe2d.xlsm]ster'!$B$3</v>
      </c>
      <c r="AX40" s="27" t="b">
        <f ca="1">IF(AR40,ROWS(INDIRECT(AW40))&gt;1)</f>
        <v>0</v>
      </c>
      <c r="AY40" s="27" t="b">
        <f ca="1">IF(AR40,COLUMNS(INDIRECT(AW40))&gt;1)</f>
        <v>0</v>
      </c>
      <c r="AZ40" s="15">
        <f ca="1">IF($AE40,IF(NOT(AI40),"?",COLUMNS(INDIRECT($AK40))),IF($AD40,IF(L40="",1,L40)))</f>
        <v>1</v>
      </c>
      <c r="BA40" s="15">
        <f t="shared" ca="1" si="28"/>
        <v>1</v>
      </c>
      <c r="BB40" s="15" t="str">
        <f ca="1">IF(AD40,CHOOSE(AQ40,AW40,AK40,"?"),"")</f>
        <v>'[dane surowe2d.xlsm]ster'!$B$3</v>
      </c>
      <c r="BC40" s="15" t="str">
        <f t="shared" ca="1" si="29"/>
        <v>'[dane surowe2d.xlsm]ster'!$B$3</v>
      </c>
      <c r="BD40" s="15" t="b">
        <f ca="1">AZ40*BA40&gt;1</f>
        <v>0</v>
      </c>
      <c r="BE40" s="15" t="b">
        <f t="shared" ca="1" si="10"/>
        <v>0</v>
      </c>
      <c r="BF40" s="15" t="str">
        <f t="shared" ca="1" si="11"/>
        <v/>
      </c>
      <c r="BG40" s="15" t="str">
        <f t="shared" ca="1" si="12"/>
        <v/>
      </c>
      <c r="BH40" s="15">
        <f t="array" aca="1" ref="BH40" ca="1">IF(IFERROR( S40,1),1,IF(BC40="","", SUM(IF(ISERROR(INDIRECT(BC40)),1,0))))</f>
        <v>0</v>
      </c>
      <c r="BI40" s="15" t="b">
        <f>G40="r"</f>
        <v>0</v>
      </c>
      <c r="BJ40" s="15" t="b">
        <f>G40="W"</f>
        <v>1</v>
      </c>
      <c r="BK40" s="15">
        <f t="shared" ca="1" si="13"/>
        <v>2</v>
      </c>
      <c r="BL40" s="15">
        <f t="shared" ca="1" si="14"/>
        <v>2</v>
      </c>
      <c r="BP40" s="15" t="b">
        <f t="shared" si="30"/>
        <v>1</v>
      </c>
      <c r="BQ40" s="15" t="b">
        <f t="shared" ca="1" si="31"/>
        <v>0</v>
      </c>
      <c r="BR40" s="15" t="str">
        <f t="shared" ca="1" si="15"/>
        <v/>
      </c>
      <c r="BS40" s="15">
        <f t="shared" ca="1" si="32"/>
        <v>0</v>
      </c>
      <c r="BT40" s="15" t="str">
        <f t="shared" ca="1" si="16"/>
        <v/>
      </c>
      <c r="BV40" s="15" t="b">
        <f t="shared" ca="1" si="33"/>
        <v>0</v>
      </c>
      <c r="BW40" s="15" t="b">
        <f t="shared" ca="1" si="34"/>
        <v>0</v>
      </c>
      <c r="BX40" s="15" t="b">
        <f t="shared" ca="1" si="35"/>
        <v>0</v>
      </c>
      <c r="BY40" s="15" t="b">
        <f t="shared" ca="1" si="17"/>
        <v>0</v>
      </c>
      <c r="BZ40" s="15" t="b">
        <f t="shared" ca="1" si="36"/>
        <v>0</v>
      </c>
      <c r="CA40" s="15" t="b">
        <f ca="1">AND(AR40,AE40,AD40)</f>
        <v>0</v>
      </c>
      <c r="CB40" s="15" t="b">
        <f ca="1">ISERROR(COUNT(INDIRECT(J40)))</f>
        <v>0</v>
      </c>
      <c r="CC40" s="15" t="b">
        <f t="shared" ca="1" si="81"/>
        <v>0</v>
      </c>
      <c r="CD40" s="15" t="b">
        <f t="shared" ca="1" si="81"/>
        <v>0</v>
      </c>
      <c r="CE40" s="15" t="b">
        <f t="shared" ca="1" si="37"/>
        <v>0</v>
      </c>
      <c r="CF40" s="15" t="b">
        <f ca="1">AND($AD40,$AQ40=2,COUNTA( S40)=1)</f>
        <v>0</v>
      </c>
      <c r="CG40" s="15" t="b">
        <f ca="1">AND(AND(AQ40&lt;&gt;1,AQ40&lt;&gt;3),G40&lt;&gt;"")</f>
        <v>0</v>
      </c>
      <c r="CH40" s="15" t="b">
        <f t="shared" ca="1" si="18"/>
        <v>0</v>
      </c>
      <c r="CI40" s="15" t="b">
        <f t="shared" si="38"/>
        <v>0</v>
      </c>
      <c r="CJ40" s="15" t="b">
        <f t="shared" si="39"/>
        <v>0</v>
      </c>
      <c r="CK40" s="15" t="b">
        <f t="shared" ca="1" si="64"/>
        <v>0</v>
      </c>
      <c r="CL40" s="15" t="b">
        <f t="shared" ca="1" si="64"/>
        <v>0</v>
      </c>
      <c r="CM40" s="15" t="b">
        <f t="shared" ca="1" si="64"/>
        <v>0</v>
      </c>
      <c r="CN40" s="15" t="b">
        <f t="shared" ca="1" si="64"/>
        <v>0</v>
      </c>
      <c r="CO40" s="15" t="b">
        <f t="shared" ca="1" si="64"/>
        <v>0</v>
      </c>
      <c r="CP40" s="15" t="b">
        <f t="shared" ca="1" si="64"/>
        <v>0</v>
      </c>
      <c r="CQ40" s="15" t="b">
        <f t="shared" ca="1" si="64"/>
        <v>0</v>
      </c>
      <c r="CR40" s="21" t="b">
        <f t="shared" ca="1" si="64"/>
        <v>0</v>
      </c>
      <c r="CS40" s="22" t="b">
        <f t="shared" ca="1" si="82"/>
        <v>0</v>
      </c>
      <c r="CT40" s="22" t="b">
        <f t="shared" ca="1" si="82"/>
        <v>0</v>
      </c>
      <c r="CU40" s="22" t="b">
        <f t="shared" ca="1" si="82"/>
        <v>0</v>
      </c>
      <c r="CV40" s="22" t="b">
        <f t="shared" ca="1" si="82"/>
        <v>0</v>
      </c>
      <c r="CW40" s="22" t="b">
        <f t="shared" ca="1" si="82"/>
        <v>0</v>
      </c>
      <c r="CX40" s="22" t="b">
        <f t="shared" ca="1" si="82"/>
        <v>0</v>
      </c>
      <c r="CY40" s="22" t="b">
        <f t="shared" ca="1" si="82"/>
        <v>0</v>
      </c>
      <c r="CZ40" s="21" t="b">
        <f t="shared" ca="1" si="82"/>
        <v>0</v>
      </c>
      <c r="DB40" s="22" t="b">
        <f t="shared" ca="1" si="40"/>
        <v>0</v>
      </c>
      <c r="DC40" s="22" t="b">
        <f t="shared" ca="1" si="21"/>
        <v>0</v>
      </c>
      <c r="DD40" s="22" t="b">
        <f t="shared" ca="1" si="83"/>
        <v>0</v>
      </c>
      <c r="DE40" s="22" t="b">
        <f t="shared" ca="1" si="84"/>
        <v>0</v>
      </c>
      <c r="DF40" s="22" t="b">
        <f t="shared" ca="1" si="85"/>
        <v>0</v>
      </c>
      <c r="DG40" s="22" t="b">
        <f t="shared" ca="1" si="86"/>
        <v>0</v>
      </c>
      <c r="DH40" s="22" t="b">
        <f t="shared" ca="1" si="87"/>
        <v>0</v>
      </c>
      <c r="DI40" s="22" t="b">
        <f t="shared" ca="1" si="88"/>
        <v>0</v>
      </c>
      <c r="DJ40" s="22" t="b">
        <f t="shared" ca="1" si="89"/>
        <v>0</v>
      </c>
      <c r="DK40" s="22"/>
      <c r="DO40" s="15" t="str">
        <f t="shared" ca="1" si="90"/>
        <v/>
      </c>
      <c r="DP40" s="15" t="str">
        <f t="shared" ca="1" si="90"/>
        <v/>
      </c>
      <c r="DQ40" s="15" t="str">
        <f t="shared" ca="1" si="90"/>
        <v/>
      </c>
      <c r="DR40" s="15" t="str">
        <f t="shared" ca="1" si="90"/>
        <v/>
      </c>
      <c r="DS40" s="15" t="str">
        <f t="shared" ca="1" si="90"/>
        <v/>
      </c>
      <c r="DT40" s="15" t="str">
        <f t="shared" ca="1" si="90"/>
        <v/>
      </c>
      <c r="DU40" s="15" t="str">
        <f t="shared" ca="1" si="90"/>
        <v/>
      </c>
      <c r="DV40" s="15" t="str">
        <f t="shared" ca="1" si="90"/>
        <v/>
      </c>
    </row>
    <row r="41" spans="1:126">
      <c r="A41" s="15">
        <f t="shared" si="24"/>
        <v>29</v>
      </c>
      <c r="B41" s="15" t="e">
        <f t="shared" ca="1" si="68"/>
        <v>#REF!</v>
      </c>
      <c r="C41" s="15" t="s">
        <v>102</v>
      </c>
      <c r="D41" s="15" t="str">
        <f t="shared" si="25"/>
        <v>Ster TrybTworzeniaRaportu</v>
      </c>
      <c r="F41" s="15" t="s">
        <v>193</v>
      </c>
      <c r="G41" s="15" t="s">
        <v>121</v>
      </c>
      <c r="J41" s="19" t="e">
        <f ca="1">CELL(_CELL_ADDRESS_NAME,ster!#REF!)</f>
        <v>#REF!</v>
      </c>
      <c r="M41" s="19"/>
      <c r="T41" s="15" t="str">
        <f t="shared" ca="1" si="69"/>
        <v/>
      </c>
      <c r="U41" s="15" t="e">
        <f t="shared" ca="1" si="70"/>
        <v>#REF!</v>
      </c>
      <c r="AD41" s="16" t="b">
        <f t="shared" ref="AD41:AD68" si="91">C41&lt;&gt;""</f>
        <v>1</v>
      </c>
      <c r="AE41" s="16" t="b">
        <f t="shared" ref="AE41:AE68" si="92">AND(I41&lt;&gt;"",H41&lt;&gt;"")</f>
        <v>0</v>
      </c>
      <c r="AF41" s="15" t="str">
        <f t="shared" si="66"/>
        <v/>
      </c>
      <c r="AG41" s="15" t="str">
        <f t="shared" ca="1" si="4"/>
        <v/>
      </c>
      <c r="AH41" s="15" t="str">
        <f t="shared" ca="1" si="5"/>
        <v/>
      </c>
      <c r="AI41" s="15" t="b">
        <f t="shared" ca="1" si="6"/>
        <v>0</v>
      </c>
      <c r="AJ41" s="15" t="str">
        <f t="shared" ca="1" si="26"/>
        <v/>
      </c>
      <c r="AK41" s="27" t="str">
        <f t="shared" ref="AK41:AK68" ca="1" si="93">IF(AE41,INDEX(INDIRECT(AJ41),AH41),"")</f>
        <v/>
      </c>
      <c r="AL41" s="15" t="b">
        <f t="shared" ca="1" si="7"/>
        <v>0</v>
      </c>
      <c r="AM41" s="15" t="str">
        <f t="shared" ref="AM41:AM68" ca="1" si="94">IF(AE41,INDIRECT(ADDRESS(ROW($BK$4),COLUMN($BK$4),,,AF41)),"")</f>
        <v/>
      </c>
      <c r="AN41" s="15">
        <f t="shared" ref="AN41:AN68" ca="1" si="95">IFERROR(IF(AE41,INDEX(INDIRECT(AM41),AH41),3),3)</f>
        <v>3</v>
      </c>
      <c r="AO41" s="15" t="str">
        <f t="shared" ca="1" si="27"/>
        <v/>
      </c>
      <c r="AP41" s="15" t="e">
        <f t="shared" ref="AP41:AP68" ca="1" si="96">IF(AQ41=2,INDEX(INDIRECT(AO41),AH41),"")</f>
        <v>#REF!</v>
      </c>
      <c r="AQ41" s="27" t="e">
        <f t="shared" ref="AQ41:AQ68" ca="1" si="97">IF(AND(AE41,NOT(AR41)),2,IF(AND(AR41,NOT(AE41)),1,IF(AND(NOT(AE41),NOT(AR41)),4,3)))</f>
        <v>#REF!</v>
      </c>
      <c r="AR41" s="15" t="e">
        <f t="shared" ref="AR41:AR68" ca="1" si="98">AND(J41&lt;&gt;"",AD41)</f>
        <v>#REF!</v>
      </c>
      <c r="AS41" s="27" t="b">
        <f t="shared" ref="AS41:AS68" ca="1" si="99">NOT(ISERROR(FIND("[",J41)))</f>
        <v>0</v>
      </c>
      <c r="AT41" s="27" t="e">
        <f t="shared" ref="AT41:AT68" ca="1" si="100">MID(J41,1,1)="'"</f>
        <v>#REF!</v>
      </c>
      <c r="AU41" s="27" t="str">
        <f t="shared" ref="AU41:AU68" ca="1" si="101">IF(AS41,FIND("]",J41),"")</f>
        <v/>
      </c>
      <c r="AV41" s="16" t="b">
        <f t="shared" ref="AV41:AV68" ca="1" si="102">IF(AS41,MID(J41,1,AU41)&lt;&gt;$V$2,FALSE)</f>
        <v>0</v>
      </c>
      <c r="AW41" s="15" t="e">
        <f t="shared" ca="1" si="9"/>
        <v>#REF!</v>
      </c>
      <c r="AX41" s="27" t="e">
        <f t="shared" ref="AX41:AX68" ca="1" si="103">IF(AR41,ROWS(INDIRECT(AW41))&gt;1)</f>
        <v>#REF!</v>
      </c>
      <c r="AY41" s="27" t="e">
        <f t="shared" ref="AY41:AY68" ca="1" si="104">IF(AR41,COLUMNS(INDIRECT(AW41))&gt;1)</f>
        <v>#REF!</v>
      </c>
      <c r="AZ41" s="15">
        <f t="shared" ref="AZ41:AZ68" ca="1" si="105">IF($AE41,IF(NOT(AI41),"?",COLUMNS(INDIRECT($AK41))),IF($AD41,IF(L41="",1,L41)))</f>
        <v>1</v>
      </c>
      <c r="BA41" s="15">
        <f t="shared" ca="1" si="28"/>
        <v>1</v>
      </c>
      <c r="BB41" s="15" t="e">
        <f t="shared" ref="BB41:BB68" ca="1" si="106">IF(AD41,CHOOSE(AQ41,AW41,AK41,"?"),"")</f>
        <v>#REF!</v>
      </c>
      <c r="BC41" s="15" t="str">
        <f t="shared" ca="1" si="29"/>
        <v/>
      </c>
      <c r="BD41" s="15" t="b">
        <f t="shared" ref="BD41:BD68" ca="1" si="107">AZ41*BA41&gt;1</f>
        <v>0</v>
      </c>
      <c r="BE41" s="15" t="e">
        <f t="shared" ca="1" si="10"/>
        <v>#REF!</v>
      </c>
      <c r="BF41" s="15" t="e">
        <f t="shared" ca="1" si="11"/>
        <v>#REF!</v>
      </c>
      <c r="BG41" s="15" t="e">
        <f t="shared" ca="1" si="12"/>
        <v>#REF!</v>
      </c>
      <c r="BH41" s="15" t="str">
        <f t="array" aca="1" ref="BH41" ca="1">IF(IFERROR( S41,1),1,IF(BC41="","", SUM(IF(ISERROR(INDIRECT(BC41)),1,0))))</f>
        <v/>
      </c>
      <c r="BI41" s="15" t="b">
        <f t="shared" ref="BI41:BI68" si="108">G41="r"</f>
        <v>0</v>
      </c>
      <c r="BJ41" s="15" t="b">
        <f t="shared" ref="BJ41:BJ68" si="109">G41="W"</f>
        <v>1</v>
      </c>
      <c r="BK41" s="15" t="e">
        <f t="shared" ca="1" si="13"/>
        <v>#REF!</v>
      </c>
      <c r="BL41" s="15" t="e">
        <f t="shared" ca="1" si="14"/>
        <v>#REF!</v>
      </c>
      <c r="BP41" s="15" t="b">
        <f t="shared" si="30"/>
        <v>1</v>
      </c>
      <c r="BQ41" s="15" t="e">
        <f t="shared" ca="1" si="31"/>
        <v>#REF!</v>
      </c>
      <c r="BR41" s="15" t="e">
        <f t="shared" ca="1" si="15"/>
        <v>#REF!</v>
      </c>
      <c r="BS41" s="15" t="e">
        <f t="shared" ca="1" si="32"/>
        <v>#REF!</v>
      </c>
      <c r="BT41" s="15" t="e">
        <f t="shared" ca="1" si="16"/>
        <v>#REF!</v>
      </c>
      <c r="BV41" s="15" t="b">
        <f t="shared" ca="1" si="33"/>
        <v>0</v>
      </c>
      <c r="BW41" s="15" t="b">
        <f t="shared" ca="1" si="34"/>
        <v>0</v>
      </c>
      <c r="BX41" s="15" t="b">
        <f t="shared" ca="1" si="35"/>
        <v>0</v>
      </c>
      <c r="BY41" s="15" t="b">
        <f t="shared" ca="1" si="17"/>
        <v>0</v>
      </c>
      <c r="BZ41" s="15" t="b">
        <f t="shared" ca="1" si="36"/>
        <v>0</v>
      </c>
      <c r="CA41" s="15" t="e">
        <f t="shared" ref="CA41:CA68" ca="1" si="110">AND(AR41,AE41,AD41)</f>
        <v>#REF!</v>
      </c>
      <c r="CB41" s="15" t="b">
        <f t="shared" ref="CB41:CB68" ca="1" si="111">ISERROR(COUNT(INDIRECT(J41)))</f>
        <v>0</v>
      </c>
      <c r="CC41" s="15" t="e">
        <f t="shared" ref="CC41:CD70" ca="1" si="112">AND(AD41,AQ41=2,Q41&lt;&gt;"")</f>
        <v>#REF!</v>
      </c>
      <c r="CD41" s="15" t="e">
        <f t="shared" ca="1" si="112"/>
        <v>#REF!</v>
      </c>
      <c r="CE41" s="15" t="e">
        <f t="shared" ca="1" si="37"/>
        <v>#REF!</v>
      </c>
      <c r="CF41" s="15" t="e">
        <f t="shared" ref="CF41:CF68" ca="1" si="113">AND($AD41,$AQ41=2,COUNTA( S41)=1)</f>
        <v>#REF!</v>
      </c>
      <c r="CG41" s="15" t="e">
        <f t="shared" ref="CG41:CG68" ca="1" si="114">AND(AND(AQ41&lt;&gt;1,AQ41&lt;&gt;3),G41&lt;&gt;"")</f>
        <v>#REF!</v>
      </c>
      <c r="CH41" s="15" t="e">
        <f t="shared" ca="1" si="18"/>
        <v>#REF!</v>
      </c>
      <c r="CI41" s="15" t="b">
        <f t="shared" si="38"/>
        <v>0</v>
      </c>
      <c r="CJ41" s="15" t="b">
        <f t="shared" si="39"/>
        <v>0</v>
      </c>
      <c r="CK41" s="15" t="b">
        <f t="shared" ca="1" si="64"/>
        <v>0</v>
      </c>
      <c r="CL41" s="15" t="b">
        <f t="shared" ca="1" si="64"/>
        <v>0</v>
      </c>
      <c r="CM41" s="15" t="b">
        <f t="shared" ca="1" si="64"/>
        <v>0</v>
      </c>
      <c r="CN41" s="15" t="b">
        <f t="shared" ca="1" si="64"/>
        <v>0</v>
      </c>
      <c r="CO41" s="15" t="b">
        <f t="shared" ca="1" si="64"/>
        <v>0</v>
      </c>
      <c r="CP41" s="15" t="b">
        <f t="shared" ca="1" si="64"/>
        <v>0</v>
      </c>
      <c r="CQ41" s="15" t="b">
        <f t="shared" ca="1" si="64"/>
        <v>0</v>
      </c>
      <c r="CR41" s="21" t="b">
        <f t="shared" ca="1" si="64"/>
        <v>0</v>
      </c>
      <c r="CS41" s="22" t="b">
        <f t="shared" ca="1" si="82"/>
        <v>0</v>
      </c>
      <c r="CT41" s="22" t="b">
        <f t="shared" ca="1" si="82"/>
        <v>0</v>
      </c>
      <c r="CU41" s="22" t="b">
        <f t="shared" ca="1" si="82"/>
        <v>0</v>
      </c>
      <c r="CV41" s="22" t="b">
        <f t="shared" ca="1" si="82"/>
        <v>0</v>
      </c>
      <c r="CW41" s="22" t="b">
        <f t="shared" ca="1" si="82"/>
        <v>0</v>
      </c>
      <c r="CX41" s="22" t="b">
        <f t="shared" ca="1" si="82"/>
        <v>0</v>
      </c>
      <c r="CY41" s="22" t="b">
        <f t="shared" ca="1" si="82"/>
        <v>0</v>
      </c>
      <c r="CZ41" s="21" t="b">
        <f t="shared" ca="1" si="82"/>
        <v>0</v>
      </c>
      <c r="DB41" s="22" t="b">
        <f t="shared" ca="1" si="40"/>
        <v>0</v>
      </c>
      <c r="DC41" s="22" t="b">
        <f t="shared" ca="1" si="21"/>
        <v>0</v>
      </c>
      <c r="DD41" s="22" t="b">
        <f t="shared" ca="1" si="83"/>
        <v>0</v>
      </c>
      <c r="DE41" s="22" t="b">
        <f t="shared" ca="1" si="84"/>
        <v>0</v>
      </c>
      <c r="DF41" s="22" t="b">
        <f t="shared" ca="1" si="85"/>
        <v>0</v>
      </c>
      <c r="DG41" s="22" t="b">
        <f t="shared" ca="1" si="86"/>
        <v>0</v>
      </c>
      <c r="DH41" s="22" t="b">
        <f t="shared" ca="1" si="87"/>
        <v>0</v>
      </c>
      <c r="DI41" s="22" t="b">
        <f t="shared" ca="1" si="88"/>
        <v>0</v>
      </c>
      <c r="DJ41" s="22" t="b">
        <f t="shared" ca="1" si="89"/>
        <v>0</v>
      </c>
      <c r="DK41" s="22"/>
      <c r="DO41" s="15" t="str">
        <f t="shared" ca="1" si="90"/>
        <v/>
      </c>
      <c r="DP41" s="15" t="str">
        <f t="shared" ca="1" si="90"/>
        <v/>
      </c>
      <c r="DQ41" s="15" t="str">
        <f t="shared" ca="1" si="90"/>
        <v/>
      </c>
      <c r="DR41" s="15" t="str">
        <f t="shared" ca="1" si="90"/>
        <v/>
      </c>
      <c r="DS41" s="15" t="str">
        <f t="shared" ca="1" si="90"/>
        <v/>
      </c>
      <c r="DT41" s="15" t="str">
        <f t="shared" ca="1" si="90"/>
        <v/>
      </c>
      <c r="DU41" s="15" t="str">
        <f t="shared" ca="1" si="90"/>
        <v/>
      </c>
      <c r="DV41" s="15" t="str">
        <f t="shared" ca="1" si="90"/>
        <v/>
      </c>
    </row>
    <row r="42" spans="1:126">
      <c r="A42" s="15">
        <f t="shared" si="24"/>
        <v>30</v>
      </c>
      <c r="B42" s="15" t="str">
        <f t="shared" ca="1" si="68"/>
        <v>ok.</v>
      </c>
      <c r="C42" s="15" t="s">
        <v>103</v>
      </c>
      <c r="D42" s="15" t="str">
        <f t="shared" si="25"/>
        <v>Ster PodkatalogAnalizy</v>
      </c>
      <c r="F42" s="15" t="s">
        <v>195</v>
      </c>
      <c r="G42" s="15" t="s">
        <v>121</v>
      </c>
      <c r="J42" s="19" t="str">
        <f ca="1">CELL(_CELL_ADDRESS_NAME,ster!C5)</f>
        <v>'[dane surowe2d.xlsm]ster'!$C$5</v>
      </c>
      <c r="M42" s="19"/>
      <c r="T42" s="15" t="str">
        <f t="shared" ca="1" si="69"/>
        <v>'[dane surowe2d.xlsm]ster'!$C$5</v>
      </c>
      <c r="U42" s="15">
        <f t="shared" ca="1" si="70"/>
        <v>0</v>
      </c>
      <c r="AD42" s="16" t="b">
        <f t="shared" si="91"/>
        <v>1</v>
      </c>
      <c r="AE42" s="16" t="b">
        <f t="shared" si="92"/>
        <v>0</v>
      </c>
      <c r="AF42" s="15" t="str">
        <f t="shared" si="66"/>
        <v/>
      </c>
      <c r="AG42" s="15" t="str">
        <f t="shared" ca="1" si="4"/>
        <v/>
      </c>
      <c r="AH42" s="15" t="str">
        <f t="shared" ca="1" si="5"/>
        <v/>
      </c>
      <c r="AI42" s="15" t="b">
        <f t="shared" ca="1" si="6"/>
        <v>0</v>
      </c>
      <c r="AJ42" s="15" t="str">
        <f t="shared" ca="1" si="26"/>
        <v/>
      </c>
      <c r="AK42" s="27" t="str">
        <f t="shared" ca="1" si="93"/>
        <v/>
      </c>
      <c r="AL42" s="15" t="b">
        <f t="shared" ca="1" si="7"/>
        <v>0</v>
      </c>
      <c r="AM42" s="15" t="str">
        <f t="shared" ca="1" si="94"/>
        <v/>
      </c>
      <c r="AN42" s="15">
        <f t="shared" ca="1" si="95"/>
        <v>3</v>
      </c>
      <c r="AO42" s="15" t="str">
        <f t="shared" ca="1" si="27"/>
        <v/>
      </c>
      <c r="AP42" s="15" t="str">
        <f t="shared" ca="1" si="96"/>
        <v/>
      </c>
      <c r="AQ42" s="27">
        <f t="shared" ca="1" si="97"/>
        <v>1</v>
      </c>
      <c r="AR42" s="15" t="b">
        <f t="shared" ca="1" si="98"/>
        <v>1</v>
      </c>
      <c r="AS42" s="27" t="b">
        <f t="shared" ca="1" si="99"/>
        <v>1</v>
      </c>
      <c r="AT42" s="27" t="b">
        <f t="shared" ca="1" si="100"/>
        <v>1</v>
      </c>
      <c r="AU42" s="27">
        <f t="shared" ca="1" si="101"/>
        <v>21</v>
      </c>
      <c r="AV42" s="16" t="e">
        <f t="shared" ca="1" si="102"/>
        <v>#REF!</v>
      </c>
      <c r="AW42" s="15" t="str">
        <f t="shared" ca="1" si="9"/>
        <v>'[dane surowe2d.xlsm]ster'!$C$5</v>
      </c>
      <c r="AX42" s="27" t="b">
        <f t="shared" ca="1" si="103"/>
        <v>0</v>
      </c>
      <c r="AY42" s="27" t="b">
        <f t="shared" ca="1" si="104"/>
        <v>0</v>
      </c>
      <c r="AZ42" s="15">
        <f t="shared" ca="1" si="105"/>
        <v>1</v>
      </c>
      <c r="BA42" s="15">
        <f t="shared" ca="1" si="28"/>
        <v>1</v>
      </c>
      <c r="BB42" s="15" t="str">
        <f t="shared" ca="1" si="106"/>
        <v>'[dane surowe2d.xlsm]ster'!$C$5</v>
      </c>
      <c r="BC42" s="15" t="str">
        <f t="shared" ca="1" si="29"/>
        <v>'[dane surowe2d.xlsm]ster'!$C$5</v>
      </c>
      <c r="BD42" s="15" t="b">
        <f t="shared" ca="1" si="107"/>
        <v>0</v>
      </c>
      <c r="BE42" s="15" t="b">
        <f t="shared" ca="1" si="10"/>
        <v>0</v>
      </c>
      <c r="BF42" s="15" t="str">
        <f t="shared" ca="1" si="11"/>
        <v/>
      </c>
      <c r="BG42" s="15" t="str">
        <f t="shared" ca="1" si="12"/>
        <v/>
      </c>
      <c r="BH42" s="15">
        <f t="array" aca="1" ref="BH42" ca="1">IF(IFERROR( S42,1),1,IF(BC42="","", SUM(IF(ISERROR(INDIRECT(BC42)),1,0))))</f>
        <v>0</v>
      </c>
      <c r="BI42" s="15" t="b">
        <f t="shared" si="108"/>
        <v>0</v>
      </c>
      <c r="BJ42" s="15" t="b">
        <f t="shared" si="109"/>
        <v>1</v>
      </c>
      <c r="BK42" s="15">
        <f t="shared" ca="1" si="13"/>
        <v>2</v>
      </c>
      <c r="BL42" s="15">
        <f t="shared" ca="1" si="14"/>
        <v>2</v>
      </c>
      <c r="BP42" s="15" t="b">
        <f t="shared" si="30"/>
        <v>1</v>
      </c>
      <c r="BQ42" s="15" t="b">
        <f t="shared" ca="1" si="31"/>
        <v>0</v>
      </c>
      <c r="BR42" s="15" t="str">
        <f t="shared" ca="1" si="15"/>
        <v/>
      </c>
      <c r="BS42" s="15">
        <f t="shared" ca="1" si="32"/>
        <v>0</v>
      </c>
      <c r="BT42" s="15" t="str">
        <f t="shared" ca="1" si="16"/>
        <v/>
      </c>
      <c r="BV42" s="15" t="b">
        <f t="shared" ca="1" si="33"/>
        <v>0</v>
      </c>
      <c r="BW42" s="15" t="b">
        <f t="shared" ca="1" si="34"/>
        <v>0</v>
      </c>
      <c r="BX42" s="15" t="b">
        <f t="shared" ca="1" si="35"/>
        <v>0</v>
      </c>
      <c r="BY42" s="15" t="b">
        <f t="shared" ca="1" si="17"/>
        <v>0</v>
      </c>
      <c r="BZ42" s="15" t="b">
        <f t="shared" ca="1" si="36"/>
        <v>0</v>
      </c>
      <c r="CA42" s="15" t="b">
        <f t="shared" ca="1" si="110"/>
        <v>0</v>
      </c>
      <c r="CB42" s="15" t="b">
        <f t="shared" ca="1" si="111"/>
        <v>0</v>
      </c>
      <c r="CC42" s="15" t="b">
        <f t="shared" ca="1" si="112"/>
        <v>0</v>
      </c>
      <c r="CD42" s="15" t="b">
        <f t="shared" ca="1" si="112"/>
        <v>0</v>
      </c>
      <c r="CE42" s="15" t="b">
        <f t="shared" ca="1" si="37"/>
        <v>0</v>
      </c>
      <c r="CF42" s="15" t="b">
        <f t="shared" ca="1" si="113"/>
        <v>0</v>
      </c>
      <c r="CG42" s="15" t="b">
        <f t="shared" ca="1" si="114"/>
        <v>0</v>
      </c>
      <c r="CH42" s="15" t="b">
        <f t="shared" ca="1" si="18"/>
        <v>0</v>
      </c>
      <c r="CI42" s="15" t="b">
        <f t="shared" si="38"/>
        <v>0</v>
      </c>
      <c r="CJ42" s="15" t="b">
        <f t="shared" si="39"/>
        <v>0</v>
      </c>
      <c r="CK42" s="15" t="b">
        <f t="shared" ca="1" si="64"/>
        <v>0</v>
      </c>
      <c r="CL42" s="15" t="b">
        <f t="shared" ca="1" si="64"/>
        <v>0</v>
      </c>
      <c r="CM42" s="15" t="b">
        <f t="shared" ca="1" si="64"/>
        <v>0</v>
      </c>
      <c r="CN42" s="15" t="b">
        <f t="shared" ca="1" si="64"/>
        <v>0</v>
      </c>
      <c r="CO42" s="15" t="b">
        <f t="shared" ca="1" si="64"/>
        <v>0</v>
      </c>
      <c r="CP42" s="15" t="b">
        <f t="shared" ca="1" si="64"/>
        <v>0</v>
      </c>
      <c r="CQ42" s="15" t="b">
        <f t="shared" ca="1" si="64"/>
        <v>0</v>
      </c>
      <c r="CR42" s="21" t="b">
        <f t="shared" ca="1" si="64"/>
        <v>0</v>
      </c>
      <c r="CS42" s="22" t="b">
        <f t="shared" ca="1" si="82"/>
        <v>0</v>
      </c>
      <c r="CT42" s="22" t="b">
        <f t="shared" ca="1" si="82"/>
        <v>0</v>
      </c>
      <c r="CU42" s="22" t="b">
        <f t="shared" ca="1" si="82"/>
        <v>0</v>
      </c>
      <c r="CV42" s="22" t="b">
        <f t="shared" ca="1" si="82"/>
        <v>0</v>
      </c>
      <c r="CW42" s="22" t="b">
        <f t="shared" ca="1" si="82"/>
        <v>0</v>
      </c>
      <c r="CX42" s="22" t="b">
        <f t="shared" ca="1" si="82"/>
        <v>0</v>
      </c>
      <c r="CY42" s="22" t="b">
        <f t="shared" ca="1" si="82"/>
        <v>0</v>
      </c>
      <c r="CZ42" s="21" t="b">
        <f t="shared" ca="1" si="82"/>
        <v>0</v>
      </c>
      <c r="DB42" s="22" t="b">
        <f t="shared" ca="1" si="40"/>
        <v>0</v>
      </c>
      <c r="DC42" s="22" t="b">
        <f t="shared" ca="1" si="21"/>
        <v>0</v>
      </c>
      <c r="DD42" s="22" t="b">
        <f t="shared" ca="1" si="83"/>
        <v>0</v>
      </c>
      <c r="DE42" s="22" t="b">
        <f t="shared" ca="1" si="84"/>
        <v>0</v>
      </c>
      <c r="DF42" s="22" t="b">
        <f t="shared" ca="1" si="85"/>
        <v>0</v>
      </c>
      <c r="DG42" s="22" t="b">
        <f t="shared" ca="1" si="86"/>
        <v>0</v>
      </c>
      <c r="DH42" s="22" t="b">
        <f t="shared" ca="1" si="87"/>
        <v>0</v>
      </c>
      <c r="DI42" s="22" t="b">
        <f t="shared" ca="1" si="88"/>
        <v>0</v>
      </c>
      <c r="DJ42" s="22" t="b">
        <f t="shared" ca="1" si="89"/>
        <v>0</v>
      </c>
      <c r="DK42" s="22"/>
      <c r="DO42" s="15" t="str">
        <f t="shared" ca="1" si="90"/>
        <v/>
      </c>
      <c r="DP42" s="15" t="str">
        <f t="shared" ca="1" si="90"/>
        <v/>
      </c>
      <c r="DQ42" s="15" t="str">
        <f t="shared" ca="1" si="90"/>
        <v/>
      </c>
      <c r="DR42" s="15" t="str">
        <f t="shared" ca="1" si="90"/>
        <v/>
      </c>
      <c r="DS42" s="15" t="str">
        <f t="shared" ca="1" si="90"/>
        <v/>
      </c>
      <c r="DT42" s="15" t="str">
        <f t="shared" ca="1" si="90"/>
        <v/>
      </c>
      <c r="DU42" s="15" t="str">
        <f t="shared" ca="1" si="90"/>
        <v/>
      </c>
      <c r="DV42" s="15" t="str">
        <f t="shared" ca="1" si="90"/>
        <v/>
      </c>
    </row>
    <row r="43" spans="1:126">
      <c r="A43" s="15">
        <f t="shared" si="24"/>
        <v>31</v>
      </c>
      <c r="B43" s="15" t="str">
        <f t="shared" ca="1" si="68"/>
        <v>ok.</v>
      </c>
      <c r="C43" s="15" t="s">
        <v>104</v>
      </c>
      <c r="D43" s="15" t="str">
        <f t="shared" si="25"/>
        <v>Ster PodkatalogBazyDanych</v>
      </c>
      <c r="F43" s="15" t="s">
        <v>196</v>
      </c>
      <c r="G43" s="15" t="s">
        <v>121</v>
      </c>
      <c r="J43" s="19" t="str">
        <f ca="1">CELL(_CELL_ADDRESS_NAME,ster!$B$5)</f>
        <v>'[dane surowe2d.xlsm]ster'!$B$5</v>
      </c>
      <c r="M43" s="19"/>
      <c r="T43" s="15" t="str">
        <f t="shared" ca="1" si="69"/>
        <v>'[dane surowe2d.xlsm]ster'!$B$5</v>
      </c>
      <c r="U43" s="15">
        <f t="shared" ca="1" si="70"/>
        <v>0</v>
      </c>
      <c r="AD43" s="16" t="b">
        <f t="shared" si="91"/>
        <v>1</v>
      </c>
      <c r="AE43" s="16" t="b">
        <f t="shared" si="92"/>
        <v>0</v>
      </c>
      <c r="AF43" s="15" t="str">
        <f t="shared" si="66"/>
        <v/>
      </c>
      <c r="AG43" s="15" t="str">
        <f t="shared" ca="1" si="4"/>
        <v/>
      </c>
      <c r="AH43" s="15" t="str">
        <f t="shared" ca="1" si="5"/>
        <v/>
      </c>
      <c r="AI43" s="15" t="b">
        <f t="shared" ca="1" si="6"/>
        <v>0</v>
      </c>
      <c r="AJ43" s="15" t="str">
        <f t="shared" ca="1" si="26"/>
        <v/>
      </c>
      <c r="AK43" s="27" t="str">
        <f t="shared" ca="1" si="93"/>
        <v/>
      </c>
      <c r="AL43" s="15" t="b">
        <f t="shared" ca="1" si="7"/>
        <v>0</v>
      </c>
      <c r="AM43" s="15" t="str">
        <f t="shared" ca="1" si="94"/>
        <v/>
      </c>
      <c r="AN43" s="15">
        <f t="shared" ca="1" si="95"/>
        <v>3</v>
      </c>
      <c r="AO43" s="15" t="str">
        <f t="shared" ca="1" si="27"/>
        <v/>
      </c>
      <c r="AP43" s="15" t="str">
        <f t="shared" ca="1" si="96"/>
        <v/>
      </c>
      <c r="AQ43" s="27">
        <f t="shared" ca="1" si="97"/>
        <v>1</v>
      </c>
      <c r="AR43" s="15" t="b">
        <f t="shared" ca="1" si="98"/>
        <v>1</v>
      </c>
      <c r="AS43" s="27" t="b">
        <f t="shared" ca="1" si="99"/>
        <v>1</v>
      </c>
      <c r="AT43" s="27" t="b">
        <f t="shared" ca="1" si="100"/>
        <v>1</v>
      </c>
      <c r="AU43" s="27">
        <f t="shared" ca="1" si="101"/>
        <v>21</v>
      </c>
      <c r="AV43" s="16" t="e">
        <f t="shared" ca="1" si="102"/>
        <v>#REF!</v>
      </c>
      <c r="AW43" s="15" t="str">
        <f t="shared" ca="1" si="9"/>
        <v>'[dane surowe2d.xlsm]ster'!$B$5</v>
      </c>
      <c r="AX43" s="27" t="b">
        <f t="shared" ca="1" si="103"/>
        <v>0</v>
      </c>
      <c r="AY43" s="27" t="b">
        <f t="shared" ca="1" si="104"/>
        <v>0</v>
      </c>
      <c r="AZ43" s="15">
        <f t="shared" ca="1" si="105"/>
        <v>1</v>
      </c>
      <c r="BA43" s="15">
        <f t="shared" ca="1" si="28"/>
        <v>1</v>
      </c>
      <c r="BB43" s="15" t="str">
        <f t="shared" ca="1" si="106"/>
        <v>'[dane surowe2d.xlsm]ster'!$B$5</v>
      </c>
      <c r="BC43" s="15" t="str">
        <f t="shared" ca="1" si="29"/>
        <v>'[dane surowe2d.xlsm]ster'!$B$5</v>
      </c>
      <c r="BD43" s="15" t="b">
        <f t="shared" ca="1" si="107"/>
        <v>0</v>
      </c>
      <c r="BE43" s="15" t="b">
        <f t="shared" ca="1" si="10"/>
        <v>0</v>
      </c>
      <c r="BF43" s="15" t="str">
        <f t="shared" ca="1" si="11"/>
        <v/>
      </c>
      <c r="BG43" s="15" t="str">
        <f t="shared" ca="1" si="12"/>
        <v/>
      </c>
      <c r="BH43" s="15">
        <f t="array" aca="1" ref="BH43" ca="1">IF(IFERROR( S43,1),1,IF(BC43="","", SUM(IF(ISERROR(INDIRECT(BC43)),1,0))))</f>
        <v>0</v>
      </c>
      <c r="BI43" s="15" t="b">
        <f t="shared" si="108"/>
        <v>0</v>
      </c>
      <c r="BJ43" s="15" t="b">
        <f t="shared" si="109"/>
        <v>1</v>
      </c>
      <c r="BK43" s="15">
        <f t="shared" ca="1" si="13"/>
        <v>2</v>
      </c>
      <c r="BL43" s="15">
        <f t="shared" ca="1" si="14"/>
        <v>2</v>
      </c>
      <c r="BP43" s="15" t="b">
        <f t="shared" si="30"/>
        <v>1</v>
      </c>
      <c r="BQ43" s="15" t="b">
        <f t="shared" ca="1" si="31"/>
        <v>0</v>
      </c>
      <c r="BR43" s="15" t="str">
        <f t="shared" ca="1" si="15"/>
        <v/>
      </c>
      <c r="BS43" s="15">
        <f t="shared" ca="1" si="32"/>
        <v>0</v>
      </c>
      <c r="BT43" s="15" t="str">
        <f t="shared" ca="1" si="16"/>
        <v/>
      </c>
      <c r="BV43" s="15" t="b">
        <f t="shared" ca="1" si="33"/>
        <v>0</v>
      </c>
      <c r="BW43" s="15" t="b">
        <f t="shared" ca="1" si="34"/>
        <v>0</v>
      </c>
      <c r="BX43" s="15" t="b">
        <f t="shared" ca="1" si="35"/>
        <v>0</v>
      </c>
      <c r="BY43" s="15" t="b">
        <f t="shared" ca="1" si="17"/>
        <v>0</v>
      </c>
      <c r="BZ43" s="15" t="b">
        <f t="shared" ca="1" si="36"/>
        <v>0</v>
      </c>
      <c r="CA43" s="15" t="b">
        <f t="shared" ca="1" si="110"/>
        <v>0</v>
      </c>
      <c r="CB43" s="15" t="b">
        <f t="shared" ca="1" si="111"/>
        <v>0</v>
      </c>
      <c r="CC43" s="15" t="b">
        <f t="shared" ca="1" si="112"/>
        <v>0</v>
      </c>
      <c r="CD43" s="15" t="b">
        <f t="shared" ca="1" si="112"/>
        <v>0</v>
      </c>
      <c r="CE43" s="15" t="b">
        <f t="shared" ca="1" si="37"/>
        <v>0</v>
      </c>
      <c r="CF43" s="15" t="b">
        <f t="shared" ca="1" si="113"/>
        <v>0</v>
      </c>
      <c r="CG43" s="15" t="b">
        <f t="shared" ca="1" si="114"/>
        <v>0</v>
      </c>
      <c r="CH43" s="15" t="b">
        <f t="shared" ca="1" si="18"/>
        <v>0</v>
      </c>
      <c r="CI43" s="15" t="b">
        <f t="shared" si="38"/>
        <v>0</v>
      </c>
      <c r="CJ43" s="15" t="b">
        <f t="shared" si="39"/>
        <v>0</v>
      </c>
      <c r="CK43" s="15" t="b">
        <f t="shared" ca="1" si="64"/>
        <v>0</v>
      </c>
      <c r="CL43" s="15" t="b">
        <f t="shared" ca="1" si="64"/>
        <v>0</v>
      </c>
      <c r="CM43" s="15" t="b">
        <f t="shared" ca="1" si="64"/>
        <v>0</v>
      </c>
      <c r="CN43" s="15" t="b">
        <f t="shared" ca="1" si="64"/>
        <v>0</v>
      </c>
      <c r="CO43" s="15" t="b">
        <f t="shared" ca="1" si="64"/>
        <v>0</v>
      </c>
      <c r="CP43" s="15" t="b">
        <f t="shared" ca="1" si="64"/>
        <v>0</v>
      </c>
      <c r="CQ43" s="15" t="b">
        <f t="shared" ca="1" si="64"/>
        <v>0</v>
      </c>
      <c r="CR43" s="21" t="b">
        <f t="shared" ca="1" si="64"/>
        <v>0</v>
      </c>
      <c r="CS43" s="22" t="b">
        <f t="shared" ca="1" si="82"/>
        <v>0</v>
      </c>
      <c r="CT43" s="22" t="b">
        <f t="shared" ca="1" si="82"/>
        <v>0</v>
      </c>
      <c r="CU43" s="22" t="b">
        <f t="shared" ca="1" si="82"/>
        <v>0</v>
      </c>
      <c r="CV43" s="22" t="b">
        <f t="shared" ca="1" si="82"/>
        <v>0</v>
      </c>
      <c r="CW43" s="22" t="b">
        <f t="shared" ca="1" si="82"/>
        <v>0</v>
      </c>
      <c r="CX43" s="22" t="b">
        <f t="shared" ca="1" si="82"/>
        <v>0</v>
      </c>
      <c r="CY43" s="22" t="b">
        <f t="shared" ca="1" si="82"/>
        <v>0</v>
      </c>
      <c r="CZ43" s="21" t="b">
        <f t="shared" ca="1" si="82"/>
        <v>0</v>
      </c>
      <c r="DB43" s="22" t="b">
        <f t="shared" ca="1" si="40"/>
        <v>0</v>
      </c>
      <c r="DC43" s="22" t="b">
        <f t="shared" ca="1" si="21"/>
        <v>0</v>
      </c>
      <c r="DD43" s="22" t="b">
        <f t="shared" ca="1" si="83"/>
        <v>0</v>
      </c>
      <c r="DE43" s="22" t="b">
        <f t="shared" ca="1" si="84"/>
        <v>0</v>
      </c>
      <c r="DF43" s="22" t="b">
        <f t="shared" ca="1" si="85"/>
        <v>0</v>
      </c>
      <c r="DG43" s="22" t="b">
        <f t="shared" ca="1" si="86"/>
        <v>0</v>
      </c>
      <c r="DH43" s="22" t="b">
        <f t="shared" ca="1" si="87"/>
        <v>0</v>
      </c>
      <c r="DI43" s="22" t="b">
        <f t="shared" ca="1" si="88"/>
        <v>0</v>
      </c>
      <c r="DJ43" s="22" t="b">
        <f t="shared" ca="1" si="89"/>
        <v>0</v>
      </c>
      <c r="DK43" s="22"/>
      <c r="DO43" s="15" t="str">
        <f t="shared" ca="1" si="90"/>
        <v/>
      </c>
      <c r="DP43" s="15" t="str">
        <f t="shared" ca="1" si="90"/>
        <v/>
      </c>
      <c r="DQ43" s="15" t="str">
        <f t="shared" ca="1" si="90"/>
        <v/>
      </c>
      <c r="DR43" s="15" t="str">
        <f t="shared" ca="1" si="90"/>
        <v/>
      </c>
      <c r="DS43" s="15" t="str">
        <f t="shared" ca="1" si="90"/>
        <v/>
      </c>
      <c r="DT43" s="15" t="str">
        <f t="shared" ca="1" si="90"/>
        <v/>
      </c>
      <c r="DU43" s="15" t="str">
        <f t="shared" ca="1" si="90"/>
        <v/>
      </c>
      <c r="DV43" s="15" t="str">
        <f t="shared" ca="1" si="90"/>
        <v/>
      </c>
    </row>
    <row r="44" spans="1:126">
      <c r="A44" s="15">
        <f t="shared" si="24"/>
        <v>32</v>
      </c>
      <c r="B44" s="15" t="str">
        <f t="shared" ca="1" si="68"/>
        <v>ok.</v>
      </c>
      <c r="C44" s="15" t="s">
        <v>105</v>
      </c>
      <c r="D44" s="15" t="str">
        <f t="shared" si="25"/>
        <v>Ster BazaDanychSPSSFileName</v>
      </c>
      <c r="F44" s="15" t="s">
        <v>197</v>
      </c>
      <c r="G44" s="15" t="s">
        <v>121</v>
      </c>
      <c r="J44" s="19" t="str">
        <f ca="1">CELL(_CELL_ADDRESS_NAME,ster!$O$22)</f>
        <v>'[dane surowe2d.xlsm]ster'!$O$22</v>
      </c>
      <c r="M44" s="19"/>
      <c r="T44" s="15" t="str">
        <f t="shared" ca="1" si="69"/>
        <v>'[dane surowe2d.xlsm]ster'!$O$22</v>
      </c>
      <c r="U44" s="15">
        <f t="shared" ca="1" si="70"/>
        <v>0</v>
      </c>
      <c r="AD44" s="16" t="b">
        <f t="shared" si="91"/>
        <v>1</v>
      </c>
      <c r="AE44" s="16" t="b">
        <f t="shared" si="92"/>
        <v>0</v>
      </c>
      <c r="AF44" s="15" t="str">
        <f t="shared" si="66"/>
        <v/>
      </c>
      <c r="AG44" s="15" t="str">
        <f t="shared" ca="1" si="4"/>
        <v/>
      </c>
      <c r="AH44" s="15" t="str">
        <f t="shared" ca="1" si="5"/>
        <v/>
      </c>
      <c r="AI44" s="15" t="b">
        <f t="shared" ca="1" si="6"/>
        <v>0</v>
      </c>
      <c r="AJ44" s="15" t="str">
        <f t="shared" ca="1" si="26"/>
        <v/>
      </c>
      <c r="AK44" s="27" t="str">
        <f t="shared" ca="1" si="93"/>
        <v/>
      </c>
      <c r="AL44" s="15" t="b">
        <f t="shared" ca="1" si="7"/>
        <v>0</v>
      </c>
      <c r="AM44" s="15" t="str">
        <f t="shared" ca="1" si="94"/>
        <v/>
      </c>
      <c r="AN44" s="15">
        <f t="shared" ca="1" si="95"/>
        <v>3</v>
      </c>
      <c r="AO44" s="15" t="str">
        <f t="shared" ca="1" si="27"/>
        <v/>
      </c>
      <c r="AP44" s="15" t="str">
        <f t="shared" ca="1" si="96"/>
        <v/>
      </c>
      <c r="AQ44" s="27">
        <f t="shared" ca="1" si="97"/>
        <v>1</v>
      </c>
      <c r="AR44" s="15" t="b">
        <f t="shared" ca="1" si="98"/>
        <v>1</v>
      </c>
      <c r="AS44" s="27" t="b">
        <f t="shared" ca="1" si="99"/>
        <v>1</v>
      </c>
      <c r="AT44" s="27" t="b">
        <f t="shared" ca="1" si="100"/>
        <v>1</v>
      </c>
      <c r="AU44" s="27">
        <f t="shared" ca="1" si="101"/>
        <v>21</v>
      </c>
      <c r="AV44" s="16" t="e">
        <f t="shared" ca="1" si="102"/>
        <v>#REF!</v>
      </c>
      <c r="AW44" s="15" t="str">
        <f t="shared" ca="1" si="9"/>
        <v>'[dane surowe2d.xlsm]ster'!$O$22</v>
      </c>
      <c r="AX44" s="27" t="b">
        <f t="shared" ca="1" si="103"/>
        <v>0</v>
      </c>
      <c r="AY44" s="27" t="b">
        <f t="shared" ca="1" si="104"/>
        <v>0</v>
      </c>
      <c r="AZ44" s="15">
        <f t="shared" ca="1" si="105"/>
        <v>1</v>
      </c>
      <c r="BA44" s="15">
        <f t="shared" ca="1" si="28"/>
        <v>1</v>
      </c>
      <c r="BB44" s="15" t="str">
        <f t="shared" ca="1" si="106"/>
        <v>'[dane surowe2d.xlsm]ster'!$O$22</v>
      </c>
      <c r="BC44" s="15" t="str">
        <f t="shared" ca="1" si="29"/>
        <v>'[dane surowe2d.xlsm]ster'!$O$22</v>
      </c>
      <c r="BD44" s="15" t="b">
        <f t="shared" ca="1" si="107"/>
        <v>0</v>
      </c>
      <c r="BE44" s="15" t="b">
        <f t="shared" ca="1" si="10"/>
        <v>0</v>
      </c>
      <c r="BF44" s="15" t="str">
        <f t="shared" ca="1" si="11"/>
        <v/>
      </c>
      <c r="BG44" s="15" t="str">
        <f t="shared" ca="1" si="12"/>
        <v/>
      </c>
      <c r="BH44" s="15">
        <f t="array" aca="1" ref="BH44" ca="1">IF(IFERROR( S44,1),1,IF(BC44="","", SUM(IF(ISERROR(INDIRECT(BC44)),1,0))))</f>
        <v>0</v>
      </c>
      <c r="BI44" s="15" t="b">
        <f t="shared" si="108"/>
        <v>0</v>
      </c>
      <c r="BJ44" s="15" t="b">
        <f t="shared" si="109"/>
        <v>1</v>
      </c>
      <c r="BK44" s="15">
        <f t="shared" ca="1" si="13"/>
        <v>2</v>
      </c>
      <c r="BL44" s="15">
        <f t="shared" ca="1" si="14"/>
        <v>2</v>
      </c>
      <c r="BP44" s="15" t="b">
        <f t="shared" si="30"/>
        <v>1</v>
      </c>
      <c r="BQ44" s="15" t="b">
        <f t="shared" ca="1" si="31"/>
        <v>0</v>
      </c>
      <c r="BR44" s="15" t="str">
        <f t="shared" ca="1" si="15"/>
        <v/>
      </c>
      <c r="BS44" s="15">
        <f t="shared" ca="1" si="32"/>
        <v>0</v>
      </c>
      <c r="BT44" s="15" t="str">
        <f t="shared" ca="1" si="16"/>
        <v/>
      </c>
      <c r="BV44" s="15" t="b">
        <f t="shared" ca="1" si="33"/>
        <v>0</v>
      </c>
      <c r="BW44" s="15" t="b">
        <f t="shared" ca="1" si="34"/>
        <v>0</v>
      </c>
      <c r="BX44" s="15" t="b">
        <f t="shared" ca="1" si="35"/>
        <v>0</v>
      </c>
      <c r="BY44" s="15" t="b">
        <f t="shared" ca="1" si="17"/>
        <v>0</v>
      </c>
      <c r="BZ44" s="15" t="b">
        <f t="shared" ca="1" si="36"/>
        <v>0</v>
      </c>
      <c r="CA44" s="15" t="b">
        <f t="shared" ca="1" si="110"/>
        <v>0</v>
      </c>
      <c r="CB44" s="15" t="b">
        <f t="shared" ca="1" si="111"/>
        <v>0</v>
      </c>
      <c r="CC44" s="15" t="b">
        <f t="shared" ca="1" si="112"/>
        <v>0</v>
      </c>
      <c r="CD44" s="15" t="b">
        <f t="shared" ca="1" si="112"/>
        <v>0</v>
      </c>
      <c r="CE44" s="15" t="b">
        <f t="shared" ca="1" si="37"/>
        <v>0</v>
      </c>
      <c r="CF44" s="15" t="b">
        <f t="shared" ca="1" si="113"/>
        <v>0</v>
      </c>
      <c r="CG44" s="15" t="b">
        <f t="shared" ca="1" si="114"/>
        <v>0</v>
      </c>
      <c r="CH44" s="15" t="b">
        <f t="shared" ca="1" si="18"/>
        <v>0</v>
      </c>
      <c r="CI44" s="15" t="b">
        <f t="shared" si="38"/>
        <v>0</v>
      </c>
      <c r="CJ44" s="15" t="b">
        <f t="shared" si="39"/>
        <v>0</v>
      </c>
      <c r="CK44" s="15" t="b">
        <f t="shared" ca="1" si="64"/>
        <v>0</v>
      </c>
      <c r="CL44" s="15" t="b">
        <f t="shared" ca="1" si="64"/>
        <v>0</v>
      </c>
      <c r="CM44" s="15" t="b">
        <f t="shared" ca="1" si="64"/>
        <v>0</v>
      </c>
      <c r="CN44" s="15" t="b">
        <f t="shared" ca="1" si="64"/>
        <v>0</v>
      </c>
      <c r="CO44" s="15" t="b">
        <f t="shared" ca="1" si="64"/>
        <v>0</v>
      </c>
      <c r="CP44" s="15" t="b">
        <f t="shared" ca="1" si="64"/>
        <v>0</v>
      </c>
      <c r="CQ44" s="15" t="b">
        <f t="shared" ca="1" si="64"/>
        <v>0</v>
      </c>
      <c r="CR44" s="21" t="b">
        <f t="shared" ca="1" si="64"/>
        <v>0</v>
      </c>
      <c r="CS44" s="22" t="b">
        <f t="shared" ca="1" si="82"/>
        <v>0</v>
      </c>
      <c r="CT44" s="22" t="b">
        <f t="shared" ca="1" si="82"/>
        <v>0</v>
      </c>
      <c r="CU44" s="22" t="b">
        <f t="shared" ca="1" si="82"/>
        <v>0</v>
      </c>
      <c r="CV44" s="22" t="b">
        <f t="shared" ca="1" si="82"/>
        <v>0</v>
      </c>
      <c r="CW44" s="22" t="b">
        <f t="shared" ca="1" si="82"/>
        <v>0</v>
      </c>
      <c r="CX44" s="22" t="b">
        <f t="shared" ca="1" si="82"/>
        <v>0</v>
      </c>
      <c r="CY44" s="22" t="b">
        <f t="shared" ca="1" si="82"/>
        <v>0</v>
      </c>
      <c r="CZ44" s="21" t="b">
        <f t="shared" ca="1" si="82"/>
        <v>0</v>
      </c>
      <c r="DB44" s="22" t="b">
        <f t="shared" ca="1" si="40"/>
        <v>0</v>
      </c>
      <c r="DC44" s="22" t="b">
        <f t="shared" ca="1" si="21"/>
        <v>0</v>
      </c>
      <c r="DD44" s="22" t="b">
        <f t="shared" ca="1" si="83"/>
        <v>0</v>
      </c>
      <c r="DE44" s="22" t="b">
        <f t="shared" ca="1" si="84"/>
        <v>0</v>
      </c>
      <c r="DF44" s="22" t="b">
        <f t="shared" ca="1" si="85"/>
        <v>0</v>
      </c>
      <c r="DG44" s="22" t="b">
        <f t="shared" ca="1" si="86"/>
        <v>0</v>
      </c>
      <c r="DH44" s="22" t="b">
        <f t="shared" ca="1" si="87"/>
        <v>0</v>
      </c>
      <c r="DI44" s="22" t="b">
        <f t="shared" ca="1" si="88"/>
        <v>0</v>
      </c>
      <c r="DJ44" s="22" t="b">
        <f t="shared" ca="1" si="89"/>
        <v>0</v>
      </c>
      <c r="DK44" s="22"/>
      <c r="DO44" s="15" t="str">
        <f t="shared" ca="1" si="90"/>
        <v/>
      </c>
      <c r="DP44" s="15" t="str">
        <f t="shared" ca="1" si="90"/>
        <v/>
      </c>
      <c r="DQ44" s="15" t="str">
        <f t="shared" ca="1" si="90"/>
        <v/>
      </c>
      <c r="DR44" s="15" t="str">
        <f t="shared" ca="1" si="90"/>
        <v/>
      </c>
      <c r="DS44" s="15" t="str">
        <f t="shared" ca="1" si="90"/>
        <v/>
      </c>
      <c r="DT44" s="15" t="str">
        <f t="shared" ca="1" si="90"/>
        <v/>
      </c>
      <c r="DU44" s="15" t="str">
        <f t="shared" ca="1" si="90"/>
        <v/>
      </c>
      <c r="DV44" s="15" t="str">
        <f t="shared" ca="1" si="90"/>
        <v/>
      </c>
    </row>
    <row r="45" spans="1:126">
      <c r="A45" s="15">
        <f t="shared" si="24"/>
        <v>33</v>
      </c>
      <c r="B45" s="15" t="str">
        <f t="shared" ca="1" si="68"/>
        <v>ok.</v>
      </c>
      <c r="C45" s="15" t="s">
        <v>106</v>
      </c>
      <c r="D45" s="15" t="str">
        <f t="shared" si="25"/>
        <v>Ster BazaDanychRFileName</v>
      </c>
      <c r="F45" s="15" t="s">
        <v>198</v>
      </c>
      <c r="G45" s="15" t="s">
        <v>121</v>
      </c>
      <c r="J45" s="19" t="str">
        <f ca="1">CELL(_CELL_ADDRESS_NAME,ster!$O$24)</f>
        <v>'[dane surowe2d.xlsm]ster'!$O$24</v>
      </c>
      <c r="M45" s="19"/>
      <c r="T45" s="15" t="str">
        <f t="shared" ca="1" si="69"/>
        <v>'[dane surowe2d.xlsm]ster'!$O$24</v>
      </c>
      <c r="U45" s="15">
        <f t="shared" ca="1" si="70"/>
        <v>0</v>
      </c>
      <c r="AD45" s="16" t="b">
        <f t="shared" si="91"/>
        <v>1</v>
      </c>
      <c r="AE45" s="16" t="b">
        <f t="shared" si="92"/>
        <v>0</v>
      </c>
      <c r="AF45" s="15" t="str">
        <f t="shared" si="66"/>
        <v/>
      </c>
      <c r="AG45" s="15" t="str">
        <f t="shared" ca="1" si="4"/>
        <v/>
      </c>
      <c r="AH45" s="15" t="str">
        <f t="shared" ca="1" si="5"/>
        <v/>
      </c>
      <c r="AI45" s="15" t="b">
        <f t="shared" ca="1" si="6"/>
        <v>0</v>
      </c>
      <c r="AJ45" s="15" t="str">
        <f t="shared" ca="1" si="26"/>
        <v/>
      </c>
      <c r="AK45" s="27" t="str">
        <f t="shared" ca="1" si="93"/>
        <v/>
      </c>
      <c r="AL45" s="15" t="b">
        <f t="shared" ca="1" si="7"/>
        <v>0</v>
      </c>
      <c r="AM45" s="15" t="str">
        <f t="shared" ca="1" si="94"/>
        <v/>
      </c>
      <c r="AN45" s="15">
        <f t="shared" ca="1" si="95"/>
        <v>3</v>
      </c>
      <c r="AO45" s="15" t="str">
        <f t="shared" ca="1" si="27"/>
        <v/>
      </c>
      <c r="AP45" s="15" t="str">
        <f t="shared" ca="1" si="96"/>
        <v/>
      </c>
      <c r="AQ45" s="27">
        <f t="shared" ca="1" si="97"/>
        <v>1</v>
      </c>
      <c r="AR45" s="15" t="b">
        <f t="shared" ca="1" si="98"/>
        <v>1</v>
      </c>
      <c r="AS45" s="27" t="b">
        <f t="shared" ca="1" si="99"/>
        <v>1</v>
      </c>
      <c r="AT45" s="27" t="b">
        <f t="shared" ca="1" si="100"/>
        <v>1</v>
      </c>
      <c r="AU45" s="27">
        <f t="shared" ca="1" si="101"/>
        <v>21</v>
      </c>
      <c r="AV45" s="16" t="e">
        <f t="shared" ca="1" si="102"/>
        <v>#REF!</v>
      </c>
      <c r="AW45" s="15" t="str">
        <f t="shared" ref="AW45:AW76" ca="1" si="115">IF(AR45,CELL(_CELL_ADDRESS_NAME,INDIRECT(J45)),"")</f>
        <v>'[dane surowe2d.xlsm]ster'!$O$24</v>
      </c>
      <c r="AX45" s="27" t="b">
        <f t="shared" ca="1" si="103"/>
        <v>0</v>
      </c>
      <c r="AY45" s="27" t="b">
        <f t="shared" ca="1" si="104"/>
        <v>0</v>
      </c>
      <c r="AZ45" s="15">
        <f t="shared" ca="1" si="105"/>
        <v>1</v>
      </c>
      <c r="BA45" s="15">
        <f t="shared" ca="1" si="28"/>
        <v>1</v>
      </c>
      <c r="BB45" s="15" t="str">
        <f t="shared" ca="1" si="106"/>
        <v>'[dane surowe2d.xlsm]ster'!$O$24</v>
      </c>
      <c r="BC45" s="15" t="str">
        <f t="shared" ca="1" si="29"/>
        <v>'[dane surowe2d.xlsm]ster'!$O$24</v>
      </c>
      <c r="BD45" s="15" t="b">
        <f t="shared" ca="1" si="107"/>
        <v>0</v>
      </c>
      <c r="BE45" s="15" t="b">
        <f t="shared" ca="1" si="10"/>
        <v>0</v>
      </c>
      <c r="BF45" s="15" t="str">
        <f t="shared" ca="1" si="11"/>
        <v/>
      </c>
      <c r="BG45" s="15" t="str">
        <f t="shared" ca="1" si="12"/>
        <v/>
      </c>
      <c r="BH45" s="15">
        <f t="array" aca="1" ref="BH45" ca="1">IF(IFERROR( S45,1),1,IF(BC45="","", SUM(IF(ISERROR(INDIRECT(BC45)),1,0))))</f>
        <v>0</v>
      </c>
      <c r="BI45" s="15" t="b">
        <f t="shared" si="108"/>
        <v>0</v>
      </c>
      <c r="BJ45" s="15" t="b">
        <f t="shared" si="109"/>
        <v>1</v>
      </c>
      <c r="BK45" s="15">
        <f t="shared" ca="1" si="13"/>
        <v>2</v>
      </c>
      <c r="BL45" s="15">
        <f t="shared" ca="1" si="14"/>
        <v>2</v>
      </c>
      <c r="BP45" s="15" t="b">
        <f t="shared" si="30"/>
        <v>1</v>
      </c>
      <c r="BQ45" s="15" t="b">
        <f t="shared" ca="1" si="31"/>
        <v>0</v>
      </c>
      <c r="BR45" s="15" t="str">
        <f t="shared" ca="1" si="15"/>
        <v/>
      </c>
      <c r="BS45" s="15">
        <f t="shared" ca="1" si="32"/>
        <v>0</v>
      </c>
      <c r="BT45" s="15" t="str">
        <f t="shared" ca="1" si="16"/>
        <v/>
      </c>
      <c r="BV45" s="15" t="b">
        <f t="shared" ca="1" si="33"/>
        <v>0</v>
      </c>
      <c r="BW45" s="15" t="b">
        <f t="shared" ca="1" si="34"/>
        <v>0</v>
      </c>
      <c r="BX45" s="15" t="b">
        <f t="shared" ca="1" si="35"/>
        <v>0</v>
      </c>
      <c r="BY45" s="15" t="b">
        <f t="shared" ca="1" si="17"/>
        <v>0</v>
      </c>
      <c r="BZ45" s="15" t="b">
        <f t="shared" ca="1" si="36"/>
        <v>0</v>
      </c>
      <c r="CA45" s="15" t="b">
        <f t="shared" ca="1" si="110"/>
        <v>0</v>
      </c>
      <c r="CB45" s="15" t="b">
        <f t="shared" ca="1" si="111"/>
        <v>0</v>
      </c>
      <c r="CC45" s="15" t="b">
        <f t="shared" ca="1" si="112"/>
        <v>0</v>
      </c>
      <c r="CD45" s="15" t="b">
        <f t="shared" ca="1" si="112"/>
        <v>0</v>
      </c>
      <c r="CE45" s="15" t="b">
        <f t="shared" ca="1" si="37"/>
        <v>0</v>
      </c>
      <c r="CF45" s="15" t="b">
        <f t="shared" ca="1" si="113"/>
        <v>0</v>
      </c>
      <c r="CG45" s="15" t="b">
        <f t="shared" ca="1" si="114"/>
        <v>0</v>
      </c>
      <c r="CH45" s="15" t="b">
        <f t="shared" ca="1" si="18"/>
        <v>0</v>
      </c>
      <c r="CI45" s="15" t="b">
        <f t="shared" si="38"/>
        <v>0</v>
      </c>
      <c r="CJ45" s="15" t="b">
        <f t="shared" si="39"/>
        <v>0</v>
      </c>
      <c r="CK45" s="15" t="b">
        <f t="shared" ca="1" si="64"/>
        <v>0</v>
      </c>
      <c r="CL45" s="15" t="b">
        <f t="shared" ca="1" si="64"/>
        <v>0</v>
      </c>
      <c r="CM45" s="15" t="b">
        <f t="shared" ca="1" si="64"/>
        <v>0</v>
      </c>
      <c r="CN45" s="15" t="b">
        <f t="shared" ca="1" si="64"/>
        <v>0</v>
      </c>
      <c r="CO45" s="15" t="b">
        <f t="shared" ca="1" si="64"/>
        <v>0</v>
      </c>
      <c r="CP45" s="15" t="b">
        <f t="shared" ca="1" si="64"/>
        <v>0</v>
      </c>
      <c r="CQ45" s="15" t="b">
        <f t="shared" ca="1" si="64"/>
        <v>0</v>
      </c>
      <c r="CR45" s="21" t="b">
        <f t="shared" ca="1" si="64"/>
        <v>0</v>
      </c>
      <c r="CS45" s="22" t="b">
        <f t="shared" ca="1" si="82"/>
        <v>0</v>
      </c>
      <c r="CT45" s="22" t="b">
        <f t="shared" ca="1" si="82"/>
        <v>0</v>
      </c>
      <c r="CU45" s="22" t="b">
        <f t="shared" ca="1" si="82"/>
        <v>0</v>
      </c>
      <c r="CV45" s="22" t="b">
        <f t="shared" ca="1" si="82"/>
        <v>0</v>
      </c>
      <c r="CW45" s="22" t="b">
        <f t="shared" ca="1" si="82"/>
        <v>0</v>
      </c>
      <c r="CX45" s="22" t="b">
        <f t="shared" ca="1" si="82"/>
        <v>0</v>
      </c>
      <c r="CY45" s="22" t="b">
        <f t="shared" ca="1" si="82"/>
        <v>0</v>
      </c>
      <c r="CZ45" s="21" t="b">
        <f t="shared" ca="1" si="82"/>
        <v>0</v>
      </c>
      <c r="DB45" s="22" t="b">
        <f t="shared" ca="1" si="40"/>
        <v>0</v>
      </c>
      <c r="DC45" s="22" t="b">
        <f t="shared" ca="1" si="21"/>
        <v>0</v>
      </c>
      <c r="DD45" s="22" t="b">
        <f t="shared" ca="1" si="83"/>
        <v>0</v>
      </c>
      <c r="DE45" s="22" t="b">
        <f t="shared" ca="1" si="84"/>
        <v>0</v>
      </c>
      <c r="DF45" s="22" t="b">
        <f t="shared" ca="1" si="85"/>
        <v>0</v>
      </c>
      <c r="DG45" s="22" t="b">
        <f t="shared" ca="1" si="86"/>
        <v>0</v>
      </c>
      <c r="DH45" s="22" t="b">
        <f t="shared" ca="1" si="87"/>
        <v>0</v>
      </c>
      <c r="DI45" s="22" t="b">
        <f t="shared" ca="1" si="88"/>
        <v>0</v>
      </c>
      <c r="DJ45" s="22" t="b">
        <f t="shared" ca="1" si="89"/>
        <v>0</v>
      </c>
      <c r="DK45" s="22"/>
      <c r="DO45" s="15" t="str">
        <f t="shared" ca="1" si="90"/>
        <v/>
      </c>
      <c r="DP45" s="15" t="str">
        <f t="shared" ca="1" si="90"/>
        <v/>
      </c>
      <c r="DQ45" s="15" t="str">
        <f t="shared" ca="1" si="90"/>
        <v/>
      </c>
      <c r="DR45" s="15" t="str">
        <f t="shared" ca="1" si="90"/>
        <v/>
      </c>
      <c r="DS45" s="15" t="str">
        <f t="shared" ca="1" si="90"/>
        <v/>
      </c>
      <c r="DT45" s="15" t="str">
        <f t="shared" ca="1" si="90"/>
        <v/>
      </c>
      <c r="DU45" s="15" t="str">
        <f t="shared" ca="1" si="90"/>
        <v/>
      </c>
      <c r="DV45" s="15" t="str">
        <f t="shared" ca="1" si="90"/>
        <v/>
      </c>
    </row>
    <row r="46" spans="1:126">
      <c r="A46" s="15">
        <f t="shared" si="24"/>
        <v>34</v>
      </c>
      <c r="B46" s="15" t="str">
        <f t="shared" ca="1" si="68"/>
        <v>ok.</v>
      </c>
      <c r="C46" s="15" t="s">
        <v>107</v>
      </c>
      <c r="D46" s="15" t="str">
        <f t="shared" si="25"/>
        <v>Ster WersjaPliku</v>
      </c>
      <c r="F46" s="15" t="s">
        <v>199</v>
      </c>
      <c r="G46" s="15" t="s">
        <v>88</v>
      </c>
      <c r="J46" s="19" t="str">
        <f ca="1">CELL(_CELL_ADDRESS_NAME,wew!$A$3)</f>
        <v>'[dane surowe2d.xlsm]wew'!$A$3</v>
      </c>
      <c r="M46" s="19"/>
      <c r="T46" s="15" t="str">
        <f t="shared" ca="1" si="69"/>
        <v>'[dane surowe2d.xlsm]wew'!$A$3</v>
      </c>
      <c r="U46" s="15">
        <f t="shared" ca="1" si="70"/>
        <v>0</v>
      </c>
      <c r="AD46" s="16" t="b">
        <f t="shared" si="91"/>
        <v>1</v>
      </c>
      <c r="AE46" s="16" t="b">
        <f t="shared" si="92"/>
        <v>0</v>
      </c>
      <c r="AF46" s="15" t="str">
        <f t="shared" si="66"/>
        <v/>
      </c>
      <c r="AG46" s="15" t="str">
        <f t="shared" ca="1" si="4"/>
        <v/>
      </c>
      <c r="AH46" s="15" t="str">
        <f t="shared" ca="1" si="5"/>
        <v/>
      </c>
      <c r="AI46" s="15" t="b">
        <f t="shared" ca="1" si="6"/>
        <v>0</v>
      </c>
      <c r="AJ46" s="15" t="str">
        <f t="shared" ca="1" si="26"/>
        <v/>
      </c>
      <c r="AK46" s="27" t="str">
        <f t="shared" ca="1" si="93"/>
        <v/>
      </c>
      <c r="AL46" s="15" t="b">
        <f t="shared" ca="1" si="7"/>
        <v>0</v>
      </c>
      <c r="AM46" s="15" t="str">
        <f t="shared" ca="1" si="94"/>
        <v/>
      </c>
      <c r="AN46" s="15">
        <f t="shared" ca="1" si="95"/>
        <v>3</v>
      </c>
      <c r="AO46" s="15" t="str">
        <f t="shared" ca="1" si="27"/>
        <v/>
      </c>
      <c r="AP46" s="15" t="str">
        <f t="shared" ca="1" si="96"/>
        <v/>
      </c>
      <c r="AQ46" s="27">
        <f t="shared" ca="1" si="97"/>
        <v>1</v>
      </c>
      <c r="AR46" s="15" t="b">
        <f t="shared" ca="1" si="98"/>
        <v>1</v>
      </c>
      <c r="AS46" s="27" t="b">
        <f t="shared" ca="1" si="99"/>
        <v>1</v>
      </c>
      <c r="AT46" s="27" t="b">
        <f t="shared" ca="1" si="100"/>
        <v>1</v>
      </c>
      <c r="AU46" s="27">
        <f t="shared" ca="1" si="101"/>
        <v>21</v>
      </c>
      <c r="AV46" s="16" t="e">
        <f t="shared" ca="1" si="102"/>
        <v>#REF!</v>
      </c>
      <c r="AW46" s="15" t="str">
        <f t="shared" ca="1" si="115"/>
        <v>'[dane surowe2d.xlsm]wew'!$A$3</v>
      </c>
      <c r="AX46" s="27" t="b">
        <f t="shared" ca="1" si="103"/>
        <v>0</v>
      </c>
      <c r="AY46" s="27" t="b">
        <f t="shared" ca="1" si="104"/>
        <v>0</v>
      </c>
      <c r="AZ46" s="15">
        <f t="shared" ca="1" si="105"/>
        <v>1</v>
      </c>
      <c r="BA46" s="15">
        <f t="shared" ca="1" si="28"/>
        <v>1</v>
      </c>
      <c r="BB46" s="15" t="str">
        <f t="shared" ca="1" si="106"/>
        <v>'[dane surowe2d.xlsm]wew'!$A$3</v>
      </c>
      <c r="BC46" s="15" t="str">
        <f t="shared" ca="1" si="29"/>
        <v>'[dane surowe2d.xlsm]wew'!$A$3</v>
      </c>
      <c r="BD46" s="15" t="b">
        <f t="shared" ca="1" si="107"/>
        <v>0</v>
      </c>
      <c r="BE46" s="15" t="b">
        <f t="shared" ca="1" si="10"/>
        <v>1</v>
      </c>
      <c r="BF46" s="15">
        <f t="shared" ca="1" si="11"/>
        <v>1</v>
      </c>
      <c r="BG46" s="15">
        <f t="shared" ca="1" si="12"/>
        <v>1</v>
      </c>
      <c r="BH46" s="15">
        <f t="array" aca="1" ref="BH46" ca="1">IF(IFERROR( S46,1),1,IF(BC46="","", SUM(IF(ISERROR(INDIRECT(BC46)),1,0))))</f>
        <v>0</v>
      </c>
      <c r="BI46" s="15" t="b">
        <f t="shared" si="108"/>
        <v>1</v>
      </c>
      <c r="BJ46" s="15" t="b">
        <f t="shared" si="109"/>
        <v>0</v>
      </c>
      <c r="BK46" s="15">
        <f t="shared" ca="1" si="13"/>
        <v>1</v>
      </c>
      <c r="BL46" s="15">
        <f t="shared" ca="1" si="14"/>
        <v>1</v>
      </c>
      <c r="BP46" s="15" t="b">
        <f t="shared" si="30"/>
        <v>1</v>
      </c>
      <c r="BQ46" s="15" t="b">
        <f t="shared" ca="1" si="31"/>
        <v>0</v>
      </c>
      <c r="BR46" s="15" t="str">
        <f t="shared" ca="1" si="15"/>
        <v/>
      </c>
      <c r="BS46" s="15">
        <f t="shared" ca="1" si="32"/>
        <v>0</v>
      </c>
      <c r="BT46" s="15" t="str">
        <f t="shared" ca="1" si="16"/>
        <v/>
      </c>
      <c r="BV46" s="15" t="b">
        <f t="shared" ca="1" si="33"/>
        <v>0</v>
      </c>
      <c r="BW46" s="15" t="b">
        <f t="shared" ca="1" si="34"/>
        <v>0</v>
      </c>
      <c r="BX46" s="15" t="b">
        <f t="shared" ca="1" si="35"/>
        <v>0</v>
      </c>
      <c r="BY46" s="15" t="b">
        <f t="shared" ca="1" si="17"/>
        <v>0</v>
      </c>
      <c r="BZ46" s="15" t="b">
        <f t="shared" ca="1" si="36"/>
        <v>0</v>
      </c>
      <c r="CA46" s="15" t="b">
        <f t="shared" ca="1" si="110"/>
        <v>0</v>
      </c>
      <c r="CB46" s="15" t="b">
        <f t="shared" ca="1" si="111"/>
        <v>0</v>
      </c>
      <c r="CC46" s="15" t="b">
        <f t="shared" ca="1" si="112"/>
        <v>0</v>
      </c>
      <c r="CD46" s="15" t="b">
        <f t="shared" ca="1" si="112"/>
        <v>0</v>
      </c>
      <c r="CE46" s="15" t="b">
        <f t="shared" ca="1" si="37"/>
        <v>0</v>
      </c>
      <c r="CF46" s="15" t="b">
        <f t="shared" ca="1" si="113"/>
        <v>0</v>
      </c>
      <c r="CG46" s="15" t="b">
        <f t="shared" ca="1" si="114"/>
        <v>0</v>
      </c>
      <c r="CH46" s="15" t="b">
        <f t="shared" ca="1" si="18"/>
        <v>0</v>
      </c>
      <c r="CI46" s="15" t="b">
        <f t="shared" si="38"/>
        <v>0</v>
      </c>
      <c r="CJ46" s="15" t="b">
        <f t="shared" si="39"/>
        <v>0</v>
      </c>
      <c r="CK46" s="15" t="b">
        <f t="shared" ca="1" si="64"/>
        <v>0</v>
      </c>
      <c r="CL46" s="15" t="b">
        <f t="shared" ca="1" si="64"/>
        <v>0</v>
      </c>
      <c r="CM46" s="15" t="b">
        <f t="shared" ca="1" si="64"/>
        <v>0</v>
      </c>
      <c r="CN46" s="15" t="b">
        <f t="shared" ca="1" si="64"/>
        <v>0</v>
      </c>
      <c r="CO46" s="15" t="b">
        <f t="shared" ca="1" si="64"/>
        <v>0</v>
      </c>
      <c r="CP46" s="15" t="b">
        <f t="shared" ca="1" si="64"/>
        <v>0</v>
      </c>
      <c r="CQ46" s="15" t="b">
        <f t="shared" ca="1" si="64"/>
        <v>0</v>
      </c>
      <c r="CR46" s="21" t="b">
        <f t="shared" ca="1" si="64"/>
        <v>0</v>
      </c>
      <c r="CS46" s="22" t="b">
        <f t="shared" ca="1" si="82"/>
        <v>0</v>
      </c>
      <c r="CT46" s="22" t="b">
        <f t="shared" ca="1" si="82"/>
        <v>0</v>
      </c>
      <c r="CU46" s="22" t="b">
        <f t="shared" ca="1" si="82"/>
        <v>0</v>
      </c>
      <c r="CV46" s="22" t="b">
        <f t="shared" ca="1" si="82"/>
        <v>0</v>
      </c>
      <c r="CW46" s="22" t="b">
        <f t="shared" ca="1" si="82"/>
        <v>0</v>
      </c>
      <c r="CX46" s="22" t="b">
        <f t="shared" ca="1" si="82"/>
        <v>0</v>
      </c>
      <c r="CY46" s="22" t="b">
        <f t="shared" ca="1" si="82"/>
        <v>0</v>
      </c>
      <c r="CZ46" s="21" t="b">
        <f t="shared" ca="1" si="82"/>
        <v>0</v>
      </c>
      <c r="DB46" s="22" t="b">
        <f t="shared" ca="1" si="40"/>
        <v>0</v>
      </c>
      <c r="DC46" s="22" t="b">
        <f t="shared" ca="1" si="21"/>
        <v>0</v>
      </c>
      <c r="DD46" s="22" t="b">
        <f t="shared" ca="1" si="83"/>
        <v>0</v>
      </c>
      <c r="DE46" s="22" t="b">
        <f t="shared" ca="1" si="84"/>
        <v>0</v>
      </c>
      <c r="DF46" s="22" t="b">
        <f t="shared" ca="1" si="85"/>
        <v>0</v>
      </c>
      <c r="DG46" s="22" t="b">
        <f t="shared" ca="1" si="86"/>
        <v>0</v>
      </c>
      <c r="DH46" s="22" t="b">
        <f t="shared" ca="1" si="87"/>
        <v>0</v>
      </c>
      <c r="DI46" s="22" t="b">
        <f t="shared" ca="1" si="88"/>
        <v>0</v>
      </c>
      <c r="DJ46" s="22" t="b">
        <f t="shared" ca="1" si="89"/>
        <v>0</v>
      </c>
      <c r="DK46" s="22"/>
      <c r="DO46" s="15" t="str">
        <f t="shared" ca="1" si="90"/>
        <v/>
      </c>
      <c r="DP46" s="15" t="str">
        <f t="shared" ca="1" si="90"/>
        <v/>
      </c>
      <c r="DQ46" s="15" t="str">
        <f t="shared" ca="1" si="90"/>
        <v/>
      </c>
      <c r="DR46" s="15" t="str">
        <f t="shared" ca="1" si="90"/>
        <v/>
      </c>
      <c r="DS46" s="15" t="str">
        <f t="shared" ca="1" si="90"/>
        <v/>
      </c>
      <c r="DT46" s="15" t="str">
        <f t="shared" ca="1" si="90"/>
        <v/>
      </c>
      <c r="DU46" s="15" t="str">
        <f t="shared" ca="1" si="90"/>
        <v/>
      </c>
      <c r="DV46" s="15" t="str">
        <f t="shared" ca="1" si="90"/>
        <v/>
      </c>
    </row>
    <row r="47" spans="1:126">
      <c r="A47" s="15">
        <f t="shared" si="24"/>
        <v>35</v>
      </c>
      <c r="B47" s="15" t="e">
        <f t="shared" ca="1" si="68"/>
        <v>#REF!</v>
      </c>
      <c r="C47" s="15" t="s">
        <v>108</v>
      </c>
      <c r="D47" s="15" t="str">
        <f t="shared" si="25"/>
        <v>Ster DomyslneCoTo</v>
      </c>
      <c r="F47" s="29" t="s">
        <v>200</v>
      </c>
      <c r="G47" s="15" t="s">
        <v>121</v>
      </c>
      <c r="J47" s="19" t="e">
        <f ca="1">CELL(_CELL_ADDRESS_NAME,ster!#REF!)</f>
        <v>#REF!</v>
      </c>
      <c r="M47" s="19"/>
      <c r="T47" s="15" t="str">
        <f t="shared" ca="1" si="69"/>
        <v/>
      </c>
      <c r="U47" s="15" t="e">
        <f t="shared" ca="1" si="70"/>
        <v>#REF!</v>
      </c>
      <c r="AD47" s="16" t="b">
        <f t="shared" si="91"/>
        <v>1</v>
      </c>
      <c r="AE47" s="16" t="b">
        <f t="shared" si="92"/>
        <v>0</v>
      </c>
      <c r="AF47" s="15" t="str">
        <f t="shared" si="66"/>
        <v/>
      </c>
      <c r="AG47" s="15" t="str">
        <f t="shared" ca="1" si="4"/>
        <v/>
      </c>
      <c r="AH47" s="15" t="str">
        <f t="shared" ca="1" si="5"/>
        <v/>
      </c>
      <c r="AI47" s="15" t="b">
        <f t="shared" ca="1" si="6"/>
        <v>0</v>
      </c>
      <c r="AJ47" s="15" t="str">
        <f t="shared" ca="1" si="26"/>
        <v/>
      </c>
      <c r="AK47" s="27" t="str">
        <f t="shared" ca="1" si="93"/>
        <v/>
      </c>
      <c r="AL47" s="15" t="b">
        <f t="shared" ca="1" si="7"/>
        <v>0</v>
      </c>
      <c r="AM47" s="15" t="str">
        <f t="shared" ca="1" si="94"/>
        <v/>
      </c>
      <c r="AN47" s="15">
        <f t="shared" ca="1" si="95"/>
        <v>3</v>
      </c>
      <c r="AO47" s="15" t="str">
        <f t="shared" ca="1" si="27"/>
        <v/>
      </c>
      <c r="AP47" s="15" t="e">
        <f t="shared" ca="1" si="96"/>
        <v>#REF!</v>
      </c>
      <c r="AQ47" s="27" t="e">
        <f t="shared" ca="1" si="97"/>
        <v>#REF!</v>
      </c>
      <c r="AR47" s="15" t="e">
        <f t="shared" ca="1" si="98"/>
        <v>#REF!</v>
      </c>
      <c r="AS47" s="27" t="b">
        <f t="shared" ca="1" si="99"/>
        <v>0</v>
      </c>
      <c r="AT47" s="27" t="e">
        <f t="shared" ca="1" si="100"/>
        <v>#REF!</v>
      </c>
      <c r="AU47" s="27" t="str">
        <f t="shared" ca="1" si="101"/>
        <v/>
      </c>
      <c r="AV47" s="16" t="b">
        <f t="shared" ca="1" si="102"/>
        <v>0</v>
      </c>
      <c r="AW47" s="15" t="e">
        <f t="shared" ca="1" si="115"/>
        <v>#REF!</v>
      </c>
      <c r="AX47" s="27" t="e">
        <f t="shared" ca="1" si="103"/>
        <v>#REF!</v>
      </c>
      <c r="AY47" s="27" t="e">
        <f t="shared" ca="1" si="104"/>
        <v>#REF!</v>
      </c>
      <c r="AZ47" s="15">
        <f t="shared" ca="1" si="105"/>
        <v>1</v>
      </c>
      <c r="BA47" s="15">
        <f t="shared" ca="1" si="28"/>
        <v>1</v>
      </c>
      <c r="BB47" s="15" t="e">
        <f t="shared" ca="1" si="106"/>
        <v>#REF!</v>
      </c>
      <c r="BC47" s="15" t="str">
        <f t="shared" ca="1" si="29"/>
        <v/>
      </c>
      <c r="BD47" s="15" t="b">
        <f t="shared" ca="1" si="107"/>
        <v>0</v>
      </c>
      <c r="BE47" s="15" t="e">
        <f t="shared" ca="1" si="10"/>
        <v>#REF!</v>
      </c>
      <c r="BF47" s="15" t="e">
        <f t="shared" ca="1" si="11"/>
        <v>#REF!</v>
      </c>
      <c r="BG47" s="15" t="e">
        <f t="shared" ca="1" si="12"/>
        <v>#REF!</v>
      </c>
      <c r="BH47" s="15" t="str">
        <f t="array" aca="1" ref="BH47" ca="1">IF(IFERROR( S47,1),1,IF(BC47="","", SUM(IF(ISERROR(INDIRECT(BC47)),1,0))))</f>
        <v/>
      </c>
      <c r="BI47" s="15" t="b">
        <f t="shared" si="108"/>
        <v>0</v>
      </c>
      <c r="BJ47" s="15" t="b">
        <f t="shared" si="109"/>
        <v>1</v>
      </c>
      <c r="BK47" s="15" t="e">
        <f t="shared" ca="1" si="13"/>
        <v>#REF!</v>
      </c>
      <c r="BL47" s="15" t="e">
        <f t="shared" ca="1" si="14"/>
        <v>#REF!</v>
      </c>
      <c r="BP47" s="15" t="b">
        <f t="shared" si="30"/>
        <v>1</v>
      </c>
      <c r="BQ47" s="15" t="e">
        <f t="shared" ca="1" si="31"/>
        <v>#REF!</v>
      </c>
      <c r="BR47" s="15" t="e">
        <f t="shared" ca="1" si="15"/>
        <v>#REF!</v>
      </c>
      <c r="BS47" s="15" t="e">
        <f t="shared" ca="1" si="32"/>
        <v>#REF!</v>
      </c>
      <c r="BT47" s="15" t="e">
        <f t="shared" ca="1" si="16"/>
        <v>#REF!</v>
      </c>
      <c r="BV47" s="15" t="b">
        <f t="shared" ca="1" si="33"/>
        <v>0</v>
      </c>
      <c r="BW47" s="15" t="b">
        <f t="shared" ca="1" si="34"/>
        <v>0</v>
      </c>
      <c r="BX47" s="15" t="b">
        <f t="shared" ca="1" si="35"/>
        <v>0</v>
      </c>
      <c r="BY47" s="15" t="b">
        <f t="shared" ca="1" si="17"/>
        <v>0</v>
      </c>
      <c r="BZ47" s="15" t="b">
        <f t="shared" ca="1" si="36"/>
        <v>0</v>
      </c>
      <c r="CA47" s="15" t="e">
        <f t="shared" ca="1" si="110"/>
        <v>#REF!</v>
      </c>
      <c r="CB47" s="15" t="b">
        <f t="shared" ca="1" si="111"/>
        <v>0</v>
      </c>
      <c r="CC47" s="15" t="e">
        <f t="shared" ca="1" si="112"/>
        <v>#REF!</v>
      </c>
      <c r="CD47" s="15" t="e">
        <f t="shared" ca="1" si="112"/>
        <v>#REF!</v>
      </c>
      <c r="CE47" s="15" t="e">
        <f t="shared" ca="1" si="37"/>
        <v>#REF!</v>
      </c>
      <c r="CF47" s="15" t="e">
        <f t="shared" ca="1" si="113"/>
        <v>#REF!</v>
      </c>
      <c r="CG47" s="15" t="e">
        <f t="shared" ca="1" si="114"/>
        <v>#REF!</v>
      </c>
      <c r="CH47" s="15" t="e">
        <f t="shared" ca="1" si="18"/>
        <v>#REF!</v>
      </c>
      <c r="CI47" s="15" t="b">
        <f t="shared" si="38"/>
        <v>0</v>
      </c>
      <c r="CJ47" s="15" t="b">
        <f t="shared" si="39"/>
        <v>0</v>
      </c>
      <c r="CK47" s="15" t="b">
        <f t="shared" ca="1" si="64"/>
        <v>0</v>
      </c>
      <c r="CL47" s="15" t="b">
        <f t="shared" ca="1" si="64"/>
        <v>0</v>
      </c>
      <c r="CM47" s="15" t="b">
        <f t="shared" ca="1" si="64"/>
        <v>0</v>
      </c>
      <c r="CN47" s="15" t="b">
        <f t="shared" ca="1" si="64"/>
        <v>0</v>
      </c>
      <c r="CO47" s="15" t="b">
        <f t="shared" ca="1" si="64"/>
        <v>0</v>
      </c>
      <c r="CP47" s="15" t="b">
        <f t="shared" ca="1" si="64"/>
        <v>0</v>
      </c>
      <c r="CQ47" s="15" t="b">
        <f t="shared" ca="1" si="64"/>
        <v>0</v>
      </c>
      <c r="CR47" s="21" t="b">
        <f t="shared" ca="1" si="64"/>
        <v>0</v>
      </c>
      <c r="CS47" s="22" t="b">
        <f t="shared" ca="1" si="82"/>
        <v>0</v>
      </c>
      <c r="CT47" s="22" t="b">
        <f t="shared" ca="1" si="82"/>
        <v>0</v>
      </c>
      <c r="CU47" s="22" t="b">
        <f t="shared" ca="1" si="82"/>
        <v>0</v>
      </c>
      <c r="CV47" s="22" t="b">
        <f t="shared" ca="1" si="82"/>
        <v>0</v>
      </c>
      <c r="CW47" s="22" t="b">
        <f t="shared" ca="1" si="82"/>
        <v>0</v>
      </c>
      <c r="CX47" s="22" t="b">
        <f t="shared" ca="1" si="82"/>
        <v>0</v>
      </c>
      <c r="CY47" s="22" t="b">
        <f t="shared" ca="1" si="82"/>
        <v>0</v>
      </c>
      <c r="CZ47" s="21" t="b">
        <f t="shared" ca="1" si="82"/>
        <v>0</v>
      </c>
      <c r="DB47" s="22" t="b">
        <f t="shared" ca="1" si="40"/>
        <v>0</v>
      </c>
      <c r="DC47" s="22" t="b">
        <f t="shared" ca="1" si="21"/>
        <v>0</v>
      </c>
      <c r="DD47" s="22" t="b">
        <f t="shared" ca="1" si="83"/>
        <v>0</v>
      </c>
      <c r="DE47" s="22" t="b">
        <f t="shared" ca="1" si="84"/>
        <v>0</v>
      </c>
      <c r="DF47" s="22" t="b">
        <f t="shared" ca="1" si="85"/>
        <v>0</v>
      </c>
      <c r="DG47" s="22" t="b">
        <f t="shared" ca="1" si="86"/>
        <v>0</v>
      </c>
      <c r="DH47" s="22" t="b">
        <f t="shared" ca="1" si="87"/>
        <v>0</v>
      </c>
      <c r="DI47" s="22" t="b">
        <f t="shared" ca="1" si="88"/>
        <v>0</v>
      </c>
      <c r="DJ47" s="22" t="b">
        <f t="shared" ca="1" si="89"/>
        <v>0</v>
      </c>
      <c r="DK47" s="22"/>
      <c r="DO47" s="15" t="str">
        <f t="shared" ca="1" si="90"/>
        <v/>
      </c>
      <c r="DP47" s="15" t="str">
        <f t="shared" ca="1" si="90"/>
        <v/>
      </c>
      <c r="DQ47" s="15" t="str">
        <f t="shared" ca="1" si="90"/>
        <v/>
      </c>
      <c r="DR47" s="15" t="str">
        <f t="shared" ca="1" si="90"/>
        <v/>
      </c>
      <c r="DS47" s="15" t="str">
        <f t="shared" ca="1" si="90"/>
        <v/>
      </c>
      <c r="DT47" s="15" t="str">
        <f t="shared" ca="1" si="90"/>
        <v/>
      </c>
      <c r="DU47" s="15" t="str">
        <f t="shared" ca="1" si="90"/>
        <v/>
      </c>
      <c r="DV47" s="15" t="str">
        <f t="shared" ca="1" si="90"/>
        <v/>
      </c>
    </row>
    <row r="48" spans="1:126">
      <c r="A48" s="15">
        <f t="shared" si="24"/>
        <v>36</v>
      </c>
      <c r="B48" s="15" t="e">
        <f t="shared" ca="1" si="68"/>
        <v>#REF!</v>
      </c>
      <c r="C48" s="15" t="s">
        <v>167</v>
      </c>
      <c r="D48" s="15" t="str">
        <f t="shared" si="25"/>
        <v>Ster NazwaPlikuRaportu</v>
      </c>
      <c r="F48" s="29" t="s">
        <v>201</v>
      </c>
      <c r="G48" s="15" t="s">
        <v>121</v>
      </c>
      <c r="J48" s="19" t="e">
        <f ca="1">CELL(_CELL_ADDRESS_NAME,ster!#REF!)</f>
        <v>#REF!</v>
      </c>
      <c r="M48" s="19"/>
      <c r="T48" s="15" t="str">
        <f t="shared" ca="1" si="69"/>
        <v/>
      </c>
      <c r="U48" s="15" t="e">
        <f t="shared" ca="1" si="70"/>
        <v>#REF!</v>
      </c>
      <c r="AD48" s="16" t="b">
        <f t="shared" si="91"/>
        <v>1</v>
      </c>
      <c r="AE48" s="16" t="b">
        <f t="shared" si="92"/>
        <v>0</v>
      </c>
      <c r="AF48" s="15" t="str">
        <f t="shared" si="66"/>
        <v/>
      </c>
      <c r="AG48" s="15" t="str">
        <f t="shared" ca="1" si="4"/>
        <v/>
      </c>
      <c r="AH48" s="15" t="str">
        <f t="shared" ca="1" si="5"/>
        <v/>
      </c>
      <c r="AI48" s="15" t="b">
        <f t="shared" ca="1" si="6"/>
        <v>0</v>
      </c>
      <c r="AJ48" s="15" t="str">
        <f t="shared" ca="1" si="26"/>
        <v/>
      </c>
      <c r="AK48" s="27" t="str">
        <f t="shared" ca="1" si="93"/>
        <v/>
      </c>
      <c r="AL48" s="15" t="b">
        <f t="shared" ca="1" si="7"/>
        <v>0</v>
      </c>
      <c r="AM48" s="15" t="str">
        <f t="shared" ca="1" si="94"/>
        <v/>
      </c>
      <c r="AN48" s="15">
        <f t="shared" ca="1" si="95"/>
        <v>3</v>
      </c>
      <c r="AO48" s="15" t="str">
        <f t="shared" ca="1" si="27"/>
        <v/>
      </c>
      <c r="AP48" s="15" t="e">
        <f t="shared" ca="1" si="96"/>
        <v>#REF!</v>
      </c>
      <c r="AQ48" s="27" t="e">
        <f t="shared" ca="1" si="97"/>
        <v>#REF!</v>
      </c>
      <c r="AR48" s="15" t="e">
        <f t="shared" ca="1" si="98"/>
        <v>#REF!</v>
      </c>
      <c r="AS48" s="27" t="b">
        <f t="shared" ca="1" si="99"/>
        <v>0</v>
      </c>
      <c r="AT48" s="27" t="e">
        <f t="shared" ca="1" si="100"/>
        <v>#REF!</v>
      </c>
      <c r="AU48" s="27" t="str">
        <f t="shared" ca="1" si="101"/>
        <v/>
      </c>
      <c r="AV48" s="16" t="b">
        <f t="shared" ca="1" si="102"/>
        <v>0</v>
      </c>
      <c r="AW48" s="15" t="e">
        <f t="shared" ca="1" si="115"/>
        <v>#REF!</v>
      </c>
      <c r="AX48" s="27" t="e">
        <f t="shared" ca="1" si="103"/>
        <v>#REF!</v>
      </c>
      <c r="AY48" s="27" t="e">
        <f t="shared" ca="1" si="104"/>
        <v>#REF!</v>
      </c>
      <c r="AZ48" s="15">
        <f t="shared" ca="1" si="105"/>
        <v>1</v>
      </c>
      <c r="BA48" s="15">
        <f t="shared" ca="1" si="28"/>
        <v>1</v>
      </c>
      <c r="BB48" s="15" t="e">
        <f t="shared" ca="1" si="106"/>
        <v>#REF!</v>
      </c>
      <c r="BC48" s="15" t="str">
        <f t="shared" ca="1" si="29"/>
        <v/>
      </c>
      <c r="BD48" s="15" t="b">
        <f t="shared" ca="1" si="107"/>
        <v>0</v>
      </c>
      <c r="BE48" s="15" t="e">
        <f t="shared" ca="1" si="10"/>
        <v>#REF!</v>
      </c>
      <c r="BF48" s="15" t="e">
        <f t="shared" ca="1" si="11"/>
        <v>#REF!</v>
      </c>
      <c r="BG48" s="15" t="e">
        <f t="shared" ca="1" si="12"/>
        <v>#REF!</v>
      </c>
      <c r="BH48" s="15" t="str">
        <f t="array" aca="1" ref="BH48" ca="1">IF(IFERROR( S48,1),1,IF(BC48="","", SUM(IF(ISERROR(INDIRECT(BC48)),1,0))))</f>
        <v/>
      </c>
      <c r="BI48" s="15" t="b">
        <f t="shared" si="108"/>
        <v>0</v>
      </c>
      <c r="BJ48" s="15" t="b">
        <f t="shared" si="109"/>
        <v>1</v>
      </c>
      <c r="BK48" s="15" t="e">
        <f t="shared" ca="1" si="13"/>
        <v>#REF!</v>
      </c>
      <c r="BL48" s="15" t="e">
        <f t="shared" ca="1" si="14"/>
        <v>#REF!</v>
      </c>
      <c r="BP48" s="15" t="b">
        <f t="shared" si="30"/>
        <v>1</v>
      </c>
      <c r="BQ48" s="15" t="e">
        <f t="shared" ca="1" si="31"/>
        <v>#REF!</v>
      </c>
      <c r="BR48" s="15" t="e">
        <f t="shared" ca="1" si="15"/>
        <v>#REF!</v>
      </c>
      <c r="BS48" s="15" t="e">
        <f t="shared" ca="1" si="32"/>
        <v>#REF!</v>
      </c>
      <c r="BT48" s="15" t="e">
        <f t="shared" ca="1" si="16"/>
        <v>#REF!</v>
      </c>
      <c r="BV48" s="15" t="b">
        <f t="shared" ca="1" si="33"/>
        <v>0</v>
      </c>
      <c r="BW48" s="15" t="b">
        <f t="shared" ca="1" si="34"/>
        <v>0</v>
      </c>
      <c r="BX48" s="15" t="b">
        <f t="shared" ca="1" si="35"/>
        <v>0</v>
      </c>
      <c r="BY48" s="15" t="b">
        <f t="shared" ca="1" si="17"/>
        <v>0</v>
      </c>
      <c r="BZ48" s="15" t="b">
        <f t="shared" ca="1" si="36"/>
        <v>0</v>
      </c>
      <c r="CA48" s="15" t="e">
        <f t="shared" ca="1" si="110"/>
        <v>#REF!</v>
      </c>
      <c r="CB48" s="15" t="b">
        <f t="shared" ca="1" si="111"/>
        <v>0</v>
      </c>
      <c r="CC48" s="15" t="e">
        <f t="shared" ca="1" si="112"/>
        <v>#REF!</v>
      </c>
      <c r="CD48" s="15" t="e">
        <f t="shared" ca="1" si="112"/>
        <v>#REF!</v>
      </c>
      <c r="CE48" s="15" t="e">
        <f t="shared" ca="1" si="37"/>
        <v>#REF!</v>
      </c>
      <c r="CF48" s="15" t="e">
        <f t="shared" ca="1" si="113"/>
        <v>#REF!</v>
      </c>
      <c r="CG48" s="15" t="e">
        <f t="shared" ca="1" si="114"/>
        <v>#REF!</v>
      </c>
      <c r="CH48" s="15" t="e">
        <f t="shared" ca="1" si="18"/>
        <v>#REF!</v>
      </c>
      <c r="CI48" s="15" t="b">
        <f t="shared" si="38"/>
        <v>0</v>
      </c>
      <c r="CJ48" s="15" t="b">
        <f t="shared" si="39"/>
        <v>0</v>
      </c>
      <c r="CK48" s="15" t="b">
        <f t="shared" ca="1" si="64"/>
        <v>0</v>
      </c>
      <c r="CL48" s="15" t="b">
        <f t="shared" ca="1" si="64"/>
        <v>0</v>
      </c>
      <c r="CM48" s="15" t="b">
        <f t="shared" ca="1" si="64"/>
        <v>0</v>
      </c>
      <c r="CN48" s="15" t="b">
        <f t="shared" ca="1" si="64"/>
        <v>0</v>
      </c>
      <c r="CO48" s="15" t="b">
        <f t="shared" ca="1" si="64"/>
        <v>0</v>
      </c>
      <c r="CP48" s="15" t="b">
        <f t="shared" ca="1" si="64"/>
        <v>0</v>
      </c>
      <c r="CQ48" s="15" t="b">
        <f t="shared" ca="1" si="64"/>
        <v>0</v>
      </c>
      <c r="CR48" s="21" t="b">
        <f t="shared" ca="1" si="64"/>
        <v>0</v>
      </c>
      <c r="CS48" s="22" t="b">
        <f t="shared" ca="1" si="82"/>
        <v>0</v>
      </c>
      <c r="CT48" s="22" t="b">
        <f t="shared" ca="1" si="82"/>
        <v>0</v>
      </c>
      <c r="CU48" s="22" t="b">
        <f t="shared" ca="1" si="82"/>
        <v>0</v>
      </c>
      <c r="CV48" s="22" t="b">
        <f t="shared" ca="1" si="82"/>
        <v>0</v>
      </c>
      <c r="CW48" s="22" t="b">
        <f t="shared" ca="1" si="82"/>
        <v>0</v>
      </c>
      <c r="CX48" s="22" t="b">
        <f t="shared" ca="1" si="82"/>
        <v>0</v>
      </c>
      <c r="CY48" s="22" t="b">
        <f t="shared" ca="1" si="82"/>
        <v>0</v>
      </c>
      <c r="CZ48" s="21" t="b">
        <f t="shared" ca="1" si="82"/>
        <v>0</v>
      </c>
      <c r="DB48" s="22" t="b">
        <f t="shared" ca="1" si="40"/>
        <v>0</v>
      </c>
      <c r="DC48" s="22" t="b">
        <f t="shared" ca="1" si="21"/>
        <v>0</v>
      </c>
      <c r="DD48" s="22" t="b">
        <f t="shared" ca="1" si="83"/>
        <v>0</v>
      </c>
      <c r="DE48" s="22" t="b">
        <f t="shared" ca="1" si="84"/>
        <v>0</v>
      </c>
      <c r="DF48" s="22" t="b">
        <f t="shared" ca="1" si="85"/>
        <v>0</v>
      </c>
      <c r="DG48" s="22" t="b">
        <f t="shared" ca="1" si="86"/>
        <v>0</v>
      </c>
      <c r="DH48" s="22" t="b">
        <f t="shared" ca="1" si="87"/>
        <v>0</v>
      </c>
      <c r="DI48" s="22" t="b">
        <f t="shared" ca="1" si="88"/>
        <v>0</v>
      </c>
      <c r="DJ48" s="22" t="b">
        <f t="shared" ca="1" si="89"/>
        <v>0</v>
      </c>
      <c r="DK48" s="22"/>
      <c r="DO48" s="15" t="str">
        <f t="shared" ca="1" si="90"/>
        <v/>
      </c>
      <c r="DP48" s="15" t="str">
        <f t="shared" ca="1" si="90"/>
        <v/>
      </c>
      <c r="DQ48" s="15" t="str">
        <f t="shared" ca="1" si="90"/>
        <v/>
      </c>
      <c r="DR48" s="15" t="str">
        <f t="shared" ca="1" si="90"/>
        <v/>
      </c>
      <c r="DS48" s="15" t="str">
        <f t="shared" ca="1" si="90"/>
        <v/>
      </c>
      <c r="DT48" s="15" t="str">
        <f t="shared" ca="1" si="90"/>
        <v/>
      </c>
      <c r="DU48" s="15" t="str">
        <f t="shared" ca="1" si="90"/>
        <v/>
      </c>
      <c r="DV48" s="15" t="str">
        <f t="shared" ca="1" si="90"/>
        <v/>
      </c>
    </row>
    <row r="49" spans="1:126">
      <c r="A49" s="15">
        <f t="shared" si="24"/>
        <v>37</v>
      </c>
      <c r="B49" s="15" t="str">
        <f t="shared" ca="1" si="68"/>
        <v>ok.</v>
      </c>
      <c r="C49" s="15" t="s">
        <v>178</v>
      </c>
      <c r="D49" s="15" t="str">
        <f t="shared" si="25"/>
        <v>Ster NazwaArkuszaEtykiet</v>
      </c>
      <c r="F49" s="15" t="s">
        <v>202</v>
      </c>
      <c r="G49" s="15" t="s">
        <v>121</v>
      </c>
      <c r="J49" s="19" t="str">
        <f ca="1">CELL(_CELL_ADDRESS_NAME,_sheetname_labels)</f>
        <v>'[dane surowe2d.xlsm]wew'!$R$8</v>
      </c>
      <c r="M49" s="19"/>
      <c r="T49" s="15" t="str">
        <f t="shared" ca="1" si="69"/>
        <v>'[dane surowe2d.xlsm]wew'!$R$8</v>
      </c>
      <c r="U49" s="15">
        <f ca="1">IF(AD49,BS49,"")</f>
        <v>0</v>
      </c>
      <c r="AD49" s="16" t="b">
        <f t="shared" si="91"/>
        <v>1</v>
      </c>
      <c r="AE49" s="16" t="b">
        <f t="shared" si="92"/>
        <v>0</v>
      </c>
      <c r="AF49" s="15" t="str">
        <f t="shared" si="66"/>
        <v/>
      </c>
      <c r="AG49" s="15" t="str">
        <f t="shared" ca="1" si="4"/>
        <v/>
      </c>
      <c r="AH49" s="15" t="str">
        <f t="shared" ca="1" si="5"/>
        <v/>
      </c>
      <c r="AI49" s="15" t="b">
        <f t="shared" ca="1" si="6"/>
        <v>0</v>
      </c>
      <c r="AJ49" s="15" t="str">
        <f t="shared" ca="1" si="26"/>
        <v/>
      </c>
      <c r="AK49" s="27" t="str">
        <f t="shared" ca="1" si="93"/>
        <v/>
      </c>
      <c r="AL49" s="15" t="b">
        <f t="shared" ca="1" si="7"/>
        <v>0</v>
      </c>
      <c r="AM49" s="15" t="str">
        <f t="shared" ca="1" si="94"/>
        <v/>
      </c>
      <c r="AN49" s="15">
        <f t="shared" ca="1" si="95"/>
        <v>3</v>
      </c>
      <c r="AO49" s="15" t="str">
        <f t="shared" ca="1" si="27"/>
        <v/>
      </c>
      <c r="AP49" s="15" t="str">
        <f t="shared" ca="1" si="96"/>
        <v/>
      </c>
      <c r="AQ49" s="27">
        <f t="shared" ca="1" si="97"/>
        <v>1</v>
      </c>
      <c r="AR49" s="15" t="b">
        <f t="shared" ca="1" si="98"/>
        <v>1</v>
      </c>
      <c r="AS49" s="27" t="b">
        <f t="shared" ca="1" si="99"/>
        <v>1</v>
      </c>
      <c r="AT49" s="27" t="b">
        <f t="shared" ca="1" si="100"/>
        <v>1</v>
      </c>
      <c r="AU49" s="27">
        <f t="shared" ca="1" si="101"/>
        <v>21</v>
      </c>
      <c r="AV49" s="16" t="e">
        <f t="shared" ca="1" si="102"/>
        <v>#REF!</v>
      </c>
      <c r="AW49" s="15" t="str">
        <f t="shared" ca="1" si="115"/>
        <v>'[dane surowe2d.xlsm]wew'!$R$8</v>
      </c>
      <c r="AX49" s="27" t="b">
        <f t="shared" ca="1" si="103"/>
        <v>0</v>
      </c>
      <c r="AY49" s="27" t="b">
        <f t="shared" ca="1" si="104"/>
        <v>0</v>
      </c>
      <c r="AZ49" s="15">
        <f t="shared" ca="1" si="105"/>
        <v>1</v>
      </c>
      <c r="BA49" s="15">
        <f t="shared" ca="1" si="28"/>
        <v>1</v>
      </c>
      <c r="BB49" s="15" t="str">
        <f t="shared" ca="1" si="106"/>
        <v>'[dane surowe2d.xlsm]wew'!$R$8</v>
      </c>
      <c r="BC49" s="15" t="str">
        <f t="shared" ca="1" si="29"/>
        <v>'[dane surowe2d.xlsm]wew'!$R$8</v>
      </c>
      <c r="BD49" s="15" t="b">
        <f t="shared" ca="1" si="107"/>
        <v>0</v>
      </c>
      <c r="BE49" s="15" t="b">
        <f t="shared" ca="1" si="10"/>
        <v>0</v>
      </c>
      <c r="BF49" s="15" t="str">
        <f t="shared" ca="1" si="11"/>
        <v/>
      </c>
      <c r="BG49" s="15" t="str">
        <f t="shared" ca="1" si="12"/>
        <v/>
      </c>
      <c r="BH49" s="15">
        <f t="array" aca="1" ref="BH49" ca="1">IF(IFERROR( S49,1),1,IF(BC49="","", SUM(IF(ISERROR(INDIRECT(BC49)),1,0))))</f>
        <v>0</v>
      </c>
      <c r="BI49" s="15" t="b">
        <f t="shared" si="108"/>
        <v>0</v>
      </c>
      <c r="BJ49" s="15" t="b">
        <f t="shared" si="109"/>
        <v>1</v>
      </c>
      <c r="BK49" s="15">
        <f t="shared" ca="1" si="13"/>
        <v>2</v>
      </c>
      <c r="BL49" s="15">
        <f t="shared" ca="1" si="14"/>
        <v>2</v>
      </c>
      <c r="BP49" s="15" t="b">
        <f t="shared" si="30"/>
        <v>1</v>
      </c>
      <c r="BQ49" s="15" t="b">
        <f t="shared" ca="1" si="31"/>
        <v>0</v>
      </c>
      <c r="BR49" s="15" t="str">
        <f t="shared" ca="1" si="15"/>
        <v/>
      </c>
      <c r="BS49" s="15">
        <f t="shared" ca="1" si="32"/>
        <v>0</v>
      </c>
      <c r="BT49" s="15" t="str">
        <f t="shared" ca="1" si="16"/>
        <v/>
      </c>
      <c r="BV49" s="15" t="b">
        <f t="shared" ca="1" si="33"/>
        <v>0</v>
      </c>
      <c r="BW49" s="15" t="b">
        <f t="shared" ca="1" si="34"/>
        <v>0</v>
      </c>
      <c r="BX49" s="15" t="b">
        <f t="shared" ca="1" si="35"/>
        <v>0</v>
      </c>
      <c r="BY49" s="15" t="b">
        <f t="shared" ca="1" si="17"/>
        <v>0</v>
      </c>
      <c r="BZ49" s="15" t="b">
        <f t="shared" ca="1" si="36"/>
        <v>0</v>
      </c>
      <c r="CA49" s="15" t="b">
        <f t="shared" ca="1" si="110"/>
        <v>0</v>
      </c>
      <c r="CB49" s="15" t="b">
        <f t="shared" ca="1" si="111"/>
        <v>0</v>
      </c>
      <c r="CC49" s="15" t="b">
        <f t="shared" ca="1" si="112"/>
        <v>0</v>
      </c>
      <c r="CD49" s="15" t="b">
        <f t="shared" ca="1" si="112"/>
        <v>0</v>
      </c>
      <c r="CE49" s="15" t="b">
        <f t="shared" ca="1" si="37"/>
        <v>0</v>
      </c>
      <c r="CF49" s="15" t="b">
        <f t="shared" ca="1" si="113"/>
        <v>0</v>
      </c>
      <c r="CG49" s="15" t="b">
        <f t="shared" ca="1" si="114"/>
        <v>0</v>
      </c>
      <c r="CH49" s="15" t="b">
        <f t="shared" ca="1" si="18"/>
        <v>0</v>
      </c>
      <c r="CI49" s="15" t="b">
        <f t="shared" si="38"/>
        <v>0</v>
      </c>
      <c r="CJ49" s="15" t="b">
        <f t="shared" si="39"/>
        <v>0</v>
      </c>
      <c r="CK49" s="15" t="b">
        <f t="shared" ca="1" si="64"/>
        <v>0</v>
      </c>
      <c r="CL49" s="15" t="b">
        <f t="shared" ca="1" si="64"/>
        <v>0</v>
      </c>
      <c r="CM49" s="15" t="b">
        <f t="shared" ca="1" si="64"/>
        <v>0</v>
      </c>
      <c r="CN49" s="15" t="b">
        <f t="shared" ca="1" si="64"/>
        <v>0</v>
      </c>
      <c r="CO49" s="15" t="b">
        <f t="shared" ca="1" si="64"/>
        <v>0</v>
      </c>
      <c r="CP49" s="15" t="b">
        <f t="shared" ca="1" si="64"/>
        <v>0</v>
      </c>
      <c r="CQ49" s="15" t="b">
        <f t="shared" ca="1" si="64"/>
        <v>0</v>
      </c>
      <c r="CR49" s="21" t="b">
        <f t="shared" ca="1" si="64"/>
        <v>0</v>
      </c>
      <c r="CS49" s="22" t="b">
        <f t="shared" ca="1" si="82"/>
        <v>0</v>
      </c>
      <c r="CT49" s="22" t="b">
        <f t="shared" ca="1" si="82"/>
        <v>0</v>
      </c>
      <c r="CU49" s="22" t="b">
        <f t="shared" ca="1" si="82"/>
        <v>0</v>
      </c>
      <c r="CV49" s="22" t="b">
        <f t="shared" ca="1" si="82"/>
        <v>0</v>
      </c>
      <c r="CW49" s="22" t="b">
        <f t="shared" ca="1" si="82"/>
        <v>0</v>
      </c>
      <c r="CX49" s="22" t="b">
        <f t="shared" ca="1" si="82"/>
        <v>0</v>
      </c>
      <c r="CY49" s="22" t="b">
        <f t="shared" ca="1" si="82"/>
        <v>0</v>
      </c>
      <c r="CZ49" s="21" t="b">
        <f t="shared" ca="1" si="82"/>
        <v>0</v>
      </c>
      <c r="DB49" s="22" t="b">
        <f t="shared" ca="1" si="40"/>
        <v>0</v>
      </c>
      <c r="DC49" s="22" t="b">
        <f t="shared" ca="1" si="21"/>
        <v>0</v>
      </c>
      <c r="DD49" s="22" t="b">
        <f t="shared" ca="1" si="83"/>
        <v>0</v>
      </c>
      <c r="DE49" s="22" t="b">
        <f t="shared" ca="1" si="84"/>
        <v>0</v>
      </c>
      <c r="DF49" s="22" t="b">
        <f t="shared" ca="1" si="85"/>
        <v>0</v>
      </c>
      <c r="DG49" s="22" t="b">
        <f t="shared" ca="1" si="86"/>
        <v>0</v>
      </c>
      <c r="DH49" s="22" t="b">
        <f t="shared" ca="1" si="87"/>
        <v>0</v>
      </c>
      <c r="DI49" s="22" t="b">
        <f t="shared" ca="1" si="88"/>
        <v>0</v>
      </c>
      <c r="DJ49" s="22" t="b">
        <f t="shared" ca="1" si="89"/>
        <v>0</v>
      </c>
      <c r="DK49" s="22"/>
      <c r="DO49" s="15" t="str">
        <f t="shared" ca="1" si="90"/>
        <v/>
      </c>
      <c r="DP49" s="15" t="str">
        <f t="shared" ca="1" si="90"/>
        <v/>
      </c>
      <c r="DQ49" s="15" t="str">
        <f t="shared" ca="1" si="90"/>
        <v/>
      </c>
      <c r="DR49" s="15" t="str">
        <f t="shared" ca="1" si="90"/>
        <v/>
      </c>
      <c r="DS49" s="15" t="str">
        <f t="shared" ca="1" si="90"/>
        <v/>
      </c>
      <c r="DT49" s="15" t="str">
        <f t="shared" ca="1" si="90"/>
        <v/>
      </c>
      <c r="DU49" s="15" t="str">
        <f t="shared" ca="1" si="90"/>
        <v/>
      </c>
      <c r="DV49" s="15" t="str">
        <f t="shared" ca="1" si="90"/>
        <v/>
      </c>
    </row>
    <row r="50" spans="1:126">
      <c r="A50" s="15">
        <f t="shared" si="24"/>
        <v>38</v>
      </c>
      <c r="B50" s="15" t="str">
        <f ca="1">IF(AD50,IF(BS50&gt;0,BT50,IF(DA50,"Pole zależy od pól, które zależą od zamkniętego workbooka","ok.")),"")</f>
        <v>ok.</v>
      </c>
      <c r="C50" s="15" t="s">
        <v>231</v>
      </c>
      <c r="D50" s="15" t="str">
        <f t="shared" si="25"/>
        <v>Ster NazwaArkuszaDanych</v>
      </c>
      <c r="F50" s="15" t="s">
        <v>202</v>
      </c>
      <c r="G50" s="15" t="s">
        <v>121</v>
      </c>
      <c r="J50" s="19" t="str">
        <f ca="1">CELL(_CELL_ADDRESS_NAME,_sheetname_dataframe)</f>
        <v>'[dane surowe2d.xlsm]wew'!$R$9</v>
      </c>
      <c r="M50" s="19"/>
      <c r="T50" s="15" t="str">
        <f t="shared" ca="1" si="69"/>
        <v>'[dane surowe2d.xlsm]wew'!$R$9</v>
      </c>
      <c r="U50" s="15">
        <f ca="1">IF(AD50,BS50,"")</f>
        <v>0</v>
      </c>
      <c r="AD50" s="16" t="b">
        <f t="shared" si="91"/>
        <v>1</v>
      </c>
      <c r="AE50" s="16" t="b">
        <f t="shared" si="92"/>
        <v>0</v>
      </c>
      <c r="AF50" s="15" t="str">
        <f t="shared" si="66"/>
        <v/>
      </c>
      <c r="AG50" s="15" t="str">
        <f t="shared" ca="1" si="4"/>
        <v/>
      </c>
      <c r="AH50" s="15" t="str">
        <f t="shared" ca="1" si="5"/>
        <v/>
      </c>
      <c r="AI50" s="15" t="b">
        <f t="shared" ca="1" si="6"/>
        <v>0</v>
      </c>
      <c r="AJ50" s="15" t="str">
        <f t="shared" ca="1" si="26"/>
        <v/>
      </c>
      <c r="AK50" s="27" t="str">
        <f t="shared" ca="1" si="93"/>
        <v/>
      </c>
      <c r="AL50" s="15" t="b">
        <f t="shared" ca="1" si="7"/>
        <v>0</v>
      </c>
      <c r="AM50" s="15" t="str">
        <f t="shared" ca="1" si="94"/>
        <v/>
      </c>
      <c r="AN50" s="15">
        <f t="shared" ca="1" si="95"/>
        <v>3</v>
      </c>
      <c r="AO50" s="15" t="str">
        <f t="shared" ca="1" si="27"/>
        <v/>
      </c>
      <c r="AP50" s="15" t="str">
        <f t="shared" ca="1" si="96"/>
        <v/>
      </c>
      <c r="AQ50" s="27">
        <f t="shared" ca="1" si="97"/>
        <v>1</v>
      </c>
      <c r="AR50" s="15" t="b">
        <f t="shared" ca="1" si="98"/>
        <v>1</v>
      </c>
      <c r="AS50" s="27" t="b">
        <f t="shared" ca="1" si="99"/>
        <v>1</v>
      </c>
      <c r="AT50" s="27" t="b">
        <f t="shared" ca="1" si="100"/>
        <v>1</v>
      </c>
      <c r="AU50" s="27">
        <f t="shared" ca="1" si="101"/>
        <v>21</v>
      </c>
      <c r="AV50" s="16" t="e">
        <f t="shared" ca="1" si="102"/>
        <v>#REF!</v>
      </c>
      <c r="AW50" s="15" t="str">
        <f t="shared" ca="1" si="115"/>
        <v>'[dane surowe2d.xlsm]wew'!$R$9</v>
      </c>
      <c r="AX50" s="27" t="b">
        <f t="shared" ca="1" si="103"/>
        <v>0</v>
      </c>
      <c r="AY50" s="27" t="b">
        <f t="shared" ca="1" si="104"/>
        <v>0</v>
      </c>
      <c r="AZ50" s="15">
        <f t="shared" ca="1" si="105"/>
        <v>1</v>
      </c>
      <c r="BA50" s="15">
        <f t="shared" ca="1" si="28"/>
        <v>1</v>
      </c>
      <c r="BB50" s="15" t="str">
        <f t="shared" ca="1" si="106"/>
        <v>'[dane surowe2d.xlsm]wew'!$R$9</v>
      </c>
      <c r="BC50" s="15" t="str">
        <f t="shared" ca="1" si="29"/>
        <v>'[dane surowe2d.xlsm]wew'!$R$9</v>
      </c>
      <c r="BD50" s="15" t="b">
        <f t="shared" ca="1" si="107"/>
        <v>0</v>
      </c>
      <c r="BE50" s="15" t="b">
        <f t="shared" ca="1" si="10"/>
        <v>0</v>
      </c>
      <c r="BF50" s="15" t="str">
        <f t="shared" ca="1" si="11"/>
        <v/>
      </c>
      <c r="BG50" s="15" t="str">
        <f t="shared" ca="1" si="12"/>
        <v/>
      </c>
      <c r="BH50" s="15">
        <f t="array" aca="1" ref="BH50" ca="1">IF(IFERROR( S50,1),1,IF(BC50="","", SUM(IF(ISERROR(INDIRECT(BC50)),1,0))))</f>
        <v>0</v>
      </c>
      <c r="BI50" s="15" t="b">
        <f t="shared" si="108"/>
        <v>0</v>
      </c>
      <c r="BJ50" s="15" t="b">
        <f t="shared" si="109"/>
        <v>1</v>
      </c>
      <c r="BK50" s="15">
        <f t="shared" ca="1" si="13"/>
        <v>2</v>
      </c>
      <c r="BL50" s="15">
        <f t="shared" ca="1" si="14"/>
        <v>2</v>
      </c>
      <c r="BP50" s="15" t="b">
        <f t="shared" si="30"/>
        <v>1</v>
      </c>
      <c r="BQ50" s="15" t="b">
        <f t="shared" ca="1" si="31"/>
        <v>0</v>
      </c>
      <c r="BR50" s="15" t="str">
        <f t="shared" ca="1" si="15"/>
        <v/>
      </c>
      <c r="BS50" s="15">
        <f t="shared" ca="1" si="32"/>
        <v>0</v>
      </c>
      <c r="BT50" s="15" t="str">
        <f t="shared" ca="1" si="16"/>
        <v/>
      </c>
      <c r="BV50" s="15" t="b">
        <f t="shared" ca="1" si="33"/>
        <v>0</v>
      </c>
      <c r="BW50" s="15" t="b">
        <f t="shared" ca="1" si="34"/>
        <v>0</v>
      </c>
      <c r="BX50" s="15" t="b">
        <f t="shared" ca="1" si="35"/>
        <v>0</v>
      </c>
      <c r="BY50" s="15" t="b">
        <f t="shared" ca="1" si="17"/>
        <v>0</v>
      </c>
      <c r="BZ50" s="15" t="b">
        <f t="shared" ca="1" si="36"/>
        <v>0</v>
      </c>
      <c r="CA50" s="15" t="b">
        <f t="shared" ca="1" si="110"/>
        <v>0</v>
      </c>
      <c r="CB50" s="15" t="b">
        <f t="shared" ca="1" si="111"/>
        <v>0</v>
      </c>
      <c r="CC50" s="15" t="b">
        <f t="shared" ca="1" si="112"/>
        <v>0</v>
      </c>
      <c r="CD50" s="15" t="b">
        <f t="shared" ca="1" si="112"/>
        <v>0</v>
      </c>
      <c r="CE50" s="15" t="b">
        <f t="shared" ca="1" si="37"/>
        <v>0</v>
      </c>
      <c r="CF50" s="15" t="b">
        <f t="shared" ca="1" si="113"/>
        <v>0</v>
      </c>
      <c r="CG50" s="15" t="b">
        <f t="shared" ca="1" si="114"/>
        <v>0</v>
      </c>
      <c r="CH50" s="15" t="b">
        <f t="shared" ca="1" si="18"/>
        <v>0</v>
      </c>
      <c r="CI50" s="15" t="b">
        <f t="shared" si="38"/>
        <v>0</v>
      </c>
      <c r="CJ50" s="15" t="b">
        <f t="shared" si="39"/>
        <v>0</v>
      </c>
      <c r="CK50" s="15" t="b">
        <f t="shared" ca="1" si="64"/>
        <v>0</v>
      </c>
      <c r="CL50" s="15" t="b">
        <f t="shared" ca="1" si="64"/>
        <v>0</v>
      </c>
      <c r="CM50" s="15" t="b">
        <f t="shared" ca="1" si="64"/>
        <v>0</v>
      </c>
      <c r="CN50" s="15" t="b">
        <f t="shared" ca="1" si="64"/>
        <v>0</v>
      </c>
      <c r="CO50" s="15" t="b">
        <f t="shared" ca="1" si="64"/>
        <v>0</v>
      </c>
      <c r="CP50" s="15" t="b">
        <f t="shared" ca="1" si="64"/>
        <v>0</v>
      </c>
      <c r="CQ50" s="15" t="b">
        <f t="shared" ca="1" si="64"/>
        <v>0</v>
      </c>
      <c r="CR50" s="21" t="b">
        <f t="shared" ca="1" si="64"/>
        <v>0</v>
      </c>
      <c r="CS50" s="22" t="b">
        <f t="shared" ca="1" si="82"/>
        <v>0</v>
      </c>
      <c r="CT50" s="22" t="b">
        <f t="shared" ca="1" si="82"/>
        <v>0</v>
      </c>
      <c r="CU50" s="22" t="b">
        <f t="shared" ca="1" si="82"/>
        <v>0</v>
      </c>
      <c r="CV50" s="22" t="b">
        <f t="shared" ca="1" si="82"/>
        <v>0</v>
      </c>
      <c r="CW50" s="22" t="b">
        <f t="shared" ca="1" si="82"/>
        <v>0</v>
      </c>
      <c r="CX50" s="22" t="b">
        <f t="shared" ca="1" si="82"/>
        <v>0</v>
      </c>
      <c r="CY50" s="22" t="b">
        <f t="shared" ca="1" si="82"/>
        <v>0</v>
      </c>
      <c r="CZ50" s="21" t="b">
        <f t="shared" ca="1" si="82"/>
        <v>0</v>
      </c>
      <c r="DB50" s="22" t="b">
        <f t="shared" ca="1" si="40"/>
        <v>0</v>
      </c>
      <c r="DC50" s="22" t="b">
        <f t="shared" ca="1" si="21"/>
        <v>0</v>
      </c>
      <c r="DD50" s="22" t="b">
        <f t="shared" ca="1" si="83"/>
        <v>0</v>
      </c>
      <c r="DE50" s="22" t="b">
        <f t="shared" ca="1" si="84"/>
        <v>0</v>
      </c>
      <c r="DF50" s="22" t="b">
        <f t="shared" ca="1" si="85"/>
        <v>0</v>
      </c>
      <c r="DG50" s="22" t="b">
        <f t="shared" ca="1" si="86"/>
        <v>0</v>
      </c>
      <c r="DH50" s="22" t="b">
        <f t="shared" ca="1" si="87"/>
        <v>0</v>
      </c>
      <c r="DI50" s="22" t="b">
        <f t="shared" ca="1" si="88"/>
        <v>0</v>
      </c>
      <c r="DJ50" s="22" t="b">
        <f t="shared" ca="1" si="89"/>
        <v>0</v>
      </c>
      <c r="DK50" s="22"/>
      <c r="DO50" s="15" t="str">
        <f t="shared" ca="1" si="90"/>
        <v/>
      </c>
      <c r="DP50" s="15" t="str">
        <f t="shared" ca="1" si="90"/>
        <v/>
      </c>
      <c r="DQ50" s="15" t="str">
        <f t="shared" ca="1" si="90"/>
        <v/>
      </c>
      <c r="DR50" s="15" t="str">
        <f t="shared" ca="1" si="90"/>
        <v/>
      </c>
      <c r="DS50" s="15" t="str">
        <f t="shared" ca="1" si="90"/>
        <v/>
      </c>
      <c r="DT50" s="15" t="str">
        <f t="shared" ca="1" si="90"/>
        <v/>
      </c>
      <c r="DU50" s="15" t="str">
        <f t="shared" ca="1" si="90"/>
        <v/>
      </c>
      <c r="DV50" s="15" t="str">
        <f t="shared" ca="1" si="90"/>
        <v/>
      </c>
    </row>
    <row r="51" spans="1:126">
      <c r="A51" s="15">
        <f t="shared" si="24"/>
        <v>39</v>
      </c>
      <c r="B51" s="15" t="str">
        <f ca="1">IF(AD51,IF(BS51&gt;0,BT51,IF(DA51,"Pole zależy od pól, które zależą od zamkniętego workbooka","ok.")),"")</f>
        <v>ok.</v>
      </c>
      <c r="C51" s="15" t="s">
        <v>225</v>
      </c>
      <c r="D51" s="15" t="str">
        <f t="shared" si="25"/>
        <v>Ster DlugaNazwaBazyDanych</v>
      </c>
      <c r="F51" s="15" t="s">
        <v>226</v>
      </c>
      <c r="G51" s="15" t="s">
        <v>121</v>
      </c>
      <c r="J51" s="19" t="str">
        <f ca="1">CELL(_CELL_ADDRESS_NAME,ster!$C$3)</f>
        <v>'[dane surowe2d.xlsm]ster'!$C$3</v>
      </c>
      <c r="M51" s="19"/>
      <c r="T51" s="15" t="str">
        <f t="shared" ca="1" si="69"/>
        <v>'[dane surowe2d.xlsm]ster'!$C$3</v>
      </c>
      <c r="U51" s="15">
        <f ca="1">IF(AD51,BS51,"")</f>
        <v>0</v>
      </c>
      <c r="AD51" s="16" t="b">
        <f t="shared" si="91"/>
        <v>1</v>
      </c>
      <c r="AE51" s="16" t="b">
        <f t="shared" si="92"/>
        <v>0</v>
      </c>
      <c r="AF51" s="15" t="str">
        <f t="shared" si="66"/>
        <v/>
      </c>
      <c r="AG51" s="15" t="str">
        <f t="shared" ca="1" si="4"/>
        <v/>
      </c>
      <c r="AH51" s="15" t="str">
        <f t="shared" ca="1" si="5"/>
        <v/>
      </c>
      <c r="AI51" s="15" t="b">
        <f t="shared" ca="1" si="6"/>
        <v>0</v>
      </c>
      <c r="AJ51" s="15" t="str">
        <f t="shared" ca="1" si="26"/>
        <v/>
      </c>
      <c r="AK51" s="27" t="str">
        <f t="shared" ca="1" si="93"/>
        <v/>
      </c>
      <c r="AL51" s="15" t="b">
        <f t="shared" ca="1" si="7"/>
        <v>0</v>
      </c>
      <c r="AM51" s="15" t="str">
        <f t="shared" ca="1" si="94"/>
        <v/>
      </c>
      <c r="AN51" s="15">
        <f t="shared" ca="1" si="95"/>
        <v>3</v>
      </c>
      <c r="AO51" s="15" t="str">
        <f t="shared" ca="1" si="27"/>
        <v/>
      </c>
      <c r="AP51" s="15" t="str">
        <f t="shared" ca="1" si="96"/>
        <v/>
      </c>
      <c r="AQ51" s="27">
        <f t="shared" ca="1" si="97"/>
        <v>1</v>
      </c>
      <c r="AR51" s="15" t="b">
        <f t="shared" ca="1" si="98"/>
        <v>1</v>
      </c>
      <c r="AS51" s="27" t="b">
        <f t="shared" ca="1" si="99"/>
        <v>1</v>
      </c>
      <c r="AT51" s="27" t="b">
        <f t="shared" ca="1" si="100"/>
        <v>1</v>
      </c>
      <c r="AU51" s="27">
        <f t="shared" ca="1" si="101"/>
        <v>21</v>
      </c>
      <c r="AV51" s="16" t="e">
        <f t="shared" ca="1" si="102"/>
        <v>#REF!</v>
      </c>
      <c r="AW51" s="15" t="str">
        <f t="shared" ca="1" si="115"/>
        <v>'[dane surowe2d.xlsm]ster'!$C$3</v>
      </c>
      <c r="AX51" s="27" t="b">
        <f t="shared" ca="1" si="103"/>
        <v>0</v>
      </c>
      <c r="AY51" s="27" t="b">
        <f t="shared" ca="1" si="104"/>
        <v>0</v>
      </c>
      <c r="AZ51" s="15">
        <f t="shared" ca="1" si="105"/>
        <v>1</v>
      </c>
      <c r="BA51" s="15">
        <f t="shared" ca="1" si="28"/>
        <v>1</v>
      </c>
      <c r="BB51" s="15" t="str">
        <f t="shared" ca="1" si="106"/>
        <v>'[dane surowe2d.xlsm]ster'!$C$3</v>
      </c>
      <c r="BC51" s="15" t="str">
        <f t="shared" ca="1" si="29"/>
        <v>'[dane surowe2d.xlsm]ster'!$C$3</v>
      </c>
      <c r="BD51" s="15" t="b">
        <f t="shared" ca="1" si="107"/>
        <v>0</v>
      </c>
      <c r="BE51" s="15" t="b">
        <f t="shared" ca="1" si="10"/>
        <v>0</v>
      </c>
      <c r="BF51" s="15" t="str">
        <f t="shared" ca="1" si="11"/>
        <v/>
      </c>
      <c r="BG51" s="15" t="str">
        <f t="shared" ca="1" si="12"/>
        <v/>
      </c>
      <c r="BH51" s="15">
        <f t="array" aca="1" ref="BH51" ca="1">IF(IFERROR( S51,1),1,IF(BC51="","", SUM(IF(ISERROR(INDIRECT(BC51)),1,0))))</f>
        <v>0</v>
      </c>
      <c r="BI51" s="15" t="b">
        <f t="shared" si="108"/>
        <v>0</v>
      </c>
      <c r="BJ51" s="15" t="b">
        <f t="shared" si="109"/>
        <v>1</v>
      </c>
      <c r="BK51" s="15">
        <f t="shared" ca="1" si="13"/>
        <v>2</v>
      </c>
      <c r="BL51" s="15">
        <f t="shared" ca="1" si="14"/>
        <v>2</v>
      </c>
      <c r="BP51" s="15" t="b">
        <f t="shared" si="30"/>
        <v>1</v>
      </c>
      <c r="BQ51" s="15" t="b">
        <f t="shared" ca="1" si="31"/>
        <v>0</v>
      </c>
      <c r="BR51" s="15" t="str">
        <f t="shared" ca="1" si="15"/>
        <v/>
      </c>
      <c r="BS51" s="15">
        <f t="shared" ca="1" si="32"/>
        <v>0</v>
      </c>
      <c r="BT51" s="15" t="str">
        <f t="shared" ca="1" si="16"/>
        <v/>
      </c>
      <c r="BV51" s="15" t="b">
        <f t="shared" ca="1" si="33"/>
        <v>0</v>
      </c>
      <c r="BW51" s="15" t="b">
        <f t="shared" ca="1" si="34"/>
        <v>0</v>
      </c>
      <c r="BX51" s="15" t="b">
        <f t="shared" ca="1" si="35"/>
        <v>0</v>
      </c>
      <c r="BY51" s="15" t="b">
        <f t="shared" ca="1" si="17"/>
        <v>0</v>
      </c>
      <c r="BZ51" s="15" t="b">
        <f t="shared" ca="1" si="36"/>
        <v>0</v>
      </c>
      <c r="CA51" s="15" t="b">
        <f t="shared" ca="1" si="110"/>
        <v>0</v>
      </c>
      <c r="CB51" s="15" t="b">
        <f t="shared" ca="1" si="111"/>
        <v>0</v>
      </c>
      <c r="CC51" s="15" t="b">
        <f t="shared" ca="1" si="112"/>
        <v>0</v>
      </c>
      <c r="CD51" s="15" t="b">
        <f t="shared" ca="1" si="112"/>
        <v>0</v>
      </c>
      <c r="CE51" s="15" t="b">
        <f t="shared" ca="1" si="37"/>
        <v>0</v>
      </c>
      <c r="CF51" s="15" t="b">
        <f t="shared" ca="1" si="113"/>
        <v>0</v>
      </c>
      <c r="CG51" s="15" t="b">
        <f t="shared" ca="1" si="114"/>
        <v>0</v>
      </c>
      <c r="CH51" s="15" t="b">
        <f t="shared" ca="1" si="18"/>
        <v>0</v>
      </c>
      <c r="CI51" s="15" t="b">
        <f t="shared" si="38"/>
        <v>0</v>
      </c>
      <c r="CJ51" s="15" t="b">
        <f t="shared" si="39"/>
        <v>0</v>
      </c>
      <c r="CK51" s="15" t="b">
        <f t="shared" ca="1" si="64"/>
        <v>0</v>
      </c>
      <c r="CL51" s="15" t="b">
        <f t="shared" ca="1" si="64"/>
        <v>0</v>
      </c>
      <c r="CM51" s="15" t="b">
        <f t="shared" ca="1" si="64"/>
        <v>0</v>
      </c>
      <c r="CN51" s="15" t="b">
        <f t="shared" ca="1" si="64"/>
        <v>0</v>
      </c>
      <c r="CO51" s="15" t="b">
        <f t="shared" ca="1" si="64"/>
        <v>0</v>
      </c>
      <c r="CP51" s="15" t="b">
        <f t="shared" ca="1" si="64"/>
        <v>0</v>
      </c>
      <c r="CQ51" s="15" t="b">
        <f t="shared" ca="1" si="64"/>
        <v>0</v>
      </c>
      <c r="CR51" s="21" t="b">
        <f t="shared" ca="1" si="64"/>
        <v>0</v>
      </c>
      <c r="CS51" s="22" t="b">
        <f t="shared" ca="1" si="82"/>
        <v>0</v>
      </c>
      <c r="CT51" s="22" t="b">
        <f t="shared" ca="1" si="82"/>
        <v>0</v>
      </c>
      <c r="CU51" s="22" t="b">
        <f t="shared" ca="1" si="82"/>
        <v>0</v>
      </c>
      <c r="CV51" s="22" t="b">
        <f t="shared" ca="1" si="82"/>
        <v>0</v>
      </c>
      <c r="CW51" s="22" t="b">
        <f t="shared" ca="1" si="82"/>
        <v>0</v>
      </c>
      <c r="CX51" s="22" t="b">
        <f t="shared" ca="1" si="82"/>
        <v>0</v>
      </c>
      <c r="CY51" s="22" t="b">
        <f t="shared" ca="1" si="82"/>
        <v>0</v>
      </c>
      <c r="CZ51" s="21" t="b">
        <f t="shared" ca="1" si="82"/>
        <v>0</v>
      </c>
      <c r="DB51" s="22" t="b">
        <f t="shared" ca="1" si="40"/>
        <v>0</v>
      </c>
      <c r="DC51" s="22" t="b">
        <f t="shared" ca="1" si="21"/>
        <v>0</v>
      </c>
      <c r="DD51" s="22" t="b">
        <f t="shared" ca="1" si="83"/>
        <v>0</v>
      </c>
      <c r="DE51" s="22" t="b">
        <f t="shared" ca="1" si="84"/>
        <v>0</v>
      </c>
      <c r="DF51" s="22" t="b">
        <f t="shared" ca="1" si="85"/>
        <v>0</v>
      </c>
      <c r="DG51" s="22" t="b">
        <f t="shared" ca="1" si="86"/>
        <v>0</v>
      </c>
      <c r="DH51" s="22" t="b">
        <f t="shared" ca="1" si="87"/>
        <v>0</v>
      </c>
      <c r="DI51" s="22" t="b">
        <f t="shared" ca="1" si="88"/>
        <v>0</v>
      </c>
      <c r="DJ51" s="22" t="b">
        <f t="shared" ca="1" si="89"/>
        <v>0</v>
      </c>
      <c r="DK51" s="22"/>
      <c r="DO51" s="15" t="str">
        <f t="shared" ca="1" si="90"/>
        <v/>
      </c>
      <c r="DP51" s="15" t="str">
        <f t="shared" ca="1" si="90"/>
        <v/>
      </c>
      <c r="DQ51" s="15" t="str">
        <f t="shared" ca="1" si="90"/>
        <v/>
      </c>
      <c r="DR51" s="15" t="str">
        <f t="shared" ca="1" si="90"/>
        <v/>
      </c>
      <c r="DS51" s="15" t="str">
        <f t="shared" ca="1" si="90"/>
        <v/>
      </c>
      <c r="DT51" s="15" t="str">
        <f t="shared" ca="1" si="90"/>
        <v/>
      </c>
      <c r="DU51" s="15" t="str">
        <f t="shared" ca="1" si="90"/>
        <v/>
      </c>
      <c r="DV51" s="15" t="str">
        <f t="shared" ca="1" si="90"/>
        <v/>
      </c>
    </row>
    <row r="52" spans="1:126">
      <c r="A52" s="15">
        <f t="shared" si="24"/>
        <v>40</v>
      </c>
      <c r="B52" s="15" t="str">
        <f ca="1">IF(AD52,IF(BS52&gt;0,BT52,IF(DA52,"Pole zależy od pól, które zależą od zamkniętego workbooka","ok.")),"")</f>
        <v>ok.</v>
      </c>
      <c r="C52" s="15" t="s">
        <v>227</v>
      </c>
      <c r="D52" s="15" t="str">
        <f t="shared" si="25"/>
        <v>Ster NazwaBazyDanychWR</v>
      </c>
      <c r="F52" s="15" t="s">
        <v>228</v>
      </c>
      <c r="G52" s="15" t="s">
        <v>121</v>
      </c>
      <c r="J52" s="19" t="str">
        <f ca="1">CELL(_CELL_ADDRESS_NAME,ster!$D$3)</f>
        <v>'[dane surowe2d.xlsm]ster'!$D$3</v>
      </c>
      <c r="M52" s="19"/>
      <c r="T52" s="15" t="str">
        <f t="shared" ca="1" si="69"/>
        <v>'[dane surowe2d.xlsm]ster'!$D$3</v>
      </c>
      <c r="U52" s="15">
        <f ca="1">IF(AD52,BS52,"")</f>
        <v>0</v>
      </c>
      <c r="AD52" s="16" t="b">
        <f t="shared" si="91"/>
        <v>1</v>
      </c>
      <c r="AE52" s="16" t="b">
        <f t="shared" si="92"/>
        <v>0</v>
      </c>
      <c r="AF52" s="15" t="str">
        <f t="shared" si="66"/>
        <v/>
      </c>
      <c r="AG52" s="15" t="str">
        <f t="shared" ca="1" si="4"/>
        <v/>
      </c>
      <c r="AH52" s="15" t="str">
        <f t="shared" ca="1" si="5"/>
        <v/>
      </c>
      <c r="AI52" s="15" t="b">
        <f t="shared" ca="1" si="6"/>
        <v>0</v>
      </c>
      <c r="AJ52" s="15" t="str">
        <f t="shared" ca="1" si="26"/>
        <v/>
      </c>
      <c r="AK52" s="27" t="str">
        <f t="shared" ca="1" si="93"/>
        <v/>
      </c>
      <c r="AL52" s="15" t="b">
        <f t="shared" ca="1" si="7"/>
        <v>0</v>
      </c>
      <c r="AM52" s="15" t="str">
        <f t="shared" ca="1" si="94"/>
        <v/>
      </c>
      <c r="AN52" s="15">
        <f t="shared" ca="1" si="95"/>
        <v>3</v>
      </c>
      <c r="AO52" s="15" t="str">
        <f t="shared" ca="1" si="27"/>
        <v/>
      </c>
      <c r="AP52" s="15" t="str">
        <f t="shared" ca="1" si="96"/>
        <v/>
      </c>
      <c r="AQ52" s="27">
        <f t="shared" ca="1" si="97"/>
        <v>1</v>
      </c>
      <c r="AR52" s="15" t="b">
        <f t="shared" ca="1" si="98"/>
        <v>1</v>
      </c>
      <c r="AS52" s="27" t="b">
        <f t="shared" ca="1" si="99"/>
        <v>1</v>
      </c>
      <c r="AT52" s="27" t="b">
        <f t="shared" ca="1" si="100"/>
        <v>1</v>
      </c>
      <c r="AU52" s="27">
        <f t="shared" ca="1" si="101"/>
        <v>21</v>
      </c>
      <c r="AV52" s="16" t="e">
        <f t="shared" ca="1" si="102"/>
        <v>#REF!</v>
      </c>
      <c r="AW52" s="15" t="str">
        <f t="shared" ca="1" si="115"/>
        <v>'[dane surowe2d.xlsm]ster'!$D$3</v>
      </c>
      <c r="AX52" s="27" t="b">
        <f t="shared" ca="1" si="103"/>
        <v>0</v>
      </c>
      <c r="AY52" s="27" t="b">
        <f t="shared" ca="1" si="104"/>
        <v>0</v>
      </c>
      <c r="AZ52" s="15">
        <f t="shared" ca="1" si="105"/>
        <v>1</v>
      </c>
      <c r="BA52" s="15">
        <f t="shared" ca="1" si="28"/>
        <v>1</v>
      </c>
      <c r="BB52" s="15" t="str">
        <f t="shared" ca="1" si="106"/>
        <v>'[dane surowe2d.xlsm]ster'!$D$3</v>
      </c>
      <c r="BC52" s="15" t="str">
        <f t="shared" ca="1" si="29"/>
        <v>'[dane surowe2d.xlsm]ster'!$D$3</v>
      </c>
      <c r="BD52" s="15" t="b">
        <f t="shared" ca="1" si="107"/>
        <v>0</v>
      </c>
      <c r="BE52" s="15" t="b">
        <f t="shared" ca="1" si="10"/>
        <v>0</v>
      </c>
      <c r="BF52" s="15" t="str">
        <f t="shared" ca="1" si="11"/>
        <v/>
      </c>
      <c r="BG52" s="15" t="str">
        <f t="shared" ca="1" si="12"/>
        <v/>
      </c>
      <c r="BH52" s="15">
        <f t="array" aca="1" ref="BH52" ca="1">IF(IFERROR( S52,1),1,IF(BC52="","", SUM(IF(ISERROR(INDIRECT(BC52)),1,0))))</f>
        <v>0</v>
      </c>
      <c r="BI52" s="15" t="b">
        <f t="shared" si="108"/>
        <v>0</v>
      </c>
      <c r="BJ52" s="15" t="b">
        <f t="shared" si="109"/>
        <v>1</v>
      </c>
      <c r="BK52" s="15">
        <f t="shared" ca="1" si="13"/>
        <v>2</v>
      </c>
      <c r="BL52" s="15">
        <f t="shared" ca="1" si="14"/>
        <v>2</v>
      </c>
      <c r="BP52" s="15" t="b">
        <f t="shared" si="30"/>
        <v>1</v>
      </c>
      <c r="BQ52" s="15" t="b">
        <f t="shared" ca="1" si="31"/>
        <v>0</v>
      </c>
      <c r="BR52" s="15" t="str">
        <f t="shared" ca="1" si="15"/>
        <v/>
      </c>
      <c r="BS52" s="15">
        <f t="shared" ca="1" si="32"/>
        <v>0</v>
      </c>
      <c r="BT52" s="15" t="str">
        <f t="shared" ca="1" si="16"/>
        <v/>
      </c>
      <c r="BV52" s="15" t="b">
        <f t="shared" ca="1" si="33"/>
        <v>0</v>
      </c>
      <c r="BW52" s="15" t="b">
        <f t="shared" ca="1" si="34"/>
        <v>0</v>
      </c>
      <c r="BX52" s="15" t="b">
        <f t="shared" ca="1" si="35"/>
        <v>0</v>
      </c>
      <c r="BY52" s="15" t="b">
        <f t="shared" ca="1" si="17"/>
        <v>0</v>
      </c>
      <c r="BZ52" s="15" t="b">
        <f t="shared" ca="1" si="36"/>
        <v>0</v>
      </c>
      <c r="CA52" s="15" t="b">
        <f t="shared" ca="1" si="110"/>
        <v>0</v>
      </c>
      <c r="CB52" s="15" t="b">
        <f t="shared" ca="1" si="111"/>
        <v>0</v>
      </c>
      <c r="CC52" s="15" t="b">
        <f t="shared" ca="1" si="112"/>
        <v>0</v>
      </c>
      <c r="CD52" s="15" t="b">
        <f t="shared" ca="1" si="112"/>
        <v>0</v>
      </c>
      <c r="CE52" s="15" t="b">
        <f t="shared" ca="1" si="37"/>
        <v>0</v>
      </c>
      <c r="CF52" s="15" t="b">
        <f t="shared" ca="1" si="113"/>
        <v>0</v>
      </c>
      <c r="CG52" s="15" t="b">
        <f t="shared" ca="1" si="114"/>
        <v>0</v>
      </c>
      <c r="CH52" s="15" t="b">
        <f t="shared" ca="1" si="18"/>
        <v>0</v>
      </c>
      <c r="CI52" s="15" t="b">
        <f t="shared" si="38"/>
        <v>0</v>
      </c>
      <c r="CJ52" s="15" t="b">
        <f t="shared" si="39"/>
        <v>0</v>
      </c>
      <c r="CK52" s="15" t="b">
        <f t="shared" ca="1" si="64"/>
        <v>0</v>
      </c>
      <c r="CL52" s="15" t="b">
        <f t="shared" ca="1" si="64"/>
        <v>0</v>
      </c>
      <c r="CM52" s="15" t="b">
        <f t="shared" ref="CM52:CR52" ca="1" si="116">IF(X52&lt;&gt;"",IFERROR(MATCH(X52,INDIRECT($C$4),0)&lt;0,TRUE),FALSE)</f>
        <v>0</v>
      </c>
      <c r="CN52" s="15" t="b">
        <f t="shared" ca="1" si="116"/>
        <v>0</v>
      </c>
      <c r="CO52" s="15" t="b">
        <f t="shared" ca="1" si="116"/>
        <v>0</v>
      </c>
      <c r="CP52" s="15" t="b">
        <f t="shared" ca="1" si="116"/>
        <v>0</v>
      </c>
      <c r="CQ52" s="15" t="b">
        <f t="shared" ca="1" si="116"/>
        <v>0</v>
      </c>
      <c r="CR52" s="21" t="b">
        <f t="shared" ca="1" si="116"/>
        <v>0</v>
      </c>
      <c r="CS52" s="22" t="b">
        <f t="shared" ca="1" si="82"/>
        <v>0</v>
      </c>
      <c r="CT52" s="22" t="b">
        <f t="shared" ca="1" si="82"/>
        <v>0</v>
      </c>
      <c r="CU52" s="22" t="b">
        <f t="shared" ca="1" si="82"/>
        <v>0</v>
      </c>
      <c r="CV52" s="22" t="b">
        <f t="shared" ca="1" si="82"/>
        <v>0</v>
      </c>
      <c r="CW52" s="22" t="b">
        <f t="shared" ca="1" si="82"/>
        <v>0</v>
      </c>
      <c r="CX52" s="22" t="b">
        <f t="shared" ca="1" si="82"/>
        <v>0</v>
      </c>
      <c r="CY52" s="22" t="b">
        <f t="shared" ca="1" si="82"/>
        <v>0</v>
      </c>
      <c r="CZ52" s="21" t="b">
        <f t="shared" ca="1" si="82"/>
        <v>0</v>
      </c>
      <c r="DB52" s="22" t="b">
        <f t="shared" ca="1" si="40"/>
        <v>0</v>
      </c>
      <c r="DC52" s="22" t="b">
        <f t="shared" ca="1" si="21"/>
        <v>0</v>
      </c>
      <c r="DD52" s="22" t="b">
        <f t="shared" ca="1" si="83"/>
        <v>0</v>
      </c>
      <c r="DE52" s="22" t="b">
        <f t="shared" ca="1" si="84"/>
        <v>0</v>
      </c>
      <c r="DF52" s="22" t="b">
        <f t="shared" ca="1" si="85"/>
        <v>0</v>
      </c>
      <c r="DG52" s="22" t="b">
        <f t="shared" ca="1" si="86"/>
        <v>0</v>
      </c>
      <c r="DH52" s="22" t="b">
        <f t="shared" ca="1" si="87"/>
        <v>0</v>
      </c>
      <c r="DI52" s="22" t="b">
        <f t="shared" ca="1" si="88"/>
        <v>0</v>
      </c>
      <c r="DJ52" s="22" t="b">
        <f t="shared" ca="1" si="89"/>
        <v>0</v>
      </c>
      <c r="DK52" s="22"/>
      <c r="DO52" s="15" t="str">
        <f t="shared" ca="1" si="90"/>
        <v/>
      </c>
      <c r="DP52" s="15" t="str">
        <f t="shared" ca="1" si="90"/>
        <v/>
      </c>
      <c r="DQ52" s="15" t="str">
        <f t="shared" ca="1" si="90"/>
        <v/>
      </c>
      <c r="DR52" s="15" t="str">
        <f t="shared" ca="1" si="90"/>
        <v/>
      </c>
      <c r="DS52" s="15" t="str">
        <f t="shared" ca="1" si="90"/>
        <v/>
      </c>
      <c r="DT52" s="15" t="str">
        <f t="shared" ca="1" si="90"/>
        <v/>
      </c>
      <c r="DU52" s="15" t="str">
        <f t="shared" ca="1" si="90"/>
        <v/>
      </c>
      <c r="DV52" s="15" t="str">
        <f t="shared" ca="1" si="90"/>
        <v/>
      </c>
    </row>
    <row r="53" spans="1:126">
      <c r="A53" s="15">
        <f t="shared" si="24"/>
        <v>41</v>
      </c>
      <c r="B53" s="15" t="str">
        <f t="shared" ref="B53:B60" ca="1" si="117">IF(AD53,IF(BS53&gt;0,BT53,IF(DA53,"Pole zależy od pól, które zależą od zamkniętego workbooka","ok.")),"")</f>
        <v>ok.</v>
      </c>
      <c r="C53" s="15" t="s">
        <v>152</v>
      </c>
      <c r="D53" s="15" t="str">
        <f t="shared" si="25"/>
        <v>Grupy Zakres</v>
      </c>
      <c r="F53" s="15" t="s">
        <v>203</v>
      </c>
      <c r="G53" s="15" t="s">
        <v>121</v>
      </c>
      <c r="J53" s="19" t="str">
        <f ca="1">CELL(_CELL_ADDRESS_NAME,grupy!$B$4)</f>
        <v>'[dane surowe2d.xlsm]grupy'!$B$4</v>
      </c>
      <c r="K53" s="15">
        <f ca="1">ster!$C$16</f>
        <v>20</v>
      </c>
      <c r="L53" s="15">
        <f ca="1">COUNTA(grupy!$B$4:$F$4)</f>
        <v>4</v>
      </c>
      <c r="M53" s="19"/>
      <c r="P53" s="15">
        <v>1</v>
      </c>
      <c r="T53" s="15" t="str">
        <f t="shared" ca="1" si="69"/>
        <v>'[dane surowe2d.xlsm]grupy'!$B$4:$E$23</v>
      </c>
      <c r="U53" s="15">
        <f t="shared" ref="U53:U60" ca="1" si="118">IF(AD53,BS53,"")</f>
        <v>0</v>
      </c>
      <c r="AD53" s="16" t="b">
        <f t="shared" si="91"/>
        <v>1</v>
      </c>
      <c r="AE53" s="16" t="b">
        <f t="shared" si="92"/>
        <v>0</v>
      </c>
      <c r="AF53" s="15" t="str">
        <f t="shared" si="66"/>
        <v/>
      </c>
      <c r="AG53" s="15" t="str">
        <f t="shared" ca="1" si="4"/>
        <v/>
      </c>
      <c r="AH53" s="15" t="str">
        <f t="shared" ca="1" si="5"/>
        <v/>
      </c>
      <c r="AI53" s="15" t="b">
        <f t="shared" ca="1" si="6"/>
        <v>0</v>
      </c>
      <c r="AJ53" s="15" t="str">
        <f t="shared" ca="1" si="26"/>
        <v/>
      </c>
      <c r="AK53" s="27" t="str">
        <f t="shared" ca="1" si="93"/>
        <v/>
      </c>
      <c r="AL53" s="15" t="b">
        <f t="shared" ca="1" si="7"/>
        <v>0</v>
      </c>
      <c r="AM53" s="15" t="str">
        <f t="shared" ca="1" si="94"/>
        <v/>
      </c>
      <c r="AN53" s="15">
        <f t="shared" ca="1" si="95"/>
        <v>3</v>
      </c>
      <c r="AO53" s="15" t="str">
        <f t="shared" ca="1" si="27"/>
        <v/>
      </c>
      <c r="AP53" s="15" t="str">
        <f t="shared" ca="1" si="96"/>
        <v/>
      </c>
      <c r="AQ53" s="27">
        <f t="shared" ca="1" si="97"/>
        <v>1</v>
      </c>
      <c r="AR53" s="15" t="b">
        <f t="shared" ca="1" si="98"/>
        <v>1</v>
      </c>
      <c r="AS53" s="27" t="b">
        <f t="shared" ca="1" si="99"/>
        <v>1</v>
      </c>
      <c r="AT53" s="27" t="b">
        <f t="shared" ca="1" si="100"/>
        <v>1</v>
      </c>
      <c r="AU53" s="27">
        <f t="shared" ca="1" si="101"/>
        <v>21</v>
      </c>
      <c r="AV53" s="16" t="e">
        <f t="shared" ca="1" si="102"/>
        <v>#REF!</v>
      </c>
      <c r="AW53" s="15" t="str">
        <f t="shared" ca="1" si="115"/>
        <v>'[dane surowe2d.xlsm]grupy'!$B$4</v>
      </c>
      <c r="AX53" s="27" t="b">
        <f t="shared" ca="1" si="103"/>
        <v>0</v>
      </c>
      <c r="AY53" s="27" t="b">
        <f t="shared" ca="1" si="104"/>
        <v>0</v>
      </c>
      <c r="AZ53" s="15">
        <f t="shared" ca="1" si="105"/>
        <v>4</v>
      </c>
      <c r="BA53" s="15">
        <f t="shared" ca="1" si="28"/>
        <v>20</v>
      </c>
      <c r="BB53" s="15" t="str">
        <f t="shared" ca="1" si="106"/>
        <v>'[dane surowe2d.xlsm]grupy'!$B$4</v>
      </c>
      <c r="BC53" s="15" t="str">
        <f t="shared" ca="1" si="29"/>
        <v>'[dane surowe2d.xlsm]grupy'!$B$4:$E$23</v>
      </c>
      <c r="BD53" s="15" t="b">
        <f t="shared" ca="1" si="107"/>
        <v>1</v>
      </c>
      <c r="BE53" s="15" t="b">
        <f t="shared" ca="1" si="10"/>
        <v>0</v>
      </c>
      <c r="BF53" s="15" t="str">
        <f t="shared" ca="1" si="11"/>
        <v/>
      </c>
      <c r="BG53" s="15" t="str">
        <f t="shared" ca="1" si="12"/>
        <v/>
      </c>
      <c r="BH53" s="15">
        <f t="array" aca="1" ref="BH53" ca="1">IF(IFERROR( S53,1),1,IF(BC53="","", SUM(IF(ISERROR(INDIRECT(BC53)),1,0))))</f>
        <v>0</v>
      </c>
      <c r="BI53" s="15" t="b">
        <f t="shared" si="108"/>
        <v>0</v>
      </c>
      <c r="BJ53" s="15" t="b">
        <f t="shared" si="109"/>
        <v>1</v>
      </c>
      <c r="BK53" s="15">
        <f t="shared" ca="1" si="13"/>
        <v>2</v>
      </c>
      <c r="BL53" s="15">
        <f t="shared" ca="1" si="14"/>
        <v>2</v>
      </c>
      <c r="BP53" s="15" t="b">
        <f t="shared" si="30"/>
        <v>1</v>
      </c>
      <c r="BQ53" s="15" t="b">
        <f t="shared" ca="1" si="31"/>
        <v>0</v>
      </c>
      <c r="BR53" s="15" t="str">
        <f t="shared" ca="1" si="15"/>
        <v/>
      </c>
      <c r="BS53" s="15">
        <f t="shared" ca="1" si="32"/>
        <v>0</v>
      </c>
      <c r="BT53" s="15" t="str">
        <f t="shared" ca="1" si="16"/>
        <v/>
      </c>
      <c r="BV53" s="15" t="b">
        <f t="shared" ca="1" si="33"/>
        <v>0</v>
      </c>
      <c r="BW53" s="15" t="b">
        <f t="shared" ca="1" si="34"/>
        <v>0</v>
      </c>
      <c r="BX53" s="15" t="b">
        <f t="shared" ca="1" si="35"/>
        <v>0</v>
      </c>
      <c r="BY53" s="15" t="b">
        <f t="shared" ca="1" si="17"/>
        <v>0</v>
      </c>
      <c r="BZ53" s="15" t="b">
        <f t="shared" ca="1" si="36"/>
        <v>0</v>
      </c>
      <c r="CA53" s="15" t="b">
        <f t="shared" ca="1" si="110"/>
        <v>0</v>
      </c>
      <c r="CB53" s="15" t="b">
        <f t="shared" ca="1" si="111"/>
        <v>0</v>
      </c>
      <c r="CC53" s="15" t="b">
        <f t="shared" ca="1" si="112"/>
        <v>0</v>
      </c>
      <c r="CD53" s="15" t="b">
        <f t="shared" ca="1" si="112"/>
        <v>0</v>
      </c>
      <c r="CE53" s="15" t="b">
        <f t="shared" ca="1" si="37"/>
        <v>0</v>
      </c>
      <c r="CF53" s="15" t="b">
        <f t="shared" ca="1" si="113"/>
        <v>0</v>
      </c>
      <c r="CG53" s="15" t="b">
        <f t="shared" ca="1" si="114"/>
        <v>0</v>
      </c>
      <c r="CH53" s="15" t="b">
        <f t="shared" ca="1" si="18"/>
        <v>0</v>
      </c>
      <c r="CI53" s="15" t="b">
        <f t="shared" si="38"/>
        <v>0</v>
      </c>
      <c r="CJ53" s="15" t="b">
        <f t="shared" si="39"/>
        <v>0</v>
      </c>
      <c r="CK53" s="15" t="b">
        <f t="shared" ref="CK53:CR70" ca="1" si="119">IF(V53&lt;&gt;"",IFERROR(MATCH(V53,INDIRECT($C$4),0)&lt;0,TRUE),FALSE)</f>
        <v>0</v>
      </c>
      <c r="CL53" s="15" t="b">
        <f t="shared" ca="1" si="119"/>
        <v>0</v>
      </c>
      <c r="CM53" s="15" t="b">
        <f t="shared" ca="1" si="119"/>
        <v>0</v>
      </c>
      <c r="CN53" s="15" t="b">
        <f t="shared" ca="1" si="119"/>
        <v>0</v>
      </c>
      <c r="CO53" s="15" t="b">
        <f t="shared" ca="1" si="119"/>
        <v>0</v>
      </c>
      <c r="CP53" s="15" t="b">
        <f t="shared" ca="1" si="119"/>
        <v>0</v>
      </c>
      <c r="CQ53" s="15" t="b">
        <f t="shared" ref="CQ53:CQ68" ca="1" si="120">IF(AB53&lt;&gt;"",IFERROR(MATCH(AB53,INDIRECT($C$4),0)&lt;0,TRUE),FALSE)</f>
        <v>0</v>
      </c>
      <c r="CR53" s="21" t="b">
        <f t="shared" ref="CR53:CR68" ca="1" si="121">IF(AC53&lt;&gt;"",IFERROR(MATCH(AC53,INDIRECT($C$4),0)&lt;0,TRUE),FALSE)</f>
        <v>0</v>
      </c>
      <c r="CS53" s="22" t="b">
        <f t="shared" ca="1" si="82"/>
        <v>0</v>
      </c>
      <c r="CT53" s="22" t="b">
        <f t="shared" ca="1" si="82"/>
        <v>0</v>
      </c>
      <c r="CU53" s="22" t="b">
        <f t="shared" ca="1" si="82"/>
        <v>0</v>
      </c>
      <c r="CV53" s="22" t="b">
        <f t="shared" ca="1" si="82"/>
        <v>0</v>
      </c>
      <c r="CW53" s="22" t="b">
        <f t="shared" ca="1" si="82"/>
        <v>0</v>
      </c>
      <c r="CX53" s="22" t="b">
        <f t="shared" ca="1" si="82"/>
        <v>0</v>
      </c>
      <c r="CY53" s="22" t="b">
        <f t="shared" ca="1" si="82"/>
        <v>0</v>
      </c>
      <c r="CZ53" s="21" t="b">
        <f t="shared" ca="1" si="82"/>
        <v>0</v>
      </c>
      <c r="DB53" s="22" t="b">
        <f t="shared" ca="1" si="40"/>
        <v>0</v>
      </c>
      <c r="DC53" s="22" t="b">
        <f t="shared" ca="1" si="21"/>
        <v>0</v>
      </c>
      <c r="DD53" s="22" t="b">
        <f t="shared" ca="1" si="83"/>
        <v>0</v>
      </c>
      <c r="DE53" s="22" t="b">
        <f t="shared" ca="1" si="84"/>
        <v>0</v>
      </c>
      <c r="DF53" s="22" t="b">
        <f t="shared" ca="1" si="85"/>
        <v>0</v>
      </c>
      <c r="DG53" s="22" t="b">
        <f t="shared" ca="1" si="86"/>
        <v>0</v>
      </c>
      <c r="DH53" s="22" t="b">
        <f t="shared" ca="1" si="87"/>
        <v>0</v>
      </c>
      <c r="DI53" s="22" t="b">
        <f t="shared" ca="1" si="88"/>
        <v>0</v>
      </c>
      <c r="DJ53" s="22" t="b">
        <f t="shared" ca="1" si="89"/>
        <v>0</v>
      </c>
      <c r="DK53" s="22"/>
      <c r="DO53" s="15" t="str">
        <f t="shared" ca="1" si="90"/>
        <v/>
      </c>
      <c r="DP53" s="15" t="str">
        <f t="shared" ca="1" si="90"/>
        <v/>
      </c>
      <c r="DQ53" s="15" t="str">
        <f t="shared" ca="1" si="90"/>
        <v/>
      </c>
      <c r="DR53" s="15" t="str">
        <f t="shared" ca="1" si="90"/>
        <v/>
      </c>
      <c r="DS53" s="15" t="str">
        <f t="shared" ca="1" si="90"/>
        <v/>
      </c>
      <c r="DT53" s="15" t="str">
        <f t="shared" ca="1" si="90"/>
        <v/>
      </c>
      <c r="DU53" s="15" t="str">
        <f t="shared" ca="1" si="90"/>
        <v/>
      </c>
      <c r="DV53" s="15" t="str">
        <f t="shared" ca="1" si="90"/>
        <v/>
      </c>
    </row>
    <row r="54" spans="1:126">
      <c r="A54" s="15">
        <f t="shared" si="24"/>
        <v>42</v>
      </c>
      <c r="B54" s="15" t="str">
        <f t="shared" ca="1" si="117"/>
        <v>ok.</v>
      </c>
      <c r="C54" s="15" t="s">
        <v>109</v>
      </c>
      <c r="D54" s="15" t="str">
        <f t="shared" si="25"/>
        <v>Grupy Nazwy</v>
      </c>
      <c r="F54" s="15" t="s">
        <v>189</v>
      </c>
      <c r="G54" s="15" t="s">
        <v>121</v>
      </c>
      <c r="J54" s="19" t="str">
        <f ca="1">CELL(_CELL_ADDRESS_NAME,grupy!$C$4)</f>
        <v>'[dane surowe2d.xlsm]grupy'!$C$4</v>
      </c>
      <c r="K54" s="15">
        <f ca="1">ster!$C$16</f>
        <v>20</v>
      </c>
      <c r="M54" s="19"/>
      <c r="T54" s="15" t="str">
        <f t="shared" ca="1" si="69"/>
        <v>'[dane surowe2d.xlsm]grupy'!$C$4:$C$23</v>
      </c>
      <c r="U54" s="15">
        <f t="shared" ca="1" si="118"/>
        <v>0</v>
      </c>
      <c r="AD54" s="16" t="b">
        <f t="shared" si="91"/>
        <v>1</v>
      </c>
      <c r="AE54" s="16" t="b">
        <f t="shared" si="92"/>
        <v>0</v>
      </c>
      <c r="AF54" s="15" t="str">
        <f t="shared" si="66"/>
        <v/>
      </c>
      <c r="AG54" s="15" t="str">
        <f t="shared" ca="1" si="4"/>
        <v/>
      </c>
      <c r="AH54" s="15" t="str">
        <f t="shared" ca="1" si="5"/>
        <v/>
      </c>
      <c r="AI54" s="15" t="b">
        <f t="shared" ca="1" si="6"/>
        <v>0</v>
      </c>
      <c r="AJ54" s="15" t="str">
        <f t="shared" ca="1" si="26"/>
        <v/>
      </c>
      <c r="AK54" s="27" t="str">
        <f t="shared" ca="1" si="93"/>
        <v/>
      </c>
      <c r="AL54" s="15" t="b">
        <f t="shared" ca="1" si="7"/>
        <v>0</v>
      </c>
      <c r="AM54" s="15" t="str">
        <f t="shared" ca="1" si="94"/>
        <v/>
      </c>
      <c r="AN54" s="15">
        <f t="shared" ca="1" si="95"/>
        <v>3</v>
      </c>
      <c r="AO54" s="15" t="str">
        <f t="shared" ca="1" si="27"/>
        <v/>
      </c>
      <c r="AP54" s="15" t="str">
        <f t="shared" ca="1" si="96"/>
        <v/>
      </c>
      <c r="AQ54" s="27">
        <f t="shared" ca="1" si="97"/>
        <v>1</v>
      </c>
      <c r="AR54" s="15" t="b">
        <f t="shared" ca="1" si="98"/>
        <v>1</v>
      </c>
      <c r="AS54" s="27" t="b">
        <f t="shared" ca="1" si="99"/>
        <v>1</v>
      </c>
      <c r="AT54" s="27" t="b">
        <f t="shared" ca="1" si="100"/>
        <v>1</v>
      </c>
      <c r="AU54" s="27">
        <f t="shared" ca="1" si="101"/>
        <v>21</v>
      </c>
      <c r="AV54" s="16" t="e">
        <f t="shared" ca="1" si="102"/>
        <v>#REF!</v>
      </c>
      <c r="AW54" s="15" t="str">
        <f t="shared" ca="1" si="115"/>
        <v>'[dane surowe2d.xlsm]grupy'!$C$4</v>
      </c>
      <c r="AX54" s="27" t="b">
        <f t="shared" ca="1" si="103"/>
        <v>0</v>
      </c>
      <c r="AY54" s="27" t="b">
        <f t="shared" ca="1" si="104"/>
        <v>0</v>
      </c>
      <c r="AZ54" s="15">
        <f t="shared" ca="1" si="105"/>
        <v>1</v>
      </c>
      <c r="BA54" s="15">
        <f t="shared" ca="1" si="28"/>
        <v>20</v>
      </c>
      <c r="BB54" s="15" t="str">
        <f t="shared" ca="1" si="106"/>
        <v>'[dane surowe2d.xlsm]grupy'!$C$4</v>
      </c>
      <c r="BC54" s="15" t="str">
        <f t="shared" ca="1" si="29"/>
        <v>'[dane surowe2d.xlsm]grupy'!$C$4:$C$23</v>
      </c>
      <c r="BD54" s="15" t="b">
        <f t="shared" ca="1" si="107"/>
        <v>1</v>
      </c>
      <c r="BE54" s="15" t="b">
        <f t="shared" ca="1" si="10"/>
        <v>0</v>
      </c>
      <c r="BF54" s="15" t="str">
        <f t="shared" ca="1" si="11"/>
        <v/>
      </c>
      <c r="BG54" s="15" t="str">
        <f t="shared" ca="1" si="12"/>
        <v/>
      </c>
      <c r="BH54" s="15">
        <f t="array" aca="1" ref="BH54" ca="1">IF(IFERROR( S54,1),1,IF(BC54="","", SUM(IF(ISERROR(INDIRECT(BC54)),1,0))))</f>
        <v>0</v>
      </c>
      <c r="BI54" s="15" t="b">
        <f t="shared" si="108"/>
        <v>0</v>
      </c>
      <c r="BJ54" s="15" t="b">
        <f t="shared" si="109"/>
        <v>1</v>
      </c>
      <c r="BK54" s="15">
        <f t="shared" ca="1" si="13"/>
        <v>2</v>
      </c>
      <c r="BL54" s="15">
        <f t="shared" ca="1" si="14"/>
        <v>2</v>
      </c>
      <c r="BP54" s="15" t="b">
        <f t="shared" si="30"/>
        <v>1</v>
      </c>
      <c r="BQ54" s="15" t="b">
        <f t="shared" ca="1" si="31"/>
        <v>0</v>
      </c>
      <c r="BR54" s="15" t="str">
        <f t="shared" ca="1" si="15"/>
        <v/>
      </c>
      <c r="BS54" s="15">
        <f t="shared" ca="1" si="32"/>
        <v>0</v>
      </c>
      <c r="BT54" s="15" t="str">
        <f t="shared" ca="1" si="16"/>
        <v/>
      </c>
      <c r="BV54" s="15" t="b">
        <f t="shared" ca="1" si="33"/>
        <v>0</v>
      </c>
      <c r="BW54" s="15" t="b">
        <f t="shared" ca="1" si="34"/>
        <v>0</v>
      </c>
      <c r="BX54" s="15" t="b">
        <f t="shared" ca="1" si="35"/>
        <v>0</v>
      </c>
      <c r="BY54" s="15" t="b">
        <f t="shared" ca="1" si="17"/>
        <v>0</v>
      </c>
      <c r="BZ54" s="15" t="b">
        <f t="shared" ca="1" si="36"/>
        <v>0</v>
      </c>
      <c r="CA54" s="15" t="b">
        <f t="shared" ca="1" si="110"/>
        <v>0</v>
      </c>
      <c r="CB54" s="15" t="b">
        <f t="shared" ca="1" si="111"/>
        <v>0</v>
      </c>
      <c r="CC54" s="15" t="b">
        <f t="shared" ca="1" si="112"/>
        <v>0</v>
      </c>
      <c r="CD54" s="15" t="b">
        <f t="shared" ca="1" si="112"/>
        <v>0</v>
      </c>
      <c r="CE54" s="15" t="b">
        <f t="shared" ca="1" si="37"/>
        <v>0</v>
      </c>
      <c r="CF54" s="15" t="b">
        <f t="shared" ca="1" si="113"/>
        <v>0</v>
      </c>
      <c r="CG54" s="15" t="b">
        <f t="shared" ca="1" si="114"/>
        <v>0</v>
      </c>
      <c r="CH54" s="15" t="b">
        <f t="shared" ca="1" si="18"/>
        <v>0</v>
      </c>
      <c r="CI54" s="15" t="b">
        <f t="shared" si="38"/>
        <v>0</v>
      </c>
      <c r="CJ54" s="15" t="b">
        <f t="shared" si="39"/>
        <v>0</v>
      </c>
      <c r="CK54" s="15" t="b">
        <f t="shared" ca="1" si="119"/>
        <v>0</v>
      </c>
      <c r="CL54" s="15" t="b">
        <f t="shared" ca="1" si="119"/>
        <v>0</v>
      </c>
      <c r="CM54" s="15" t="b">
        <f t="shared" ca="1" si="119"/>
        <v>0</v>
      </c>
      <c r="CN54" s="15" t="b">
        <f t="shared" ca="1" si="119"/>
        <v>0</v>
      </c>
      <c r="CO54" s="15" t="b">
        <f t="shared" ca="1" si="119"/>
        <v>0</v>
      </c>
      <c r="CP54" s="15" t="b">
        <f t="shared" ca="1" si="119"/>
        <v>0</v>
      </c>
      <c r="CQ54" s="15" t="b">
        <f t="shared" ca="1" si="120"/>
        <v>0</v>
      </c>
      <c r="CR54" s="21" t="b">
        <f t="shared" ca="1" si="121"/>
        <v>0</v>
      </c>
      <c r="CS54" s="22" t="b">
        <f t="shared" ca="1" si="82"/>
        <v>0</v>
      </c>
      <c r="CT54" s="22" t="b">
        <f t="shared" ca="1" si="82"/>
        <v>0</v>
      </c>
      <c r="CU54" s="22" t="b">
        <f t="shared" ca="1" si="82"/>
        <v>0</v>
      </c>
      <c r="CV54" s="22" t="b">
        <f t="shared" ca="1" si="82"/>
        <v>0</v>
      </c>
      <c r="CW54" s="22" t="b">
        <f t="shared" ca="1" si="82"/>
        <v>0</v>
      </c>
      <c r="CX54" s="22" t="b">
        <f t="shared" ca="1" si="82"/>
        <v>0</v>
      </c>
      <c r="CY54" s="22" t="b">
        <f t="shared" ca="1" si="82"/>
        <v>0</v>
      </c>
      <c r="CZ54" s="21" t="b">
        <f t="shared" ca="1" si="82"/>
        <v>0</v>
      </c>
      <c r="DB54" s="22" t="b">
        <f t="shared" ca="1" si="40"/>
        <v>0</v>
      </c>
      <c r="DC54" s="22" t="b">
        <f t="shared" ca="1" si="21"/>
        <v>0</v>
      </c>
      <c r="DD54" s="22" t="b">
        <f t="shared" ca="1" si="83"/>
        <v>0</v>
      </c>
      <c r="DE54" s="22" t="b">
        <f t="shared" ca="1" si="84"/>
        <v>0</v>
      </c>
      <c r="DF54" s="22" t="b">
        <f t="shared" ca="1" si="85"/>
        <v>0</v>
      </c>
      <c r="DG54" s="22" t="b">
        <f t="shared" ca="1" si="86"/>
        <v>0</v>
      </c>
      <c r="DH54" s="22" t="b">
        <f t="shared" ca="1" si="87"/>
        <v>0</v>
      </c>
      <c r="DI54" s="22" t="b">
        <f t="shared" ca="1" si="88"/>
        <v>0</v>
      </c>
      <c r="DJ54" s="22" t="b">
        <f t="shared" ca="1" si="89"/>
        <v>0</v>
      </c>
      <c r="DK54" s="22"/>
      <c r="DO54" s="15" t="str">
        <f t="shared" ca="1" si="90"/>
        <v/>
      </c>
      <c r="DP54" s="15" t="str">
        <f t="shared" ca="1" si="90"/>
        <v/>
      </c>
      <c r="DQ54" s="15" t="str">
        <f t="shared" ca="1" si="90"/>
        <v/>
      </c>
      <c r="DR54" s="15" t="str">
        <f t="shared" ca="1" si="90"/>
        <v/>
      </c>
      <c r="DS54" s="15" t="str">
        <f t="shared" ca="1" si="90"/>
        <v/>
      </c>
      <c r="DT54" s="15" t="str">
        <f t="shared" ca="1" si="90"/>
        <v/>
      </c>
      <c r="DU54" s="15" t="str">
        <f t="shared" ca="1" si="90"/>
        <v/>
      </c>
      <c r="DV54" s="15" t="str">
        <f t="shared" ca="1" si="90"/>
        <v/>
      </c>
    </row>
    <row r="55" spans="1:126">
      <c r="A55" s="15">
        <f t="shared" si="24"/>
        <v>43</v>
      </c>
      <c r="B55" s="15" t="str">
        <f t="shared" si="117"/>
        <v>ok.</v>
      </c>
      <c r="C55" s="15" t="s">
        <v>110</v>
      </c>
      <c r="D55" s="15" t="str">
        <f t="shared" si="25"/>
        <v>Grupy LiczbaZmiennych</v>
      </c>
      <c r="H55" s="15" t="str">
        <f>wew!$B$7</f>
        <v>Hub2.xlsb</v>
      </c>
      <c r="I55" s="15" t="s">
        <v>110</v>
      </c>
      <c r="M55" s="19">
        <v>1</v>
      </c>
      <c r="T55" s="15" t="str">
        <f t="shared" ca="1" si="69"/>
        <v/>
      </c>
      <c r="U55" s="15">
        <f t="shared" si="118"/>
        <v>0</v>
      </c>
      <c r="AD55" s="16" t="b">
        <f t="shared" si="91"/>
        <v>1</v>
      </c>
      <c r="AE55" s="16" t="b">
        <f t="shared" si="92"/>
        <v>1</v>
      </c>
      <c r="AF55" s="15" t="str">
        <f t="shared" si="66"/>
        <v>[Hub2.xlsb]NewZal</v>
      </c>
      <c r="AG55" s="15" t="str">
        <f t="shared" ca="1" si="4"/>
        <v/>
      </c>
      <c r="AH55" s="15" t="str">
        <f t="shared" ca="1" si="5"/>
        <v/>
      </c>
      <c r="AI55" s="15" t="b">
        <f t="shared" ca="1" si="6"/>
        <v>0</v>
      </c>
      <c r="AJ55" s="15" t="e">
        <f t="shared" ca="1" si="26"/>
        <v>#REF!</v>
      </c>
      <c r="AK55" s="27" t="e">
        <f t="shared" ca="1" si="93"/>
        <v>#REF!</v>
      </c>
      <c r="AL55" s="15" t="b">
        <f t="shared" ca="1" si="7"/>
        <v>0</v>
      </c>
      <c r="AM55" s="15" t="e">
        <f t="shared" ca="1" si="94"/>
        <v>#REF!</v>
      </c>
      <c r="AN55" s="15">
        <f t="shared" ca="1" si="95"/>
        <v>3</v>
      </c>
      <c r="AO55" s="15" t="e">
        <f t="shared" ca="1" si="27"/>
        <v>#REF!</v>
      </c>
      <c r="AP55" s="15" t="e">
        <f t="shared" ca="1" si="96"/>
        <v>#REF!</v>
      </c>
      <c r="AQ55" s="27">
        <f t="shared" si="97"/>
        <v>2</v>
      </c>
      <c r="AR55" s="15" t="b">
        <f t="shared" si="98"/>
        <v>0</v>
      </c>
      <c r="AS55" s="27" t="b">
        <f t="shared" si="99"/>
        <v>0</v>
      </c>
      <c r="AT55" s="27" t="b">
        <f t="shared" si="100"/>
        <v>0</v>
      </c>
      <c r="AU55" s="27" t="str">
        <f t="shared" si="101"/>
        <v/>
      </c>
      <c r="AV55" s="16" t="b">
        <f t="shared" si="102"/>
        <v>0</v>
      </c>
      <c r="AW55" s="15" t="str">
        <f t="shared" ca="1" si="115"/>
        <v/>
      </c>
      <c r="AX55" s="27" t="b">
        <f t="shared" ca="1" si="103"/>
        <v>0</v>
      </c>
      <c r="AY55" s="27" t="b">
        <f t="shared" ca="1" si="104"/>
        <v>0</v>
      </c>
      <c r="AZ55" s="15" t="str">
        <f t="shared" ca="1" si="105"/>
        <v>?</v>
      </c>
      <c r="BA55" s="15" t="str">
        <f t="shared" ca="1" si="28"/>
        <v>?</v>
      </c>
      <c r="BB55" s="15" t="e">
        <f t="shared" ca="1" si="106"/>
        <v>#REF!</v>
      </c>
      <c r="BC55" s="15" t="str">
        <f t="shared" ca="1" si="29"/>
        <v/>
      </c>
      <c r="BD55" s="15" t="e">
        <f t="shared" ca="1" si="107"/>
        <v>#VALUE!</v>
      </c>
      <c r="BE55" s="15" t="b">
        <f t="shared" si="10"/>
        <v>0</v>
      </c>
      <c r="BF55" s="15" t="str">
        <f t="shared" ca="1" si="11"/>
        <v/>
      </c>
      <c r="BG55" s="15" t="str">
        <f t="shared" si="12"/>
        <v/>
      </c>
      <c r="BH55" s="15" t="str">
        <f t="array" aca="1" ref="BH55" ca="1">IF(IFERROR( S55,1),1,IF(BC55="","", SUM(IF(ISERROR(INDIRECT(BC55)),1,0))))</f>
        <v/>
      </c>
      <c r="BI55" s="15" t="b">
        <f t="shared" si="108"/>
        <v>0</v>
      </c>
      <c r="BJ55" s="15" t="b">
        <f t="shared" si="109"/>
        <v>0</v>
      </c>
      <c r="BK55" s="15" t="str">
        <f t="shared" si="13"/>
        <v/>
      </c>
      <c r="BL55" s="15">
        <f t="shared" ca="1" si="14"/>
        <v>3</v>
      </c>
      <c r="BP55" s="15" t="b">
        <f t="shared" si="30"/>
        <v>0</v>
      </c>
      <c r="BQ55" s="15" t="b">
        <f t="shared" si="31"/>
        <v>0</v>
      </c>
      <c r="BR55" s="15" t="str">
        <f t="shared" si="15"/>
        <v/>
      </c>
      <c r="BS55" s="15">
        <f t="shared" si="32"/>
        <v>0</v>
      </c>
      <c r="BT55" s="15" t="str">
        <f t="shared" si="16"/>
        <v/>
      </c>
      <c r="BV55" s="15" t="b">
        <f t="shared" ca="1" si="33"/>
        <v>0</v>
      </c>
      <c r="BW55" s="15" t="b">
        <f t="shared" ca="1" si="34"/>
        <v>0</v>
      </c>
      <c r="BX55" s="15" t="b">
        <f t="shared" ca="1" si="35"/>
        <v>1</v>
      </c>
      <c r="BY55" s="15" t="b">
        <f t="shared" ca="1" si="17"/>
        <v>0</v>
      </c>
      <c r="BZ55" s="15" t="b">
        <f t="shared" si="36"/>
        <v>0</v>
      </c>
      <c r="CA55" s="15" t="b">
        <f t="shared" si="110"/>
        <v>0</v>
      </c>
      <c r="CB55" s="15" t="b">
        <f t="shared" ca="1" si="111"/>
        <v>0</v>
      </c>
      <c r="CC55" s="15" t="b">
        <f t="shared" si="112"/>
        <v>0</v>
      </c>
      <c r="CD55" s="15" t="b">
        <f t="shared" si="112"/>
        <v>0</v>
      </c>
      <c r="CE55" s="15" t="b">
        <f t="shared" ca="1" si="37"/>
        <v>0</v>
      </c>
      <c r="CF55" s="15" t="b">
        <f t="shared" si="113"/>
        <v>0</v>
      </c>
      <c r="CG55" s="15" t="b">
        <f t="shared" si="114"/>
        <v>0</v>
      </c>
      <c r="CH55" s="15" t="b">
        <f t="shared" si="18"/>
        <v>0</v>
      </c>
      <c r="CI55" s="15" t="b">
        <f t="shared" si="38"/>
        <v>0</v>
      </c>
      <c r="CJ55" s="15" t="b">
        <f t="shared" si="39"/>
        <v>0</v>
      </c>
      <c r="CK55" s="15" t="b">
        <f t="shared" ca="1" si="119"/>
        <v>0</v>
      </c>
      <c r="CL55" s="15" t="b">
        <f t="shared" ca="1" si="119"/>
        <v>0</v>
      </c>
      <c r="CM55" s="15" t="b">
        <f t="shared" ca="1" si="119"/>
        <v>0</v>
      </c>
      <c r="CN55" s="15" t="b">
        <f t="shared" ca="1" si="119"/>
        <v>0</v>
      </c>
      <c r="CO55" s="15" t="b">
        <f t="shared" ca="1" si="119"/>
        <v>0</v>
      </c>
      <c r="CP55" s="15" t="b">
        <f t="shared" ca="1" si="119"/>
        <v>0</v>
      </c>
      <c r="CQ55" s="15" t="b">
        <f t="shared" ca="1" si="120"/>
        <v>0</v>
      </c>
      <c r="CR55" s="21" t="b">
        <f t="shared" ca="1" si="121"/>
        <v>0</v>
      </c>
      <c r="CS55" s="22" t="b">
        <f t="shared" ca="1" si="82"/>
        <v>0</v>
      </c>
      <c r="CT55" s="22" t="b">
        <f t="shared" ca="1" si="82"/>
        <v>0</v>
      </c>
      <c r="CU55" s="22" t="b">
        <f t="shared" ca="1" si="82"/>
        <v>0</v>
      </c>
      <c r="CV55" s="22" t="b">
        <f t="shared" ca="1" si="82"/>
        <v>0</v>
      </c>
      <c r="CW55" s="22" t="b">
        <f t="shared" ca="1" si="82"/>
        <v>0</v>
      </c>
      <c r="CX55" s="22" t="b">
        <f t="shared" ca="1" si="82"/>
        <v>0</v>
      </c>
      <c r="CY55" s="22" t="b">
        <f t="shared" ca="1" si="82"/>
        <v>0</v>
      </c>
      <c r="CZ55" s="21" t="b">
        <f t="shared" ca="1" si="82"/>
        <v>0</v>
      </c>
      <c r="DB55" s="22" t="b">
        <f t="shared" ca="1" si="40"/>
        <v>0</v>
      </c>
      <c r="DC55" s="22" t="b">
        <f t="shared" ca="1" si="21"/>
        <v>0</v>
      </c>
      <c r="DD55" s="22" t="b">
        <f t="shared" ca="1" si="83"/>
        <v>0</v>
      </c>
      <c r="DE55" s="22" t="b">
        <f t="shared" ca="1" si="84"/>
        <v>0</v>
      </c>
      <c r="DF55" s="22" t="b">
        <f t="shared" ca="1" si="85"/>
        <v>0</v>
      </c>
      <c r="DG55" s="22" t="b">
        <f t="shared" ca="1" si="86"/>
        <v>0</v>
      </c>
      <c r="DH55" s="22" t="b">
        <f t="shared" ca="1" si="87"/>
        <v>0</v>
      </c>
      <c r="DI55" s="22" t="b">
        <f t="shared" ca="1" si="88"/>
        <v>0</v>
      </c>
      <c r="DJ55" s="22" t="b">
        <f t="shared" ca="1" si="89"/>
        <v>0</v>
      </c>
      <c r="DK55" s="22"/>
      <c r="DO55" s="15" t="str">
        <f t="shared" ca="1" si="90"/>
        <v/>
      </c>
      <c r="DP55" s="15" t="str">
        <f t="shared" ca="1" si="90"/>
        <v/>
      </c>
      <c r="DQ55" s="15" t="str">
        <f t="shared" ca="1" si="90"/>
        <v/>
      </c>
      <c r="DR55" s="15" t="str">
        <f t="shared" ca="1" si="90"/>
        <v/>
      </c>
      <c r="DS55" s="15" t="str">
        <f t="shared" ca="1" si="90"/>
        <v/>
      </c>
      <c r="DT55" s="15" t="str">
        <f t="shared" ca="1" si="90"/>
        <v/>
      </c>
      <c r="DU55" s="15" t="str">
        <f t="shared" ca="1" si="90"/>
        <v/>
      </c>
      <c r="DV55" s="15" t="str">
        <f t="shared" ca="1" si="90"/>
        <v/>
      </c>
    </row>
    <row r="56" spans="1:126">
      <c r="A56" s="15">
        <f t="shared" si="24"/>
        <v>44</v>
      </c>
      <c r="B56" s="15" t="str">
        <f t="shared" si="117"/>
        <v>ok.</v>
      </c>
      <c r="C56" s="15" t="s">
        <v>111</v>
      </c>
      <c r="D56" s="15" t="str">
        <f t="shared" si="25"/>
        <v>Grupy ListaZmiennychSPSS</v>
      </c>
      <c r="H56" s="15" t="str">
        <f>wew!$B$7</f>
        <v>Hub2.xlsb</v>
      </c>
      <c r="I56" s="15" t="s">
        <v>111</v>
      </c>
      <c r="M56" s="19">
        <v>1</v>
      </c>
      <c r="T56" s="15" t="str">
        <f t="shared" ca="1" si="69"/>
        <v/>
      </c>
      <c r="U56" s="15">
        <f t="shared" si="118"/>
        <v>0</v>
      </c>
      <c r="AD56" s="16" t="b">
        <f t="shared" si="91"/>
        <v>1</v>
      </c>
      <c r="AE56" s="16" t="b">
        <f t="shared" si="92"/>
        <v>1</v>
      </c>
      <c r="AF56" s="15" t="str">
        <f t="shared" si="66"/>
        <v>[Hub2.xlsb]NewZal</v>
      </c>
      <c r="AG56" s="15" t="str">
        <f t="shared" ca="1" si="4"/>
        <v/>
      </c>
      <c r="AH56" s="15" t="str">
        <f t="shared" ca="1" si="5"/>
        <v/>
      </c>
      <c r="AI56" s="15" t="b">
        <f t="shared" ca="1" si="6"/>
        <v>0</v>
      </c>
      <c r="AJ56" s="15" t="e">
        <f t="shared" ca="1" si="26"/>
        <v>#REF!</v>
      </c>
      <c r="AK56" s="27" t="e">
        <f t="shared" ca="1" si="93"/>
        <v>#REF!</v>
      </c>
      <c r="AL56" s="15" t="b">
        <f t="shared" ca="1" si="7"/>
        <v>0</v>
      </c>
      <c r="AM56" s="15" t="e">
        <f t="shared" ca="1" si="94"/>
        <v>#REF!</v>
      </c>
      <c r="AN56" s="15">
        <f t="shared" ca="1" si="95"/>
        <v>3</v>
      </c>
      <c r="AO56" s="15" t="e">
        <f t="shared" ca="1" si="27"/>
        <v>#REF!</v>
      </c>
      <c r="AP56" s="15" t="e">
        <f t="shared" ca="1" si="96"/>
        <v>#REF!</v>
      </c>
      <c r="AQ56" s="27">
        <f t="shared" si="97"/>
        <v>2</v>
      </c>
      <c r="AR56" s="15" t="b">
        <f t="shared" si="98"/>
        <v>0</v>
      </c>
      <c r="AS56" s="27" t="b">
        <f t="shared" si="99"/>
        <v>0</v>
      </c>
      <c r="AT56" s="27" t="b">
        <f t="shared" si="100"/>
        <v>0</v>
      </c>
      <c r="AU56" s="27" t="str">
        <f t="shared" si="101"/>
        <v/>
      </c>
      <c r="AV56" s="16" t="b">
        <f t="shared" si="102"/>
        <v>0</v>
      </c>
      <c r="AW56" s="15" t="str">
        <f t="shared" ca="1" si="115"/>
        <v/>
      </c>
      <c r="AX56" s="27" t="b">
        <f t="shared" ca="1" si="103"/>
        <v>0</v>
      </c>
      <c r="AY56" s="27" t="b">
        <f t="shared" ca="1" si="104"/>
        <v>0</v>
      </c>
      <c r="AZ56" s="15" t="str">
        <f t="shared" ca="1" si="105"/>
        <v>?</v>
      </c>
      <c r="BA56" s="15" t="str">
        <f t="shared" ca="1" si="28"/>
        <v>?</v>
      </c>
      <c r="BB56" s="15" t="e">
        <f t="shared" ca="1" si="106"/>
        <v>#REF!</v>
      </c>
      <c r="BC56" s="15" t="str">
        <f t="shared" ca="1" si="29"/>
        <v/>
      </c>
      <c r="BD56" s="15" t="e">
        <f t="shared" ca="1" si="107"/>
        <v>#VALUE!</v>
      </c>
      <c r="BE56" s="15" t="b">
        <f t="shared" si="10"/>
        <v>0</v>
      </c>
      <c r="BF56" s="15" t="str">
        <f t="shared" ca="1" si="11"/>
        <v/>
      </c>
      <c r="BG56" s="15" t="str">
        <f t="shared" si="12"/>
        <v/>
      </c>
      <c r="BH56" s="15" t="str">
        <f t="array" aca="1" ref="BH56" ca="1">IF(IFERROR( S56,1),1,IF(BC56="","", SUM(IF(ISERROR(INDIRECT(BC56)),1,0))))</f>
        <v/>
      </c>
      <c r="BI56" s="15" t="b">
        <f t="shared" si="108"/>
        <v>0</v>
      </c>
      <c r="BJ56" s="15" t="b">
        <f t="shared" si="109"/>
        <v>0</v>
      </c>
      <c r="BK56" s="15" t="str">
        <f t="shared" si="13"/>
        <v/>
      </c>
      <c r="BL56" s="15">
        <f t="shared" ca="1" si="14"/>
        <v>3</v>
      </c>
      <c r="BP56" s="15" t="b">
        <f t="shared" si="30"/>
        <v>0</v>
      </c>
      <c r="BQ56" s="15" t="b">
        <f t="shared" si="31"/>
        <v>0</v>
      </c>
      <c r="BR56" s="15" t="str">
        <f t="shared" si="15"/>
        <v/>
      </c>
      <c r="BS56" s="15">
        <f t="shared" si="32"/>
        <v>0</v>
      </c>
      <c r="BT56" s="15" t="str">
        <f t="shared" si="16"/>
        <v/>
      </c>
      <c r="BV56" s="15" t="b">
        <f t="shared" ca="1" si="33"/>
        <v>0</v>
      </c>
      <c r="BW56" s="15" t="b">
        <f t="shared" ca="1" si="34"/>
        <v>0</v>
      </c>
      <c r="BX56" s="15" t="b">
        <f t="shared" ca="1" si="35"/>
        <v>1</v>
      </c>
      <c r="BY56" s="15" t="b">
        <f t="shared" ca="1" si="17"/>
        <v>0</v>
      </c>
      <c r="BZ56" s="15" t="b">
        <f t="shared" si="36"/>
        <v>0</v>
      </c>
      <c r="CA56" s="15" t="b">
        <f t="shared" si="110"/>
        <v>0</v>
      </c>
      <c r="CB56" s="15" t="b">
        <f t="shared" ca="1" si="111"/>
        <v>0</v>
      </c>
      <c r="CC56" s="15" t="b">
        <f t="shared" si="112"/>
        <v>0</v>
      </c>
      <c r="CD56" s="15" t="b">
        <f t="shared" si="112"/>
        <v>0</v>
      </c>
      <c r="CE56" s="15" t="b">
        <f t="shared" ca="1" si="37"/>
        <v>0</v>
      </c>
      <c r="CF56" s="15" t="b">
        <f t="shared" si="113"/>
        <v>0</v>
      </c>
      <c r="CG56" s="15" t="b">
        <f t="shared" si="114"/>
        <v>0</v>
      </c>
      <c r="CH56" s="15" t="b">
        <f t="shared" si="18"/>
        <v>0</v>
      </c>
      <c r="CI56" s="15" t="b">
        <f t="shared" si="38"/>
        <v>0</v>
      </c>
      <c r="CJ56" s="15" t="b">
        <f t="shared" si="39"/>
        <v>0</v>
      </c>
      <c r="CK56" s="15" t="b">
        <f t="shared" ca="1" si="119"/>
        <v>0</v>
      </c>
      <c r="CL56" s="15" t="b">
        <f t="shared" ca="1" si="119"/>
        <v>0</v>
      </c>
      <c r="CM56" s="15" t="b">
        <f t="shared" ca="1" si="119"/>
        <v>0</v>
      </c>
      <c r="CN56" s="15" t="b">
        <f t="shared" ca="1" si="119"/>
        <v>0</v>
      </c>
      <c r="CO56" s="15" t="b">
        <f t="shared" ca="1" si="119"/>
        <v>0</v>
      </c>
      <c r="CP56" s="15" t="b">
        <f t="shared" ca="1" si="119"/>
        <v>0</v>
      </c>
      <c r="CQ56" s="15" t="b">
        <f t="shared" ca="1" si="120"/>
        <v>0</v>
      </c>
      <c r="CR56" s="21" t="b">
        <f t="shared" ca="1" si="121"/>
        <v>0</v>
      </c>
      <c r="CS56" s="22" t="b">
        <f t="shared" ca="1" si="82"/>
        <v>0</v>
      </c>
      <c r="CT56" s="22" t="b">
        <f t="shared" ca="1" si="82"/>
        <v>0</v>
      </c>
      <c r="CU56" s="22" t="b">
        <f t="shared" ca="1" si="82"/>
        <v>0</v>
      </c>
      <c r="CV56" s="22" t="b">
        <f t="shared" ca="1" si="82"/>
        <v>0</v>
      </c>
      <c r="CW56" s="22" t="b">
        <f t="shared" ca="1" si="82"/>
        <v>0</v>
      </c>
      <c r="CX56" s="22" t="b">
        <f t="shared" ca="1" si="82"/>
        <v>0</v>
      </c>
      <c r="CY56" s="22" t="b">
        <f t="shared" ca="1" si="82"/>
        <v>0</v>
      </c>
      <c r="CZ56" s="21" t="b">
        <f t="shared" ca="1" si="82"/>
        <v>0</v>
      </c>
      <c r="DB56" s="22" t="b">
        <f t="shared" ca="1" si="40"/>
        <v>0</v>
      </c>
      <c r="DC56" s="22" t="b">
        <f t="shared" ref="DC56:DJ70" ca="1" si="122">AND(DO56=4)</f>
        <v>0</v>
      </c>
      <c r="DD56" s="22" t="b">
        <f t="shared" ca="1" si="122"/>
        <v>0</v>
      </c>
      <c r="DE56" s="22" t="b">
        <f t="shared" ca="1" si="122"/>
        <v>0</v>
      </c>
      <c r="DF56" s="22" t="b">
        <f t="shared" ca="1" si="122"/>
        <v>0</v>
      </c>
      <c r="DG56" s="22" t="b">
        <f t="shared" ca="1" si="122"/>
        <v>0</v>
      </c>
      <c r="DH56" s="22" t="b">
        <f t="shared" ca="1" si="122"/>
        <v>0</v>
      </c>
      <c r="DI56" s="22" t="b">
        <f t="shared" ca="1" si="122"/>
        <v>0</v>
      </c>
      <c r="DJ56" s="22" t="b">
        <f t="shared" ca="1" si="122"/>
        <v>0</v>
      </c>
      <c r="DK56" s="22"/>
      <c r="DO56" s="15" t="str">
        <f t="shared" ca="1" si="90"/>
        <v/>
      </c>
      <c r="DP56" s="15" t="str">
        <f t="shared" ca="1" si="90"/>
        <v/>
      </c>
      <c r="DQ56" s="15" t="str">
        <f t="shared" ca="1" si="90"/>
        <v/>
      </c>
      <c r="DR56" s="15" t="str">
        <f t="shared" ca="1" si="90"/>
        <v/>
      </c>
      <c r="DS56" s="15" t="str">
        <f t="shared" ca="1" si="90"/>
        <v/>
      </c>
      <c r="DT56" s="15" t="str">
        <f t="shared" ca="1" si="90"/>
        <v/>
      </c>
      <c r="DU56" s="15" t="str">
        <f t="shared" ca="1" si="90"/>
        <v/>
      </c>
      <c r="DV56" s="15" t="str">
        <f t="shared" ca="1" si="90"/>
        <v/>
      </c>
    </row>
    <row r="57" spans="1:126">
      <c r="A57" s="15">
        <f t="shared" si="24"/>
        <v>45</v>
      </c>
      <c r="B57" s="15" t="str">
        <f t="shared" si="117"/>
        <v>ok.</v>
      </c>
      <c r="C57" s="15" t="s">
        <v>206</v>
      </c>
      <c r="D57" s="15" t="str">
        <f t="shared" si="25"/>
        <v>Grupy ListaZmiennychDab</v>
      </c>
      <c r="H57" s="15" t="str">
        <f>wew!$B$7</f>
        <v>Hub2.xlsb</v>
      </c>
      <c r="I57" s="15" t="s">
        <v>206</v>
      </c>
      <c r="M57" s="19">
        <v>1</v>
      </c>
      <c r="T57" s="15" t="str">
        <f t="shared" ca="1" si="69"/>
        <v/>
      </c>
      <c r="U57" s="15">
        <f t="shared" si="118"/>
        <v>0</v>
      </c>
      <c r="AD57" s="16" t="b">
        <f t="shared" si="91"/>
        <v>1</v>
      </c>
      <c r="AE57" s="16" t="b">
        <f t="shared" si="92"/>
        <v>1</v>
      </c>
      <c r="AF57" s="15" t="str">
        <f t="shared" si="66"/>
        <v>[Hub2.xlsb]NewZal</v>
      </c>
      <c r="AG57" s="15" t="str">
        <f t="shared" ca="1" si="4"/>
        <v/>
      </c>
      <c r="AH57" s="15" t="str">
        <f t="shared" ca="1" si="5"/>
        <v/>
      </c>
      <c r="AI57" s="15" t="b">
        <f t="shared" ca="1" si="6"/>
        <v>0</v>
      </c>
      <c r="AJ57" s="15" t="e">
        <f t="shared" ca="1" si="26"/>
        <v>#REF!</v>
      </c>
      <c r="AK57" s="27" t="e">
        <f t="shared" ca="1" si="93"/>
        <v>#REF!</v>
      </c>
      <c r="AL57" s="15" t="b">
        <f t="shared" ca="1" si="7"/>
        <v>0</v>
      </c>
      <c r="AM57" s="15" t="e">
        <f t="shared" ca="1" si="94"/>
        <v>#REF!</v>
      </c>
      <c r="AN57" s="15">
        <f t="shared" ca="1" si="95"/>
        <v>3</v>
      </c>
      <c r="AO57" s="15" t="e">
        <f t="shared" ca="1" si="27"/>
        <v>#REF!</v>
      </c>
      <c r="AP57" s="15" t="e">
        <f t="shared" ca="1" si="96"/>
        <v>#REF!</v>
      </c>
      <c r="AQ57" s="27">
        <f t="shared" si="97"/>
        <v>2</v>
      </c>
      <c r="AR57" s="15" t="b">
        <f t="shared" si="98"/>
        <v>0</v>
      </c>
      <c r="AS57" s="27" t="b">
        <f t="shared" si="99"/>
        <v>0</v>
      </c>
      <c r="AT57" s="27" t="b">
        <f t="shared" si="100"/>
        <v>0</v>
      </c>
      <c r="AU57" s="27" t="str">
        <f t="shared" si="101"/>
        <v/>
      </c>
      <c r="AV57" s="16" t="b">
        <f t="shared" si="102"/>
        <v>0</v>
      </c>
      <c r="AW57" s="15" t="str">
        <f t="shared" ca="1" si="115"/>
        <v/>
      </c>
      <c r="AX57" s="27" t="b">
        <f t="shared" ca="1" si="103"/>
        <v>0</v>
      </c>
      <c r="AY57" s="27" t="b">
        <f t="shared" ca="1" si="104"/>
        <v>0</v>
      </c>
      <c r="AZ57" s="15" t="str">
        <f t="shared" ca="1" si="105"/>
        <v>?</v>
      </c>
      <c r="BA57" s="15" t="str">
        <f t="shared" ca="1" si="28"/>
        <v>?</v>
      </c>
      <c r="BB57" s="15" t="e">
        <f t="shared" ca="1" si="106"/>
        <v>#REF!</v>
      </c>
      <c r="BC57" s="15" t="str">
        <f t="shared" ca="1" si="29"/>
        <v/>
      </c>
      <c r="BD57" s="15" t="e">
        <f t="shared" ca="1" si="107"/>
        <v>#VALUE!</v>
      </c>
      <c r="BE57" s="15" t="b">
        <f t="shared" si="10"/>
        <v>0</v>
      </c>
      <c r="BF57" s="15" t="str">
        <f t="shared" ca="1" si="11"/>
        <v/>
      </c>
      <c r="BG57" s="15" t="str">
        <f t="shared" si="12"/>
        <v/>
      </c>
      <c r="BH57" s="15" t="str">
        <f t="array" aca="1" ref="BH57" ca="1">IF(IFERROR( S57,1),1,IF(BC57="","", SUM(IF(ISERROR(INDIRECT(BC57)),1,0))))</f>
        <v/>
      </c>
      <c r="BI57" s="15" t="b">
        <f t="shared" si="108"/>
        <v>0</v>
      </c>
      <c r="BJ57" s="15" t="b">
        <f t="shared" si="109"/>
        <v>0</v>
      </c>
      <c r="BK57" s="15" t="str">
        <f t="shared" si="13"/>
        <v/>
      </c>
      <c r="BL57" s="15">
        <f t="shared" ca="1" si="14"/>
        <v>3</v>
      </c>
      <c r="BP57" s="15" t="b">
        <f t="shared" si="30"/>
        <v>0</v>
      </c>
      <c r="BQ57" s="15" t="b">
        <f t="shared" si="31"/>
        <v>0</v>
      </c>
      <c r="BR57" s="15" t="str">
        <f t="shared" si="15"/>
        <v/>
      </c>
      <c r="BS57" s="15">
        <f t="shared" si="32"/>
        <v>0</v>
      </c>
      <c r="BT57" s="15" t="str">
        <f t="shared" si="16"/>
        <v/>
      </c>
      <c r="BV57" s="15" t="b">
        <f t="shared" ca="1" si="33"/>
        <v>0</v>
      </c>
      <c r="BW57" s="15" t="b">
        <f t="shared" ca="1" si="34"/>
        <v>0</v>
      </c>
      <c r="BX57" s="15" t="b">
        <f t="shared" ca="1" si="35"/>
        <v>1</v>
      </c>
      <c r="BY57" s="15" t="b">
        <f t="shared" ca="1" si="17"/>
        <v>0</v>
      </c>
      <c r="BZ57" s="15" t="b">
        <f t="shared" si="36"/>
        <v>0</v>
      </c>
      <c r="CA57" s="15" t="b">
        <f t="shared" si="110"/>
        <v>0</v>
      </c>
      <c r="CB57" s="15" t="b">
        <f t="shared" ca="1" si="111"/>
        <v>0</v>
      </c>
      <c r="CC57" s="15" t="b">
        <f t="shared" si="112"/>
        <v>0</v>
      </c>
      <c r="CD57" s="15" t="b">
        <f t="shared" si="112"/>
        <v>0</v>
      </c>
      <c r="CE57" s="15" t="b">
        <f t="shared" ca="1" si="37"/>
        <v>0</v>
      </c>
      <c r="CF57" s="15" t="b">
        <f t="shared" si="113"/>
        <v>0</v>
      </c>
      <c r="CG57" s="15" t="b">
        <f t="shared" si="114"/>
        <v>0</v>
      </c>
      <c r="CH57" s="15" t="b">
        <f t="shared" si="18"/>
        <v>0</v>
      </c>
      <c r="CI57" s="15" t="b">
        <f t="shared" si="38"/>
        <v>0</v>
      </c>
      <c r="CJ57" s="15" t="b">
        <f t="shared" si="39"/>
        <v>0</v>
      </c>
      <c r="CK57" s="15" t="b">
        <f t="shared" ca="1" si="119"/>
        <v>0</v>
      </c>
      <c r="CL57" s="15" t="b">
        <f t="shared" ca="1" si="119"/>
        <v>0</v>
      </c>
      <c r="CM57" s="15" t="b">
        <f t="shared" ca="1" si="119"/>
        <v>0</v>
      </c>
      <c r="CN57" s="15" t="b">
        <f t="shared" ca="1" si="119"/>
        <v>0</v>
      </c>
      <c r="CO57" s="15" t="b">
        <f t="shared" ca="1" si="119"/>
        <v>0</v>
      </c>
      <c r="CP57" s="15" t="b">
        <f t="shared" ca="1" si="119"/>
        <v>0</v>
      </c>
      <c r="CQ57" s="15" t="b">
        <f t="shared" ca="1" si="120"/>
        <v>0</v>
      </c>
      <c r="CR57" s="21" t="b">
        <f t="shared" ca="1" si="121"/>
        <v>0</v>
      </c>
      <c r="CS57" s="22" t="b">
        <f t="shared" ca="1" si="82"/>
        <v>0</v>
      </c>
      <c r="CT57" s="22" t="b">
        <f t="shared" ca="1" si="82"/>
        <v>0</v>
      </c>
      <c r="CU57" s="22" t="b">
        <f t="shared" ca="1" si="82"/>
        <v>0</v>
      </c>
      <c r="CV57" s="22" t="b">
        <f t="shared" ca="1" si="82"/>
        <v>0</v>
      </c>
      <c r="CW57" s="22" t="b">
        <f t="shared" ca="1" si="82"/>
        <v>0</v>
      </c>
      <c r="CX57" s="22" t="b">
        <f t="shared" ca="1" si="82"/>
        <v>0</v>
      </c>
      <c r="CY57" s="22" t="b">
        <f t="shared" ca="1" si="82"/>
        <v>0</v>
      </c>
      <c r="CZ57" s="21" t="b">
        <f ca="1">AND(DV57&lt;&gt;"",DV57&lt;&gt;0,DV57&lt;&gt;4)</f>
        <v>0</v>
      </c>
      <c r="DB57" s="22" t="b">
        <f t="shared" ca="1" si="40"/>
        <v>0</v>
      </c>
      <c r="DC57" s="22" t="b">
        <f t="shared" ca="1" si="122"/>
        <v>0</v>
      </c>
      <c r="DD57" s="22" t="b">
        <f t="shared" ca="1" si="122"/>
        <v>0</v>
      </c>
      <c r="DE57" s="22" t="b">
        <f t="shared" ca="1" si="122"/>
        <v>0</v>
      </c>
      <c r="DF57" s="22" t="b">
        <f t="shared" ca="1" si="122"/>
        <v>0</v>
      </c>
      <c r="DG57" s="22" t="b">
        <f t="shared" ca="1" si="122"/>
        <v>0</v>
      </c>
      <c r="DH57" s="22" t="b">
        <f t="shared" ca="1" si="122"/>
        <v>0</v>
      </c>
      <c r="DI57" s="22" t="b">
        <f t="shared" ca="1" si="122"/>
        <v>0</v>
      </c>
      <c r="DJ57" s="22" t="b">
        <f t="shared" ca="1" si="122"/>
        <v>0</v>
      </c>
      <c r="DK57" s="22"/>
      <c r="DO57" s="15" t="str">
        <f t="shared" ca="1" si="90"/>
        <v/>
      </c>
      <c r="DP57" s="15" t="str">
        <f t="shared" ca="1" si="90"/>
        <v/>
      </c>
      <c r="DQ57" s="15" t="str">
        <f t="shared" ca="1" si="90"/>
        <v/>
      </c>
      <c r="DR57" s="15" t="str">
        <f t="shared" ca="1" si="90"/>
        <v/>
      </c>
      <c r="DS57" s="15" t="str">
        <f t="shared" ca="1" si="90"/>
        <v/>
      </c>
      <c r="DT57" s="15" t="str">
        <f t="shared" ca="1" si="90"/>
        <v/>
      </c>
      <c r="DU57" s="15" t="str">
        <f t="shared" ca="1" si="90"/>
        <v/>
      </c>
      <c r="DV57" s="15" t="str">
        <f t="shared" ca="1" si="90"/>
        <v/>
      </c>
    </row>
    <row r="58" spans="1:126">
      <c r="A58" s="15">
        <f t="shared" si="24"/>
        <v>46</v>
      </c>
      <c r="B58" s="15" t="str">
        <f t="shared" ca="1" si="117"/>
        <v>ok.</v>
      </c>
      <c r="C58" s="15" t="s">
        <v>112</v>
      </c>
      <c r="D58" s="15" t="str">
        <f t="shared" si="25"/>
        <v>Grupy NazwyNarzednik</v>
      </c>
      <c r="F58" s="15" t="s">
        <v>190</v>
      </c>
      <c r="G58" s="15" t="s">
        <v>121</v>
      </c>
      <c r="J58" s="19" t="str">
        <f ca="1">CELL(_CELL_ADDRESS_NAME,grupy!$G$4)</f>
        <v>'[dane surowe2d.xlsm]grupy'!$G$4</v>
      </c>
      <c r="K58" s="15">
        <f ca="1">ster!$C$16</f>
        <v>20</v>
      </c>
      <c r="M58" s="19"/>
      <c r="T58" s="15" t="str">
        <f t="shared" ca="1" si="69"/>
        <v>'[dane surowe2d.xlsm]grupy'!$G$4:$G$23</v>
      </c>
      <c r="U58" s="15">
        <f t="shared" ca="1" si="118"/>
        <v>0</v>
      </c>
      <c r="AD58" s="16" t="b">
        <f t="shared" si="91"/>
        <v>1</v>
      </c>
      <c r="AE58" s="16" t="b">
        <f t="shared" si="92"/>
        <v>0</v>
      </c>
      <c r="AF58" s="15" t="str">
        <f t="shared" si="66"/>
        <v/>
      </c>
      <c r="AG58" s="15" t="str">
        <f t="shared" ca="1" si="4"/>
        <v/>
      </c>
      <c r="AH58" s="15" t="str">
        <f t="shared" ca="1" si="5"/>
        <v/>
      </c>
      <c r="AI58" s="15" t="b">
        <f t="shared" ca="1" si="6"/>
        <v>0</v>
      </c>
      <c r="AJ58" s="15" t="str">
        <f t="shared" ca="1" si="26"/>
        <v/>
      </c>
      <c r="AK58" s="27" t="str">
        <f t="shared" ca="1" si="93"/>
        <v/>
      </c>
      <c r="AL58" s="15" t="b">
        <f t="shared" ca="1" si="7"/>
        <v>0</v>
      </c>
      <c r="AM58" s="15" t="str">
        <f t="shared" ca="1" si="94"/>
        <v/>
      </c>
      <c r="AN58" s="15">
        <f t="shared" ca="1" si="95"/>
        <v>3</v>
      </c>
      <c r="AO58" s="15" t="str">
        <f t="shared" ca="1" si="27"/>
        <v/>
      </c>
      <c r="AP58" s="15" t="str">
        <f t="shared" ca="1" si="96"/>
        <v/>
      </c>
      <c r="AQ58" s="27">
        <f t="shared" ca="1" si="97"/>
        <v>1</v>
      </c>
      <c r="AR58" s="15" t="b">
        <f t="shared" ca="1" si="98"/>
        <v>1</v>
      </c>
      <c r="AS58" s="27" t="b">
        <f t="shared" ca="1" si="99"/>
        <v>1</v>
      </c>
      <c r="AT58" s="27" t="b">
        <f t="shared" ca="1" si="100"/>
        <v>1</v>
      </c>
      <c r="AU58" s="27">
        <f t="shared" ca="1" si="101"/>
        <v>21</v>
      </c>
      <c r="AV58" s="16" t="e">
        <f t="shared" ca="1" si="102"/>
        <v>#REF!</v>
      </c>
      <c r="AW58" s="15" t="str">
        <f t="shared" ca="1" si="115"/>
        <v>'[dane surowe2d.xlsm]grupy'!$G$4</v>
      </c>
      <c r="AX58" s="27" t="b">
        <f t="shared" ca="1" si="103"/>
        <v>0</v>
      </c>
      <c r="AY58" s="27" t="b">
        <f t="shared" ca="1" si="104"/>
        <v>0</v>
      </c>
      <c r="AZ58" s="15">
        <f t="shared" ca="1" si="105"/>
        <v>1</v>
      </c>
      <c r="BA58" s="15">
        <f t="shared" ca="1" si="28"/>
        <v>20</v>
      </c>
      <c r="BB58" s="15" t="str">
        <f t="shared" ca="1" si="106"/>
        <v>'[dane surowe2d.xlsm]grupy'!$G$4</v>
      </c>
      <c r="BC58" s="15" t="str">
        <f t="shared" ca="1" si="29"/>
        <v>'[dane surowe2d.xlsm]grupy'!$G$4:$G$23</v>
      </c>
      <c r="BD58" s="15" t="b">
        <f t="shared" ca="1" si="107"/>
        <v>1</v>
      </c>
      <c r="BE58" s="15" t="b">
        <f t="shared" ca="1" si="10"/>
        <v>0</v>
      </c>
      <c r="BF58" s="15" t="str">
        <f t="shared" ca="1" si="11"/>
        <v/>
      </c>
      <c r="BG58" s="15" t="str">
        <f t="shared" ca="1" si="12"/>
        <v/>
      </c>
      <c r="BH58" s="15">
        <f t="array" aca="1" ref="BH58" ca="1">IF(IFERROR( S58,1),1,IF(BC58="","", SUM(IF(ISERROR(INDIRECT(BC58)),1,0))))</f>
        <v>0</v>
      </c>
      <c r="BI58" s="15" t="b">
        <f t="shared" si="108"/>
        <v>0</v>
      </c>
      <c r="BJ58" s="15" t="b">
        <f t="shared" si="109"/>
        <v>1</v>
      </c>
      <c r="BK58" s="15">
        <f t="shared" ca="1" si="13"/>
        <v>2</v>
      </c>
      <c r="BL58" s="15">
        <f t="shared" ca="1" si="14"/>
        <v>2</v>
      </c>
      <c r="BP58" s="15" t="b">
        <f t="shared" si="30"/>
        <v>1</v>
      </c>
      <c r="BQ58" s="15" t="b">
        <f t="shared" ca="1" si="31"/>
        <v>0</v>
      </c>
      <c r="BR58" s="15" t="str">
        <f t="shared" ca="1" si="15"/>
        <v/>
      </c>
      <c r="BS58" s="15">
        <f t="shared" ca="1" si="32"/>
        <v>0</v>
      </c>
      <c r="BT58" s="15" t="str">
        <f t="shared" ca="1" si="16"/>
        <v/>
      </c>
      <c r="BV58" s="15" t="b">
        <f t="shared" ca="1" si="33"/>
        <v>0</v>
      </c>
      <c r="BW58" s="15" t="b">
        <f t="shared" ca="1" si="34"/>
        <v>0</v>
      </c>
      <c r="BX58" s="15" t="b">
        <f t="shared" ca="1" si="35"/>
        <v>0</v>
      </c>
      <c r="BY58" s="15" t="b">
        <f t="shared" ca="1" si="17"/>
        <v>0</v>
      </c>
      <c r="BZ58" s="15" t="b">
        <f t="shared" ca="1" si="36"/>
        <v>0</v>
      </c>
      <c r="CA58" s="15" t="b">
        <f t="shared" ca="1" si="110"/>
        <v>0</v>
      </c>
      <c r="CB58" s="15" t="b">
        <f t="shared" ca="1" si="111"/>
        <v>0</v>
      </c>
      <c r="CC58" s="15" t="b">
        <f t="shared" ca="1" si="112"/>
        <v>0</v>
      </c>
      <c r="CD58" s="15" t="b">
        <f t="shared" ca="1" si="112"/>
        <v>0</v>
      </c>
      <c r="CE58" s="15" t="b">
        <f t="shared" ca="1" si="37"/>
        <v>0</v>
      </c>
      <c r="CF58" s="15" t="b">
        <f t="shared" ca="1" si="113"/>
        <v>0</v>
      </c>
      <c r="CG58" s="15" t="b">
        <f t="shared" ca="1" si="114"/>
        <v>0</v>
      </c>
      <c r="CH58" s="15" t="b">
        <f t="shared" ca="1" si="18"/>
        <v>0</v>
      </c>
      <c r="CI58" s="15" t="b">
        <f t="shared" si="38"/>
        <v>0</v>
      </c>
      <c r="CJ58" s="15" t="b">
        <f t="shared" si="39"/>
        <v>0</v>
      </c>
      <c r="CK58" s="15" t="b">
        <f t="shared" ca="1" si="119"/>
        <v>0</v>
      </c>
      <c r="CL58" s="15" t="b">
        <f t="shared" ca="1" si="119"/>
        <v>0</v>
      </c>
      <c r="CM58" s="15" t="b">
        <f t="shared" ca="1" si="119"/>
        <v>0</v>
      </c>
      <c r="CN58" s="15" t="b">
        <f t="shared" ca="1" si="119"/>
        <v>0</v>
      </c>
      <c r="CO58" s="15" t="b">
        <f t="shared" ca="1" si="119"/>
        <v>0</v>
      </c>
      <c r="CP58" s="15" t="b">
        <f t="shared" ca="1" si="119"/>
        <v>0</v>
      </c>
      <c r="CQ58" s="15" t="b">
        <f t="shared" ca="1" si="120"/>
        <v>0</v>
      </c>
      <c r="CR58" s="21" t="b">
        <f t="shared" ca="1" si="121"/>
        <v>0</v>
      </c>
      <c r="CS58" s="22" t="b">
        <f t="shared" ref="CS58:CZ70" ca="1" si="123">AND(DO58&lt;&gt;"",DO58&lt;&gt;0,DO58&lt;&gt;4)</f>
        <v>0</v>
      </c>
      <c r="CT58" s="22" t="b">
        <f t="shared" ca="1" si="123"/>
        <v>0</v>
      </c>
      <c r="CU58" s="22" t="b">
        <f t="shared" ca="1" si="123"/>
        <v>0</v>
      </c>
      <c r="CV58" s="22" t="b">
        <f t="shared" ca="1" si="123"/>
        <v>0</v>
      </c>
      <c r="CW58" s="22" t="b">
        <f t="shared" ca="1" si="123"/>
        <v>0</v>
      </c>
      <c r="CX58" s="22" t="b">
        <f t="shared" ca="1" si="123"/>
        <v>0</v>
      </c>
      <c r="CY58" s="22" t="b">
        <f t="shared" ca="1" si="123"/>
        <v>0</v>
      </c>
      <c r="CZ58" s="21" t="b">
        <f t="shared" ca="1" si="123"/>
        <v>0</v>
      </c>
      <c r="DB58" s="22" t="b">
        <f t="shared" ca="1" si="40"/>
        <v>0</v>
      </c>
      <c r="DC58" s="22" t="b">
        <f t="shared" ca="1" si="122"/>
        <v>0</v>
      </c>
      <c r="DD58" s="22" t="b">
        <f t="shared" ca="1" si="122"/>
        <v>0</v>
      </c>
      <c r="DE58" s="22" t="b">
        <f t="shared" ca="1" si="122"/>
        <v>0</v>
      </c>
      <c r="DF58" s="22" t="b">
        <f t="shared" ca="1" si="122"/>
        <v>0</v>
      </c>
      <c r="DG58" s="22" t="b">
        <f t="shared" ca="1" si="122"/>
        <v>0</v>
      </c>
      <c r="DH58" s="22" t="b">
        <f t="shared" ca="1" si="122"/>
        <v>0</v>
      </c>
      <c r="DI58" s="22" t="b">
        <f t="shared" ca="1" si="122"/>
        <v>0</v>
      </c>
      <c r="DJ58" s="22" t="b">
        <f t="shared" ca="1" si="122"/>
        <v>0</v>
      </c>
      <c r="DK58" s="22"/>
      <c r="DO58" s="15" t="str">
        <f t="shared" ca="1" si="90"/>
        <v/>
      </c>
      <c r="DP58" s="15" t="str">
        <f t="shared" ca="1" si="90"/>
        <v/>
      </c>
      <c r="DQ58" s="15" t="str">
        <f t="shared" ca="1" si="90"/>
        <v/>
      </c>
      <c r="DR58" s="15" t="str">
        <f t="shared" ca="1" si="90"/>
        <v/>
      </c>
      <c r="DS58" s="15" t="str">
        <f t="shared" ca="1" si="90"/>
        <v/>
      </c>
      <c r="DT58" s="15" t="str">
        <f t="shared" ca="1" si="90"/>
        <v/>
      </c>
      <c r="DU58" s="15" t="str">
        <f t="shared" ca="1" si="90"/>
        <v/>
      </c>
      <c r="DV58" s="15" t="str">
        <f t="shared" ca="1" si="90"/>
        <v/>
      </c>
    </row>
    <row r="59" spans="1:126">
      <c r="A59" s="15">
        <f t="shared" si="24"/>
        <v>47</v>
      </c>
      <c r="B59" s="15" t="str">
        <f t="shared" ca="1" si="117"/>
        <v>ok.</v>
      </c>
      <c r="C59" s="15" t="s">
        <v>113</v>
      </c>
      <c r="D59" s="15" t="str">
        <f t="shared" si="25"/>
        <v>Grupy NazwyDopelniacz</v>
      </c>
      <c r="F59" s="15" t="s">
        <v>191</v>
      </c>
      <c r="G59" s="15" t="s">
        <v>121</v>
      </c>
      <c r="J59" s="19" t="str">
        <f ca="1">CELL(_CELL_ADDRESS_NAME,grupy!$H$4)</f>
        <v>'[dane surowe2d.xlsm]grupy'!$H$4</v>
      </c>
      <c r="K59" s="15">
        <f ca="1">ster!$C$16</f>
        <v>20</v>
      </c>
      <c r="M59" s="19"/>
      <c r="T59" s="15" t="str">
        <f t="shared" ca="1" si="69"/>
        <v>'[dane surowe2d.xlsm]grupy'!$H$4:$H$23</v>
      </c>
      <c r="U59" s="15">
        <f t="shared" ca="1" si="118"/>
        <v>0</v>
      </c>
      <c r="AD59" s="16" t="b">
        <f t="shared" si="91"/>
        <v>1</v>
      </c>
      <c r="AE59" s="16" t="b">
        <f t="shared" si="92"/>
        <v>0</v>
      </c>
      <c r="AF59" s="15" t="str">
        <f t="shared" si="66"/>
        <v/>
      </c>
      <c r="AG59" s="15" t="str">
        <f t="shared" ca="1" si="4"/>
        <v/>
      </c>
      <c r="AH59" s="15" t="str">
        <f t="shared" ca="1" si="5"/>
        <v/>
      </c>
      <c r="AI59" s="15" t="b">
        <f t="shared" ca="1" si="6"/>
        <v>0</v>
      </c>
      <c r="AJ59" s="15" t="str">
        <f t="shared" ca="1" si="26"/>
        <v/>
      </c>
      <c r="AK59" s="27" t="str">
        <f t="shared" ca="1" si="93"/>
        <v/>
      </c>
      <c r="AL59" s="15" t="b">
        <f t="shared" ca="1" si="7"/>
        <v>0</v>
      </c>
      <c r="AM59" s="15" t="str">
        <f t="shared" ca="1" si="94"/>
        <v/>
      </c>
      <c r="AN59" s="15">
        <f t="shared" ca="1" si="95"/>
        <v>3</v>
      </c>
      <c r="AO59" s="15" t="str">
        <f t="shared" ca="1" si="27"/>
        <v/>
      </c>
      <c r="AP59" s="15" t="str">
        <f t="shared" ca="1" si="96"/>
        <v/>
      </c>
      <c r="AQ59" s="27">
        <f t="shared" ca="1" si="97"/>
        <v>1</v>
      </c>
      <c r="AR59" s="15" t="b">
        <f t="shared" ca="1" si="98"/>
        <v>1</v>
      </c>
      <c r="AS59" s="27" t="b">
        <f t="shared" ca="1" si="99"/>
        <v>1</v>
      </c>
      <c r="AT59" s="27" t="b">
        <f t="shared" ca="1" si="100"/>
        <v>1</v>
      </c>
      <c r="AU59" s="27">
        <f t="shared" ca="1" si="101"/>
        <v>21</v>
      </c>
      <c r="AV59" s="16" t="e">
        <f t="shared" ca="1" si="102"/>
        <v>#REF!</v>
      </c>
      <c r="AW59" s="15" t="str">
        <f t="shared" ca="1" si="115"/>
        <v>'[dane surowe2d.xlsm]grupy'!$H$4</v>
      </c>
      <c r="AX59" s="27" t="b">
        <f t="shared" ca="1" si="103"/>
        <v>0</v>
      </c>
      <c r="AY59" s="27" t="b">
        <f t="shared" ca="1" si="104"/>
        <v>0</v>
      </c>
      <c r="AZ59" s="15">
        <f t="shared" ca="1" si="105"/>
        <v>1</v>
      </c>
      <c r="BA59" s="15">
        <f t="shared" ca="1" si="28"/>
        <v>20</v>
      </c>
      <c r="BB59" s="15" t="str">
        <f t="shared" ca="1" si="106"/>
        <v>'[dane surowe2d.xlsm]grupy'!$H$4</v>
      </c>
      <c r="BC59" s="15" t="str">
        <f t="shared" ca="1" si="29"/>
        <v>'[dane surowe2d.xlsm]grupy'!$H$4:$H$23</v>
      </c>
      <c r="BD59" s="15" t="b">
        <f t="shared" ca="1" si="107"/>
        <v>1</v>
      </c>
      <c r="BE59" s="15" t="b">
        <f t="shared" ca="1" si="10"/>
        <v>0</v>
      </c>
      <c r="BF59" s="15" t="str">
        <f t="shared" ca="1" si="11"/>
        <v/>
      </c>
      <c r="BG59" s="15" t="str">
        <f t="shared" ca="1" si="12"/>
        <v/>
      </c>
      <c r="BH59" s="15">
        <f t="array" aca="1" ref="BH59" ca="1">IF(IFERROR( S59,1),1,IF(BC59="","", SUM(IF(ISERROR(INDIRECT(BC59)),1,0))))</f>
        <v>0</v>
      </c>
      <c r="BI59" s="15" t="b">
        <f t="shared" si="108"/>
        <v>0</v>
      </c>
      <c r="BJ59" s="15" t="b">
        <f t="shared" si="109"/>
        <v>1</v>
      </c>
      <c r="BK59" s="15">
        <f t="shared" ca="1" si="13"/>
        <v>2</v>
      </c>
      <c r="BL59" s="15">
        <f t="shared" ca="1" si="14"/>
        <v>2</v>
      </c>
      <c r="BP59" s="15" t="b">
        <f t="shared" si="30"/>
        <v>1</v>
      </c>
      <c r="BQ59" s="15" t="b">
        <f t="shared" ca="1" si="31"/>
        <v>0</v>
      </c>
      <c r="BR59" s="15" t="str">
        <f t="shared" ca="1" si="15"/>
        <v/>
      </c>
      <c r="BS59" s="15">
        <f t="shared" ca="1" si="32"/>
        <v>0</v>
      </c>
      <c r="BT59" s="15" t="str">
        <f t="shared" ca="1" si="16"/>
        <v/>
      </c>
      <c r="BV59" s="15" t="b">
        <f t="shared" ca="1" si="33"/>
        <v>0</v>
      </c>
      <c r="BW59" s="15" t="b">
        <f t="shared" ca="1" si="34"/>
        <v>0</v>
      </c>
      <c r="BX59" s="15" t="b">
        <f t="shared" ca="1" si="35"/>
        <v>0</v>
      </c>
      <c r="BY59" s="15" t="b">
        <f t="shared" ca="1" si="17"/>
        <v>0</v>
      </c>
      <c r="BZ59" s="15" t="b">
        <f t="shared" ca="1" si="36"/>
        <v>0</v>
      </c>
      <c r="CA59" s="15" t="b">
        <f t="shared" ca="1" si="110"/>
        <v>0</v>
      </c>
      <c r="CB59" s="15" t="b">
        <f t="shared" ca="1" si="111"/>
        <v>0</v>
      </c>
      <c r="CC59" s="15" t="b">
        <f t="shared" ca="1" si="112"/>
        <v>0</v>
      </c>
      <c r="CD59" s="15" t="b">
        <f t="shared" ca="1" si="112"/>
        <v>0</v>
      </c>
      <c r="CE59" s="15" t="b">
        <f t="shared" ca="1" si="37"/>
        <v>0</v>
      </c>
      <c r="CF59" s="15" t="b">
        <f t="shared" ca="1" si="113"/>
        <v>0</v>
      </c>
      <c r="CG59" s="15" t="b">
        <f t="shared" ca="1" si="114"/>
        <v>0</v>
      </c>
      <c r="CH59" s="15" t="b">
        <f t="shared" ca="1" si="18"/>
        <v>0</v>
      </c>
      <c r="CI59" s="15" t="b">
        <f t="shared" si="38"/>
        <v>0</v>
      </c>
      <c r="CJ59" s="15" t="b">
        <f t="shared" si="39"/>
        <v>0</v>
      </c>
      <c r="CK59" s="15" t="b">
        <f t="shared" ca="1" si="119"/>
        <v>0</v>
      </c>
      <c r="CL59" s="15" t="b">
        <f t="shared" ca="1" si="119"/>
        <v>0</v>
      </c>
      <c r="CM59" s="15" t="b">
        <f t="shared" ca="1" si="119"/>
        <v>0</v>
      </c>
      <c r="CN59" s="15" t="b">
        <f t="shared" ca="1" si="119"/>
        <v>0</v>
      </c>
      <c r="CO59" s="15" t="b">
        <f t="shared" ca="1" si="119"/>
        <v>0</v>
      </c>
      <c r="CP59" s="15" t="b">
        <f t="shared" ca="1" si="119"/>
        <v>0</v>
      </c>
      <c r="CQ59" s="15" t="b">
        <f t="shared" ca="1" si="120"/>
        <v>0</v>
      </c>
      <c r="CR59" s="21" t="b">
        <f t="shared" ca="1" si="121"/>
        <v>0</v>
      </c>
      <c r="CS59" s="22" t="b">
        <f t="shared" ca="1" si="123"/>
        <v>0</v>
      </c>
      <c r="CT59" s="22" t="b">
        <f t="shared" ca="1" si="123"/>
        <v>0</v>
      </c>
      <c r="CU59" s="22" t="b">
        <f t="shared" ca="1" si="123"/>
        <v>0</v>
      </c>
      <c r="CV59" s="22" t="b">
        <f t="shared" ca="1" si="123"/>
        <v>0</v>
      </c>
      <c r="CW59" s="22" t="b">
        <f t="shared" ca="1" si="123"/>
        <v>0</v>
      </c>
      <c r="CX59" s="22" t="b">
        <f t="shared" ca="1" si="123"/>
        <v>0</v>
      </c>
      <c r="CY59" s="22" t="b">
        <f t="shared" ca="1" si="123"/>
        <v>0</v>
      </c>
      <c r="CZ59" s="21" t="b">
        <f t="shared" ca="1" si="123"/>
        <v>0</v>
      </c>
      <c r="DB59" s="22" t="b">
        <f t="shared" ca="1" si="40"/>
        <v>0</v>
      </c>
      <c r="DC59" s="22" t="b">
        <f t="shared" ca="1" si="122"/>
        <v>0</v>
      </c>
      <c r="DD59" s="22" t="b">
        <f t="shared" ca="1" si="122"/>
        <v>0</v>
      </c>
      <c r="DE59" s="22" t="b">
        <f t="shared" ca="1" si="122"/>
        <v>0</v>
      </c>
      <c r="DF59" s="22" t="b">
        <f t="shared" ca="1" si="122"/>
        <v>0</v>
      </c>
      <c r="DG59" s="22" t="b">
        <f t="shared" ca="1" si="122"/>
        <v>0</v>
      </c>
      <c r="DH59" s="22" t="b">
        <f t="shared" ca="1" si="122"/>
        <v>0</v>
      </c>
      <c r="DI59" s="22" t="b">
        <f t="shared" ca="1" si="122"/>
        <v>0</v>
      </c>
      <c r="DJ59" s="22" t="b">
        <f t="shared" ca="1" si="122"/>
        <v>0</v>
      </c>
      <c r="DK59" s="22"/>
      <c r="DO59" s="15" t="str">
        <f t="shared" ca="1" si="90"/>
        <v/>
      </c>
      <c r="DP59" s="15" t="str">
        <f t="shared" ca="1" si="90"/>
        <v/>
      </c>
      <c r="DQ59" s="15" t="str">
        <f t="shared" ca="1" si="90"/>
        <v/>
      </c>
      <c r="DR59" s="15" t="str">
        <f t="shared" ca="1" si="90"/>
        <v/>
      </c>
      <c r="DS59" s="15" t="str">
        <f t="shared" ca="1" si="90"/>
        <v/>
      </c>
      <c r="DT59" s="15" t="str">
        <f t="shared" ca="1" si="90"/>
        <v/>
      </c>
      <c r="DU59" s="15" t="str">
        <f t="shared" ca="1" si="90"/>
        <v/>
      </c>
      <c r="DV59" s="15" t="str">
        <f t="shared" ca="1" si="90"/>
        <v/>
      </c>
    </row>
    <row r="60" spans="1:126">
      <c r="A60" s="15">
        <f t="shared" si="24"/>
        <v>48</v>
      </c>
      <c r="B60" s="15" t="str">
        <f t="shared" ca="1" si="117"/>
        <v>ok.</v>
      </c>
      <c r="C60" s="15" t="s">
        <v>166</v>
      </c>
      <c r="D60" s="15" t="str">
        <f t="shared" si="25"/>
        <v>Grupy NazwySkroty</v>
      </c>
      <c r="F60" s="15" t="s">
        <v>192</v>
      </c>
      <c r="G60" s="15" t="s">
        <v>121</v>
      </c>
      <c r="J60" s="19" t="str">
        <f ca="1">CELL(_CELL_ADDRESS_NAME,grupy!$I$4)</f>
        <v>'[dane surowe2d.xlsm]grupy'!$I$4</v>
      </c>
      <c r="K60" s="15">
        <f ca="1">ster!$C$16</f>
        <v>20</v>
      </c>
      <c r="M60" s="19"/>
      <c r="T60" s="15" t="str">
        <f ca="1">BC60</f>
        <v>'[dane surowe2d.xlsm]grupy'!$I$4:$I$23</v>
      </c>
      <c r="U60" s="15">
        <f t="shared" ca="1" si="118"/>
        <v>0</v>
      </c>
      <c r="AD60" s="16" t="b">
        <f t="shared" si="91"/>
        <v>1</v>
      </c>
      <c r="AE60" s="16" t="b">
        <f t="shared" si="92"/>
        <v>0</v>
      </c>
      <c r="AF60" s="15" t="str">
        <f t="shared" si="66"/>
        <v/>
      </c>
      <c r="AG60" s="15" t="str">
        <f t="shared" ca="1" si="4"/>
        <v/>
      </c>
      <c r="AH60" s="15" t="str">
        <f t="shared" ca="1" si="5"/>
        <v/>
      </c>
      <c r="AI60" s="15" t="b">
        <f t="shared" ca="1" si="6"/>
        <v>0</v>
      </c>
      <c r="AJ60" s="15" t="str">
        <f t="shared" ca="1" si="26"/>
        <v/>
      </c>
      <c r="AK60" s="27" t="str">
        <f t="shared" ca="1" si="93"/>
        <v/>
      </c>
      <c r="AL60" s="15" t="b">
        <f t="shared" ca="1" si="7"/>
        <v>0</v>
      </c>
      <c r="AM60" s="15" t="str">
        <f t="shared" ca="1" si="94"/>
        <v/>
      </c>
      <c r="AN60" s="15">
        <f t="shared" ca="1" si="95"/>
        <v>3</v>
      </c>
      <c r="AO60" s="15" t="str">
        <f t="shared" ca="1" si="27"/>
        <v/>
      </c>
      <c r="AP60" s="15" t="str">
        <f t="shared" ca="1" si="96"/>
        <v/>
      </c>
      <c r="AQ60" s="27">
        <f t="shared" ca="1" si="97"/>
        <v>1</v>
      </c>
      <c r="AR60" s="15" t="b">
        <f t="shared" ca="1" si="98"/>
        <v>1</v>
      </c>
      <c r="AS60" s="27" t="b">
        <f t="shared" ca="1" si="99"/>
        <v>1</v>
      </c>
      <c r="AT60" s="27" t="b">
        <f t="shared" ca="1" si="100"/>
        <v>1</v>
      </c>
      <c r="AU60" s="27">
        <f t="shared" ca="1" si="101"/>
        <v>21</v>
      </c>
      <c r="AV60" s="16" t="e">
        <f t="shared" ca="1" si="102"/>
        <v>#REF!</v>
      </c>
      <c r="AW60" s="15" t="str">
        <f t="shared" ca="1" si="115"/>
        <v>'[dane surowe2d.xlsm]grupy'!$I$4</v>
      </c>
      <c r="AX60" s="27" t="b">
        <f t="shared" ca="1" si="103"/>
        <v>0</v>
      </c>
      <c r="AY60" s="27" t="b">
        <f t="shared" ca="1" si="104"/>
        <v>0</v>
      </c>
      <c r="AZ60" s="15">
        <f t="shared" ca="1" si="105"/>
        <v>1</v>
      </c>
      <c r="BA60" s="15">
        <f t="shared" ca="1" si="28"/>
        <v>20</v>
      </c>
      <c r="BB60" s="15" t="str">
        <f t="shared" ca="1" si="106"/>
        <v>'[dane surowe2d.xlsm]grupy'!$I$4</v>
      </c>
      <c r="BC60" s="15" t="str">
        <f t="shared" ca="1" si="29"/>
        <v>'[dane surowe2d.xlsm]grupy'!$I$4:$I$23</v>
      </c>
      <c r="BD60" s="15" t="b">
        <f t="shared" ca="1" si="107"/>
        <v>1</v>
      </c>
      <c r="BE60" s="15" t="b">
        <f t="shared" ca="1" si="10"/>
        <v>0</v>
      </c>
      <c r="BF60" s="15" t="str">
        <f t="shared" ca="1" si="11"/>
        <v/>
      </c>
      <c r="BG60" s="15" t="str">
        <f t="shared" ca="1" si="12"/>
        <v/>
      </c>
      <c r="BH60" s="15">
        <f t="array" aca="1" ref="BH60" ca="1">IF(IFERROR( S60,1),1,IF(BC60="","", SUM(IF(ISERROR(INDIRECT(BC60)),1,0))))</f>
        <v>0</v>
      </c>
      <c r="BI60" s="15" t="b">
        <f t="shared" si="108"/>
        <v>0</v>
      </c>
      <c r="BJ60" s="15" t="b">
        <f t="shared" si="109"/>
        <v>1</v>
      </c>
      <c r="BK60" s="15">
        <f t="shared" ca="1" si="13"/>
        <v>2</v>
      </c>
      <c r="BL60" s="15">
        <f t="shared" ca="1" si="14"/>
        <v>2</v>
      </c>
      <c r="BP60" s="15" t="b">
        <f t="shared" si="30"/>
        <v>1</v>
      </c>
      <c r="BQ60" s="15" t="b">
        <f t="shared" ca="1" si="31"/>
        <v>0</v>
      </c>
      <c r="BR60" s="15" t="str">
        <f t="shared" ca="1" si="15"/>
        <v/>
      </c>
      <c r="BS60" s="15">
        <f t="shared" ca="1" si="32"/>
        <v>0</v>
      </c>
      <c r="BT60" s="15" t="str">
        <f t="shared" ca="1" si="16"/>
        <v/>
      </c>
      <c r="BV60" s="15" t="b">
        <f t="shared" ca="1" si="33"/>
        <v>0</v>
      </c>
      <c r="BW60" s="15" t="b">
        <f t="shared" ca="1" si="34"/>
        <v>0</v>
      </c>
      <c r="BX60" s="15" t="b">
        <f t="shared" ca="1" si="35"/>
        <v>0</v>
      </c>
      <c r="BY60" s="15" t="b">
        <f t="shared" ca="1" si="17"/>
        <v>0</v>
      </c>
      <c r="BZ60" s="15" t="b">
        <f t="shared" ca="1" si="36"/>
        <v>0</v>
      </c>
      <c r="CA60" s="15" t="b">
        <f t="shared" ca="1" si="110"/>
        <v>0</v>
      </c>
      <c r="CB60" s="15" t="b">
        <f t="shared" ca="1" si="111"/>
        <v>0</v>
      </c>
      <c r="CC60" s="15" t="b">
        <f t="shared" ca="1" si="112"/>
        <v>0</v>
      </c>
      <c r="CD60" s="15" t="b">
        <f t="shared" ca="1" si="112"/>
        <v>0</v>
      </c>
      <c r="CE60" s="15" t="b">
        <f t="shared" ca="1" si="37"/>
        <v>0</v>
      </c>
      <c r="CF60" s="15" t="b">
        <f t="shared" ca="1" si="113"/>
        <v>0</v>
      </c>
      <c r="CG60" s="15" t="b">
        <f t="shared" ca="1" si="114"/>
        <v>0</v>
      </c>
      <c r="CH60" s="15" t="b">
        <f t="shared" ca="1" si="18"/>
        <v>0</v>
      </c>
      <c r="CI60" s="15" t="b">
        <f t="shared" si="38"/>
        <v>0</v>
      </c>
      <c r="CJ60" s="15" t="b">
        <f t="shared" si="39"/>
        <v>0</v>
      </c>
      <c r="CK60" s="15" t="b">
        <f t="shared" ca="1" si="119"/>
        <v>0</v>
      </c>
      <c r="CL60" s="15" t="b">
        <f t="shared" ca="1" si="119"/>
        <v>0</v>
      </c>
      <c r="CM60" s="15" t="b">
        <f t="shared" ca="1" si="119"/>
        <v>0</v>
      </c>
      <c r="CN60" s="15" t="b">
        <f t="shared" ca="1" si="119"/>
        <v>0</v>
      </c>
      <c r="CO60" s="15" t="b">
        <f t="shared" ca="1" si="119"/>
        <v>0</v>
      </c>
      <c r="CP60" s="15" t="b">
        <f t="shared" ca="1" si="119"/>
        <v>0</v>
      </c>
      <c r="CQ60" s="15" t="b">
        <f t="shared" ca="1" si="120"/>
        <v>0</v>
      </c>
      <c r="CR60" s="21" t="b">
        <f t="shared" ca="1" si="121"/>
        <v>0</v>
      </c>
      <c r="CS60" s="22" t="b">
        <f t="shared" ca="1" si="123"/>
        <v>0</v>
      </c>
      <c r="CT60" s="22" t="b">
        <f t="shared" ca="1" si="123"/>
        <v>0</v>
      </c>
      <c r="CU60" s="22" t="b">
        <f t="shared" ca="1" si="123"/>
        <v>0</v>
      </c>
      <c r="CV60" s="22" t="b">
        <f t="shared" ca="1" si="123"/>
        <v>0</v>
      </c>
      <c r="CW60" s="22" t="b">
        <f t="shared" ca="1" si="123"/>
        <v>0</v>
      </c>
      <c r="CX60" s="22" t="b">
        <f t="shared" ca="1" si="123"/>
        <v>0</v>
      </c>
      <c r="CY60" s="22" t="b">
        <f t="shared" ca="1" si="123"/>
        <v>0</v>
      </c>
      <c r="CZ60" s="21" t="b">
        <f t="shared" ca="1" si="123"/>
        <v>0</v>
      </c>
      <c r="DB60" s="22" t="b">
        <f t="shared" ca="1" si="40"/>
        <v>0</v>
      </c>
      <c r="DC60" s="22" t="b">
        <f t="shared" ca="1" si="122"/>
        <v>0</v>
      </c>
      <c r="DD60" s="22" t="b">
        <f t="shared" ca="1" si="122"/>
        <v>0</v>
      </c>
      <c r="DE60" s="22" t="b">
        <f t="shared" ca="1" si="122"/>
        <v>0</v>
      </c>
      <c r="DF60" s="22" t="b">
        <f t="shared" ca="1" si="122"/>
        <v>0</v>
      </c>
      <c r="DG60" s="22" t="b">
        <f t="shared" ca="1" si="122"/>
        <v>0</v>
      </c>
      <c r="DH60" s="22" t="b">
        <f t="shared" ca="1" si="122"/>
        <v>0</v>
      </c>
      <c r="DI60" s="22" t="b">
        <f t="shared" ca="1" si="122"/>
        <v>0</v>
      </c>
      <c r="DJ60" s="22" t="b">
        <f t="shared" ca="1" si="122"/>
        <v>0</v>
      </c>
      <c r="DK60" s="22"/>
      <c r="DO60" s="15" t="str">
        <f t="shared" ca="1" si="90"/>
        <v/>
      </c>
      <c r="DP60" s="15" t="str">
        <f t="shared" ca="1" si="90"/>
        <v/>
      </c>
      <c r="DQ60" s="15" t="str">
        <f t="shared" ca="1" si="90"/>
        <v/>
      </c>
      <c r="DR60" s="15" t="str">
        <f t="shared" ca="1" si="90"/>
        <v/>
      </c>
      <c r="DS60" s="15" t="str">
        <f t="shared" ca="1" si="90"/>
        <v/>
      </c>
      <c r="DT60" s="15" t="str">
        <f t="shared" ca="1" si="90"/>
        <v/>
      </c>
      <c r="DU60" s="15" t="str">
        <f t="shared" ca="1" si="90"/>
        <v/>
      </c>
      <c r="DV60" s="15" t="str">
        <f t="shared" ca="1" si="90"/>
        <v/>
      </c>
    </row>
    <row r="61" spans="1:126">
      <c r="A61" s="15">
        <f t="shared" si="24"/>
        <v>49</v>
      </c>
      <c r="B61" s="15" t="str">
        <f ca="1">IF(AD61,IF(BS61&gt;0,BT61,IF(DA61,"Pole zależy od pól, które zależą od zamkniętego workbooka","ok.")),"")</f>
        <v>ok.</v>
      </c>
      <c r="C61" s="15" t="s">
        <v>230</v>
      </c>
      <c r="D61" s="15" t="str">
        <f t="shared" si="25"/>
        <v>Grupy NazwyRodzaj</v>
      </c>
      <c r="F61" s="15" t="s">
        <v>229</v>
      </c>
      <c r="G61" s="15" t="s">
        <v>121</v>
      </c>
      <c r="J61" s="19" t="str">
        <f ca="1">CELL(_CELL_ADDRESS_NAME,grupy!$J$4)</f>
        <v>'[dane surowe2d.xlsm]grupy'!$J$4</v>
      </c>
      <c r="K61" s="15">
        <f ca="1">ster!$C$16</f>
        <v>20</v>
      </c>
      <c r="M61" s="19"/>
      <c r="T61" s="15" t="str">
        <f ca="1">BC61</f>
        <v>'[dane surowe2d.xlsm]grupy'!$J$4:$J$23</v>
      </c>
      <c r="U61" s="15">
        <f ca="1">IF(AD61,BS61,"")</f>
        <v>0</v>
      </c>
      <c r="AD61" s="16" t="b">
        <f t="shared" si="91"/>
        <v>1</v>
      </c>
      <c r="AE61" s="16" t="b">
        <f t="shared" si="92"/>
        <v>0</v>
      </c>
      <c r="AF61" s="15" t="str">
        <f t="shared" si="66"/>
        <v/>
      </c>
      <c r="AG61" s="15" t="str">
        <f t="shared" ca="1" si="4"/>
        <v/>
      </c>
      <c r="AH61" s="15" t="str">
        <f t="shared" ca="1" si="5"/>
        <v/>
      </c>
      <c r="AI61" s="15" t="b">
        <f t="shared" ca="1" si="6"/>
        <v>0</v>
      </c>
      <c r="AJ61" s="15" t="str">
        <f t="shared" ca="1" si="26"/>
        <v/>
      </c>
      <c r="AK61" s="27" t="str">
        <f t="shared" ca="1" si="93"/>
        <v/>
      </c>
      <c r="AL61" s="15" t="b">
        <f t="shared" ca="1" si="7"/>
        <v>0</v>
      </c>
      <c r="AM61" s="15" t="str">
        <f t="shared" ca="1" si="94"/>
        <v/>
      </c>
      <c r="AN61" s="15">
        <f t="shared" ca="1" si="95"/>
        <v>3</v>
      </c>
      <c r="AO61" s="15" t="str">
        <f t="shared" ca="1" si="27"/>
        <v/>
      </c>
      <c r="AP61" s="15" t="str">
        <f t="shared" ca="1" si="96"/>
        <v/>
      </c>
      <c r="AQ61" s="27">
        <f t="shared" ca="1" si="97"/>
        <v>1</v>
      </c>
      <c r="AR61" s="15" t="b">
        <f t="shared" ca="1" si="98"/>
        <v>1</v>
      </c>
      <c r="AS61" s="27" t="b">
        <f t="shared" ca="1" si="99"/>
        <v>1</v>
      </c>
      <c r="AT61" s="27" t="b">
        <f t="shared" ca="1" si="100"/>
        <v>1</v>
      </c>
      <c r="AU61" s="27">
        <f t="shared" ca="1" si="101"/>
        <v>21</v>
      </c>
      <c r="AV61" s="16" t="e">
        <f t="shared" ca="1" si="102"/>
        <v>#REF!</v>
      </c>
      <c r="AW61" s="15" t="str">
        <f t="shared" ca="1" si="115"/>
        <v>'[dane surowe2d.xlsm]grupy'!$J$4</v>
      </c>
      <c r="AX61" s="27" t="b">
        <f t="shared" ca="1" si="103"/>
        <v>0</v>
      </c>
      <c r="AY61" s="27" t="b">
        <f t="shared" ca="1" si="104"/>
        <v>0</v>
      </c>
      <c r="AZ61" s="15">
        <f t="shared" ca="1" si="105"/>
        <v>1</v>
      </c>
      <c r="BA61" s="15">
        <f t="shared" ca="1" si="28"/>
        <v>20</v>
      </c>
      <c r="BB61" s="15" t="str">
        <f t="shared" ca="1" si="106"/>
        <v>'[dane surowe2d.xlsm]grupy'!$J$4</v>
      </c>
      <c r="BC61" s="15" t="str">
        <f t="shared" ca="1" si="29"/>
        <v>'[dane surowe2d.xlsm]grupy'!$J$4:$J$23</v>
      </c>
      <c r="BD61" s="15" t="b">
        <f t="shared" ca="1" si="107"/>
        <v>1</v>
      </c>
      <c r="BE61" s="15" t="b">
        <f t="shared" ca="1" si="10"/>
        <v>0</v>
      </c>
      <c r="BF61" s="15" t="str">
        <f t="shared" ca="1" si="11"/>
        <v/>
      </c>
      <c r="BG61" s="15" t="str">
        <f t="shared" ca="1" si="12"/>
        <v/>
      </c>
      <c r="BH61" s="15">
        <f t="array" aca="1" ref="BH61" ca="1">IF(IFERROR( S61,1),1,IF(BC61="","", SUM(IF(ISERROR(INDIRECT(BC61)),1,0))))</f>
        <v>0</v>
      </c>
      <c r="BI61" s="15" t="b">
        <f t="shared" si="108"/>
        <v>0</v>
      </c>
      <c r="BJ61" s="15" t="b">
        <f t="shared" si="109"/>
        <v>1</v>
      </c>
      <c r="BK61" s="15">
        <f t="shared" ca="1" si="13"/>
        <v>2</v>
      </c>
      <c r="BL61" s="15">
        <f t="shared" ca="1" si="14"/>
        <v>2</v>
      </c>
      <c r="BP61" s="15" t="b">
        <f t="shared" si="30"/>
        <v>1</v>
      </c>
      <c r="BQ61" s="15" t="b">
        <f t="shared" ca="1" si="31"/>
        <v>0</v>
      </c>
      <c r="BR61" s="15" t="str">
        <f t="shared" ca="1" si="15"/>
        <v/>
      </c>
      <c r="BS61" s="15">
        <f t="shared" ca="1" si="32"/>
        <v>0</v>
      </c>
      <c r="BT61" s="15" t="str">
        <f t="shared" ca="1" si="16"/>
        <v/>
      </c>
      <c r="BV61" s="15" t="b">
        <f t="shared" ca="1" si="33"/>
        <v>0</v>
      </c>
      <c r="BW61" s="15" t="b">
        <f t="shared" ca="1" si="34"/>
        <v>0</v>
      </c>
      <c r="BX61" s="15" t="b">
        <f t="shared" ca="1" si="35"/>
        <v>0</v>
      </c>
      <c r="BY61" s="15" t="b">
        <f t="shared" ca="1" si="17"/>
        <v>0</v>
      </c>
      <c r="BZ61" s="15" t="b">
        <f t="shared" ca="1" si="36"/>
        <v>0</v>
      </c>
      <c r="CA61" s="15" t="b">
        <f t="shared" ca="1" si="110"/>
        <v>0</v>
      </c>
      <c r="CB61" s="15" t="b">
        <f t="shared" ca="1" si="111"/>
        <v>0</v>
      </c>
      <c r="CC61" s="15" t="b">
        <f t="shared" ca="1" si="112"/>
        <v>0</v>
      </c>
      <c r="CD61" s="15" t="b">
        <f t="shared" ca="1" si="112"/>
        <v>0</v>
      </c>
      <c r="CE61" s="15" t="b">
        <f t="shared" ca="1" si="37"/>
        <v>0</v>
      </c>
      <c r="CF61" s="15" t="b">
        <f t="shared" ca="1" si="113"/>
        <v>0</v>
      </c>
      <c r="CG61" s="15" t="b">
        <f t="shared" ca="1" si="114"/>
        <v>0</v>
      </c>
      <c r="CH61" s="15" t="b">
        <f t="shared" ca="1" si="18"/>
        <v>0</v>
      </c>
      <c r="CI61" s="15" t="b">
        <f t="shared" si="38"/>
        <v>0</v>
      </c>
      <c r="CJ61" s="15" t="b">
        <f t="shared" si="39"/>
        <v>0</v>
      </c>
      <c r="CK61" s="15" t="b">
        <f t="shared" ca="1" si="119"/>
        <v>0</v>
      </c>
      <c r="CL61" s="15" t="b">
        <f t="shared" ca="1" si="119"/>
        <v>0</v>
      </c>
      <c r="CM61" s="15" t="b">
        <f t="shared" ca="1" si="119"/>
        <v>0</v>
      </c>
      <c r="CN61" s="15" t="b">
        <f t="shared" ca="1" si="119"/>
        <v>0</v>
      </c>
      <c r="CO61" s="15" t="b">
        <f t="shared" ca="1" si="119"/>
        <v>0</v>
      </c>
      <c r="CP61" s="15" t="b">
        <f t="shared" ca="1" si="119"/>
        <v>0</v>
      </c>
      <c r="CQ61" s="15" t="b">
        <f t="shared" ca="1" si="120"/>
        <v>0</v>
      </c>
      <c r="CR61" s="21" t="b">
        <f t="shared" ca="1" si="121"/>
        <v>0</v>
      </c>
      <c r="CS61" s="22" t="b">
        <f t="shared" ca="1" si="123"/>
        <v>0</v>
      </c>
      <c r="CT61" s="22" t="b">
        <f t="shared" ca="1" si="123"/>
        <v>0</v>
      </c>
      <c r="CU61" s="22" t="b">
        <f t="shared" ca="1" si="123"/>
        <v>0</v>
      </c>
      <c r="CV61" s="22" t="b">
        <f t="shared" ca="1" si="123"/>
        <v>0</v>
      </c>
      <c r="CW61" s="22" t="b">
        <f t="shared" ca="1" si="123"/>
        <v>0</v>
      </c>
      <c r="CX61" s="22" t="b">
        <f t="shared" ca="1" si="123"/>
        <v>0</v>
      </c>
      <c r="CY61" s="22" t="b">
        <f t="shared" ca="1" si="123"/>
        <v>0</v>
      </c>
      <c r="CZ61" s="21" t="b">
        <f t="shared" ca="1" si="123"/>
        <v>0</v>
      </c>
      <c r="DB61" s="22" t="b">
        <f t="shared" ca="1" si="40"/>
        <v>0</v>
      </c>
      <c r="DC61" s="22" t="b">
        <f t="shared" ca="1" si="122"/>
        <v>0</v>
      </c>
      <c r="DD61" s="22" t="b">
        <f t="shared" ca="1" si="122"/>
        <v>0</v>
      </c>
      <c r="DE61" s="22" t="b">
        <f t="shared" ca="1" si="122"/>
        <v>0</v>
      </c>
      <c r="DF61" s="22" t="b">
        <f t="shared" ca="1" si="122"/>
        <v>0</v>
      </c>
      <c r="DG61" s="22" t="b">
        <f t="shared" ca="1" si="122"/>
        <v>0</v>
      </c>
      <c r="DH61" s="22" t="b">
        <f t="shared" ca="1" si="122"/>
        <v>0</v>
      </c>
      <c r="DI61" s="22" t="b">
        <f t="shared" ca="1" si="122"/>
        <v>0</v>
      </c>
      <c r="DJ61" s="22" t="b">
        <f t="shared" ca="1" si="122"/>
        <v>0</v>
      </c>
      <c r="DK61" s="22"/>
      <c r="DO61" s="15" t="str">
        <f t="shared" ca="1" si="90"/>
        <v/>
      </c>
      <c r="DP61" s="15" t="str">
        <f t="shared" ca="1" si="90"/>
        <v/>
      </c>
      <c r="DQ61" s="15" t="str">
        <f t="shared" ca="1" si="90"/>
        <v/>
      </c>
      <c r="DR61" s="15" t="str">
        <f t="shared" ca="1" si="90"/>
        <v/>
      </c>
      <c r="DS61" s="15" t="str">
        <f t="shared" ca="1" si="90"/>
        <v/>
      </c>
      <c r="DT61" s="15" t="str">
        <f t="shared" ca="1" si="90"/>
        <v/>
      </c>
      <c r="DU61" s="15" t="str">
        <f t="shared" ca="1" si="90"/>
        <v/>
      </c>
      <c r="DV61" s="15" t="str">
        <f t="shared" ca="1" si="90"/>
        <v/>
      </c>
    </row>
    <row r="62" spans="1:126">
      <c r="A62" s="15">
        <f t="shared" si="24"/>
        <v>50</v>
      </c>
      <c r="B62" s="15" t="str">
        <f t="shared" ref="B62:B82" ca="1" si="124">IF(AD62,IF(BS62&gt;0,BT62,IF(DA62,"Pole zależy od pól, które zależą od zamkniętego workbooka","ok.")),"")</f>
        <v xml:space="preserve">Nie znaleziono pola, od którego zależy dane pole. </v>
      </c>
      <c r="C62" s="15" t="s">
        <v>114</v>
      </c>
      <c r="D62" s="15" t="str">
        <f t="shared" si="25"/>
        <v>Dane IleZmiennych</v>
      </c>
      <c r="E62" s="15" t="s">
        <v>185</v>
      </c>
      <c r="F62" s="15" t="s">
        <v>179</v>
      </c>
      <c r="G62" s="15" t="s">
        <v>88</v>
      </c>
      <c r="J62" s="19" t="str">
        <f ca="1">CELL(_CELL_ADDRESS_NAME,ster!$B$12)</f>
        <v>'[dane surowe2d.xlsm]ster'!$B$12</v>
      </c>
      <c r="M62" s="19"/>
      <c r="T62" s="15" t="str">
        <f t="shared" ref="T62:T68" ca="1" si="125">BC62</f>
        <v>'[dane surowe2d.xlsm]ster'!$B$12</v>
      </c>
      <c r="U62" s="15">
        <f t="shared" ref="U62:U78" ca="1" si="126">IF(AD62,BS62,"")</f>
        <v>17</v>
      </c>
      <c r="V62" s="15" t="s">
        <v>91</v>
      </c>
      <c r="AD62" s="16" t="b">
        <f t="shared" si="91"/>
        <v>1</v>
      </c>
      <c r="AE62" s="16" t="b">
        <f t="shared" si="92"/>
        <v>0</v>
      </c>
      <c r="AF62" s="15" t="str">
        <f t="shared" si="66"/>
        <v/>
      </c>
      <c r="AG62" s="15" t="str">
        <f t="shared" ca="1" si="4"/>
        <v/>
      </c>
      <c r="AH62" s="15" t="str">
        <f t="shared" ca="1" si="5"/>
        <v/>
      </c>
      <c r="AI62" s="15" t="b">
        <f t="shared" ca="1" si="6"/>
        <v>0</v>
      </c>
      <c r="AJ62" s="15" t="str">
        <f t="shared" ca="1" si="26"/>
        <v/>
      </c>
      <c r="AK62" s="27" t="str">
        <f t="shared" ca="1" si="93"/>
        <v/>
      </c>
      <c r="AL62" s="15" t="b">
        <f t="shared" ca="1" si="7"/>
        <v>0</v>
      </c>
      <c r="AM62" s="15" t="str">
        <f t="shared" ca="1" si="94"/>
        <v/>
      </c>
      <c r="AN62" s="15">
        <f t="shared" ca="1" si="95"/>
        <v>3</v>
      </c>
      <c r="AO62" s="15" t="str">
        <f t="shared" ca="1" si="27"/>
        <v/>
      </c>
      <c r="AP62" s="15" t="str">
        <f t="shared" ca="1" si="96"/>
        <v/>
      </c>
      <c r="AQ62" s="27">
        <f t="shared" ca="1" si="97"/>
        <v>1</v>
      </c>
      <c r="AR62" s="15" t="b">
        <f t="shared" ca="1" si="98"/>
        <v>1</v>
      </c>
      <c r="AS62" s="27" t="b">
        <f t="shared" ca="1" si="99"/>
        <v>1</v>
      </c>
      <c r="AT62" s="27" t="b">
        <f t="shared" ca="1" si="100"/>
        <v>1</v>
      </c>
      <c r="AU62" s="27">
        <f t="shared" ca="1" si="101"/>
        <v>21</v>
      </c>
      <c r="AV62" s="16" t="e">
        <f t="shared" ca="1" si="102"/>
        <v>#REF!</v>
      </c>
      <c r="AW62" s="15" t="str">
        <f t="shared" ca="1" si="115"/>
        <v>'[dane surowe2d.xlsm]ster'!$B$12</v>
      </c>
      <c r="AX62" s="27" t="b">
        <f t="shared" ca="1" si="103"/>
        <v>0</v>
      </c>
      <c r="AY62" s="27" t="b">
        <f t="shared" ca="1" si="104"/>
        <v>0</v>
      </c>
      <c r="AZ62" s="15">
        <f t="shared" ca="1" si="105"/>
        <v>1</v>
      </c>
      <c r="BA62" s="15">
        <f t="shared" ca="1" si="28"/>
        <v>1</v>
      </c>
      <c r="BB62" s="15" t="str">
        <f t="shared" ca="1" si="106"/>
        <v>'[dane surowe2d.xlsm]ster'!$B$12</v>
      </c>
      <c r="BC62" s="15" t="str">
        <f t="shared" ca="1" si="29"/>
        <v>'[dane surowe2d.xlsm]ster'!$B$12</v>
      </c>
      <c r="BD62" s="15" t="b">
        <f t="shared" ca="1" si="107"/>
        <v>0</v>
      </c>
      <c r="BE62" s="15" t="b">
        <f t="shared" ca="1" si="10"/>
        <v>1</v>
      </c>
      <c r="BF62" s="15">
        <f t="shared" ca="1" si="11"/>
        <v>1</v>
      </c>
      <c r="BG62" s="15">
        <f t="shared" ca="1" si="12"/>
        <v>1</v>
      </c>
      <c r="BH62" s="15">
        <f t="array" aca="1" ref="BH62" ca="1">IF(IFERROR( S62,1),1,IF(BC62="","", SUM(IF(ISERROR(INDIRECT(BC62)),1,0))))</f>
        <v>0</v>
      </c>
      <c r="BI62" s="15" t="b">
        <f t="shared" si="108"/>
        <v>1</v>
      </c>
      <c r="BJ62" s="15" t="b">
        <f t="shared" si="109"/>
        <v>0</v>
      </c>
      <c r="BK62" s="15">
        <f t="shared" ca="1" si="13"/>
        <v>1</v>
      </c>
      <c r="BL62" s="15">
        <f t="shared" ca="1" si="14"/>
        <v>1</v>
      </c>
      <c r="BP62" s="15" t="b">
        <f t="shared" si="30"/>
        <v>1</v>
      </c>
      <c r="BQ62" s="15" t="b">
        <f t="shared" ca="1" si="31"/>
        <v>1</v>
      </c>
      <c r="BR62" s="15">
        <f t="shared" ca="1" si="15"/>
        <v>17</v>
      </c>
      <c r="BS62" s="15">
        <f t="shared" ca="1" si="32"/>
        <v>17</v>
      </c>
      <c r="BT62" s="15" t="str">
        <f t="shared" ca="1" si="16"/>
        <v xml:space="preserve">Nie znaleziono pola, od którego zależy dane pole. </v>
      </c>
      <c r="BV62" s="15" t="b">
        <f t="shared" ca="1" si="33"/>
        <v>0</v>
      </c>
      <c r="BW62" s="15" t="b">
        <f t="shared" ca="1" si="34"/>
        <v>0</v>
      </c>
      <c r="BX62" s="15" t="b">
        <f t="shared" ca="1" si="35"/>
        <v>0</v>
      </c>
      <c r="BY62" s="15" t="b">
        <f t="shared" ca="1" si="17"/>
        <v>0</v>
      </c>
      <c r="BZ62" s="15" t="b">
        <f t="shared" ca="1" si="36"/>
        <v>0</v>
      </c>
      <c r="CA62" s="15" t="b">
        <f t="shared" ca="1" si="110"/>
        <v>0</v>
      </c>
      <c r="CB62" s="15" t="b">
        <f t="shared" ca="1" si="111"/>
        <v>0</v>
      </c>
      <c r="CC62" s="15" t="b">
        <f t="shared" ca="1" si="112"/>
        <v>0</v>
      </c>
      <c r="CD62" s="15" t="b">
        <f t="shared" ca="1" si="112"/>
        <v>0</v>
      </c>
      <c r="CE62" s="15" t="b">
        <f t="shared" ca="1" si="37"/>
        <v>0</v>
      </c>
      <c r="CF62" s="15" t="b">
        <f t="shared" ca="1" si="113"/>
        <v>0</v>
      </c>
      <c r="CG62" s="15" t="b">
        <f t="shared" ca="1" si="114"/>
        <v>0</v>
      </c>
      <c r="CH62" s="15" t="b">
        <f t="shared" ca="1" si="18"/>
        <v>0</v>
      </c>
      <c r="CI62" s="15" t="b">
        <f t="shared" si="38"/>
        <v>0</v>
      </c>
      <c r="CJ62" s="15" t="b">
        <f t="shared" si="39"/>
        <v>0</v>
      </c>
      <c r="CK62" s="15" t="b">
        <f t="shared" ca="1" si="119"/>
        <v>1</v>
      </c>
      <c r="CL62" s="15" t="b">
        <f t="shared" ca="1" si="119"/>
        <v>0</v>
      </c>
      <c r="CM62" s="15" t="b">
        <f t="shared" ca="1" si="119"/>
        <v>0</v>
      </c>
      <c r="CN62" s="15" t="b">
        <f t="shared" ca="1" si="119"/>
        <v>0</v>
      </c>
      <c r="CO62" s="15" t="b">
        <f t="shared" ca="1" si="119"/>
        <v>0</v>
      </c>
      <c r="CP62" s="15" t="b">
        <f t="shared" ca="1" si="119"/>
        <v>0</v>
      </c>
      <c r="CQ62" s="15" t="b">
        <f t="shared" ca="1" si="120"/>
        <v>0</v>
      </c>
      <c r="CR62" s="21" t="b">
        <f t="shared" ca="1" si="121"/>
        <v>0</v>
      </c>
      <c r="CS62" s="22" t="b">
        <f t="shared" ca="1" si="123"/>
        <v>1</v>
      </c>
      <c r="CT62" s="22" t="b">
        <f t="shared" ca="1" si="123"/>
        <v>0</v>
      </c>
      <c r="CU62" s="22" t="b">
        <f t="shared" ca="1" si="123"/>
        <v>0</v>
      </c>
      <c r="CV62" s="22" t="b">
        <f t="shared" ca="1" si="123"/>
        <v>0</v>
      </c>
      <c r="CW62" s="22" t="b">
        <f t="shared" ca="1" si="123"/>
        <v>0</v>
      </c>
      <c r="CX62" s="22" t="b">
        <f t="shared" ca="1" si="123"/>
        <v>0</v>
      </c>
      <c r="CY62" s="22" t="b">
        <f t="shared" ca="1" si="123"/>
        <v>0</v>
      </c>
      <c r="CZ62" s="21" t="b">
        <f t="shared" ca="1" si="123"/>
        <v>0</v>
      </c>
      <c r="DB62" s="22" t="b">
        <f t="shared" ca="1" si="40"/>
        <v>0</v>
      </c>
      <c r="DC62" s="22" t="b">
        <f t="shared" ca="1" si="122"/>
        <v>0</v>
      </c>
      <c r="DD62" s="22" t="b">
        <f t="shared" ca="1" si="122"/>
        <v>0</v>
      </c>
      <c r="DE62" s="22" t="b">
        <f t="shared" ca="1" si="122"/>
        <v>0</v>
      </c>
      <c r="DF62" s="22" t="b">
        <f t="shared" ca="1" si="122"/>
        <v>0</v>
      </c>
      <c r="DG62" s="22" t="b">
        <f t="shared" ca="1" si="122"/>
        <v>0</v>
      </c>
      <c r="DH62" s="22" t="b">
        <f t="shared" ca="1" si="122"/>
        <v>0</v>
      </c>
      <c r="DI62" s="22" t="b">
        <f t="shared" ca="1" si="122"/>
        <v>0</v>
      </c>
      <c r="DJ62" s="22" t="b">
        <f t="shared" ca="1" si="122"/>
        <v>0</v>
      </c>
      <c r="DK62" s="22"/>
      <c r="DO62" s="15">
        <f t="shared" ca="1" si="90"/>
        <v>100</v>
      </c>
      <c r="DP62" s="15" t="str">
        <f t="shared" ca="1" si="90"/>
        <v/>
      </c>
      <c r="DQ62" s="15" t="str">
        <f t="shared" ca="1" si="90"/>
        <v/>
      </c>
      <c r="DR62" s="15" t="str">
        <f t="shared" ca="1" si="90"/>
        <v/>
      </c>
      <c r="DS62" s="15" t="str">
        <f t="shared" ca="1" si="90"/>
        <v/>
      </c>
      <c r="DT62" s="15" t="str">
        <f t="shared" ca="1" si="90"/>
        <v/>
      </c>
      <c r="DU62" s="15" t="str">
        <f t="shared" ca="1" si="90"/>
        <v/>
      </c>
      <c r="DV62" s="15" t="str">
        <f t="shared" ca="1" si="90"/>
        <v/>
      </c>
    </row>
    <row r="63" spans="1:126">
      <c r="A63" s="15">
        <f t="shared" si="24"/>
        <v>51</v>
      </c>
      <c r="B63" s="15" t="str">
        <f t="shared" si="124"/>
        <v/>
      </c>
      <c r="D63" s="15" t="str">
        <f t="shared" si="25"/>
        <v/>
      </c>
      <c r="E63" s="15" t="s">
        <v>186</v>
      </c>
      <c r="F63" s="15" t="s">
        <v>180</v>
      </c>
      <c r="G63" s="15" t="s">
        <v>88</v>
      </c>
      <c r="J63" s="19" t="str">
        <f ca="1">CELL(_CELL_ADDRESS_NAME,ster!$C$12)</f>
        <v>'[dane surowe2d.xlsm]ster'!$C$12</v>
      </c>
      <c r="M63" s="19"/>
      <c r="T63" s="15" t="str">
        <f t="shared" ca="1" si="125"/>
        <v/>
      </c>
      <c r="U63" s="15" t="str">
        <f t="shared" si="126"/>
        <v/>
      </c>
      <c r="V63" s="15" t="s">
        <v>91</v>
      </c>
      <c r="AD63" s="16" t="b">
        <f t="shared" si="91"/>
        <v>0</v>
      </c>
      <c r="AE63" s="16" t="b">
        <f t="shared" si="92"/>
        <v>0</v>
      </c>
      <c r="AF63" s="15" t="str">
        <f t="shared" si="66"/>
        <v/>
      </c>
      <c r="AG63" s="15" t="str">
        <f t="shared" ca="1" si="4"/>
        <v/>
      </c>
      <c r="AH63" s="15" t="str">
        <f t="shared" ca="1" si="5"/>
        <v/>
      </c>
      <c r="AI63" s="15" t="b">
        <f t="shared" ca="1" si="6"/>
        <v>0</v>
      </c>
      <c r="AJ63" s="15" t="str">
        <f t="shared" ca="1" si="26"/>
        <v/>
      </c>
      <c r="AK63" s="27" t="str">
        <f t="shared" ca="1" si="93"/>
        <v/>
      </c>
      <c r="AL63" s="15" t="b">
        <f t="shared" ca="1" si="7"/>
        <v>0</v>
      </c>
      <c r="AM63" s="15" t="str">
        <f t="shared" ca="1" si="94"/>
        <v/>
      </c>
      <c r="AN63" s="15">
        <f t="shared" ca="1" si="95"/>
        <v>3</v>
      </c>
      <c r="AO63" s="15" t="str">
        <f t="shared" ca="1" si="27"/>
        <v/>
      </c>
      <c r="AP63" s="15" t="str">
        <f t="shared" ca="1" si="96"/>
        <v/>
      </c>
      <c r="AQ63" s="27">
        <f t="shared" ca="1" si="97"/>
        <v>4</v>
      </c>
      <c r="AR63" s="15" t="b">
        <f t="shared" ca="1" si="98"/>
        <v>0</v>
      </c>
      <c r="AS63" s="27" t="b">
        <f t="shared" ca="1" si="99"/>
        <v>1</v>
      </c>
      <c r="AT63" s="27" t="b">
        <f t="shared" ca="1" si="100"/>
        <v>1</v>
      </c>
      <c r="AU63" s="27">
        <f t="shared" ca="1" si="101"/>
        <v>21</v>
      </c>
      <c r="AV63" s="16" t="e">
        <f t="shared" ca="1" si="102"/>
        <v>#REF!</v>
      </c>
      <c r="AW63" s="15" t="str">
        <f t="shared" ca="1" si="115"/>
        <v/>
      </c>
      <c r="AX63" s="27" t="b">
        <f t="shared" ca="1" si="103"/>
        <v>0</v>
      </c>
      <c r="AY63" s="27" t="b">
        <f t="shared" ca="1" si="104"/>
        <v>0</v>
      </c>
      <c r="AZ63" s="15" t="b">
        <f t="shared" ca="1" si="105"/>
        <v>0</v>
      </c>
      <c r="BA63" s="15" t="b">
        <f t="shared" ca="1" si="28"/>
        <v>0</v>
      </c>
      <c r="BB63" s="15" t="str">
        <f t="shared" si="106"/>
        <v/>
      </c>
      <c r="BC63" s="15" t="str">
        <f t="shared" ca="1" si="29"/>
        <v/>
      </c>
      <c r="BD63" s="15" t="b">
        <f t="shared" ca="1" si="107"/>
        <v>0</v>
      </c>
      <c r="BE63" s="15" t="b">
        <f t="shared" ca="1" si="10"/>
        <v>0</v>
      </c>
      <c r="BF63" s="15" t="str">
        <f t="shared" ca="1" si="11"/>
        <v/>
      </c>
      <c r="BG63" s="15" t="str">
        <f t="shared" ca="1" si="12"/>
        <v/>
      </c>
      <c r="BH63" s="15" t="str">
        <f t="array" aca="1" ref="BH63" ca="1">IF(IFERROR( S63,1),1,IF(BC63="","", SUM(IF(ISERROR(INDIRECT(BC63)),1,0))))</f>
        <v/>
      </c>
      <c r="BI63" s="15" t="b">
        <f t="shared" si="108"/>
        <v>1</v>
      </c>
      <c r="BJ63" s="15" t="b">
        <f t="shared" si="109"/>
        <v>0</v>
      </c>
      <c r="BK63" s="15" t="str">
        <f t="shared" ca="1" si="13"/>
        <v/>
      </c>
      <c r="BL63" s="15">
        <f t="shared" ca="1" si="14"/>
        <v>4</v>
      </c>
      <c r="BP63" s="15" t="b">
        <f t="shared" si="30"/>
        <v>0</v>
      </c>
      <c r="BQ63" s="15" t="b">
        <f t="shared" si="31"/>
        <v>0</v>
      </c>
      <c r="BR63" s="15" t="str">
        <f t="shared" si="15"/>
        <v/>
      </c>
      <c r="BS63" s="15">
        <f t="shared" si="32"/>
        <v>0</v>
      </c>
      <c r="BT63" s="15" t="str">
        <f t="shared" si="16"/>
        <v/>
      </c>
      <c r="BV63" s="15" t="b">
        <f t="shared" ca="1" si="33"/>
        <v>0</v>
      </c>
      <c r="BW63" s="15" t="b">
        <f t="shared" ca="1" si="34"/>
        <v>0</v>
      </c>
      <c r="BX63" s="15" t="b">
        <f t="shared" ca="1" si="35"/>
        <v>0</v>
      </c>
      <c r="BY63" s="15" t="b">
        <f t="shared" ca="1" si="17"/>
        <v>0</v>
      </c>
      <c r="BZ63" s="15" t="b">
        <f t="shared" ca="1" si="36"/>
        <v>0</v>
      </c>
      <c r="CA63" s="15" t="b">
        <f t="shared" ca="1" si="110"/>
        <v>0</v>
      </c>
      <c r="CB63" s="15" t="b">
        <f t="shared" ca="1" si="111"/>
        <v>0</v>
      </c>
      <c r="CC63" s="15" t="b">
        <f t="shared" ca="1" si="112"/>
        <v>0</v>
      </c>
      <c r="CD63" s="15" t="b">
        <f t="shared" ca="1" si="112"/>
        <v>0</v>
      </c>
      <c r="CE63" s="15" t="b">
        <f t="shared" ca="1" si="37"/>
        <v>0</v>
      </c>
      <c r="CF63" s="15" t="b">
        <f t="shared" ca="1" si="113"/>
        <v>0</v>
      </c>
      <c r="CG63" s="15" t="b">
        <f t="shared" ca="1" si="114"/>
        <v>1</v>
      </c>
      <c r="CH63" s="15" t="b">
        <f t="shared" ca="1" si="18"/>
        <v>0</v>
      </c>
      <c r="CI63" s="15" t="b">
        <f t="shared" si="38"/>
        <v>0</v>
      </c>
      <c r="CJ63" s="15" t="b">
        <f t="shared" si="39"/>
        <v>0</v>
      </c>
      <c r="CK63" s="15" t="b">
        <f t="shared" ca="1" si="119"/>
        <v>1</v>
      </c>
      <c r="CL63" s="15" t="b">
        <f t="shared" ca="1" si="119"/>
        <v>0</v>
      </c>
      <c r="CM63" s="15" t="b">
        <f t="shared" ca="1" si="119"/>
        <v>0</v>
      </c>
      <c r="CN63" s="15" t="b">
        <f t="shared" ca="1" si="119"/>
        <v>0</v>
      </c>
      <c r="CO63" s="15" t="b">
        <f t="shared" ca="1" si="119"/>
        <v>0</v>
      </c>
      <c r="CP63" s="15" t="b">
        <f t="shared" ca="1" si="119"/>
        <v>0</v>
      </c>
      <c r="CQ63" s="15" t="b">
        <f t="shared" ca="1" si="120"/>
        <v>0</v>
      </c>
      <c r="CR63" s="21" t="b">
        <f t="shared" ca="1" si="121"/>
        <v>0</v>
      </c>
      <c r="CS63" s="22" t="b">
        <f t="shared" ca="1" si="123"/>
        <v>1</v>
      </c>
      <c r="CT63" s="22" t="b">
        <f t="shared" ca="1" si="123"/>
        <v>0</v>
      </c>
      <c r="CU63" s="22" t="b">
        <f t="shared" ca="1" si="123"/>
        <v>0</v>
      </c>
      <c r="CV63" s="22" t="b">
        <f t="shared" ca="1" si="123"/>
        <v>0</v>
      </c>
      <c r="CW63" s="22" t="b">
        <f t="shared" ca="1" si="123"/>
        <v>0</v>
      </c>
      <c r="CX63" s="22" t="b">
        <f t="shared" ca="1" si="123"/>
        <v>0</v>
      </c>
      <c r="CY63" s="22" t="b">
        <f t="shared" ca="1" si="123"/>
        <v>0</v>
      </c>
      <c r="CZ63" s="21" t="b">
        <f t="shared" ca="1" si="123"/>
        <v>0</v>
      </c>
      <c r="DB63" s="22" t="b">
        <f t="shared" ca="1" si="40"/>
        <v>0</v>
      </c>
      <c r="DC63" s="22" t="b">
        <f t="shared" ca="1" si="122"/>
        <v>0</v>
      </c>
      <c r="DD63" s="22" t="b">
        <f t="shared" ca="1" si="122"/>
        <v>0</v>
      </c>
      <c r="DE63" s="22" t="b">
        <f t="shared" ca="1" si="122"/>
        <v>0</v>
      </c>
      <c r="DF63" s="22" t="b">
        <f t="shared" ca="1" si="122"/>
        <v>0</v>
      </c>
      <c r="DG63" s="22" t="b">
        <f t="shared" ca="1" si="122"/>
        <v>0</v>
      </c>
      <c r="DH63" s="22" t="b">
        <f t="shared" ca="1" si="122"/>
        <v>0</v>
      </c>
      <c r="DI63" s="22" t="b">
        <f t="shared" ca="1" si="122"/>
        <v>0</v>
      </c>
      <c r="DJ63" s="22" t="b">
        <f t="shared" ca="1" si="122"/>
        <v>0</v>
      </c>
      <c r="DK63" s="22"/>
      <c r="DO63" s="15">
        <f t="shared" ca="1" si="90"/>
        <v>100</v>
      </c>
      <c r="DP63" s="15" t="str">
        <f t="shared" ca="1" si="90"/>
        <v/>
      </c>
      <c r="DQ63" s="15" t="str">
        <f t="shared" ca="1" si="90"/>
        <v/>
      </c>
      <c r="DR63" s="15" t="str">
        <f t="shared" ca="1" si="90"/>
        <v/>
      </c>
      <c r="DS63" s="15" t="str">
        <f t="shared" ca="1" si="90"/>
        <v/>
      </c>
      <c r="DT63" s="15" t="str">
        <f t="shared" ca="1" si="90"/>
        <v/>
      </c>
      <c r="DU63" s="15" t="str">
        <f t="shared" ca="1" si="90"/>
        <v/>
      </c>
      <c r="DV63" s="15" t="str">
        <f t="shared" ca="1" si="90"/>
        <v/>
      </c>
    </row>
    <row r="64" spans="1:126">
      <c r="A64" s="15">
        <f t="shared" si="24"/>
        <v>52</v>
      </c>
      <c r="B64" s="15" t="str">
        <f t="shared" ca="1" si="124"/>
        <v xml:space="preserve">Nie znaleziono pola, od którego zależy dane pole. </v>
      </c>
      <c r="C64" s="15" t="s">
        <v>116</v>
      </c>
      <c r="D64" s="15" t="str">
        <f t="shared" si="25"/>
        <v>Dane LiczbaRespondentowBezFiltra</v>
      </c>
      <c r="F64" s="15" t="s">
        <v>181</v>
      </c>
      <c r="G64" s="15" t="s">
        <v>88</v>
      </c>
      <c r="J64" s="19" t="str">
        <f ca="1">CELL(_CELL_ADDRESS_NAME,ster!$B$14)</f>
        <v>'[dane surowe2d.xlsm]ster'!$B$14</v>
      </c>
      <c r="M64" s="19"/>
      <c r="T64" s="15" t="str">
        <f t="shared" ca="1" si="125"/>
        <v>'[dane surowe2d.xlsm]ster'!$B$14</v>
      </c>
      <c r="U64" s="15">
        <f t="shared" ca="1" si="126"/>
        <v>17</v>
      </c>
      <c r="V64" s="15" t="s">
        <v>91</v>
      </c>
      <c r="AD64" s="16" t="b">
        <f t="shared" si="91"/>
        <v>1</v>
      </c>
      <c r="AE64" s="16" t="b">
        <f t="shared" si="92"/>
        <v>0</v>
      </c>
      <c r="AF64" s="15" t="str">
        <f t="shared" si="66"/>
        <v/>
      </c>
      <c r="AG64" s="15" t="str">
        <f t="shared" ca="1" si="4"/>
        <v/>
      </c>
      <c r="AH64" s="15" t="str">
        <f t="shared" ca="1" si="5"/>
        <v/>
      </c>
      <c r="AI64" s="15" t="b">
        <f t="shared" ca="1" si="6"/>
        <v>0</v>
      </c>
      <c r="AJ64" s="15" t="str">
        <f t="shared" ca="1" si="26"/>
        <v/>
      </c>
      <c r="AK64" s="27" t="str">
        <f t="shared" ca="1" si="93"/>
        <v/>
      </c>
      <c r="AL64" s="15" t="b">
        <f t="shared" ca="1" si="7"/>
        <v>0</v>
      </c>
      <c r="AM64" s="15" t="str">
        <f t="shared" ca="1" si="94"/>
        <v/>
      </c>
      <c r="AN64" s="15">
        <f t="shared" ca="1" si="95"/>
        <v>3</v>
      </c>
      <c r="AO64" s="15" t="str">
        <f t="shared" ca="1" si="27"/>
        <v/>
      </c>
      <c r="AP64" s="15" t="str">
        <f t="shared" ca="1" si="96"/>
        <v/>
      </c>
      <c r="AQ64" s="27">
        <f t="shared" ca="1" si="97"/>
        <v>1</v>
      </c>
      <c r="AR64" s="15" t="b">
        <f t="shared" ca="1" si="98"/>
        <v>1</v>
      </c>
      <c r="AS64" s="27" t="b">
        <f t="shared" ca="1" si="99"/>
        <v>1</v>
      </c>
      <c r="AT64" s="27" t="b">
        <f t="shared" ca="1" si="100"/>
        <v>1</v>
      </c>
      <c r="AU64" s="27">
        <f t="shared" ca="1" si="101"/>
        <v>21</v>
      </c>
      <c r="AV64" s="16" t="e">
        <f t="shared" ca="1" si="102"/>
        <v>#REF!</v>
      </c>
      <c r="AW64" s="15" t="str">
        <f t="shared" ca="1" si="115"/>
        <v>'[dane surowe2d.xlsm]ster'!$B$14</v>
      </c>
      <c r="AX64" s="27" t="b">
        <f t="shared" ca="1" si="103"/>
        <v>0</v>
      </c>
      <c r="AY64" s="27" t="b">
        <f t="shared" ca="1" si="104"/>
        <v>0</v>
      </c>
      <c r="AZ64" s="15">
        <f t="shared" ca="1" si="105"/>
        <v>1</v>
      </c>
      <c r="BA64" s="15">
        <f t="shared" ca="1" si="28"/>
        <v>1</v>
      </c>
      <c r="BB64" s="15" t="str">
        <f t="shared" ca="1" si="106"/>
        <v>'[dane surowe2d.xlsm]ster'!$B$14</v>
      </c>
      <c r="BC64" s="15" t="str">
        <f t="shared" ca="1" si="29"/>
        <v>'[dane surowe2d.xlsm]ster'!$B$14</v>
      </c>
      <c r="BD64" s="15" t="b">
        <f t="shared" ca="1" si="107"/>
        <v>0</v>
      </c>
      <c r="BE64" s="15" t="b">
        <f t="shared" ca="1" si="10"/>
        <v>1</v>
      </c>
      <c r="BF64" s="15">
        <f t="shared" ca="1" si="11"/>
        <v>1</v>
      </c>
      <c r="BG64" s="15">
        <f t="shared" ca="1" si="12"/>
        <v>1</v>
      </c>
      <c r="BH64" s="15">
        <f t="array" aca="1" ref="BH64" ca="1">IF(IFERROR( S64,1),1,IF(BC64="","", SUM(IF(ISERROR(INDIRECT(BC64)),1,0))))</f>
        <v>0</v>
      </c>
      <c r="BI64" s="15" t="b">
        <f t="shared" si="108"/>
        <v>1</v>
      </c>
      <c r="BJ64" s="15" t="b">
        <f t="shared" si="109"/>
        <v>0</v>
      </c>
      <c r="BK64" s="15">
        <f t="shared" ca="1" si="13"/>
        <v>1</v>
      </c>
      <c r="BL64" s="15">
        <f t="shared" ca="1" si="14"/>
        <v>1</v>
      </c>
      <c r="BP64" s="15" t="b">
        <f t="shared" si="30"/>
        <v>1</v>
      </c>
      <c r="BQ64" s="15" t="b">
        <f t="shared" ca="1" si="31"/>
        <v>1</v>
      </c>
      <c r="BR64" s="15">
        <f t="shared" ca="1" si="15"/>
        <v>17</v>
      </c>
      <c r="BS64" s="15">
        <f t="shared" ca="1" si="32"/>
        <v>17</v>
      </c>
      <c r="BT64" s="15" t="str">
        <f t="shared" ca="1" si="16"/>
        <v xml:space="preserve">Nie znaleziono pola, od którego zależy dane pole. </v>
      </c>
      <c r="BV64" s="15" t="b">
        <f t="shared" ca="1" si="33"/>
        <v>0</v>
      </c>
      <c r="BW64" s="15" t="b">
        <f t="shared" ca="1" si="34"/>
        <v>0</v>
      </c>
      <c r="BX64" s="15" t="b">
        <f t="shared" ca="1" si="35"/>
        <v>0</v>
      </c>
      <c r="BY64" s="15" t="b">
        <f t="shared" ca="1" si="17"/>
        <v>0</v>
      </c>
      <c r="BZ64" s="15" t="b">
        <f t="shared" ca="1" si="36"/>
        <v>0</v>
      </c>
      <c r="CA64" s="15" t="b">
        <f t="shared" ca="1" si="110"/>
        <v>0</v>
      </c>
      <c r="CB64" s="15" t="b">
        <f t="shared" ca="1" si="111"/>
        <v>0</v>
      </c>
      <c r="CC64" s="15" t="b">
        <f t="shared" ca="1" si="112"/>
        <v>0</v>
      </c>
      <c r="CD64" s="15" t="b">
        <f t="shared" ca="1" si="112"/>
        <v>0</v>
      </c>
      <c r="CE64" s="15" t="b">
        <f t="shared" ca="1" si="37"/>
        <v>0</v>
      </c>
      <c r="CF64" s="15" t="b">
        <f t="shared" ca="1" si="113"/>
        <v>0</v>
      </c>
      <c r="CG64" s="15" t="b">
        <f t="shared" ca="1" si="114"/>
        <v>0</v>
      </c>
      <c r="CH64" s="15" t="b">
        <f t="shared" ca="1" si="18"/>
        <v>0</v>
      </c>
      <c r="CI64" s="15" t="b">
        <f t="shared" si="38"/>
        <v>0</v>
      </c>
      <c r="CJ64" s="15" t="b">
        <f t="shared" si="39"/>
        <v>0</v>
      </c>
      <c r="CK64" s="15" t="b">
        <f t="shared" ca="1" si="119"/>
        <v>1</v>
      </c>
      <c r="CL64" s="15" t="b">
        <f t="shared" ca="1" si="119"/>
        <v>0</v>
      </c>
      <c r="CM64" s="15" t="b">
        <f t="shared" ca="1" si="119"/>
        <v>0</v>
      </c>
      <c r="CN64" s="15" t="b">
        <f t="shared" ca="1" si="119"/>
        <v>0</v>
      </c>
      <c r="CO64" s="15" t="b">
        <f t="shared" ca="1" si="119"/>
        <v>0</v>
      </c>
      <c r="CP64" s="15" t="b">
        <f t="shared" ca="1" si="119"/>
        <v>0</v>
      </c>
      <c r="CQ64" s="15" t="b">
        <f t="shared" ca="1" si="120"/>
        <v>0</v>
      </c>
      <c r="CR64" s="21" t="b">
        <f t="shared" ca="1" si="121"/>
        <v>0</v>
      </c>
      <c r="CS64" s="22" t="b">
        <f t="shared" ca="1" si="123"/>
        <v>1</v>
      </c>
      <c r="CT64" s="22" t="b">
        <f t="shared" ca="1" si="123"/>
        <v>0</v>
      </c>
      <c r="CU64" s="22" t="b">
        <f t="shared" ca="1" si="123"/>
        <v>0</v>
      </c>
      <c r="CV64" s="22" t="b">
        <f t="shared" ca="1" si="123"/>
        <v>0</v>
      </c>
      <c r="CW64" s="22" t="b">
        <f t="shared" ca="1" si="123"/>
        <v>0</v>
      </c>
      <c r="CX64" s="22" t="b">
        <f t="shared" ca="1" si="123"/>
        <v>0</v>
      </c>
      <c r="CY64" s="22" t="b">
        <f t="shared" ca="1" si="123"/>
        <v>0</v>
      </c>
      <c r="CZ64" s="21" t="b">
        <f t="shared" ca="1" si="123"/>
        <v>0</v>
      </c>
      <c r="DB64" s="22" t="b">
        <f t="shared" ca="1" si="40"/>
        <v>0</v>
      </c>
      <c r="DC64" s="22" t="b">
        <f t="shared" ca="1" si="122"/>
        <v>0</v>
      </c>
      <c r="DD64" s="22" t="b">
        <f t="shared" ca="1" si="122"/>
        <v>0</v>
      </c>
      <c r="DE64" s="22" t="b">
        <f t="shared" ca="1" si="122"/>
        <v>0</v>
      </c>
      <c r="DF64" s="22" t="b">
        <f t="shared" ca="1" si="122"/>
        <v>0</v>
      </c>
      <c r="DG64" s="22" t="b">
        <f t="shared" ca="1" si="122"/>
        <v>0</v>
      </c>
      <c r="DH64" s="22" t="b">
        <f t="shared" ca="1" si="122"/>
        <v>0</v>
      </c>
      <c r="DI64" s="22" t="b">
        <f t="shared" ca="1" si="122"/>
        <v>0</v>
      </c>
      <c r="DJ64" s="22" t="b">
        <f t="shared" ca="1" si="122"/>
        <v>0</v>
      </c>
      <c r="DK64" s="22"/>
      <c r="DO64" s="15">
        <f t="shared" ca="1" si="90"/>
        <v>100</v>
      </c>
      <c r="DP64" s="15" t="str">
        <f t="shared" ca="1" si="90"/>
        <v/>
      </c>
      <c r="DQ64" s="15" t="str">
        <f t="shared" ca="1" si="90"/>
        <v/>
      </c>
      <c r="DR64" s="15" t="str">
        <f t="shared" ca="1" si="90"/>
        <v/>
      </c>
      <c r="DS64" s="15" t="str">
        <f t="shared" ca="1" si="90"/>
        <v/>
      </c>
      <c r="DT64" s="15" t="str">
        <f t="shared" ca="1" si="90"/>
        <v/>
      </c>
      <c r="DU64" s="15" t="str">
        <f t="shared" ca="1" si="90"/>
        <v/>
      </c>
      <c r="DV64" s="15" t="str">
        <f t="shared" ca="1" si="90"/>
        <v/>
      </c>
    </row>
    <row r="65" spans="1:126">
      <c r="A65" s="15">
        <f t="shared" si="24"/>
        <v>53</v>
      </c>
      <c r="B65" s="15" t="str">
        <f t="shared" si="124"/>
        <v/>
      </c>
      <c r="D65" s="15" t="str">
        <f t="shared" si="25"/>
        <v/>
      </c>
      <c r="F65" s="15" t="s">
        <v>182</v>
      </c>
      <c r="G65" s="15" t="s">
        <v>88</v>
      </c>
      <c r="J65" s="19" t="str">
        <f ca="1">CELL(_CELL_ADDRESS_NAME,ster!$C$14)</f>
        <v>'[dane surowe2d.xlsm]ster'!$C$14</v>
      </c>
      <c r="M65" s="19"/>
      <c r="T65" s="15" t="str">
        <f t="shared" ca="1" si="125"/>
        <v/>
      </c>
      <c r="U65" s="15" t="str">
        <f t="shared" si="126"/>
        <v/>
      </c>
      <c r="V65" s="15" t="s">
        <v>91</v>
      </c>
      <c r="AD65" s="16" t="b">
        <f t="shared" si="91"/>
        <v>0</v>
      </c>
      <c r="AE65" s="16" t="b">
        <f t="shared" si="92"/>
        <v>0</v>
      </c>
      <c r="AF65" s="15" t="str">
        <f t="shared" si="66"/>
        <v/>
      </c>
      <c r="AG65" s="15" t="str">
        <f t="shared" ca="1" si="4"/>
        <v/>
      </c>
      <c r="AH65" s="15" t="str">
        <f t="shared" ca="1" si="5"/>
        <v/>
      </c>
      <c r="AI65" s="15" t="b">
        <f t="shared" ca="1" si="6"/>
        <v>0</v>
      </c>
      <c r="AJ65" s="15" t="str">
        <f t="shared" ca="1" si="26"/>
        <v/>
      </c>
      <c r="AK65" s="27" t="str">
        <f t="shared" ca="1" si="93"/>
        <v/>
      </c>
      <c r="AL65" s="15" t="b">
        <f t="shared" ca="1" si="7"/>
        <v>0</v>
      </c>
      <c r="AM65" s="15" t="str">
        <f t="shared" ca="1" si="94"/>
        <v/>
      </c>
      <c r="AN65" s="15">
        <f t="shared" ca="1" si="95"/>
        <v>3</v>
      </c>
      <c r="AO65" s="15" t="str">
        <f t="shared" ca="1" si="27"/>
        <v/>
      </c>
      <c r="AP65" s="15" t="str">
        <f t="shared" ca="1" si="96"/>
        <v/>
      </c>
      <c r="AQ65" s="27">
        <f t="shared" ca="1" si="97"/>
        <v>4</v>
      </c>
      <c r="AR65" s="15" t="b">
        <f t="shared" ca="1" si="98"/>
        <v>0</v>
      </c>
      <c r="AS65" s="27" t="b">
        <f t="shared" ca="1" si="99"/>
        <v>1</v>
      </c>
      <c r="AT65" s="27" t="b">
        <f t="shared" ca="1" si="100"/>
        <v>1</v>
      </c>
      <c r="AU65" s="27">
        <f t="shared" ca="1" si="101"/>
        <v>21</v>
      </c>
      <c r="AV65" s="16" t="e">
        <f t="shared" ca="1" si="102"/>
        <v>#REF!</v>
      </c>
      <c r="AW65" s="15" t="str">
        <f t="shared" ca="1" si="115"/>
        <v/>
      </c>
      <c r="AX65" s="27" t="b">
        <f t="shared" ca="1" si="103"/>
        <v>0</v>
      </c>
      <c r="AY65" s="27" t="b">
        <f t="shared" ca="1" si="104"/>
        <v>0</v>
      </c>
      <c r="AZ65" s="15" t="b">
        <f t="shared" ca="1" si="105"/>
        <v>0</v>
      </c>
      <c r="BA65" s="15" t="b">
        <f t="shared" ca="1" si="28"/>
        <v>0</v>
      </c>
      <c r="BB65" s="15" t="str">
        <f t="shared" si="106"/>
        <v/>
      </c>
      <c r="BC65" s="15" t="str">
        <f t="shared" ca="1" si="29"/>
        <v/>
      </c>
      <c r="BD65" s="15" t="b">
        <f t="shared" ca="1" si="107"/>
        <v>0</v>
      </c>
      <c r="BE65" s="15" t="b">
        <f t="shared" ca="1" si="10"/>
        <v>0</v>
      </c>
      <c r="BF65" s="15" t="str">
        <f t="shared" ca="1" si="11"/>
        <v/>
      </c>
      <c r="BG65" s="15" t="str">
        <f t="shared" ca="1" si="12"/>
        <v/>
      </c>
      <c r="BH65" s="15" t="str">
        <f t="array" aca="1" ref="BH65" ca="1">IF(IFERROR( S65,1),1,IF(BC65="","", SUM(IF(ISERROR(INDIRECT(BC65)),1,0))))</f>
        <v/>
      </c>
      <c r="BI65" s="15" t="b">
        <f t="shared" si="108"/>
        <v>1</v>
      </c>
      <c r="BJ65" s="15" t="b">
        <f t="shared" si="109"/>
        <v>0</v>
      </c>
      <c r="BK65" s="15" t="str">
        <f t="shared" ca="1" si="13"/>
        <v/>
      </c>
      <c r="BL65" s="15">
        <f t="shared" ca="1" si="14"/>
        <v>4</v>
      </c>
      <c r="BP65" s="15" t="b">
        <f t="shared" si="30"/>
        <v>0</v>
      </c>
      <c r="BQ65" s="15" t="b">
        <f t="shared" si="31"/>
        <v>0</v>
      </c>
      <c r="BR65" s="15" t="str">
        <f t="shared" si="15"/>
        <v/>
      </c>
      <c r="BS65" s="15">
        <f t="shared" si="32"/>
        <v>0</v>
      </c>
      <c r="BT65" s="15" t="str">
        <f t="shared" si="16"/>
        <v/>
      </c>
      <c r="BV65" s="15" t="b">
        <f t="shared" ca="1" si="33"/>
        <v>0</v>
      </c>
      <c r="BW65" s="15" t="b">
        <f t="shared" ca="1" si="34"/>
        <v>0</v>
      </c>
      <c r="BX65" s="15" t="b">
        <f t="shared" ca="1" si="35"/>
        <v>0</v>
      </c>
      <c r="BY65" s="15" t="b">
        <f t="shared" ca="1" si="17"/>
        <v>0</v>
      </c>
      <c r="BZ65" s="15" t="b">
        <f t="shared" ca="1" si="36"/>
        <v>0</v>
      </c>
      <c r="CA65" s="15" t="b">
        <f t="shared" ca="1" si="110"/>
        <v>0</v>
      </c>
      <c r="CB65" s="15" t="b">
        <f t="shared" ca="1" si="111"/>
        <v>0</v>
      </c>
      <c r="CC65" s="15" t="b">
        <f t="shared" ca="1" si="112"/>
        <v>0</v>
      </c>
      <c r="CD65" s="15" t="b">
        <f t="shared" ca="1" si="112"/>
        <v>0</v>
      </c>
      <c r="CE65" s="15" t="b">
        <f t="shared" ca="1" si="37"/>
        <v>0</v>
      </c>
      <c r="CF65" s="15" t="b">
        <f t="shared" ca="1" si="113"/>
        <v>0</v>
      </c>
      <c r="CG65" s="15" t="b">
        <f t="shared" ca="1" si="114"/>
        <v>1</v>
      </c>
      <c r="CH65" s="15" t="b">
        <f t="shared" ca="1" si="18"/>
        <v>0</v>
      </c>
      <c r="CI65" s="15" t="b">
        <f t="shared" si="38"/>
        <v>0</v>
      </c>
      <c r="CJ65" s="15" t="b">
        <f t="shared" si="39"/>
        <v>0</v>
      </c>
      <c r="CK65" s="15" t="b">
        <f t="shared" ca="1" si="119"/>
        <v>1</v>
      </c>
      <c r="CL65" s="15" t="b">
        <f t="shared" ca="1" si="119"/>
        <v>0</v>
      </c>
      <c r="CM65" s="15" t="b">
        <f t="shared" ca="1" si="119"/>
        <v>0</v>
      </c>
      <c r="CN65" s="15" t="b">
        <f t="shared" ca="1" si="119"/>
        <v>0</v>
      </c>
      <c r="CO65" s="15" t="b">
        <f t="shared" ca="1" si="119"/>
        <v>0</v>
      </c>
      <c r="CP65" s="15" t="b">
        <f t="shared" ca="1" si="119"/>
        <v>0</v>
      </c>
      <c r="CQ65" s="15" t="b">
        <f t="shared" ca="1" si="120"/>
        <v>0</v>
      </c>
      <c r="CR65" s="21" t="b">
        <f t="shared" ca="1" si="121"/>
        <v>0</v>
      </c>
      <c r="CS65" s="22" t="b">
        <f t="shared" ca="1" si="123"/>
        <v>1</v>
      </c>
      <c r="CT65" s="22" t="b">
        <f t="shared" ca="1" si="123"/>
        <v>0</v>
      </c>
      <c r="CU65" s="22" t="b">
        <f t="shared" ca="1" si="123"/>
        <v>0</v>
      </c>
      <c r="CV65" s="22" t="b">
        <f t="shared" ca="1" si="123"/>
        <v>0</v>
      </c>
      <c r="CW65" s="22" t="b">
        <f t="shared" ca="1" si="123"/>
        <v>0</v>
      </c>
      <c r="CX65" s="22" t="b">
        <f t="shared" ca="1" si="123"/>
        <v>0</v>
      </c>
      <c r="CY65" s="22" t="b">
        <f t="shared" ca="1" si="123"/>
        <v>0</v>
      </c>
      <c r="CZ65" s="21" t="b">
        <f t="shared" ca="1" si="123"/>
        <v>0</v>
      </c>
      <c r="DB65" s="22" t="b">
        <f t="shared" ca="1" si="40"/>
        <v>0</v>
      </c>
      <c r="DC65" s="22" t="b">
        <f t="shared" ca="1" si="122"/>
        <v>0</v>
      </c>
      <c r="DD65" s="22" t="b">
        <f t="shared" ca="1" si="122"/>
        <v>0</v>
      </c>
      <c r="DE65" s="22" t="b">
        <f t="shared" ca="1" si="122"/>
        <v>0</v>
      </c>
      <c r="DF65" s="22" t="b">
        <f t="shared" ca="1" si="122"/>
        <v>0</v>
      </c>
      <c r="DG65" s="22" t="b">
        <f t="shared" ca="1" si="122"/>
        <v>0</v>
      </c>
      <c r="DH65" s="22" t="b">
        <f t="shared" ca="1" si="122"/>
        <v>0</v>
      </c>
      <c r="DI65" s="22" t="b">
        <f t="shared" ca="1" si="122"/>
        <v>0</v>
      </c>
      <c r="DJ65" s="22" t="b">
        <f t="shared" ca="1" si="122"/>
        <v>0</v>
      </c>
      <c r="DK65" s="22"/>
      <c r="DO65" s="15">
        <f t="shared" ca="1" si="90"/>
        <v>100</v>
      </c>
      <c r="DP65" s="15" t="str">
        <f t="shared" ca="1" si="90"/>
        <v/>
      </c>
      <c r="DQ65" s="15" t="str">
        <f t="shared" ca="1" si="90"/>
        <v/>
      </c>
      <c r="DR65" s="15" t="str">
        <f t="shared" ca="1" si="90"/>
        <v/>
      </c>
      <c r="DS65" s="15" t="str">
        <f t="shared" ca="1" si="90"/>
        <v/>
      </c>
      <c r="DT65" s="15" t="str">
        <f t="shared" ca="1" si="90"/>
        <v/>
      </c>
      <c r="DU65" s="15" t="str">
        <f t="shared" ca="1" si="90"/>
        <v/>
      </c>
      <c r="DV65" s="15" t="str">
        <f t="shared" ca="1" si="90"/>
        <v/>
      </c>
    </row>
    <row r="66" spans="1:126">
      <c r="A66" s="15">
        <f t="shared" si="24"/>
        <v>54</v>
      </c>
      <c r="B66" s="15" t="str">
        <f t="shared" ca="1" si="124"/>
        <v>ok.</v>
      </c>
      <c r="C66" s="15" t="s">
        <v>118</v>
      </c>
      <c r="D66" s="15" t="str">
        <f t="shared" si="25"/>
        <v>Dane LiczbaGrup</v>
      </c>
      <c r="G66" s="15" t="s">
        <v>88</v>
      </c>
      <c r="J66" s="19" t="str">
        <f ca="1">CELL(_CELL_ADDRESS_NAME,ster!$B$16)</f>
        <v>'[dane surowe2d.xlsm]ster'!$B$16</v>
      </c>
      <c r="M66" s="19"/>
      <c r="T66" s="15" t="str">
        <f t="shared" ca="1" si="125"/>
        <v>'[dane surowe2d.xlsm]ster'!$B$16</v>
      </c>
      <c r="U66" s="15">
        <f t="shared" ca="1" si="126"/>
        <v>0</v>
      </c>
      <c r="AD66" s="16" t="b">
        <f t="shared" si="91"/>
        <v>1</v>
      </c>
      <c r="AE66" s="16" t="b">
        <f t="shared" si="92"/>
        <v>0</v>
      </c>
      <c r="AF66" s="15" t="str">
        <f t="shared" si="66"/>
        <v/>
      </c>
      <c r="AG66" s="15" t="str">
        <f t="shared" ca="1" si="4"/>
        <v/>
      </c>
      <c r="AH66" s="15" t="str">
        <f t="shared" ca="1" si="5"/>
        <v/>
      </c>
      <c r="AI66" s="15" t="b">
        <f t="shared" ca="1" si="6"/>
        <v>0</v>
      </c>
      <c r="AJ66" s="15" t="str">
        <f t="shared" ca="1" si="26"/>
        <v/>
      </c>
      <c r="AK66" s="27" t="str">
        <f t="shared" ca="1" si="93"/>
        <v/>
      </c>
      <c r="AL66" s="15" t="b">
        <f t="shared" ca="1" si="7"/>
        <v>0</v>
      </c>
      <c r="AM66" s="15" t="str">
        <f t="shared" ca="1" si="94"/>
        <v/>
      </c>
      <c r="AN66" s="15">
        <f t="shared" ca="1" si="95"/>
        <v>3</v>
      </c>
      <c r="AO66" s="15" t="str">
        <f t="shared" ca="1" si="27"/>
        <v/>
      </c>
      <c r="AP66" s="15" t="str">
        <f t="shared" ca="1" si="96"/>
        <v/>
      </c>
      <c r="AQ66" s="27">
        <f t="shared" ca="1" si="97"/>
        <v>1</v>
      </c>
      <c r="AR66" s="15" t="b">
        <f t="shared" ca="1" si="98"/>
        <v>1</v>
      </c>
      <c r="AS66" s="27" t="b">
        <f t="shared" ca="1" si="99"/>
        <v>1</v>
      </c>
      <c r="AT66" s="27" t="b">
        <f t="shared" ca="1" si="100"/>
        <v>1</v>
      </c>
      <c r="AU66" s="27">
        <f t="shared" ca="1" si="101"/>
        <v>21</v>
      </c>
      <c r="AV66" s="16" t="e">
        <f t="shared" ca="1" si="102"/>
        <v>#REF!</v>
      </c>
      <c r="AW66" s="15" t="str">
        <f t="shared" ca="1" si="115"/>
        <v>'[dane surowe2d.xlsm]ster'!$B$16</v>
      </c>
      <c r="AX66" s="27" t="b">
        <f t="shared" ca="1" si="103"/>
        <v>0</v>
      </c>
      <c r="AY66" s="27" t="b">
        <f t="shared" ca="1" si="104"/>
        <v>0</v>
      </c>
      <c r="AZ66" s="15">
        <f t="shared" ca="1" si="105"/>
        <v>1</v>
      </c>
      <c r="BA66" s="15">
        <f t="shared" ca="1" si="28"/>
        <v>1</v>
      </c>
      <c r="BB66" s="15" t="str">
        <f t="shared" ca="1" si="106"/>
        <v>'[dane surowe2d.xlsm]ster'!$B$16</v>
      </c>
      <c r="BC66" s="15" t="str">
        <f t="shared" ca="1" si="29"/>
        <v>'[dane surowe2d.xlsm]ster'!$B$16</v>
      </c>
      <c r="BD66" s="15" t="b">
        <f t="shared" ca="1" si="107"/>
        <v>0</v>
      </c>
      <c r="BE66" s="15" t="b">
        <f t="shared" ca="1" si="10"/>
        <v>1</v>
      </c>
      <c r="BF66" s="15">
        <f t="shared" ca="1" si="11"/>
        <v>1</v>
      </c>
      <c r="BG66" s="15">
        <f t="shared" ca="1" si="12"/>
        <v>1</v>
      </c>
      <c r="BH66" s="15">
        <f t="array" aca="1" ref="BH66" ca="1">IF(IFERROR( S66,1),1,IF(BC66="","", SUM(IF(ISERROR(INDIRECT(BC66)),1,0))))</f>
        <v>0</v>
      </c>
      <c r="BI66" s="15" t="b">
        <f t="shared" si="108"/>
        <v>1</v>
      </c>
      <c r="BJ66" s="15" t="b">
        <f t="shared" si="109"/>
        <v>0</v>
      </c>
      <c r="BK66" s="15">
        <f t="shared" ca="1" si="13"/>
        <v>1</v>
      </c>
      <c r="BL66" s="15">
        <f t="shared" ca="1" si="14"/>
        <v>1</v>
      </c>
      <c r="BP66" s="15" t="b">
        <f t="shared" si="30"/>
        <v>1</v>
      </c>
      <c r="BQ66" s="15" t="b">
        <f t="shared" ca="1" si="31"/>
        <v>0</v>
      </c>
      <c r="BR66" s="15" t="str">
        <f t="shared" ca="1" si="15"/>
        <v/>
      </c>
      <c r="BS66" s="15">
        <f t="shared" ca="1" si="32"/>
        <v>0</v>
      </c>
      <c r="BT66" s="15" t="str">
        <f t="shared" ca="1" si="16"/>
        <v/>
      </c>
      <c r="BV66" s="15" t="b">
        <f t="shared" ca="1" si="33"/>
        <v>0</v>
      </c>
      <c r="BW66" s="15" t="b">
        <f t="shared" ca="1" si="34"/>
        <v>0</v>
      </c>
      <c r="BX66" s="15" t="b">
        <f t="shared" ca="1" si="35"/>
        <v>0</v>
      </c>
      <c r="BY66" s="15" t="b">
        <f t="shared" ca="1" si="17"/>
        <v>0</v>
      </c>
      <c r="BZ66" s="15" t="b">
        <f t="shared" ca="1" si="36"/>
        <v>0</v>
      </c>
      <c r="CA66" s="15" t="b">
        <f t="shared" ca="1" si="110"/>
        <v>0</v>
      </c>
      <c r="CB66" s="15" t="b">
        <f t="shared" ca="1" si="111"/>
        <v>0</v>
      </c>
      <c r="CC66" s="15" t="b">
        <f t="shared" ca="1" si="112"/>
        <v>0</v>
      </c>
      <c r="CD66" s="15" t="b">
        <f t="shared" ca="1" si="112"/>
        <v>0</v>
      </c>
      <c r="CE66" s="15" t="b">
        <f t="shared" ca="1" si="37"/>
        <v>0</v>
      </c>
      <c r="CF66" s="15" t="b">
        <f t="shared" ca="1" si="113"/>
        <v>0</v>
      </c>
      <c r="CG66" s="15" t="b">
        <f t="shared" ca="1" si="114"/>
        <v>0</v>
      </c>
      <c r="CH66" s="15" t="b">
        <f t="shared" ca="1" si="18"/>
        <v>0</v>
      </c>
      <c r="CI66" s="15" t="b">
        <f t="shared" si="38"/>
        <v>0</v>
      </c>
      <c r="CJ66" s="15" t="b">
        <f t="shared" si="39"/>
        <v>0</v>
      </c>
      <c r="CK66" s="15" t="b">
        <f t="shared" ca="1" si="119"/>
        <v>0</v>
      </c>
      <c r="CL66" s="15" t="b">
        <f t="shared" ca="1" si="119"/>
        <v>0</v>
      </c>
      <c r="CM66" s="15" t="b">
        <f t="shared" ca="1" si="119"/>
        <v>0</v>
      </c>
      <c r="CN66" s="15" t="b">
        <f t="shared" ca="1" si="119"/>
        <v>0</v>
      </c>
      <c r="CO66" s="15" t="b">
        <f t="shared" ca="1" si="119"/>
        <v>0</v>
      </c>
      <c r="CP66" s="15" t="b">
        <f t="shared" ca="1" si="119"/>
        <v>0</v>
      </c>
      <c r="CQ66" s="15" t="b">
        <f t="shared" ca="1" si="120"/>
        <v>0</v>
      </c>
      <c r="CR66" s="21" t="b">
        <f t="shared" ca="1" si="121"/>
        <v>0</v>
      </c>
      <c r="CS66" s="22" t="b">
        <f t="shared" ca="1" si="123"/>
        <v>0</v>
      </c>
      <c r="CT66" s="22" t="b">
        <f t="shared" ca="1" si="123"/>
        <v>0</v>
      </c>
      <c r="CU66" s="22" t="b">
        <f t="shared" ca="1" si="123"/>
        <v>0</v>
      </c>
      <c r="CV66" s="22" t="b">
        <f t="shared" ca="1" si="123"/>
        <v>0</v>
      </c>
      <c r="CW66" s="22" t="b">
        <f t="shared" ca="1" si="123"/>
        <v>0</v>
      </c>
      <c r="CX66" s="22" t="b">
        <f t="shared" ca="1" si="123"/>
        <v>0</v>
      </c>
      <c r="CY66" s="22" t="b">
        <f t="shared" ca="1" si="123"/>
        <v>0</v>
      </c>
      <c r="CZ66" s="21" t="b">
        <f t="shared" ca="1" si="123"/>
        <v>0</v>
      </c>
      <c r="DB66" s="22" t="b">
        <f t="shared" ca="1" si="40"/>
        <v>0</v>
      </c>
      <c r="DC66" s="22" t="b">
        <f t="shared" ca="1" si="122"/>
        <v>0</v>
      </c>
      <c r="DD66" s="22" t="b">
        <f t="shared" ca="1" si="122"/>
        <v>0</v>
      </c>
      <c r="DE66" s="22" t="b">
        <f t="shared" ca="1" si="122"/>
        <v>0</v>
      </c>
      <c r="DF66" s="22" t="b">
        <f t="shared" ca="1" si="122"/>
        <v>0</v>
      </c>
      <c r="DG66" s="22" t="b">
        <f t="shared" ca="1" si="122"/>
        <v>0</v>
      </c>
      <c r="DH66" s="22" t="b">
        <f t="shared" ca="1" si="122"/>
        <v>0</v>
      </c>
      <c r="DI66" s="22" t="b">
        <f t="shared" ca="1" si="122"/>
        <v>0</v>
      </c>
      <c r="DJ66" s="22" t="b">
        <f t="shared" ca="1" si="122"/>
        <v>0</v>
      </c>
      <c r="DK66" s="22"/>
      <c r="DO66" s="15" t="str">
        <f t="shared" ca="1" si="90"/>
        <v/>
      </c>
      <c r="DP66" s="15" t="str">
        <f t="shared" ca="1" si="90"/>
        <v/>
      </c>
      <c r="DQ66" s="15" t="str">
        <f t="shared" ca="1" si="90"/>
        <v/>
      </c>
      <c r="DR66" s="15" t="str">
        <f t="shared" ca="1" si="90"/>
        <v/>
      </c>
      <c r="DS66" s="15" t="str">
        <f t="shared" ca="1" si="90"/>
        <v/>
      </c>
      <c r="DT66" s="15" t="str">
        <f t="shared" ca="1" si="90"/>
        <v/>
      </c>
      <c r="DU66" s="15" t="str">
        <f t="shared" ca="1" si="90"/>
        <v/>
      </c>
      <c r="DV66" s="15" t="str">
        <f t="shared" ca="1" si="90"/>
        <v/>
      </c>
    </row>
    <row r="67" spans="1:126">
      <c r="A67" s="15">
        <f t="shared" si="24"/>
        <v>55</v>
      </c>
      <c r="B67" s="15" t="str">
        <f t="shared" ca="1" si="124"/>
        <v>ok.</v>
      </c>
      <c r="C67" s="15" t="s">
        <v>119</v>
      </c>
      <c r="D67" s="15" t="str">
        <f t="shared" si="25"/>
        <v>Dane MaxNrGrupy</v>
      </c>
      <c r="G67" s="15" t="s">
        <v>88</v>
      </c>
      <c r="J67" s="19" t="str">
        <f ca="1">CELL(_CELL_ADDRESS_NAME,ster!$C$16)</f>
        <v>'[dane surowe2d.xlsm]ster'!$C$16</v>
      </c>
      <c r="M67" s="19"/>
      <c r="T67" s="15" t="str">
        <f t="shared" ca="1" si="125"/>
        <v>'[dane surowe2d.xlsm]ster'!$C$16</v>
      </c>
      <c r="U67" s="15">
        <f t="shared" ca="1" si="126"/>
        <v>0</v>
      </c>
      <c r="AD67" s="16" t="b">
        <f t="shared" si="91"/>
        <v>1</v>
      </c>
      <c r="AE67" s="16" t="b">
        <f t="shared" si="92"/>
        <v>0</v>
      </c>
      <c r="AF67" s="15" t="str">
        <f t="shared" si="66"/>
        <v/>
      </c>
      <c r="AG67" s="15" t="str">
        <f t="shared" ca="1" si="4"/>
        <v/>
      </c>
      <c r="AH67" s="15" t="str">
        <f t="shared" ca="1" si="5"/>
        <v/>
      </c>
      <c r="AI67" s="15" t="b">
        <f t="shared" ca="1" si="6"/>
        <v>0</v>
      </c>
      <c r="AJ67" s="15" t="str">
        <f t="shared" ca="1" si="26"/>
        <v/>
      </c>
      <c r="AK67" s="27" t="str">
        <f t="shared" ca="1" si="93"/>
        <v/>
      </c>
      <c r="AL67" s="15" t="b">
        <f t="shared" ca="1" si="7"/>
        <v>0</v>
      </c>
      <c r="AM67" s="15" t="str">
        <f t="shared" ca="1" si="94"/>
        <v/>
      </c>
      <c r="AN67" s="15">
        <f t="shared" ca="1" si="95"/>
        <v>3</v>
      </c>
      <c r="AO67" s="15" t="str">
        <f t="shared" ca="1" si="27"/>
        <v/>
      </c>
      <c r="AP67" s="15" t="str">
        <f t="shared" ca="1" si="96"/>
        <v/>
      </c>
      <c r="AQ67" s="27">
        <f t="shared" ca="1" si="97"/>
        <v>1</v>
      </c>
      <c r="AR67" s="15" t="b">
        <f t="shared" ca="1" si="98"/>
        <v>1</v>
      </c>
      <c r="AS67" s="27" t="b">
        <f t="shared" ca="1" si="99"/>
        <v>1</v>
      </c>
      <c r="AT67" s="27" t="b">
        <f t="shared" ca="1" si="100"/>
        <v>1</v>
      </c>
      <c r="AU67" s="27">
        <f t="shared" ca="1" si="101"/>
        <v>21</v>
      </c>
      <c r="AV67" s="16" t="e">
        <f t="shared" ca="1" si="102"/>
        <v>#REF!</v>
      </c>
      <c r="AW67" s="15" t="str">
        <f t="shared" ca="1" si="115"/>
        <v>'[dane surowe2d.xlsm]ster'!$C$16</v>
      </c>
      <c r="AX67" s="27" t="b">
        <f t="shared" ca="1" si="103"/>
        <v>0</v>
      </c>
      <c r="AY67" s="27" t="b">
        <f t="shared" ca="1" si="104"/>
        <v>0</v>
      </c>
      <c r="AZ67" s="15">
        <f t="shared" ca="1" si="105"/>
        <v>1</v>
      </c>
      <c r="BA67" s="15">
        <f t="shared" ca="1" si="28"/>
        <v>1</v>
      </c>
      <c r="BB67" s="15" t="str">
        <f t="shared" ca="1" si="106"/>
        <v>'[dane surowe2d.xlsm]ster'!$C$16</v>
      </c>
      <c r="BC67" s="15" t="str">
        <f t="shared" ca="1" si="29"/>
        <v>'[dane surowe2d.xlsm]ster'!$C$16</v>
      </c>
      <c r="BD67" s="15" t="b">
        <f t="shared" ca="1" si="107"/>
        <v>0</v>
      </c>
      <c r="BE67" s="15" t="b">
        <f t="shared" ca="1" si="10"/>
        <v>1</v>
      </c>
      <c r="BF67" s="15">
        <f t="shared" ca="1" si="11"/>
        <v>1</v>
      </c>
      <c r="BG67" s="15">
        <f t="shared" ca="1" si="12"/>
        <v>1</v>
      </c>
      <c r="BH67" s="15">
        <f t="array" aca="1" ref="BH67" ca="1">IF(IFERROR( S67,1),1,IF(BC67="","", SUM(IF(ISERROR(INDIRECT(BC67)),1,0))))</f>
        <v>0</v>
      </c>
      <c r="BI67" s="15" t="b">
        <f t="shared" si="108"/>
        <v>1</v>
      </c>
      <c r="BJ67" s="15" t="b">
        <f t="shared" si="109"/>
        <v>0</v>
      </c>
      <c r="BK67" s="15">
        <f t="shared" ca="1" si="13"/>
        <v>1</v>
      </c>
      <c r="BL67" s="15">
        <f t="shared" ca="1" si="14"/>
        <v>1</v>
      </c>
      <c r="BP67" s="15" t="b">
        <f t="shared" si="30"/>
        <v>1</v>
      </c>
      <c r="BQ67" s="15" t="b">
        <f t="shared" ca="1" si="31"/>
        <v>0</v>
      </c>
      <c r="BR67" s="15" t="str">
        <f t="shared" ca="1" si="15"/>
        <v/>
      </c>
      <c r="BS67" s="15">
        <f t="shared" ca="1" si="32"/>
        <v>0</v>
      </c>
      <c r="BT67" s="15" t="str">
        <f t="shared" ca="1" si="16"/>
        <v/>
      </c>
      <c r="BV67" s="15" t="b">
        <f t="shared" ca="1" si="33"/>
        <v>0</v>
      </c>
      <c r="BW67" s="15" t="b">
        <f t="shared" ca="1" si="34"/>
        <v>0</v>
      </c>
      <c r="BX67" s="15" t="b">
        <f t="shared" ca="1" si="35"/>
        <v>0</v>
      </c>
      <c r="BY67" s="15" t="b">
        <f t="shared" ca="1" si="17"/>
        <v>0</v>
      </c>
      <c r="BZ67" s="15" t="b">
        <f t="shared" ca="1" si="36"/>
        <v>0</v>
      </c>
      <c r="CA67" s="15" t="b">
        <f t="shared" ca="1" si="110"/>
        <v>0</v>
      </c>
      <c r="CB67" s="15" t="b">
        <f t="shared" ca="1" si="111"/>
        <v>0</v>
      </c>
      <c r="CC67" s="15" t="b">
        <f t="shared" ca="1" si="112"/>
        <v>0</v>
      </c>
      <c r="CD67" s="15" t="b">
        <f t="shared" ca="1" si="112"/>
        <v>0</v>
      </c>
      <c r="CE67" s="15" t="b">
        <f t="shared" ca="1" si="37"/>
        <v>0</v>
      </c>
      <c r="CF67" s="15" t="b">
        <f t="shared" ca="1" si="113"/>
        <v>0</v>
      </c>
      <c r="CG67" s="15" t="b">
        <f t="shared" ca="1" si="114"/>
        <v>0</v>
      </c>
      <c r="CH67" s="15" t="b">
        <f t="shared" ca="1" si="18"/>
        <v>0</v>
      </c>
      <c r="CI67" s="15" t="b">
        <f t="shared" si="38"/>
        <v>0</v>
      </c>
      <c r="CJ67" s="15" t="b">
        <f t="shared" si="39"/>
        <v>0</v>
      </c>
      <c r="CK67" s="15" t="b">
        <f t="shared" ca="1" si="119"/>
        <v>0</v>
      </c>
      <c r="CL67" s="15" t="b">
        <f t="shared" ca="1" si="119"/>
        <v>0</v>
      </c>
      <c r="CM67" s="15" t="b">
        <f t="shared" ca="1" si="119"/>
        <v>0</v>
      </c>
      <c r="CN67" s="15" t="b">
        <f t="shared" ca="1" si="119"/>
        <v>0</v>
      </c>
      <c r="CO67" s="15" t="b">
        <f t="shared" ca="1" si="119"/>
        <v>0</v>
      </c>
      <c r="CP67" s="15" t="b">
        <f t="shared" ca="1" si="119"/>
        <v>0</v>
      </c>
      <c r="CQ67" s="15" t="b">
        <f t="shared" ca="1" si="120"/>
        <v>0</v>
      </c>
      <c r="CR67" s="21" t="b">
        <f t="shared" ca="1" si="121"/>
        <v>0</v>
      </c>
      <c r="CS67" s="22" t="b">
        <f t="shared" ca="1" si="123"/>
        <v>0</v>
      </c>
      <c r="CT67" s="22" t="b">
        <f t="shared" ca="1" si="123"/>
        <v>0</v>
      </c>
      <c r="CU67" s="22" t="b">
        <f t="shared" ca="1" si="123"/>
        <v>0</v>
      </c>
      <c r="CV67" s="22" t="b">
        <f t="shared" ca="1" si="123"/>
        <v>0</v>
      </c>
      <c r="CW67" s="22" t="b">
        <f t="shared" ca="1" si="123"/>
        <v>0</v>
      </c>
      <c r="CX67" s="22" t="b">
        <f t="shared" ca="1" si="123"/>
        <v>0</v>
      </c>
      <c r="CY67" s="22" t="b">
        <f t="shared" ca="1" si="123"/>
        <v>0</v>
      </c>
      <c r="CZ67" s="21" t="b">
        <f t="shared" ca="1" si="123"/>
        <v>0</v>
      </c>
      <c r="DB67" s="22" t="b">
        <f t="shared" ca="1" si="40"/>
        <v>0</v>
      </c>
      <c r="DC67" s="22" t="b">
        <f t="shared" ca="1" si="122"/>
        <v>0</v>
      </c>
      <c r="DD67" s="22" t="b">
        <f t="shared" ca="1" si="122"/>
        <v>0</v>
      </c>
      <c r="DE67" s="22" t="b">
        <f t="shared" ca="1" si="122"/>
        <v>0</v>
      </c>
      <c r="DF67" s="22" t="b">
        <f t="shared" ca="1" si="122"/>
        <v>0</v>
      </c>
      <c r="DG67" s="22" t="b">
        <f t="shared" ca="1" si="122"/>
        <v>0</v>
      </c>
      <c r="DH67" s="22" t="b">
        <f t="shared" ca="1" si="122"/>
        <v>0</v>
      </c>
      <c r="DI67" s="22" t="b">
        <f t="shared" ca="1" si="122"/>
        <v>0</v>
      </c>
      <c r="DJ67" s="22" t="b">
        <f t="shared" ca="1" si="122"/>
        <v>0</v>
      </c>
      <c r="DK67" s="22"/>
      <c r="DO67" s="15" t="str">
        <f t="shared" ca="1" si="90"/>
        <v/>
      </c>
      <c r="DP67" s="15" t="str">
        <f t="shared" ca="1" si="90"/>
        <v/>
      </c>
      <c r="DQ67" s="15" t="str">
        <f t="shared" ca="1" si="90"/>
        <v/>
      </c>
      <c r="DR67" s="15" t="str">
        <f t="shared" ca="1" si="90"/>
        <v/>
      </c>
      <c r="DS67" s="15" t="str">
        <f t="shared" ca="1" si="90"/>
        <v/>
      </c>
      <c r="DT67" s="15" t="str">
        <f t="shared" ca="1" si="90"/>
        <v/>
      </c>
      <c r="DU67" s="15" t="str">
        <f t="shared" ca="1" si="90"/>
        <v/>
      </c>
      <c r="DV67" s="15" t="str">
        <f t="shared" ca="1" si="90"/>
        <v/>
      </c>
    </row>
    <row r="68" spans="1:126">
      <c r="A68" s="15">
        <f t="shared" si="24"/>
        <v>56</v>
      </c>
      <c r="B68" s="15" t="str">
        <f t="shared" ca="1" si="124"/>
        <v>ok.</v>
      </c>
      <c r="C68" s="15" t="s">
        <v>120</v>
      </c>
      <c r="D68" s="15" t="str">
        <f t="shared" si="25"/>
        <v>Dane UI IleKolumnZGrupami</v>
      </c>
      <c r="F68" s="15" t="s">
        <v>207</v>
      </c>
      <c r="G68" s="15" t="s">
        <v>88</v>
      </c>
      <c r="J68" s="19" t="str">
        <f ca="1">CELL(_CELL_ADDRESS_NAME,wew!$G$11)</f>
        <v>'[dane surowe2d.xlsm]wew'!$G$11</v>
      </c>
      <c r="M68" s="19"/>
      <c r="T68" s="15" t="str">
        <f t="shared" ca="1" si="125"/>
        <v>'[dane surowe2d.xlsm]wew'!$G$11</v>
      </c>
      <c r="U68" s="15">
        <f t="shared" ca="1" si="126"/>
        <v>0</v>
      </c>
      <c r="AD68" s="16" t="b">
        <f t="shared" si="91"/>
        <v>1</v>
      </c>
      <c r="AE68" s="16" t="b">
        <f t="shared" si="92"/>
        <v>0</v>
      </c>
      <c r="AF68" s="15" t="str">
        <f t="shared" si="66"/>
        <v/>
      </c>
      <c r="AG68" s="15" t="str">
        <f t="shared" ca="1" si="4"/>
        <v/>
      </c>
      <c r="AH68" s="15" t="str">
        <f t="shared" ca="1" si="5"/>
        <v/>
      </c>
      <c r="AI68" s="15" t="b">
        <f t="shared" ca="1" si="6"/>
        <v>0</v>
      </c>
      <c r="AJ68" s="15" t="str">
        <f t="shared" ca="1" si="26"/>
        <v/>
      </c>
      <c r="AK68" s="27" t="str">
        <f t="shared" ca="1" si="93"/>
        <v/>
      </c>
      <c r="AL68" s="15" t="b">
        <f t="shared" ca="1" si="7"/>
        <v>0</v>
      </c>
      <c r="AM68" s="15" t="str">
        <f t="shared" ca="1" si="94"/>
        <v/>
      </c>
      <c r="AN68" s="15">
        <f t="shared" ca="1" si="95"/>
        <v>3</v>
      </c>
      <c r="AO68" s="15" t="str">
        <f t="shared" ca="1" si="27"/>
        <v/>
      </c>
      <c r="AP68" s="15" t="str">
        <f t="shared" ca="1" si="96"/>
        <v/>
      </c>
      <c r="AQ68" s="27">
        <f t="shared" ca="1" si="97"/>
        <v>1</v>
      </c>
      <c r="AR68" s="15" t="b">
        <f t="shared" ca="1" si="98"/>
        <v>1</v>
      </c>
      <c r="AS68" s="27" t="b">
        <f t="shared" ca="1" si="99"/>
        <v>1</v>
      </c>
      <c r="AT68" s="27" t="b">
        <f t="shared" ca="1" si="100"/>
        <v>1</v>
      </c>
      <c r="AU68" s="27">
        <f t="shared" ca="1" si="101"/>
        <v>21</v>
      </c>
      <c r="AV68" s="16" t="e">
        <f t="shared" ca="1" si="102"/>
        <v>#REF!</v>
      </c>
      <c r="AW68" s="15" t="str">
        <f t="shared" ca="1" si="115"/>
        <v>'[dane surowe2d.xlsm]wew'!$G$11</v>
      </c>
      <c r="AX68" s="27" t="b">
        <f t="shared" ca="1" si="103"/>
        <v>0</v>
      </c>
      <c r="AY68" s="27" t="b">
        <f t="shared" ca="1" si="104"/>
        <v>0</v>
      </c>
      <c r="AZ68" s="15">
        <f t="shared" ca="1" si="105"/>
        <v>1</v>
      </c>
      <c r="BA68" s="15">
        <f t="shared" ca="1" si="28"/>
        <v>1</v>
      </c>
      <c r="BB68" s="15" t="str">
        <f t="shared" ca="1" si="106"/>
        <v>'[dane surowe2d.xlsm]wew'!$G$11</v>
      </c>
      <c r="BC68" s="15" t="str">
        <f t="shared" ca="1" si="29"/>
        <v>'[dane surowe2d.xlsm]wew'!$G$11</v>
      </c>
      <c r="BD68" s="15" t="b">
        <f t="shared" ca="1" si="107"/>
        <v>0</v>
      </c>
      <c r="BE68" s="15" t="b">
        <f t="shared" ca="1" si="10"/>
        <v>1</v>
      </c>
      <c r="BF68" s="15">
        <f t="shared" ca="1" si="11"/>
        <v>1</v>
      </c>
      <c r="BG68" s="15">
        <f t="shared" ca="1" si="12"/>
        <v>1</v>
      </c>
      <c r="BH68" s="15">
        <f t="array" aca="1" ref="BH68" ca="1">IF(IFERROR( S68,1),1,IF(BC68="","", SUM(IF(ISERROR(INDIRECT(BC68)),1,0))))</f>
        <v>0</v>
      </c>
      <c r="BI68" s="15" t="b">
        <f t="shared" si="108"/>
        <v>1</v>
      </c>
      <c r="BJ68" s="15" t="b">
        <f t="shared" si="109"/>
        <v>0</v>
      </c>
      <c r="BK68" s="15">
        <f t="shared" ca="1" si="13"/>
        <v>1</v>
      </c>
      <c r="BL68" s="15">
        <f t="shared" ca="1" si="14"/>
        <v>1</v>
      </c>
      <c r="BP68" s="15" t="b">
        <f t="shared" si="30"/>
        <v>1</v>
      </c>
      <c r="BQ68" s="15" t="b">
        <f t="shared" ca="1" si="31"/>
        <v>0</v>
      </c>
      <c r="BR68" s="15" t="str">
        <f t="shared" ca="1" si="15"/>
        <v/>
      </c>
      <c r="BS68" s="15">
        <f t="shared" ca="1" si="32"/>
        <v>0</v>
      </c>
      <c r="BT68" s="15" t="str">
        <f t="shared" ca="1" si="16"/>
        <v/>
      </c>
      <c r="BV68" s="15" t="b">
        <f t="shared" ca="1" si="33"/>
        <v>0</v>
      </c>
      <c r="BW68" s="15" t="b">
        <f t="shared" ca="1" si="34"/>
        <v>0</v>
      </c>
      <c r="BX68" s="15" t="b">
        <f t="shared" ca="1" si="35"/>
        <v>0</v>
      </c>
      <c r="BY68" s="15" t="b">
        <f t="shared" ca="1" si="17"/>
        <v>0</v>
      </c>
      <c r="BZ68" s="15" t="b">
        <f t="shared" ca="1" si="36"/>
        <v>0</v>
      </c>
      <c r="CA68" s="15" t="b">
        <f t="shared" ca="1" si="110"/>
        <v>0</v>
      </c>
      <c r="CB68" s="15" t="b">
        <f t="shared" ca="1" si="111"/>
        <v>0</v>
      </c>
      <c r="CC68" s="15" t="b">
        <f t="shared" ca="1" si="112"/>
        <v>0</v>
      </c>
      <c r="CD68" s="15" t="b">
        <f t="shared" ca="1" si="112"/>
        <v>0</v>
      </c>
      <c r="CE68" s="15" t="b">
        <f t="shared" ca="1" si="37"/>
        <v>0</v>
      </c>
      <c r="CF68" s="15" t="b">
        <f t="shared" ca="1" si="113"/>
        <v>0</v>
      </c>
      <c r="CG68" s="15" t="b">
        <f t="shared" ca="1" si="114"/>
        <v>0</v>
      </c>
      <c r="CH68" s="15" t="b">
        <f t="shared" ca="1" si="18"/>
        <v>0</v>
      </c>
      <c r="CI68" s="15" t="b">
        <f t="shared" si="38"/>
        <v>0</v>
      </c>
      <c r="CJ68" s="15" t="b">
        <f t="shared" si="39"/>
        <v>0</v>
      </c>
      <c r="CK68" s="15" t="b">
        <f t="shared" ca="1" si="119"/>
        <v>0</v>
      </c>
      <c r="CL68" s="15" t="b">
        <f t="shared" ca="1" si="119"/>
        <v>0</v>
      </c>
      <c r="CM68" s="15" t="b">
        <f t="shared" ca="1" si="119"/>
        <v>0</v>
      </c>
      <c r="CN68" s="15" t="b">
        <f t="shared" ca="1" si="119"/>
        <v>0</v>
      </c>
      <c r="CO68" s="15" t="b">
        <f t="shared" ca="1" si="119"/>
        <v>0</v>
      </c>
      <c r="CP68" s="15" t="b">
        <f t="shared" ca="1" si="119"/>
        <v>0</v>
      </c>
      <c r="CQ68" s="15" t="b">
        <f t="shared" ca="1" si="120"/>
        <v>0</v>
      </c>
      <c r="CR68" s="21" t="b">
        <f t="shared" ca="1" si="121"/>
        <v>0</v>
      </c>
      <c r="CS68" s="22" t="b">
        <f t="shared" ca="1" si="123"/>
        <v>0</v>
      </c>
      <c r="CT68" s="22" t="b">
        <f t="shared" ca="1" si="123"/>
        <v>0</v>
      </c>
      <c r="CU68" s="22" t="b">
        <f t="shared" ca="1" si="123"/>
        <v>0</v>
      </c>
      <c r="CV68" s="22" t="b">
        <f t="shared" ca="1" si="123"/>
        <v>0</v>
      </c>
      <c r="CW68" s="22" t="b">
        <f t="shared" ca="1" si="123"/>
        <v>0</v>
      </c>
      <c r="CX68" s="22" t="b">
        <f t="shared" ca="1" si="123"/>
        <v>0</v>
      </c>
      <c r="CY68" s="22" t="b">
        <f t="shared" ca="1" si="123"/>
        <v>0</v>
      </c>
      <c r="CZ68" s="21" t="b">
        <f t="shared" ca="1" si="123"/>
        <v>0</v>
      </c>
      <c r="DB68" s="22" t="b">
        <f t="shared" ca="1" si="40"/>
        <v>0</v>
      </c>
      <c r="DC68" s="22" t="b">
        <f t="shared" ca="1" si="122"/>
        <v>0</v>
      </c>
      <c r="DD68" s="22" t="b">
        <f t="shared" ca="1" si="122"/>
        <v>0</v>
      </c>
      <c r="DE68" s="22" t="b">
        <f t="shared" ca="1" si="122"/>
        <v>0</v>
      </c>
      <c r="DF68" s="22" t="b">
        <f t="shared" ca="1" si="122"/>
        <v>0</v>
      </c>
      <c r="DG68" s="22" t="b">
        <f t="shared" ca="1" si="122"/>
        <v>0</v>
      </c>
      <c r="DH68" s="22" t="b">
        <f t="shared" ca="1" si="122"/>
        <v>0</v>
      </c>
      <c r="DI68" s="22" t="b">
        <f t="shared" ca="1" si="122"/>
        <v>0</v>
      </c>
      <c r="DJ68" s="22" t="b">
        <f t="shared" ca="1" si="122"/>
        <v>0</v>
      </c>
      <c r="DK68" s="22"/>
      <c r="DO68" s="15" t="str">
        <f t="shared" ca="1" si="90"/>
        <v/>
      </c>
      <c r="DP68" s="15" t="str">
        <f t="shared" ca="1" si="90"/>
        <v/>
      </c>
      <c r="DQ68" s="15" t="str">
        <f t="shared" ca="1" si="90"/>
        <v/>
      </c>
      <c r="DR68" s="15" t="str">
        <f t="shared" ca="1" si="90"/>
        <v/>
      </c>
      <c r="DS68" s="15" t="str">
        <f t="shared" ca="1" si="90"/>
        <v/>
      </c>
      <c r="DT68" s="15" t="str">
        <f t="shared" ca="1" si="90"/>
        <v/>
      </c>
      <c r="DU68" s="15" t="str">
        <f t="shared" ca="1" si="90"/>
        <v/>
      </c>
      <c r="DV68" s="15" t="str">
        <f t="shared" ref="DV68:DV82" ca="1" si="127">IF(AC68&lt;&gt;"",IFERROR(INDEX(INDIRECT($BS$4),MATCH(AC68,INDIRECT($C$4),0)),100),"")</f>
        <v/>
      </c>
    </row>
    <row r="69" spans="1:126">
      <c r="A69" s="15">
        <f t="shared" si="24"/>
        <v>57</v>
      </c>
      <c r="B69" s="15" t="e">
        <f t="shared" ca="1" si="124"/>
        <v>#REF!</v>
      </c>
      <c r="C69" s="15" t="s">
        <v>220</v>
      </c>
      <c r="D69" s="15" t="str">
        <f t="shared" ref="D69:D85" si="128">IF(C69="","",C69)</f>
        <v>Etykiety NapisyUI</v>
      </c>
      <c r="F69" s="15" t="s">
        <v>221</v>
      </c>
      <c r="G69" s="15" t="s">
        <v>88</v>
      </c>
      <c r="J69" s="19" t="e">
        <f ca="1">CELL(_CELL_ADDRESS_NAME,labels!#REF!)</f>
        <v>#REF!</v>
      </c>
      <c r="K69" s="15">
        <v>2</v>
      </c>
      <c r="L69" s="15">
        <f>2*ster!$C$12</f>
        <v>46</v>
      </c>
      <c r="M69" s="19"/>
      <c r="P69" s="15">
        <v>2</v>
      </c>
      <c r="Q69" s="15">
        <v>1</v>
      </c>
      <c r="T69" s="15" t="str">
        <f t="shared" ref="T69:T90" ca="1" si="129">BC69</f>
        <v/>
      </c>
      <c r="U69" s="15" t="e">
        <f t="shared" ca="1" si="126"/>
        <v>#REF!</v>
      </c>
      <c r="AD69" s="16" t="b">
        <f>C69&lt;&gt;""</f>
        <v>1</v>
      </c>
      <c r="AE69" s="16" t="b">
        <f>AND(I69&lt;&gt;"",H69&lt;&gt;"")</f>
        <v>0</v>
      </c>
      <c r="AF69" s="15" t="str">
        <f>IF(AE69,"[" &amp; H69 &amp; "]" &amp; $B$2,"")</f>
        <v/>
      </c>
      <c r="AG69" s="15" t="str">
        <f ca="1">IF(AND(AE69,NOT(BX69)),INDIRECT(ADDRESS(ROW($D$4),COLUMN($D$4),,,AF69)),"")</f>
        <v/>
      </c>
      <c r="AH69" s="15" t="str">
        <f ca="1">IF(AND(AE69,NOT(BX69)),MATCH(I69,INDIRECT(AG69),0),"")</f>
        <v/>
      </c>
      <c r="AI69" s="15" t="b">
        <f ca="1">AND(AE69,NOT(BX69),NOT(BY69))</f>
        <v>0</v>
      </c>
      <c r="AJ69" s="15" t="str">
        <f t="shared" ref="AJ69:AJ85" ca="1" si="130">IF(AE69,INDIRECT(ADDRESS(ROW($T$4),COLUMN($T$4),,,AF69)),"")</f>
        <v/>
      </c>
      <c r="AK69" s="27" t="str">
        <f ca="1">IF(AE69,INDEX(INDIRECT(AJ69),AH69),"")</f>
        <v/>
      </c>
      <c r="AL69" s="15" t="b">
        <f ca="1">AND(AE69,NOT(OR(BX69,BY69)))</f>
        <v>0</v>
      </c>
      <c r="AM69" s="15" t="str">
        <f ca="1">IF(AE69,INDIRECT(ADDRESS(ROW($BK$4),COLUMN($BK$4),,,AF69)),"")</f>
        <v/>
      </c>
      <c r="AN69" s="15">
        <f ca="1">IFERROR(IF(AE69,INDEX(INDIRECT(AM69),AH69),3),3)</f>
        <v>3</v>
      </c>
      <c r="AO69" s="15" t="str">
        <f t="shared" ref="AO69:AO85" ca="1" si="131">IF(AE69,INDIRECT(ADDRESS(ROW($BS$4),COLUMN($BS$4),,,AF69)),"")</f>
        <v/>
      </c>
      <c r="AP69" s="15" t="e">
        <f ca="1">IF(AQ69=2,INDEX(INDIRECT(AO69),AH69),"")</f>
        <v>#REF!</v>
      </c>
      <c r="AQ69" s="27" t="e">
        <f ca="1">IF(AND(AE69,NOT(AR69)),2,IF(AND(AR69,NOT(AE69)),1,IF(AND(NOT(AE69),NOT(AR69)),4,3)))</f>
        <v>#REF!</v>
      </c>
      <c r="AR69" s="15" t="e">
        <f ca="1">AND(J69&lt;&gt;"",AD69)</f>
        <v>#REF!</v>
      </c>
      <c r="AS69" s="27" t="b">
        <f ca="1">NOT(ISERROR(FIND("[",J69)))</f>
        <v>0</v>
      </c>
      <c r="AT69" s="27" t="e">
        <f ca="1">MID(J69,1,1)="'"</f>
        <v>#REF!</v>
      </c>
      <c r="AU69" s="27" t="str">
        <f ca="1">IF(AS69,FIND("]",J69),"")</f>
        <v/>
      </c>
      <c r="AV69" s="16" t="b">
        <f ca="1">IF(AS69,MID(J69,1,AU69)&lt;&gt;$U$2,FALSE)</f>
        <v>0</v>
      </c>
      <c r="AW69" s="15" t="e">
        <f t="shared" ca="1" si="115"/>
        <v>#REF!</v>
      </c>
      <c r="AX69" s="27" t="e">
        <f ca="1">IF(AR69,ROWS(INDIRECT(AW69))&gt;1)</f>
        <v>#REF!</v>
      </c>
      <c r="AY69" s="27" t="e">
        <f ca="1">IF(AR69,COLUMNS(INDIRECT(AW69))&gt;1)</f>
        <v>#REF!</v>
      </c>
      <c r="AZ69" s="15">
        <f ca="1">IF($AE69,IF(NOT(AI69),"?",COLUMNS(INDIRECT($AK69))),IF($AD69,IF(L69="",1,L69)))</f>
        <v>46</v>
      </c>
      <c r="BA69" s="15">
        <f ca="1">IF($AE69,IF(NOT(AI69),"?",ROWS(INDIRECT($AK69))),IF($AD69,IF(K69="",1,K69)))</f>
        <v>2</v>
      </c>
      <c r="BB69" s="15" t="e">
        <f ca="1">IF(AD69,CHOOSE(AQ69,AW69,AK69,"?"),"")</f>
        <v>#REF!</v>
      </c>
      <c r="BC69" s="15" t="str">
        <f t="shared" ref="BC69:BC85" ca="1" si="132">IFERROR(IF(MIN(AZ69:BA69)&lt;=0,"",  BB69 &amp; IF(AND(OR(AZ69&gt;1,BA69&gt;1),AQ69=1), ":" &amp; ADDRESS(ROW(INDIRECT(BB69)) +BA69-1,COLUMN(INDIRECT(BB69))+AZ69-1),"")),"")</f>
        <v/>
      </c>
      <c r="BD69" s="15" t="b">
        <f ca="1">AZ69*BA69&gt;1</f>
        <v>1</v>
      </c>
      <c r="BE69" s="15" t="e">
        <f ca="1">IF(AND(AD69,AQ69=1),IF(Q69="",BI69, IF(Q69,TRUE,FALSE)),FALSE)</f>
        <v>#REF!</v>
      </c>
      <c r="BF69" s="15" t="e">
        <f ca="1">IF(BE69,COUNTA(INDIRECT(BC69)),"")</f>
        <v>#REF!</v>
      </c>
      <c r="BG69" s="15" t="e">
        <f ca="1">IF(BE69,AZ69*BA69,"")</f>
        <v>#REF!</v>
      </c>
      <c r="BH69" s="15" t="str">
        <f t="array" aca="1" ref="BH69" ca="1">IF(IFERROR( S69,1),1,IF(BC69="","", SUM(IF(ISERROR(INDIRECT(BC69)),1,0))))</f>
        <v/>
      </c>
      <c r="BI69" s="15" t="b">
        <f>G69="r"</f>
        <v>1</v>
      </c>
      <c r="BJ69" s="15" t="b">
        <f>G69="W"</f>
        <v>0</v>
      </c>
      <c r="BK69" s="15" t="e">
        <f ca="1">IF(AR69,IF(AND(BI69,NOT(BJ69)),1,IF(AND(BJ69,NOT(BI69)),2,3)),"")</f>
        <v>#REF!</v>
      </c>
      <c r="BL69" s="15" t="e">
        <f ca="1">CHOOSE(AQ69,BK69,AN69,3,4)</f>
        <v>#REF!</v>
      </c>
      <c r="BP69" s="15" t="b">
        <f t="shared" ref="BP69:BP85" si="133">IF(AD69,IF(M69="",TRUE,NOT(M69)),FALSE)</f>
        <v>1</v>
      </c>
      <c r="BQ69" s="15" t="e">
        <f t="shared" ref="BQ69:BQ85" ca="1" si="134">IF(BP69,OR(BU69:CZ69),FALSE)</f>
        <v>#REF!</v>
      </c>
      <c r="BR69" s="15" t="e">
        <f ca="1">IF(BQ69,MATCH(TRUE,BU69:CZ69,0),"")</f>
        <v>#REF!</v>
      </c>
      <c r="BS69" s="15" t="e">
        <f t="shared" ref="BS69:BS85" ca="1" si="135">IF(BP69,IF(BQ69,BR69,IF(AQ69=2,AP69,0)),0)</f>
        <v>#REF!</v>
      </c>
      <c r="BT69" s="15" t="e">
        <f t="shared" ref="BT69:BT84" ca="1" si="136">IF(BS69&gt;0,INDEX(BU$10:CZ$10,BS69),"")</f>
        <v>#REF!</v>
      </c>
      <c r="BV69" s="15" t="b">
        <f ca="1">IFERROR(IF($AD69,COUNTIF(INDIRECT($C$4),C69)&gt;1,FALSE),FALSE)</f>
        <v>0</v>
      </c>
      <c r="BW69" s="15" t="b">
        <f ca="1">IFERROR(IF($AD69,IF(D69&lt;&gt;"",COUNTIF(INDIRECT($D$4),D69)&gt;1,FALSE),FALSE),FALSE)</f>
        <v>0</v>
      </c>
      <c r="BX69" s="15" t="b">
        <f t="shared" ref="BX69:BX85" ca="1" si="137">IFERROR(IF(AE69,IFERROR(INDIRECT(ADDRESS(ROW($B$2),COLUMN($B$2),4,,AF69))&lt;&gt;$B$2,TRUE)),FALSE)</f>
        <v>0</v>
      </c>
      <c r="BY69" s="15" t="b">
        <f ca="1">IFERROR(IF(AND(AE69,NOT(BX69)),IF(ISERROR(AH69),TRUE,FALSE)),FALSE)</f>
        <v>0</v>
      </c>
      <c r="BZ69" s="15" t="b">
        <f ca="1">IFERROR(IF(BE69,BF69&lt;&gt;BG69,FALSE),FALSE)</f>
        <v>0</v>
      </c>
      <c r="CA69" s="15" t="e">
        <f ca="1">AND(AR69,AE69,AD69)</f>
        <v>#REF!</v>
      </c>
      <c r="CB69" s="15" t="b">
        <f ca="1">ISERROR(COUNT(INDIRECT(J69)))</f>
        <v>0</v>
      </c>
      <c r="CC69" s="15" t="e">
        <f t="shared" ca="1" si="112"/>
        <v>#REF!</v>
      </c>
      <c r="CD69" s="15" t="e">
        <f t="shared" ca="1" si="112"/>
        <v>#REF!</v>
      </c>
      <c r="CE69" s="15" t="e">
        <f ca="1">IF(AD69, IF(AQ69=1, IF(OR(R69,DB69,AK69="" ),FALSE,OR(ISERROR(INDIRECT(T69)))),FALSE),FALSE)</f>
        <v>#REF!</v>
      </c>
      <c r="CF69" s="15" t="e">
        <f ca="1">AND($AD69,$AQ69=2,COUNTA( S69)=1)</f>
        <v>#REF!</v>
      </c>
      <c r="CG69" s="15" t="e">
        <f ca="1">AND(AND(AQ69&lt;&gt;1,AQ69&lt;&gt;3),G69&lt;&gt;"")</f>
        <v>#REF!</v>
      </c>
      <c r="CH69" s="15" t="e">
        <f ca="1">AND(AQ69=1,BK69=3)</f>
        <v>#REF!</v>
      </c>
      <c r="CI69" s="15" t="b">
        <f>ISERROR(S69)</f>
        <v>0</v>
      </c>
      <c r="CJ69" s="15" t="b">
        <f>IFERROR(IF(S69,TRUE,FALSE),FALSE)</f>
        <v>0</v>
      </c>
      <c r="CK69" s="15" t="b">
        <f t="shared" ca="1" si="119"/>
        <v>0</v>
      </c>
      <c r="CL69" s="15" t="b">
        <f t="shared" ca="1" si="119"/>
        <v>0</v>
      </c>
      <c r="CM69" s="15" t="b">
        <f t="shared" ca="1" si="119"/>
        <v>0</v>
      </c>
      <c r="CN69" s="15" t="b">
        <f t="shared" ca="1" si="119"/>
        <v>0</v>
      </c>
      <c r="CO69" s="15" t="b">
        <f t="shared" ca="1" si="119"/>
        <v>0</v>
      </c>
      <c r="CP69" s="15" t="b">
        <f t="shared" ca="1" si="119"/>
        <v>0</v>
      </c>
      <c r="CQ69" s="15" t="b">
        <f t="shared" ca="1" si="119"/>
        <v>0</v>
      </c>
      <c r="CR69" s="21" t="b">
        <f t="shared" ca="1" si="119"/>
        <v>0</v>
      </c>
      <c r="CS69" s="22" t="b">
        <f t="shared" ca="1" si="123"/>
        <v>0</v>
      </c>
      <c r="CT69" s="22" t="b">
        <f t="shared" ca="1" si="123"/>
        <v>0</v>
      </c>
      <c r="CU69" s="22" t="b">
        <f t="shared" ca="1" si="123"/>
        <v>0</v>
      </c>
      <c r="CV69" s="22" t="b">
        <f t="shared" ca="1" si="123"/>
        <v>0</v>
      </c>
      <c r="CW69" s="22" t="b">
        <f t="shared" ca="1" si="123"/>
        <v>0</v>
      </c>
      <c r="CX69" s="22" t="b">
        <f t="shared" ca="1" si="123"/>
        <v>0</v>
      </c>
      <c r="CY69" s="22" t="b">
        <f t="shared" ca="1" si="123"/>
        <v>0</v>
      </c>
      <c r="CZ69" s="21" t="b">
        <f t="shared" ca="1" si="123"/>
        <v>0</v>
      </c>
      <c r="DB69" s="22" t="b">
        <f ca="1">OR(DC69:DJ69)</f>
        <v>0</v>
      </c>
      <c r="DC69" s="22" t="b">
        <f t="shared" ca="1" si="122"/>
        <v>0</v>
      </c>
      <c r="DD69" s="22" t="b">
        <f t="shared" ca="1" si="122"/>
        <v>0</v>
      </c>
      <c r="DE69" s="22" t="b">
        <f t="shared" ca="1" si="122"/>
        <v>0</v>
      </c>
      <c r="DF69" s="22" t="b">
        <f t="shared" ca="1" si="122"/>
        <v>0</v>
      </c>
      <c r="DG69" s="22" t="b">
        <f t="shared" ca="1" si="122"/>
        <v>0</v>
      </c>
      <c r="DH69" s="22" t="b">
        <f t="shared" ca="1" si="122"/>
        <v>0</v>
      </c>
      <c r="DI69" s="22" t="b">
        <f t="shared" ca="1" si="122"/>
        <v>0</v>
      </c>
      <c r="DJ69" s="22" t="b">
        <f t="shared" ca="1" si="122"/>
        <v>0</v>
      </c>
      <c r="DK69" s="22"/>
      <c r="DO69" s="15" t="str">
        <f t="shared" ref="DO69:DU70" ca="1" si="138">IF(V69&lt;&gt;"",IFERROR(INDEX(INDIRECT($BS$4),MATCH(V69,INDIRECT($C$4),0)),100),"")</f>
        <v/>
      </c>
      <c r="DP69" s="15" t="str">
        <f t="shared" ca="1" si="138"/>
        <v/>
      </c>
      <c r="DQ69" s="15" t="str">
        <f t="shared" ca="1" si="138"/>
        <v/>
      </c>
      <c r="DR69" s="15" t="str">
        <f t="shared" ca="1" si="138"/>
        <v/>
      </c>
      <c r="DS69" s="15" t="str">
        <f t="shared" ca="1" si="138"/>
        <v/>
      </c>
      <c r="DT69" s="15" t="str">
        <f t="shared" ca="1" si="138"/>
        <v/>
      </c>
      <c r="DU69" s="15" t="str">
        <f t="shared" ca="1" si="138"/>
        <v/>
      </c>
      <c r="DV69" s="15" t="str">
        <f t="shared" ca="1" si="127"/>
        <v/>
      </c>
    </row>
    <row r="70" spans="1:126">
      <c r="A70" s="15">
        <f t="shared" si="24"/>
        <v>58</v>
      </c>
      <c r="B70" s="15" t="e">
        <f t="shared" ca="1" si="124"/>
        <v>#REF!</v>
      </c>
      <c r="C70" s="15" t="s">
        <v>222</v>
      </c>
      <c r="D70" s="15" t="str">
        <f t="shared" si="128"/>
        <v>Etykiety Tresc</v>
      </c>
      <c r="F70" s="15" t="s">
        <v>223</v>
      </c>
      <c r="G70" s="15" t="s">
        <v>121</v>
      </c>
      <c r="J70" s="19" t="e">
        <f ca="1">CELL(_CELL_ADDRESS_NAME,labels!#REF!)</f>
        <v>#REF!</v>
      </c>
      <c r="K70" s="15">
        <f>ster!$B$20</f>
        <v>34</v>
      </c>
      <c r="L70" s="15">
        <f>2*ster!$C$12</f>
        <v>46</v>
      </c>
      <c r="M70" s="19"/>
      <c r="T70" s="15" t="str">
        <f t="shared" ca="1" si="129"/>
        <v/>
      </c>
      <c r="U70" s="15" t="e">
        <f t="shared" ca="1" si="126"/>
        <v>#REF!</v>
      </c>
      <c r="AD70" s="16" t="b">
        <f>C70&lt;&gt;""</f>
        <v>1</v>
      </c>
      <c r="AE70" s="16" t="b">
        <f>AND(I70&lt;&gt;"",H70&lt;&gt;"")</f>
        <v>0</v>
      </c>
      <c r="AF70" s="15" t="str">
        <f>IF(AE70,"[" &amp; H70 &amp; "]" &amp; $B$2,"")</f>
        <v/>
      </c>
      <c r="AG70" s="15" t="str">
        <f ca="1">IF(AND(AE70,NOT(BX70)),INDIRECT(ADDRESS(ROW($D$4),COLUMN($D$4),,,AF70)),"")</f>
        <v/>
      </c>
      <c r="AH70" s="15" t="str">
        <f ca="1">IF(AND(AE70,NOT(BX70)),MATCH(I70,INDIRECT(AG70),0),"")</f>
        <v/>
      </c>
      <c r="AI70" s="15" t="b">
        <f ca="1">AND(AE70,NOT(BX70),NOT(BY70))</f>
        <v>0</v>
      </c>
      <c r="AJ70" s="15" t="str">
        <f t="shared" ca="1" si="130"/>
        <v/>
      </c>
      <c r="AK70" s="27" t="str">
        <f ca="1">IF(AE70,INDEX(INDIRECT(AJ70),AH70),"")</f>
        <v/>
      </c>
      <c r="AL70" s="15" t="b">
        <f ca="1">AND(AE70,NOT(OR(BX70,BY70)))</f>
        <v>0</v>
      </c>
      <c r="AM70" s="15" t="str">
        <f ca="1">IF(AE70,INDIRECT(ADDRESS(ROW($BK$4),COLUMN($BK$4),,,AF70)),"")</f>
        <v/>
      </c>
      <c r="AN70" s="15">
        <f ca="1">IFERROR(IF(AE70,INDEX(INDIRECT(AM70),AH70),3),3)</f>
        <v>3</v>
      </c>
      <c r="AO70" s="15" t="str">
        <f t="shared" ca="1" si="131"/>
        <v/>
      </c>
      <c r="AP70" s="15" t="e">
        <f ca="1">IF(AQ70=2,INDEX(INDIRECT(AO70),AH70),"")</f>
        <v>#REF!</v>
      </c>
      <c r="AQ70" s="27" t="e">
        <f ca="1">IF(AND(AE70,NOT(AR70)),2,IF(AND(AR70,NOT(AE70)),1,IF(AND(NOT(AE70),NOT(AR70)),4,3)))</f>
        <v>#REF!</v>
      </c>
      <c r="AR70" s="15" t="e">
        <f ca="1">AND(J70&lt;&gt;"",AD70)</f>
        <v>#REF!</v>
      </c>
      <c r="AS70" s="27" t="b">
        <f ca="1">NOT(ISERROR(FIND("[",J70)))</f>
        <v>0</v>
      </c>
      <c r="AT70" s="27" t="e">
        <f ca="1">MID(J70,1,1)="'"</f>
        <v>#REF!</v>
      </c>
      <c r="AU70" s="27" t="str">
        <f ca="1">IF(AS70,FIND("]",J70),"")</f>
        <v/>
      </c>
      <c r="AV70" s="16" t="b">
        <f ca="1">IF(AS70,MID(J70,1,AU70)&lt;&gt;$U$2,FALSE)</f>
        <v>0</v>
      </c>
      <c r="AW70" s="15" t="e">
        <f t="shared" ca="1" si="115"/>
        <v>#REF!</v>
      </c>
      <c r="AX70" s="27" t="e">
        <f ca="1">IF(AR70,ROWS(INDIRECT(AW70))&gt;1)</f>
        <v>#REF!</v>
      </c>
      <c r="AY70" s="27" t="e">
        <f ca="1">IF(AR70,COLUMNS(INDIRECT(AW70))&gt;1)</f>
        <v>#REF!</v>
      </c>
      <c r="AZ70" s="15">
        <f ca="1">IF($AE70,IF(NOT(AI70),"?",COLUMNS(INDIRECT($AK70))),IF($AD70,IF(L70="",1,L70)))</f>
        <v>46</v>
      </c>
      <c r="BA70" s="15">
        <f ca="1">IF($AE70,IF(NOT(AI70),"?",ROWS(INDIRECT($AK70))),IF($AD70,IF(K70="",1,K70)))</f>
        <v>34</v>
      </c>
      <c r="BB70" s="15" t="e">
        <f ca="1">IF(AD70,CHOOSE(AQ70,AW70,AK70,"?"),"")</f>
        <v>#REF!</v>
      </c>
      <c r="BC70" s="15" t="str">
        <f t="shared" ca="1" si="132"/>
        <v/>
      </c>
      <c r="BD70" s="15" t="b">
        <f ca="1">AZ70*BA70&gt;1</f>
        <v>1</v>
      </c>
      <c r="BE70" s="15" t="e">
        <f ca="1">IF(AND(AD70,AQ70=1),IF(Q70="",BI70, IF(Q70,TRUE,FALSE)),FALSE)</f>
        <v>#REF!</v>
      </c>
      <c r="BF70" s="15" t="e">
        <f ca="1">IF(BE70,COUNTA(INDIRECT(BC70)),"")</f>
        <v>#REF!</v>
      </c>
      <c r="BG70" s="15" t="e">
        <f ca="1">IF(BE70,AZ70*BA70,"")</f>
        <v>#REF!</v>
      </c>
      <c r="BH70" s="15" t="str">
        <f t="array" aca="1" ref="BH70" ca="1">IF(IFERROR( S70,1),1,IF(BC70="","", SUM(IF(ISERROR(INDIRECT(BC70)),1,0))))</f>
        <v/>
      </c>
      <c r="BI70" s="15" t="b">
        <f>G70="r"</f>
        <v>0</v>
      </c>
      <c r="BJ70" s="15" t="b">
        <f>G70="W"</f>
        <v>1</v>
      </c>
      <c r="BK70" s="15" t="e">
        <f ca="1">IF(AR70,IF(AND(BI70,NOT(BJ70)),1,IF(AND(BJ70,NOT(BI70)),2,3)),"")</f>
        <v>#REF!</v>
      </c>
      <c r="BL70" s="15" t="e">
        <f ca="1">CHOOSE(AQ70,BK70,AN70,3,4)</f>
        <v>#REF!</v>
      </c>
      <c r="BP70" s="15" t="b">
        <f t="shared" si="133"/>
        <v>1</v>
      </c>
      <c r="BQ70" s="15" t="e">
        <f t="shared" ca="1" si="134"/>
        <v>#REF!</v>
      </c>
      <c r="BR70" s="15" t="e">
        <f ca="1">IF(BQ70,MATCH(TRUE,BU70:CZ70,0),"")</f>
        <v>#REF!</v>
      </c>
      <c r="BS70" s="15" t="e">
        <f t="shared" ca="1" si="135"/>
        <v>#REF!</v>
      </c>
      <c r="BT70" s="15" t="e">
        <f t="shared" ca="1" si="136"/>
        <v>#REF!</v>
      </c>
      <c r="BV70" s="15" t="b">
        <f ca="1">IFERROR(IF($AD70,COUNTIF(INDIRECT($C$4),C70)&gt;1,FALSE),FALSE)</f>
        <v>0</v>
      </c>
      <c r="BW70" s="15" t="b">
        <f ca="1">IFERROR(IF($AD70,IF(D70&lt;&gt;"",COUNTIF(INDIRECT($D$4),D70)&gt;1,FALSE),FALSE),FALSE)</f>
        <v>0</v>
      </c>
      <c r="BX70" s="15" t="b">
        <f t="shared" ca="1" si="137"/>
        <v>0</v>
      </c>
      <c r="BY70" s="15" t="b">
        <f ca="1">IFERROR(IF(AND(AE70,NOT(BX70)),IF(ISERROR(AH70),TRUE,FALSE)),FALSE)</f>
        <v>0</v>
      </c>
      <c r="BZ70" s="15" t="b">
        <f ca="1">IFERROR(IF(BE70,BF70&lt;&gt;BG70,FALSE),FALSE)</f>
        <v>0</v>
      </c>
      <c r="CA70" s="15" t="e">
        <f ca="1">AND(AR70,AE70,AD70)</f>
        <v>#REF!</v>
      </c>
      <c r="CB70" s="15" t="b">
        <f ca="1">ISERROR(COUNT(INDIRECT(J70)))</f>
        <v>0</v>
      </c>
      <c r="CC70" s="15" t="e">
        <f t="shared" ca="1" si="112"/>
        <v>#REF!</v>
      </c>
      <c r="CD70" s="15" t="e">
        <f t="shared" ca="1" si="112"/>
        <v>#REF!</v>
      </c>
      <c r="CE70" s="15" t="e">
        <f ca="1">IF(AD70, IF(AQ70=1, IF(OR(R70,DB70,AK70="" ),FALSE,OR(ISERROR(INDIRECT(T70)))),FALSE),FALSE)</f>
        <v>#REF!</v>
      </c>
      <c r="CF70" s="15" t="e">
        <f ca="1">AND($AD70,$AQ70=2,COUNTA( S70)=1)</f>
        <v>#REF!</v>
      </c>
      <c r="CG70" s="15" t="e">
        <f ca="1">AND(AND(AQ70&lt;&gt;1,AQ70&lt;&gt;3),G70&lt;&gt;"")</f>
        <v>#REF!</v>
      </c>
      <c r="CH70" s="15" t="e">
        <f ca="1">AND(AQ70=1,BK70=3)</f>
        <v>#REF!</v>
      </c>
      <c r="CI70" s="15" t="b">
        <f>ISERROR(S70)</f>
        <v>0</v>
      </c>
      <c r="CJ70" s="15" t="b">
        <f>IFERROR(IF(S70,TRUE,FALSE),FALSE)</f>
        <v>0</v>
      </c>
      <c r="CK70" s="15" t="b">
        <f t="shared" ca="1" si="119"/>
        <v>0</v>
      </c>
      <c r="CL70" s="15" t="b">
        <f t="shared" ca="1" si="119"/>
        <v>0</v>
      </c>
      <c r="CM70" s="15" t="b">
        <f t="shared" ca="1" si="119"/>
        <v>0</v>
      </c>
      <c r="CN70" s="15" t="b">
        <f t="shared" ca="1" si="119"/>
        <v>0</v>
      </c>
      <c r="CO70" s="15" t="b">
        <f t="shared" ca="1" si="119"/>
        <v>0</v>
      </c>
      <c r="CP70" s="15" t="b">
        <f t="shared" ca="1" si="119"/>
        <v>0</v>
      </c>
      <c r="CQ70" s="15" t="b">
        <f t="shared" ca="1" si="119"/>
        <v>0</v>
      </c>
      <c r="CR70" s="21" t="b">
        <f t="shared" ca="1" si="119"/>
        <v>0</v>
      </c>
      <c r="CS70" s="22" t="b">
        <f t="shared" ca="1" si="123"/>
        <v>0</v>
      </c>
      <c r="CT70" s="22" t="b">
        <f t="shared" ca="1" si="123"/>
        <v>0</v>
      </c>
      <c r="CU70" s="22" t="b">
        <f t="shared" ca="1" si="123"/>
        <v>0</v>
      </c>
      <c r="CV70" s="22" t="b">
        <f t="shared" ca="1" si="123"/>
        <v>0</v>
      </c>
      <c r="CW70" s="22" t="b">
        <f t="shared" ca="1" si="123"/>
        <v>0</v>
      </c>
      <c r="CX70" s="22" t="b">
        <f t="shared" ca="1" si="123"/>
        <v>0</v>
      </c>
      <c r="CY70" s="22" t="b">
        <f t="shared" ca="1" si="123"/>
        <v>0</v>
      </c>
      <c r="CZ70" s="21" t="b">
        <f t="shared" ca="1" si="123"/>
        <v>0</v>
      </c>
      <c r="DB70" s="22" t="b">
        <f ca="1">OR(DC70:DJ70)</f>
        <v>0</v>
      </c>
      <c r="DC70" s="22" t="b">
        <f t="shared" ca="1" si="122"/>
        <v>0</v>
      </c>
      <c r="DD70" s="22" t="b">
        <f t="shared" ca="1" si="122"/>
        <v>0</v>
      </c>
      <c r="DE70" s="22" t="b">
        <f t="shared" ca="1" si="122"/>
        <v>0</v>
      </c>
      <c r="DF70" s="22" t="b">
        <f t="shared" ca="1" si="122"/>
        <v>0</v>
      </c>
      <c r="DG70" s="22" t="b">
        <f t="shared" ca="1" si="122"/>
        <v>0</v>
      </c>
      <c r="DH70" s="22" t="b">
        <f t="shared" ca="1" si="122"/>
        <v>0</v>
      </c>
      <c r="DI70" s="22" t="b">
        <f t="shared" ca="1" si="122"/>
        <v>0</v>
      </c>
      <c r="DJ70" s="22" t="b">
        <f t="shared" ca="1" si="122"/>
        <v>0</v>
      </c>
      <c r="DK70" s="22"/>
      <c r="DO70" s="15" t="str">
        <f t="shared" ca="1" si="138"/>
        <v/>
      </c>
      <c r="DP70" s="15" t="str">
        <f t="shared" ca="1" si="138"/>
        <v/>
      </c>
      <c r="DQ70" s="15" t="str">
        <f t="shared" ca="1" si="138"/>
        <v/>
      </c>
      <c r="DR70" s="15" t="str">
        <f t="shared" ca="1" si="138"/>
        <v/>
      </c>
      <c r="DS70" s="15" t="str">
        <f t="shared" ca="1" si="138"/>
        <v/>
      </c>
      <c r="DT70" s="15" t="str">
        <f t="shared" ca="1" si="138"/>
        <v/>
      </c>
      <c r="DU70" s="15" t="str">
        <f t="shared" ca="1" si="138"/>
        <v/>
      </c>
      <c r="DV70" s="15" t="str">
        <f t="shared" ca="1" si="127"/>
        <v/>
      </c>
    </row>
    <row r="71" spans="1:126">
      <c r="A71" s="15">
        <f t="shared" si="24"/>
        <v>59</v>
      </c>
      <c r="B71" s="15" t="str">
        <f t="shared" ca="1" si="124"/>
        <v>Pola, od którego zależy dane pole ma błąd</v>
      </c>
      <c r="C71" s="15" t="s">
        <v>256</v>
      </c>
      <c r="D71" s="15" t="str">
        <f t="shared" si="128"/>
        <v>MaxWierszEtykiet</v>
      </c>
      <c r="G71" s="15" t="s">
        <v>88</v>
      </c>
      <c r="J71" s="19" t="str">
        <f ca="1">CELL(_CELL_ADDRESS_NAME,ster!$B$20)</f>
        <v>'[dane surowe2d.xlsm]ster'!$B$20</v>
      </c>
      <c r="M71" s="19"/>
      <c r="T71" s="15" t="str">
        <f t="shared" ca="1" si="129"/>
        <v>'[dane surowe2d.xlsm]ster'!$B$20</v>
      </c>
      <c r="U71" s="15">
        <f t="shared" ca="1" si="126"/>
        <v>25</v>
      </c>
      <c r="V71" s="15" t="s">
        <v>222</v>
      </c>
      <c r="AD71" s="16" t="b">
        <f t="shared" ref="AD71:AD90" si="139">C71&lt;&gt;""</f>
        <v>1</v>
      </c>
      <c r="AE71" s="16" t="b">
        <f t="shared" ref="AE71:AE90" si="140">AND(I71&lt;&gt;"",H71&lt;&gt;"")</f>
        <v>0</v>
      </c>
      <c r="AF71" s="15" t="str">
        <f t="shared" ref="AF71:AF90" si="141">IF(AE71,"[" &amp; H71 &amp; "]" &amp; $B$2,"")</f>
        <v/>
      </c>
      <c r="AG71" s="15" t="str">
        <f t="shared" ref="AG71:AG90" ca="1" si="142">IF(AND(AE71,NOT(BX71)),INDIRECT(ADDRESS(ROW($D$4),COLUMN($D$4),,,AF71)),"")</f>
        <v/>
      </c>
      <c r="AH71" s="15" t="str">
        <f t="shared" ref="AH71:AH90" ca="1" si="143">IF(AND(AE71,NOT(BX71)),MATCH(I71,INDIRECT(AG71),0),"")</f>
        <v/>
      </c>
      <c r="AI71" s="15" t="b">
        <f t="shared" ref="AI71:AI90" ca="1" si="144">AND(AE71,NOT(BX71),NOT(BY71))</f>
        <v>0</v>
      </c>
      <c r="AJ71" s="15" t="str">
        <f t="shared" ca="1" si="130"/>
        <v/>
      </c>
      <c r="AK71" s="27" t="str">
        <f t="shared" ref="AK71:AK90" ca="1" si="145">IF(AE71,INDEX(INDIRECT(AJ71),AH71),"")</f>
        <v/>
      </c>
      <c r="AL71" s="15" t="b">
        <f t="shared" ref="AL71:AL90" ca="1" si="146">AND(AE71,NOT(OR(BX71,BY71)))</f>
        <v>0</v>
      </c>
      <c r="AM71" s="15" t="str">
        <f t="shared" ref="AM71:AM90" ca="1" si="147">IF(AE71,INDIRECT(ADDRESS(ROW($BK$4),COLUMN($BK$4),,,AF71)),"")</f>
        <v/>
      </c>
      <c r="AN71" s="15">
        <f t="shared" ref="AN71:AN90" ca="1" si="148">IFERROR(IF(AE71,INDEX(INDIRECT(AM71),AH71),3),3)</f>
        <v>3</v>
      </c>
      <c r="AO71" s="15" t="str">
        <f t="shared" ca="1" si="131"/>
        <v/>
      </c>
      <c r="AP71" s="15" t="str">
        <f t="shared" ref="AP71:AP90" ca="1" si="149">IF(AQ71=2,INDEX(INDIRECT(AO71),AH71),"")</f>
        <v/>
      </c>
      <c r="AQ71" s="27">
        <f t="shared" ref="AQ71:AQ90" ca="1" si="150">IF(AND(AE71,NOT(AR71)),2,IF(AND(AR71,NOT(AE71)),1,IF(AND(NOT(AE71),NOT(AR71)),4,3)))</f>
        <v>1</v>
      </c>
      <c r="AR71" s="15" t="b">
        <f t="shared" ref="AR71:AR90" ca="1" si="151">AND(J71&lt;&gt;"",AD71)</f>
        <v>1</v>
      </c>
      <c r="AS71" s="27" t="b">
        <f t="shared" ref="AS71:AS90" ca="1" si="152">NOT(ISERROR(FIND("[",J71)))</f>
        <v>1</v>
      </c>
      <c r="AT71" s="27" t="b">
        <f t="shared" ref="AT71:AT90" ca="1" si="153">MID(J71,1,1)="'"</f>
        <v>1</v>
      </c>
      <c r="AU71" s="27">
        <f t="shared" ref="AU71:AU90" ca="1" si="154">IF(AS71,FIND("]",J71),"")</f>
        <v>21</v>
      </c>
      <c r="AV71" s="16" t="e">
        <f t="shared" ref="AV71:AV90" ca="1" si="155">IF(AS71,MID(J71,1,AU71)&lt;&gt;$V$2,FALSE)</f>
        <v>#REF!</v>
      </c>
      <c r="AW71" s="15" t="str">
        <f t="shared" ca="1" si="115"/>
        <v>'[dane surowe2d.xlsm]ster'!$B$20</v>
      </c>
      <c r="AX71" s="27" t="b">
        <f t="shared" ref="AX71:AX90" ca="1" si="156">IF(AR71,ROWS(INDIRECT(AW71))&gt;1)</f>
        <v>0</v>
      </c>
      <c r="AY71" s="27" t="b">
        <f t="shared" ref="AY71:AY90" ca="1" si="157">IF(AR71,COLUMNS(INDIRECT(AW71))&gt;1)</f>
        <v>0</v>
      </c>
      <c r="AZ71" s="15">
        <f t="shared" ref="AZ71:AZ90" ca="1" si="158">IF($AE71,IF(NOT(AI71),"?",COLUMNS(INDIRECT($AK71))),IF($AD71,IF(L71="",1,L71)))</f>
        <v>1</v>
      </c>
      <c r="BA71" s="15">
        <f t="shared" ref="BA71:BA90" ca="1" si="159">IF($AE71,IF(NOT(AI71),"?",ROWS(INDIRECT($AK71))),IF($AD71,IF(K71="",1,K71)))</f>
        <v>1</v>
      </c>
      <c r="BB71" s="15" t="str">
        <f t="shared" ref="BB71:BB90" ca="1" si="160">IF(AD71,CHOOSE(AQ71,AW71,AK71,"?"),"")</f>
        <v>'[dane surowe2d.xlsm]ster'!$B$20</v>
      </c>
      <c r="BC71" s="15" t="str">
        <f t="shared" ca="1" si="132"/>
        <v>'[dane surowe2d.xlsm]ster'!$B$20</v>
      </c>
      <c r="BD71" s="15" t="b">
        <f t="shared" ref="BD71:BD90" ca="1" si="161">AZ71*BA71&gt;1</f>
        <v>0</v>
      </c>
      <c r="BE71" s="15" t="b">
        <f t="shared" ref="BE71:BE90" ca="1" si="162">IF(AND(AD71,AQ71=1),IF(Q71="",BI71, IF(Q71,TRUE,FALSE)),FALSE)</f>
        <v>1</v>
      </c>
      <c r="BF71" s="15">
        <f t="shared" ref="BF71:BF90" ca="1" si="163">IF(BE71,COUNTA(INDIRECT(BC71)),"")</f>
        <v>1</v>
      </c>
      <c r="BG71" s="15">
        <f t="shared" ref="BG71:BG90" ca="1" si="164">IF(BE71,AZ71*BA71,"")</f>
        <v>1</v>
      </c>
      <c r="BH71" s="15">
        <f t="array" aca="1" ref="BH71" ca="1">IF(IFERROR( S71,1),1,IF(BC71="","", SUM(IF(ISERROR(INDIRECT(BC71)),1,0))))</f>
        <v>0</v>
      </c>
      <c r="BI71" s="15" t="b">
        <f t="shared" ref="BI71:BI90" si="165">G71="r"</f>
        <v>1</v>
      </c>
      <c r="BJ71" s="15" t="b">
        <f t="shared" ref="BJ71:BJ90" si="166">G71="W"</f>
        <v>0</v>
      </c>
      <c r="BK71" s="15">
        <f t="shared" ref="BK71:BK90" ca="1" si="167">IF(AR71,IF(AND(BI71,NOT(BJ71)),1,IF(AND(BJ71,NOT(BI71)),2,3)),"")</f>
        <v>1</v>
      </c>
      <c r="BL71" s="15">
        <f t="shared" ref="BL71:BL90" ca="1" si="168">CHOOSE(AQ71,BK71,AN71,3,4)</f>
        <v>1</v>
      </c>
      <c r="BP71" s="15" t="b">
        <f t="shared" si="133"/>
        <v>1</v>
      </c>
      <c r="BQ71" s="15" t="b">
        <f t="shared" ca="1" si="134"/>
        <v>1</v>
      </c>
      <c r="BR71" s="15">
        <f t="shared" ref="BR71:BR90" ca="1" si="169">IF(BQ71,MATCH(TRUE,BU71:CZ71,0),"")</f>
        <v>25</v>
      </c>
      <c r="BS71" s="15">
        <f t="shared" ca="1" si="135"/>
        <v>25</v>
      </c>
      <c r="BT71" s="15" t="str">
        <f t="shared" ca="1" si="136"/>
        <v>Pola, od którego zależy dane pole ma błąd</v>
      </c>
      <c r="BV71" s="15" t="b">
        <f t="shared" ref="BV71:BV90" ca="1" si="170">IFERROR(IF($AD71,COUNTIF(INDIRECT($C$4),C71)&gt;1,FALSE),FALSE)</f>
        <v>0</v>
      </c>
      <c r="BW71" s="15" t="b">
        <f t="shared" ref="BW71:BW90" ca="1" si="171">IFERROR(IF($AD71,IF(D71&lt;&gt;"",COUNTIF(INDIRECT($D$4),D71)&gt;1,FALSE),FALSE),FALSE)</f>
        <v>0</v>
      </c>
      <c r="BX71" s="15" t="b">
        <f t="shared" ca="1" si="137"/>
        <v>0</v>
      </c>
      <c r="BY71" s="15" t="b">
        <f t="shared" ref="BY71:BY90" ca="1" si="172">IFERROR(IF(AND(AE71,NOT(BX71)),IF(ISERROR(AH71),TRUE,FALSE)),FALSE)</f>
        <v>0</v>
      </c>
      <c r="BZ71" s="15" t="b">
        <f t="shared" ref="BZ71:BZ90" ca="1" si="173">IFERROR(IF(BE71,BF71&lt;&gt;BG71,FALSE),FALSE)</f>
        <v>0</v>
      </c>
      <c r="CA71" s="15" t="b">
        <f t="shared" ref="CA71:CA90" ca="1" si="174">AND(AR71,AE71,AD71)</f>
        <v>0</v>
      </c>
      <c r="CB71" s="15" t="b">
        <f t="shared" ref="CB71:CB90" ca="1" si="175">ISERROR(COUNT(INDIRECT(J71)))</f>
        <v>0</v>
      </c>
      <c r="CC71" s="15" t="b">
        <f ca="1">AND(AD71,AQ71=2,Q71&lt;&gt;"")</f>
        <v>0</v>
      </c>
      <c r="CD71" s="15" t="b">
        <f ca="1">AND(AE71,AR71=2,R71&lt;&gt;"")</f>
        <v>0</v>
      </c>
      <c r="CE71" s="15" t="b">
        <f t="shared" ref="CE71:CE90" ca="1" si="176">IF(AD71, IF(AQ71=1, IF(OR(R71,DB71,AK71="" ),FALSE,OR(ISERROR(INDIRECT(T71)))),FALSE),FALSE)</f>
        <v>0</v>
      </c>
      <c r="CF71" s="15" t="b">
        <f t="shared" ref="CF71:CF90" ca="1" si="177">AND($AD71,$AQ71=2,COUNTA( S71)=1)</f>
        <v>0</v>
      </c>
      <c r="CG71" s="15" t="b">
        <f t="shared" ref="CG71:CG90" ca="1" si="178">AND(AND(AQ71&lt;&gt;1,AQ71&lt;&gt;3),G71&lt;&gt;"")</f>
        <v>0</v>
      </c>
      <c r="CH71" s="15" t="b">
        <f t="shared" ref="CH71:CH90" ca="1" si="179">AND(AQ71=1,BK71=3)</f>
        <v>0</v>
      </c>
      <c r="CI71" s="15" t="b">
        <f t="shared" ref="CI71:CI90" si="180">ISERROR(S71)</f>
        <v>0</v>
      </c>
      <c r="CJ71" s="15" t="b">
        <f t="shared" ref="CJ71:CJ90" si="181">IFERROR(IF(S71,TRUE,FALSE),FALSE)</f>
        <v>0</v>
      </c>
      <c r="CK71" s="15" t="b">
        <f t="shared" ref="CK71:CR71" ca="1" si="182">IF(V71&lt;&gt;"",IFERROR(MATCH(V71,INDIRECT($C$4),0)&lt;0,TRUE),FALSE)</f>
        <v>0</v>
      </c>
      <c r="CL71" s="15" t="b">
        <f t="shared" ca="1" si="182"/>
        <v>0</v>
      </c>
      <c r="CM71" s="15" t="b">
        <f t="shared" ca="1" si="182"/>
        <v>0</v>
      </c>
      <c r="CN71" s="15" t="b">
        <f t="shared" ca="1" si="182"/>
        <v>0</v>
      </c>
      <c r="CO71" s="15" t="b">
        <f t="shared" ca="1" si="182"/>
        <v>0</v>
      </c>
      <c r="CP71" s="15" t="b">
        <f t="shared" ca="1" si="182"/>
        <v>0</v>
      </c>
      <c r="CQ71" s="15" t="b">
        <f t="shared" ca="1" si="182"/>
        <v>0</v>
      </c>
      <c r="CR71" s="21" t="b">
        <f t="shared" ca="1" si="182"/>
        <v>0</v>
      </c>
      <c r="CS71" s="22" t="b">
        <f t="shared" ref="CS71:CZ71" ca="1" si="183">AND(DO71&lt;&gt;"",DO71&lt;&gt;0,DO71&lt;&gt;4)</f>
        <v>1</v>
      </c>
      <c r="CT71" s="22" t="b">
        <f t="shared" ca="1" si="183"/>
        <v>0</v>
      </c>
      <c r="CU71" s="22" t="b">
        <f t="shared" ca="1" si="183"/>
        <v>0</v>
      </c>
      <c r="CV71" s="22" t="b">
        <f t="shared" ca="1" si="183"/>
        <v>0</v>
      </c>
      <c r="CW71" s="22" t="b">
        <f t="shared" ca="1" si="183"/>
        <v>0</v>
      </c>
      <c r="CX71" s="22" t="b">
        <f t="shared" ca="1" si="183"/>
        <v>0</v>
      </c>
      <c r="CY71" s="22" t="b">
        <f t="shared" ca="1" si="183"/>
        <v>0</v>
      </c>
      <c r="CZ71" s="21" t="b">
        <f t="shared" ca="1" si="183"/>
        <v>0</v>
      </c>
      <c r="DB71" s="22" t="b">
        <f t="shared" ref="DB71:DB90" ca="1" si="184">OR(DC71:DJ71)</f>
        <v>0</v>
      </c>
      <c r="DC71" s="22" t="b">
        <f t="shared" ref="DC71:DI71" ca="1" si="185">AND(DO71=4)</f>
        <v>0</v>
      </c>
      <c r="DD71" s="22" t="b">
        <f t="shared" ca="1" si="185"/>
        <v>0</v>
      </c>
      <c r="DE71" s="22" t="b">
        <f t="shared" ca="1" si="185"/>
        <v>0</v>
      </c>
      <c r="DF71" s="22" t="b">
        <f t="shared" ca="1" si="185"/>
        <v>0</v>
      </c>
      <c r="DG71" s="22" t="b">
        <f t="shared" ca="1" si="185"/>
        <v>0</v>
      </c>
      <c r="DH71" s="22" t="b">
        <f t="shared" ca="1" si="185"/>
        <v>0</v>
      </c>
      <c r="DI71" s="22" t="b">
        <f t="shared" ca="1" si="185"/>
        <v>0</v>
      </c>
      <c r="DJ71" s="22" t="b">
        <f t="shared" ref="DJ71:DJ97" ca="1" si="186">AND(DV71=4)</f>
        <v>0</v>
      </c>
      <c r="DK71" s="22"/>
      <c r="DO71" s="15">
        <f t="shared" ref="DO71:DU71" ca="1" si="187">IF(V71&lt;&gt;"",IFERROR(INDEX(INDIRECT($BS$4),MATCH(V71,INDIRECT($C$4),0)),100),"")</f>
        <v>100</v>
      </c>
      <c r="DP71" s="15" t="str">
        <f t="shared" ca="1" si="187"/>
        <v/>
      </c>
      <c r="DQ71" s="15" t="str">
        <f t="shared" ca="1" si="187"/>
        <v/>
      </c>
      <c r="DR71" s="15" t="str">
        <f t="shared" ca="1" si="187"/>
        <v/>
      </c>
      <c r="DS71" s="15" t="str">
        <f t="shared" ca="1" si="187"/>
        <v/>
      </c>
      <c r="DT71" s="15" t="str">
        <f t="shared" ca="1" si="187"/>
        <v/>
      </c>
      <c r="DU71" s="15" t="str">
        <f t="shared" ca="1" si="187"/>
        <v/>
      </c>
      <c r="DV71" s="15" t="str">
        <f t="shared" ca="1" si="127"/>
        <v/>
      </c>
    </row>
    <row r="72" spans="1:126">
      <c r="A72" s="15">
        <f t="shared" si="24"/>
        <v>60</v>
      </c>
      <c r="B72" s="15" t="str">
        <f t="shared" si="124"/>
        <v/>
      </c>
      <c r="D72" s="15" t="str">
        <f t="shared" si="128"/>
        <v/>
      </c>
      <c r="M72" s="19"/>
      <c r="T72" s="15" t="str">
        <f t="shared" ca="1" si="129"/>
        <v/>
      </c>
      <c r="U72" s="15" t="str">
        <f t="shared" si="126"/>
        <v/>
      </c>
      <c r="AD72" s="16" t="b">
        <f t="shared" si="139"/>
        <v>0</v>
      </c>
      <c r="AE72" s="16" t="b">
        <f t="shared" si="140"/>
        <v>0</v>
      </c>
      <c r="AF72" s="15" t="str">
        <f t="shared" si="141"/>
        <v/>
      </c>
      <c r="AG72" s="15" t="str">
        <f t="shared" ca="1" si="142"/>
        <v/>
      </c>
      <c r="AH72" s="15" t="str">
        <f t="shared" ca="1" si="143"/>
        <v/>
      </c>
      <c r="AI72" s="15" t="b">
        <f t="shared" ca="1" si="144"/>
        <v>0</v>
      </c>
      <c r="AJ72" s="15" t="str">
        <f t="shared" ca="1" si="130"/>
        <v/>
      </c>
      <c r="AK72" s="27" t="str">
        <f t="shared" ca="1" si="145"/>
        <v/>
      </c>
      <c r="AL72" s="15" t="b">
        <f t="shared" ca="1" si="146"/>
        <v>0</v>
      </c>
      <c r="AM72" s="15" t="str">
        <f t="shared" ca="1" si="147"/>
        <v/>
      </c>
      <c r="AN72" s="15">
        <f t="shared" ca="1" si="148"/>
        <v>3</v>
      </c>
      <c r="AO72" s="15" t="str">
        <f t="shared" ca="1" si="131"/>
        <v/>
      </c>
      <c r="AP72" s="15" t="str">
        <f t="shared" ca="1" si="149"/>
        <v/>
      </c>
      <c r="AQ72" s="27">
        <f t="shared" si="150"/>
        <v>4</v>
      </c>
      <c r="AR72" s="15" t="b">
        <f t="shared" si="151"/>
        <v>0</v>
      </c>
      <c r="AS72" s="27" t="b">
        <f t="shared" si="152"/>
        <v>0</v>
      </c>
      <c r="AT72" s="27" t="b">
        <f t="shared" si="153"/>
        <v>0</v>
      </c>
      <c r="AU72" s="27" t="str">
        <f t="shared" si="154"/>
        <v/>
      </c>
      <c r="AV72" s="16" t="b">
        <f t="shared" si="155"/>
        <v>0</v>
      </c>
      <c r="AW72" s="15" t="str">
        <f t="shared" ca="1" si="115"/>
        <v/>
      </c>
      <c r="AX72" s="27" t="b">
        <f t="shared" ca="1" si="156"/>
        <v>0</v>
      </c>
      <c r="AY72" s="27" t="b">
        <f t="shared" ca="1" si="157"/>
        <v>0</v>
      </c>
      <c r="AZ72" s="15" t="b">
        <f t="shared" ca="1" si="158"/>
        <v>0</v>
      </c>
      <c r="BA72" s="15" t="b">
        <f t="shared" ca="1" si="159"/>
        <v>0</v>
      </c>
      <c r="BB72" s="15" t="str">
        <f t="shared" si="160"/>
        <v/>
      </c>
      <c r="BC72" s="15" t="str">
        <f t="shared" ca="1" si="132"/>
        <v/>
      </c>
      <c r="BD72" s="15" t="b">
        <f t="shared" ca="1" si="161"/>
        <v>0</v>
      </c>
      <c r="BE72" s="15" t="b">
        <f t="shared" si="162"/>
        <v>0</v>
      </c>
      <c r="BF72" s="15" t="str">
        <f t="shared" ca="1" si="163"/>
        <v/>
      </c>
      <c r="BG72" s="15" t="str">
        <f t="shared" si="164"/>
        <v/>
      </c>
      <c r="BH72" s="15" t="str">
        <f t="array" aca="1" ref="BH72" ca="1">IF(IFERROR( S72,1),1,IF(BC72="","", SUM(IF(ISERROR(INDIRECT(BC72)),1,0))))</f>
        <v/>
      </c>
      <c r="BI72" s="15" t="b">
        <f t="shared" si="165"/>
        <v>0</v>
      </c>
      <c r="BJ72" s="15" t="b">
        <f t="shared" si="166"/>
        <v>0</v>
      </c>
      <c r="BK72" s="15" t="str">
        <f t="shared" si="167"/>
        <v/>
      </c>
      <c r="BL72" s="15">
        <f t="shared" si="168"/>
        <v>4</v>
      </c>
      <c r="BP72" s="15" t="b">
        <f t="shared" si="133"/>
        <v>0</v>
      </c>
      <c r="BQ72" s="15" t="b">
        <f t="shared" si="134"/>
        <v>0</v>
      </c>
      <c r="BR72" s="15" t="str">
        <f t="shared" si="169"/>
        <v/>
      </c>
      <c r="BS72" s="15">
        <f t="shared" si="135"/>
        <v>0</v>
      </c>
      <c r="BT72" s="15" t="str">
        <f t="shared" si="136"/>
        <v/>
      </c>
      <c r="BV72" s="15" t="b">
        <f t="shared" ca="1" si="170"/>
        <v>0</v>
      </c>
      <c r="BW72" s="15" t="b">
        <f t="shared" ca="1" si="171"/>
        <v>0</v>
      </c>
      <c r="BX72" s="15" t="b">
        <f t="shared" ca="1" si="137"/>
        <v>0</v>
      </c>
      <c r="BY72" s="15" t="b">
        <f t="shared" ca="1" si="172"/>
        <v>0</v>
      </c>
      <c r="BZ72" s="15" t="b">
        <f t="shared" si="173"/>
        <v>0</v>
      </c>
      <c r="CA72" s="15" t="b">
        <f t="shared" si="174"/>
        <v>0</v>
      </c>
      <c r="CB72" s="15" t="b">
        <f t="shared" ca="1" si="175"/>
        <v>0</v>
      </c>
      <c r="CC72" s="15" t="b">
        <f t="shared" ref="CC72:CD97" si="188">AND(AD72,AQ72=2,Q72&lt;&gt;"")</f>
        <v>0</v>
      </c>
      <c r="CD72" s="15" t="b">
        <f t="shared" si="188"/>
        <v>0</v>
      </c>
      <c r="CE72" s="15" t="b">
        <f t="shared" ca="1" si="176"/>
        <v>0</v>
      </c>
      <c r="CF72" s="15" t="b">
        <f t="shared" si="177"/>
        <v>0</v>
      </c>
      <c r="CG72" s="15" t="b">
        <f t="shared" si="178"/>
        <v>0</v>
      </c>
      <c r="CH72" s="15" t="b">
        <f t="shared" si="179"/>
        <v>0</v>
      </c>
      <c r="CI72" s="15" t="b">
        <f t="shared" si="180"/>
        <v>0</v>
      </c>
      <c r="CJ72" s="15" t="b">
        <f t="shared" si="181"/>
        <v>0</v>
      </c>
      <c r="CK72" s="15" t="b">
        <f t="shared" ref="CK72:CR97" ca="1" si="189">IF(V72&lt;&gt;"",IFERROR(MATCH(V72,INDIRECT($C$4),0)&lt;0,TRUE),FALSE)</f>
        <v>0</v>
      </c>
      <c r="CL72" s="15" t="b">
        <f t="shared" ca="1" si="189"/>
        <v>0</v>
      </c>
      <c r="CM72" s="15" t="b">
        <f t="shared" ca="1" si="189"/>
        <v>0</v>
      </c>
      <c r="CN72" s="15" t="b">
        <f t="shared" ca="1" si="189"/>
        <v>0</v>
      </c>
      <c r="CO72" s="15" t="b">
        <f t="shared" ca="1" si="189"/>
        <v>0</v>
      </c>
      <c r="CP72" s="15" t="b">
        <f t="shared" ca="1" si="189"/>
        <v>0</v>
      </c>
      <c r="CQ72" s="15" t="b">
        <f t="shared" ca="1" si="189"/>
        <v>0</v>
      </c>
      <c r="CR72" s="21" t="b">
        <f t="shared" ca="1" si="189"/>
        <v>0</v>
      </c>
      <c r="CS72" s="22" t="b">
        <f t="shared" ref="CS72:CZ97" ca="1" si="190">AND(DO72&lt;&gt;"",DO72&lt;&gt;0,DO72&lt;&gt;4)</f>
        <v>0</v>
      </c>
      <c r="CT72" s="22" t="b">
        <f t="shared" ca="1" si="190"/>
        <v>0</v>
      </c>
      <c r="CU72" s="22" t="b">
        <f t="shared" ca="1" si="190"/>
        <v>0</v>
      </c>
      <c r="CV72" s="22" t="b">
        <f t="shared" ca="1" si="190"/>
        <v>0</v>
      </c>
      <c r="CW72" s="22" t="b">
        <f t="shared" ca="1" si="190"/>
        <v>0</v>
      </c>
      <c r="CX72" s="22" t="b">
        <f t="shared" ca="1" si="190"/>
        <v>0</v>
      </c>
      <c r="CY72" s="22" t="b">
        <f t="shared" ca="1" si="190"/>
        <v>0</v>
      </c>
      <c r="CZ72" s="21" t="b">
        <f t="shared" ca="1" si="190"/>
        <v>0</v>
      </c>
      <c r="DB72" s="22" t="b">
        <f t="shared" ca="1" si="184"/>
        <v>0</v>
      </c>
      <c r="DC72" s="22" t="b">
        <f t="shared" ref="DC72:DI97" ca="1" si="191">AND(DO72=4)</f>
        <v>0</v>
      </c>
      <c r="DD72" s="22" t="b">
        <f t="shared" ca="1" si="191"/>
        <v>0</v>
      </c>
      <c r="DE72" s="22" t="b">
        <f t="shared" ca="1" si="191"/>
        <v>0</v>
      </c>
      <c r="DF72" s="22" t="b">
        <f t="shared" ca="1" si="191"/>
        <v>0</v>
      </c>
      <c r="DG72" s="22" t="b">
        <f t="shared" ca="1" si="191"/>
        <v>0</v>
      </c>
      <c r="DH72" s="22" t="b">
        <f t="shared" ca="1" si="191"/>
        <v>0</v>
      </c>
      <c r="DI72" s="22" t="b">
        <f t="shared" ca="1" si="191"/>
        <v>0</v>
      </c>
      <c r="DJ72" s="22" t="b">
        <f t="shared" ca="1" si="186"/>
        <v>0</v>
      </c>
      <c r="DK72" s="22"/>
      <c r="DO72" s="15" t="str">
        <f t="shared" ref="DO72:DV97" ca="1" si="192">IF(V72&lt;&gt;"",IFERROR(INDEX(INDIRECT($BS$4),MATCH(V72,INDIRECT($C$4),0)),100),"")</f>
        <v/>
      </c>
      <c r="DP72" s="15" t="str">
        <f t="shared" ca="1" si="192"/>
        <v/>
      </c>
      <c r="DQ72" s="15" t="str">
        <f t="shared" ca="1" si="192"/>
        <v/>
      </c>
      <c r="DR72" s="15" t="str">
        <f t="shared" ca="1" si="192"/>
        <v/>
      </c>
      <c r="DS72" s="15" t="str">
        <f t="shared" ca="1" si="192"/>
        <v/>
      </c>
      <c r="DT72" s="15" t="str">
        <f t="shared" ca="1" si="192"/>
        <v/>
      </c>
      <c r="DU72" s="15" t="str">
        <f t="shared" ca="1" si="192"/>
        <v/>
      </c>
      <c r="DV72" s="15" t="str">
        <f t="shared" ca="1" si="127"/>
        <v/>
      </c>
    </row>
    <row r="73" spans="1:126">
      <c r="A73" s="15">
        <f t="shared" si="24"/>
        <v>61</v>
      </c>
      <c r="B73" s="15" t="str">
        <f t="shared" si="124"/>
        <v/>
      </c>
      <c r="D73" s="15" t="str">
        <f t="shared" si="128"/>
        <v/>
      </c>
      <c r="M73" s="19"/>
      <c r="T73" s="15" t="str">
        <f t="shared" ca="1" si="129"/>
        <v/>
      </c>
      <c r="U73" s="15" t="str">
        <f t="shared" si="126"/>
        <v/>
      </c>
      <c r="AD73" s="16" t="b">
        <f t="shared" si="139"/>
        <v>0</v>
      </c>
      <c r="AE73" s="16" t="b">
        <f t="shared" si="140"/>
        <v>0</v>
      </c>
      <c r="AF73" s="15" t="str">
        <f t="shared" si="141"/>
        <v/>
      </c>
      <c r="AG73" s="15" t="str">
        <f t="shared" ca="1" si="142"/>
        <v/>
      </c>
      <c r="AH73" s="15" t="str">
        <f t="shared" ca="1" si="143"/>
        <v/>
      </c>
      <c r="AI73" s="15" t="b">
        <f t="shared" ca="1" si="144"/>
        <v>0</v>
      </c>
      <c r="AJ73" s="15" t="str">
        <f t="shared" ca="1" si="130"/>
        <v/>
      </c>
      <c r="AK73" s="27" t="str">
        <f t="shared" ca="1" si="145"/>
        <v/>
      </c>
      <c r="AL73" s="15" t="b">
        <f t="shared" ca="1" si="146"/>
        <v>0</v>
      </c>
      <c r="AM73" s="15" t="str">
        <f t="shared" ca="1" si="147"/>
        <v/>
      </c>
      <c r="AN73" s="15">
        <f t="shared" ca="1" si="148"/>
        <v>3</v>
      </c>
      <c r="AO73" s="15" t="str">
        <f t="shared" ca="1" si="131"/>
        <v/>
      </c>
      <c r="AP73" s="15" t="str">
        <f t="shared" ca="1" si="149"/>
        <v/>
      </c>
      <c r="AQ73" s="27">
        <f t="shared" si="150"/>
        <v>4</v>
      </c>
      <c r="AR73" s="15" t="b">
        <f t="shared" si="151"/>
        <v>0</v>
      </c>
      <c r="AS73" s="27" t="b">
        <f t="shared" si="152"/>
        <v>0</v>
      </c>
      <c r="AT73" s="27" t="b">
        <f t="shared" si="153"/>
        <v>0</v>
      </c>
      <c r="AU73" s="27" t="str">
        <f t="shared" si="154"/>
        <v/>
      </c>
      <c r="AV73" s="16" t="b">
        <f t="shared" si="155"/>
        <v>0</v>
      </c>
      <c r="AW73" s="15" t="str">
        <f t="shared" ca="1" si="115"/>
        <v/>
      </c>
      <c r="AX73" s="27" t="b">
        <f t="shared" ca="1" si="156"/>
        <v>0</v>
      </c>
      <c r="AY73" s="27" t="b">
        <f t="shared" ca="1" si="157"/>
        <v>0</v>
      </c>
      <c r="AZ73" s="15" t="b">
        <f t="shared" ca="1" si="158"/>
        <v>0</v>
      </c>
      <c r="BA73" s="15" t="b">
        <f t="shared" ca="1" si="159"/>
        <v>0</v>
      </c>
      <c r="BB73" s="15" t="str">
        <f t="shared" si="160"/>
        <v/>
      </c>
      <c r="BC73" s="15" t="str">
        <f t="shared" ca="1" si="132"/>
        <v/>
      </c>
      <c r="BD73" s="15" t="b">
        <f t="shared" ca="1" si="161"/>
        <v>0</v>
      </c>
      <c r="BE73" s="15" t="b">
        <f t="shared" si="162"/>
        <v>0</v>
      </c>
      <c r="BF73" s="15" t="str">
        <f t="shared" ca="1" si="163"/>
        <v/>
      </c>
      <c r="BG73" s="15" t="str">
        <f t="shared" si="164"/>
        <v/>
      </c>
      <c r="BH73" s="15" t="str">
        <f t="array" aca="1" ref="BH73" ca="1">IF(IFERROR( S73,1),1,IF(BC73="","", SUM(IF(ISERROR(INDIRECT(BC73)),1,0))))</f>
        <v/>
      </c>
      <c r="BI73" s="15" t="b">
        <f t="shared" si="165"/>
        <v>0</v>
      </c>
      <c r="BJ73" s="15" t="b">
        <f t="shared" si="166"/>
        <v>0</v>
      </c>
      <c r="BK73" s="15" t="str">
        <f t="shared" si="167"/>
        <v/>
      </c>
      <c r="BL73" s="15">
        <f t="shared" si="168"/>
        <v>4</v>
      </c>
      <c r="BP73" s="15" t="b">
        <f t="shared" si="133"/>
        <v>0</v>
      </c>
      <c r="BQ73" s="15" t="b">
        <f t="shared" si="134"/>
        <v>0</v>
      </c>
      <c r="BR73" s="15" t="str">
        <f t="shared" si="169"/>
        <v/>
      </c>
      <c r="BS73" s="15">
        <f t="shared" si="135"/>
        <v>0</v>
      </c>
      <c r="BT73" s="15" t="str">
        <f t="shared" si="136"/>
        <v/>
      </c>
      <c r="BV73" s="15" t="b">
        <f t="shared" ca="1" si="170"/>
        <v>0</v>
      </c>
      <c r="BW73" s="15" t="b">
        <f t="shared" ca="1" si="171"/>
        <v>0</v>
      </c>
      <c r="BX73" s="15" t="b">
        <f t="shared" ca="1" si="137"/>
        <v>0</v>
      </c>
      <c r="BY73" s="15" t="b">
        <f t="shared" ca="1" si="172"/>
        <v>0</v>
      </c>
      <c r="BZ73" s="15" t="b">
        <f t="shared" si="173"/>
        <v>0</v>
      </c>
      <c r="CA73" s="15" t="b">
        <f t="shared" si="174"/>
        <v>0</v>
      </c>
      <c r="CB73" s="15" t="b">
        <f t="shared" ca="1" si="175"/>
        <v>0</v>
      </c>
      <c r="CC73" s="15" t="b">
        <f t="shared" si="188"/>
        <v>0</v>
      </c>
      <c r="CD73" s="15" t="b">
        <f t="shared" si="188"/>
        <v>0</v>
      </c>
      <c r="CE73" s="15" t="b">
        <f t="shared" ca="1" si="176"/>
        <v>0</v>
      </c>
      <c r="CF73" s="15" t="b">
        <f t="shared" si="177"/>
        <v>0</v>
      </c>
      <c r="CG73" s="15" t="b">
        <f t="shared" si="178"/>
        <v>0</v>
      </c>
      <c r="CH73" s="15" t="b">
        <f t="shared" si="179"/>
        <v>0</v>
      </c>
      <c r="CI73" s="15" t="b">
        <f t="shared" si="180"/>
        <v>0</v>
      </c>
      <c r="CJ73" s="15" t="b">
        <f t="shared" si="181"/>
        <v>0</v>
      </c>
      <c r="CK73" s="15" t="b">
        <f t="shared" ca="1" si="189"/>
        <v>0</v>
      </c>
      <c r="CL73" s="15" t="b">
        <f t="shared" ca="1" si="189"/>
        <v>0</v>
      </c>
      <c r="CM73" s="15" t="b">
        <f t="shared" ca="1" si="189"/>
        <v>0</v>
      </c>
      <c r="CN73" s="15" t="b">
        <f t="shared" ca="1" si="189"/>
        <v>0</v>
      </c>
      <c r="CO73" s="15" t="b">
        <f t="shared" ca="1" si="189"/>
        <v>0</v>
      </c>
      <c r="CP73" s="15" t="b">
        <f t="shared" ca="1" si="189"/>
        <v>0</v>
      </c>
      <c r="CQ73" s="15" t="b">
        <f t="shared" ca="1" si="189"/>
        <v>0</v>
      </c>
      <c r="CR73" s="21" t="b">
        <f t="shared" ca="1" si="189"/>
        <v>0</v>
      </c>
      <c r="CS73" s="22" t="b">
        <f t="shared" ca="1" si="190"/>
        <v>0</v>
      </c>
      <c r="CT73" s="22" t="b">
        <f t="shared" ca="1" si="190"/>
        <v>0</v>
      </c>
      <c r="CU73" s="22" t="b">
        <f t="shared" ca="1" si="190"/>
        <v>0</v>
      </c>
      <c r="CV73" s="22" t="b">
        <f t="shared" ca="1" si="190"/>
        <v>0</v>
      </c>
      <c r="CW73" s="22" t="b">
        <f t="shared" ca="1" si="190"/>
        <v>0</v>
      </c>
      <c r="CX73" s="22" t="b">
        <f t="shared" ca="1" si="190"/>
        <v>0</v>
      </c>
      <c r="CY73" s="22" t="b">
        <f t="shared" ca="1" si="190"/>
        <v>0</v>
      </c>
      <c r="CZ73" s="21" t="b">
        <f t="shared" ca="1" si="190"/>
        <v>0</v>
      </c>
      <c r="DB73" s="22" t="b">
        <f t="shared" ca="1" si="184"/>
        <v>0</v>
      </c>
      <c r="DC73" s="22" t="b">
        <f t="shared" ca="1" si="191"/>
        <v>0</v>
      </c>
      <c r="DD73" s="22" t="b">
        <f t="shared" ca="1" si="191"/>
        <v>0</v>
      </c>
      <c r="DE73" s="22" t="b">
        <f t="shared" ca="1" si="191"/>
        <v>0</v>
      </c>
      <c r="DF73" s="22" t="b">
        <f t="shared" ca="1" si="191"/>
        <v>0</v>
      </c>
      <c r="DG73" s="22" t="b">
        <f t="shared" ca="1" si="191"/>
        <v>0</v>
      </c>
      <c r="DH73" s="22" t="b">
        <f t="shared" ca="1" si="191"/>
        <v>0</v>
      </c>
      <c r="DI73" s="22" t="b">
        <f t="shared" ca="1" si="191"/>
        <v>0</v>
      </c>
      <c r="DJ73" s="22" t="b">
        <f t="shared" ca="1" si="186"/>
        <v>0</v>
      </c>
      <c r="DK73" s="22"/>
      <c r="DO73" s="15" t="str">
        <f t="shared" ca="1" si="192"/>
        <v/>
      </c>
      <c r="DP73" s="15" t="str">
        <f t="shared" ca="1" si="192"/>
        <v/>
      </c>
      <c r="DQ73" s="15" t="str">
        <f t="shared" ca="1" si="192"/>
        <v/>
      </c>
      <c r="DR73" s="15" t="str">
        <f t="shared" ca="1" si="192"/>
        <v/>
      </c>
      <c r="DS73" s="15" t="str">
        <f t="shared" ca="1" si="192"/>
        <v/>
      </c>
      <c r="DT73" s="15" t="str">
        <f t="shared" ca="1" si="192"/>
        <v/>
      </c>
      <c r="DU73" s="15" t="str">
        <f t="shared" ca="1" si="192"/>
        <v/>
      </c>
      <c r="DV73" s="15" t="str">
        <f t="shared" ca="1" si="127"/>
        <v/>
      </c>
    </row>
    <row r="74" spans="1:126">
      <c r="A74" s="15">
        <f t="shared" si="24"/>
        <v>62</v>
      </c>
      <c r="B74" s="15" t="str">
        <f t="shared" si="124"/>
        <v/>
      </c>
      <c r="D74" s="15" t="str">
        <f t="shared" si="128"/>
        <v/>
      </c>
      <c r="M74" s="19"/>
      <c r="T74" s="15" t="str">
        <f t="shared" ca="1" si="129"/>
        <v/>
      </c>
      <c r="U74" s="15" t="str">
        <f t="shared" si="126"/>
        <v/>
      </c>
      <c r="AD74" s="16" t="b">
        <f t="shared" si="139"/>
        <v>0</v>
      </c>
      <c r="AE74" s="16" t="b">
        <f t="shared" si="140"/>
        <v>0</v>
      </c>
      <c r="AF74" s="15" t="str">
        <f t="shared" si="141"/>
        <v/>
      </c>
      <c r="AG74" s="15" t="str">
        <f t="shared" ca="1" si="142"/>
        <v/>
      </c>
      <c r="AH74" s="15" t="str">
        <f t="shared" ca="1" si="143"/>
        <v/>
      </c>
      <c r="AI74" s="15" t="b">
        <f t="shared" ca="1" si="144"/>
        <v>0</v>
      </c>
      <c r="AJ74" s="15" t="str">
        <f t="shared" ca="1" si="130"/>
        <v/>
      </c>
      <c r="AK74" s="27" t="str">
        <f t="shared" ca="1" si="145"/>
        <v/>
      </c>
      <c r="AL74" s="15" t="b">
        <f t="shared" ca="1" si="146"/>
        <v>0</v>
      </c>
      <c r="AM74" s="15" t="str">
        <f t="shared" ca="1" si="147"/>
        <v/>
      </c>
      <c r="AN74" s="15">
        <f t="shared" ca="1" si="148"/>
        <v>3</v>
      </c>
      <c r="AO74" s="15" t="str">
        <f t="shared" ca="1" si="131"/>
        <v/>
      </c>
      <c r="AP74" s="15" t="str">
        <f t="shared" ca="1" si="149"/>
        <v/>
      </c>
      <c r="AQ74" s="27">
        <f t="shared" si="150"/>
        <v>4</v>
      </c>
      <c r="AR74" s="15" t="b">
        <f t="shared" si="151"/>
        <v>0</v>
      </c>
      <c r="AS74" s="27" t="b">
        <f t="shared" si="152"/>
        <v>0</v>
      </c>
      <c r="AT74" s="27" t="b">
        <f t="shared" si="153"/>
        <v>0</v>
      </c>
      <c r="AU74" s="27" t="str">
        <f t="shared" si="154"/>
        <v/>
      </c>
      <c r="AV74" s="16" t="b">
        <f t="shared" si="155"/>
        <v>0</v>
      </c>
      <c r="AW74" s="15" t="str">
        <f t="shared" ca="1" si="115"/>
        <v/>
      </c>
      <c r="AX74" s="27" t="b">
        <f t="shared" ca="1" si="156"/>
        <v>0</v>
      </c>
      <c r="AY74" s="27" t="b">
        <f t="shared" ca="1" si="157"/>
        <v>0</v>
      </c>
      <c r="AZ74" s="15" t="b">
        <f t="shared" ca="1" si="158"/>
        <v>0</v>
      </c>
      <c r="BA74" s="15" t="b">
        <f t="shared" ca="1" si="159"/>
        <v>0</v>
      </c>
      <c r="BB74" s="15" t="str">
        <f t="shared" si="160"/>
        <v/>
      </c>
      <c r="BC74" s="15" t="str">
        <f t="shared" ca="1" si="132"/>
        <v/>
      </c>
      <c r="BD74" s="15" t="b">
        <f t="shared" ca="1" si="161"/>
        <v>0</v>
      </c>
      <c r="BE74" s="15" t="b">
        <f t="shared" si="162"/>
        <v>0</v>
      </c>
      <c r="BF74" s="15" t="str">
        <f t="shared" ca="1" si="163"/>
        <v/>
      </c>
      <c r="BG74" s="15" t="str">
        <f t="shared" si="164"/>
        <v/>
      </c>
      <c r="BH74" s="15" t="str">
        <f t="array" aca="1" ref="BH74" ca="1">IF(IFERROR( S74,1),1,IF(BC74="","", SUM(IF(ISERROR(INDIRECT(BC74)),1,0))))</f>
        <v/>
      </c>
      <c r="BI74" s="15" t="b">
        <f t="shared" si="165"/>
        <v>0</v>
      </c>
      <c r="BJ74" s="15" t="b">
        <f t="shared" si="166"/>
        <v>0</v>
      </c>
      <c r="BK74" s="15" t="str">
        <f t="shared" si="167"/>
        <v/>
      </c>
      <c r="BL74" s="15">
        <f t="shared" si="168"/>
        <v>4</v>
      </c>
      <c r="BP74" s="15" t="b">
        <f t="shared" si="133"/>
        <v>0</v>
      </c>
      <c r="BQ74" s="15" t="b">
        <f t="shared" si="134"/>
        <v>0</v>
      </c>
      <c r="BR74" s="15" t="str">
        <f t="shared" si="169"/>
        <v/>
      </c>
      <c r="BS74" s="15">
        <f t="shared" si="135"/>
        <v>0</v>
      </c>
      <c r="BT74" s="15" t="str">
        <f t="shared" si="136"/>
        <v/>
      </c>
      <c r="BV74" s="15" t="b">
        <f t="shared" ca="1" si="170"/>
        <v>0</v>
      </c>
      <c r="BW74" s="15" t="b">
        <f t="shared" ca="1" si="171"/>
        <v>0</v>
      </c>
      <c r="BX74" s="15" t="b">
        <f t="shared" ca="1" si="137"/>
        <v>0</v>
      </c>
      <c r="BY74" s="15" t="b">
        <f t="shared" ca="1" si="172"/>
        <v>0</v>
      </c>
      <c r="BZ74" s="15" t="b">
        <f t="shared" si="173"/>
        <v>0</v>
      </c>
      <c r="CA74" s="15" t="b">
        <f t="shared" si="174"/>
        <v>0</v>
      </c>
      <c r="CB74" s="15" t="b">
        <f t="shared" ca="1" si="175"/>
        <v>0</v>
      </c>
      <c r="CC74" s="15" t="b">
        <f t="shared" si="188"/>
        <v>0</v>
      </c>
      <c r="CD74" s="15" t="b">
        <f t="shared" si="188"/>
        <v>0</v>
      </c>
      <c r="CE74" s="15" t="b">
        <f t="shared" ca="1" si="176"/>
        <v>0</v>
      </c>
      <c r="CF74" s="15" t="b">
        <f t="shared" si="177"/>
        <v>0</v>
      </c>
      <c r="CG74" s="15" t="b">
        <f t="shared" si="178"/>
        <v>0</v>
      </c>
      <c r="CH74" s="15" t="b">
        <f t="shared" si="179"/>
        <v>0</v>
      </c>
      <c r="CI74" s="15" t="b">
        <f t="shared" si="180"/>
        <v>0</v>
      </c>
      <c r="CJ74" s="15" t="b">
        <f t="shared" si="181"/>
        <v>0</v>
      </c>
      <c r="CK74" s="15" t="b">
        <f t="shared" ca="1" si="189"/>
        <v>0</v>
      </c>
      <c r="CL74" s="15" t="b">
        <f t="shared" ca="1" si="189"/>
        <v>0</v>
      </c>
      <c r="CM74" s="15" t="b">
        <f t="shared" ca="1" si="189"/>
        <v>0</v>
      </c>
      <c r="CN74" s="15" t="b">
        <f t="shared" ca="1" si="189"/>
        <v>0</v>
      </c>
      <c r="CO74" s="15" t="b">
        <f t="shared" ca="1" si="189"/>
        <v>0</v>
      </c>
      <c r="CP74" s="15" t="b">
        <f t="shared" ca="1" si="189"/>
        <v>0</v>
      </c>
      <c r="CQ74" s="15" t="b">
        <f t="shared" ca="1" si="189"/>
        <v>0</v>
      </c>
      <c r="CR74" s="21" t="b">
        <f t="shared" ca="1" si="189"/>
        <v>0</v>
      </c>
      <c r="CS74" s="22" t="b">
        <f t="shared" ca="1" si="190"/>
        <v>0</v>
      </c>
      <c r="CT74" s="22" t="b">
        <f t="shared" ca="1" si="190"/>
        <v>0</v>
      </c>
      <c r="CU74" s="22" t="b">
        <f t="shared" ca="1" si="190"/>
        <v>0</v>
      </c>
      <c r="CV74" s="22" t="b">
        <f t="shared" ca="1" si="190"/>
        <v>0</v>
      </c>
      <c r="CW74" s="22" t="b">
        <f t="shared" ca="1" si="190"/>
        <v>0</v>
      </c>
      <c r="CX74" s="22" t="b">
        <f t="shared" ca="1" si="190"/>
        <v>0</v>
      </c>
      <c r="CY74" s="22" t="b">
        <f t="shared" ca="1" si="190"/>
        <v>0</v>
      </c>
      <c r="CZ74" s="21" t="b">
        <f t="shared" ca="1" si="190"/>
        <v>0</v>
      </c>
      <c r="DB74" s="22" t="b">
        <f t="shared" ca="1" si="184"/>
        <v>0</v>
      </c>
      <c r="DC74" s="22" t="b">
        <f t="shared" ca="1" si="191"/>
        <v>0</v>
      </c>
      <c r="DD74" s="22" t="b">
        <f t="shared" ca="1" si="191"/>
        <v>0</v>
      </c>
      <c r="DE74" s="22" t="b">
        <f t="shared" ca="1" si="191"/>
        <v>0</v>
      </c>
      <c r="DF74" s="22" t="b">
        <f t="shared" ca="1" si="191"/>
        <v>0</v>
      </c>
      <c r="DG74" s="22" t="b">
        <f t="shared" ca="1" si="191"/>
        <v>0</v>
      </c>
      <c r="DH74" s="22" t="b">
        <f t="shared" ca="1" si="191"/>
        <v>0</v>
      </c>
      <c r="DI74" s="22" t="b">
        <f t="shared" ca="1" si="191"/>
        <v>0</v>
      </c>
      <c r="DJ74" s="22" t="b">
        <f t="shared" ca="1" si="186"/>
        <v>0</v>
      </c>
      <c r="DK74" s="22"/>
      <c r="DO74" s="15" t="str">
        <f t="shared" ca="1" si="192"/>
        <v/>
      </c>
      <c r="DP74" s="15" t="str">
        <f t="shared" ca="1" si="192"/>
        <v/>
      </c>
      <c r="DQ74" s="15" t="str">
        <f t="shared" ca="1" si="192"/>
        <v/>
      </c>
      <c r="DR74" s="15" t="str">
        <f t="shared" ca="1" si="192"/>
        <v/>
      </c>
      <c r="DS74" s="15" t="str">
        <f t="shared" ca="1" si="192"/>
        <v/>
      </c>
      <c r="DT74" s="15" t="str">
        <f t="shared" ca="1" si="192"/>
        <v/>
      </c>
      <c r="DU74" s="15" t="str">
        <f t="shared" ca="1" si="192"/>
        <v/>
      </c>
      <c r="DV74" s="15" t="str">
        <f t="shared" ca="1" si="127"/>
        <v/>
      </c>
    </row>
    <row r="75" spans="1:126">
      <c r="A75" s="15">
        <f t="shared" si="24"/>
        <v>63</v>
      </c>
      <c r="B75" s="15" t="str">
        <f t="shared" si="124"/>
        <v/>
      </c>
      <c r="D75" s="15" t="str">
        <f t="shared" si="128"/>
        <v/>
      </c>
      <c r="M75" s="19"/>
      <c r="T75" s="15" t="str">
        <f t="shared" ca="1" si="129"/>
        <v/>
      </c>
      <c r="U75" s="15" t="str">
        <f t="shared" si="126"/>
        <v/>
      </c>
      <c r="AD75" s="16" t="b">
        <f t="shared" si="139"/>
        <v>0</v>
      </c>
      <c r="AE75" s="16" t="b">
        <f t="shared" si="140"/>
        <v>0</v>
      </c>
      <c r="AF75" s="15" t="str">
        <f t="shared" si="141"/>
        <v/>
      </c>
      <c r="AG75" s="15" t="str">
        <f t="shared" ca="1" si="142"/>
        <v/>
      </c>
      <c r="AH75" s="15" t="str">
        <f t="shared" ca="1" si="143"/>
        <v/>
      </c>
      <c r="AI75" s="15" t="b">
        <f t="shared" ca="1" si="144"/>
        <v>0</v>
      </c>
      <c r="AJ75" s="15" t="str">
        <f t="shared" ca="1" si="130"/>
        <v/>
      </c>
      <c r="AK75" s="27" t="str">
        <f t="shared" ca="1" si="145"/>
        <v/>
      </c>
      <c r="AL75" s="15" t="b">
        <f t="shared" ca="1" si="146"/>
        <v>0</v>
      </c>
      <c r="AM75" s="15" t="str">
        <f t="shared" ca="1" si="147"/>
        <v/>
      </c>
      <c r="AN75" s="15">
        <f t="shared" ca="1" si="148"/>
        <v>3</v>
      </c>
      <c r="AO75" s="15" t="str">
        <f t="shared" ca="1" si="131"/>
        <v/>
      </c>
      <c r="AP75" s="15" t="str">
        <f t="shared" ca="1" si="149"/>
        <v/>
      </c>
      <c r="AQ75" s="27">
        <f t="shared" si="150"/>
        <v>4</v>
      </c>
      <c r="AR75" s="15" t="b">
        <f t="shared" si="151"/>
        <v>0</v>
      </c>
      <c r="AS75" s="27" t="b">
        <f t="shared" si="152"/>
        <v>0</v>
      </c>
      <c r="AT75" s="27" t="b">
        <f t="shared" si="153"/>
        <v>0</v>
      </c>
      <c r="AU75" s="27" t="str">
        <f t="shared" si="154"/>
        <v/>
      </c>
      <c r="AV75" s="16" t="b">
        <f t="shared" si="155"/>
        <v>0</v>
      </c>
      <c r="AW75" s="15" t="str">
        <f t="shared" ca="1" si="115"/>
        <v/>
      </c>
      <c r="AX75" s="27" t="b">
        <f t="shared" ca="1" si="156"/>
        <v>0</v>
      </c>
      <c r="AY75" s="27" t="b">
        <f t="shared" ca="1" si="157"/>
        <v>0</v>
      </c>
      <c r="AZ75" s="15" t="b">
        <f t="shared" ca="1" si="158"/>
        <v>0</v>
      </c>
      <c r="BA75" s="15" t="b">
        <f t="shared" ca="1" si="159"/>
        <v>0</v>
      </c>
      <c r="BB75" s="15" t="str">
        <f t="shared" si="160"/>
        <v/>
      </c>
      <c r="BC75" s="15" t="str">
        <f t="shared" ca="1" si="132"/>
        <v/>
      </c>
      <c r="BD75" s="15" t="b">
        <f t="shared" ca="1" si="161"/>
        <v>0</v>
      </c>
      <c r="BE75" s="15" t="b">
        <f t="shared" si="162"/>
        <v>0</v>
      </c>
      <c r="BF75" s="15" t="str">
        <f t="shared" ca="1" si="163"/>
        <v/>
      </c>
      <c r="BG75" s="15" t="str">
        <f t="shared" si="164"/>
        <v/>
      </c>
      <c r="BH75" s="15" t="str">
        <f t="array" aca="1" ref="BH75" ca="1">IF(IFERROR( S75,1),1,IF(BC75="","", SUM(IF(ISERROR(INDIRECT(BC75)),1,0))))</f>
        <v/>
      </c>
      <c r="BI75" s="15" t="b">
        <f t="shared" si="165"/>
        <v>0</v>
      </c>
      <c r="BJ75" s="15" t="b">
        <f t="shared" si="166"/>
        <v>0</v>
      </c>
      <c r="BK75" s="15" t="str">
        <f t="shared" si="167"/>
        <v/>
      </c>
      <c r="BL75" s="15">
        <f t="shared" si="168"/>
        <v>4</v>
      </c>
      <c r="BP75" s="15" t="b">
        <f t="shared" si="133"/>
        <v>0</v>
      </c>
      <c r="BQ75" s="15" t="b">
        <f t="shared" si="134"/>
        <v>0</v>
      </c>
      <c r="BR75" s="15" t="str">
        <f t="shared" si="169"/>
        <v/>
      </c>
      <c r="BS75" s="15">
        <f t="shared" si="135"/>
        <v>0</v>
      </c>
      <c r="BT75" s="15" t="str">
        <f t="shared" si="136"/>
        <v/>
      </c>
      <c r="BV75" s="15" t="b">
        <f t="shared" ca="1" si="170"/>
        <v>0</v>
      </c>
      <c r="BW75" s="15" t="b">
        <f t="shared" ca="1" si="171"/>
        <v>0</v>
      </c>
      <c r="BX75" s="15" t="b">
        <f t="shared" ca="1" si="137"/>
        <v>0</v>
      </c>
      <c r="BY75" s="15" t="b">
        <f t="shared" ca="1" si="172"/>
        <v>0</v>
      </c>
      <c r="BZ75" s="15" t="b">
        <f t="shared" si="173"/>
        <v>0</v>
      </c>
      <c r="CA75" s="15" t="b">
        <f t="shared" si="174"/>
        <v>0</v>
      </c>
      <c r="CB75" s="15" t="b">
        <f t="shared" ca="1" si="175"/>
        <v>0</v>
      </c>
      <c r="CC75" s="15" t="b">
        <f t="shared" si="188"/>
        <v>0</v>
      </c>
      <c r="CD75" s="15" t="b">
        <f t="shared" si="188"/>
        <v>0</v>
      </c>
      <c r="CE75" s="15" t="b">
        <f t="shared" ca="1" si="176"/>
        <v>0</v>
      </c>
      <c r="CF75" s="15" t="b">
        <f t="shared" si="177"/>
        <v>0</v>
      </c>
      <c r="CG75" s="15" t="b">
        <f t="shared" si="178"/>
        <v>0</v>
      </c>
      <c r="CH75" s="15" t="b">
        <f t="shared" si="179"/>
        <v>0</v>
      </c>
      <c r="CI75" s="15" t="b">
        <f t="shared" si="180"/>
        <v>0</v>
      </c>
      <c r="CJ75" s="15" t="b">
        <f t="shared" si="181"/>
        <v>0</v>
      </c>
      <c r="CK75" s="15" t="b">
        <f t="shared" ca="1" si="189"/>
        <v>0</v>
      </c>
      <c r="CL75" s="15" t="b">
        <f t="shared" ca="1" si="189"/>
        <v>0</v>
      </c>
      <c r="CM75" s="15" t="b">
        <f t="shared" ca="1" si="189"/>
        <v>0</v>
      </c>
      <c r="CN75" s="15" t="b">
        <f t="shared" ca="1" si="189"/>
        <v>0</v>
      </c>
      <c r="CO75" s="15" t="b">
        <f t="shared" ca="1" si="189"/>
        <v>0</v>
      </c>
      <c r="CP75" s="15" t="b">
        <f t="shared" ca="1" si="189"/>
        <v>0</v>
      </c>
      <c r="CQ75" s="15" t="b">
        <f t="shared" ca="1" si="189"/>
        <v>0</v>
      </c>
      <c r="CR75" s="21" t="b">
        <f t="shared" ca="1" si="189"/>
        <v>0</v>
      </c>
      <c r="CS75" s="22" t="b">
        <f t="shared" ca="1" si="190"/>
        <v>0</v>
      </c>
      <c r="CT75" s="22" t="b">
        <f t="shared" ca="1" si="190"/>
        <v>0</v>
      </c>
      <c r="CU75" s="22" t="b">
        <f t="shared" ca="1" si="190"/>
        <v>0</v>
      </c>
      <c r="CV75" s="22" t="b">
        <f t="shared" ca="1" si="190"/>
        <v>0</v>
      </c>
      <c r="CW75" s="22" t="b">
        <f t="shared" ca="1" si="190"/>
        <v>0</v>
      </c>
      <c r="CX75" s="22" t="b">
        <f t="shared" ca="1" si="190"/>
        <v>0</v>
      </c>
      <c r="CY75" s="22" t="b">
        <f t="shared" ca="1" si="190"/>
        <v>0</v>
      </c>
      <c r="CZ75" s="21" t="b">
        <f t="shared" ca="1" si="190"/>
        <v>0</v>
      </c>
      <c r="DB75" s="22" t="b">
        <f t="shared" ca="1" si="184"/>
        <v>0</v>
      </c>
      <c r="DC75" s="22" t="b">
        <f t="shared" ca="1" si="191"/>
        <v>0</v>
      </c>
      <c r="DD75" s="22" t="b">
        <f t="shared" ca="1" si="191"/>
        <v>0</v>
      </c>
      <c r="DE75" s="22" t="b">
        <f t="shared" ca="1" si="191"/>
        <v>0</v>
      </c>
      <c r="DF75" s="22" t="b">
        <f t="shared" ca="1" si="191"/>
        <v>0</v>
      </c>
      <c r="DG75" s="22" t="b">
        <f t="shared" ca="1" si="191"/>
        <v>0</v>
      </c>
      <c r="DH75" s="22" t="b">
        <f t="shared" ca="1" si="191"/>
        <v>0</v>
      </c>
      <c r="DI75" s="22" t="b">
        <f t="shared" ca="1" si="191"/>
        <v>0</v>
      </c>
      <c r="DJ75" s="22" t="b">
        <f t="shared" ca="1" si="186"/>
        <v>0</v>
      </c>
      <c r="DK75" s="22"/>
      <c r="DO75" s="15" t="str">
        <f t="shared" ca="1" si="192"/>
        <v/>
      </c>
      <c r="DP75" s="15" t="str">
        <f t="shared" ca="1" si="192"/>
        <v/>
      </c>
      <c r="DQ75" s="15" t="str">
        <f t="shared" ca="1" si="192"/>
        <v/>
      </c>
      <c r="DR75" s="15" t="str">
        <f t="shared" ca="1" si="192"/>
        <v/>
      </c>
      <c r="DS75" s="15" t="str">
        <f t="shared" ca="1" si="192"/>
        <v/>
      </c>
      <c r="DT75" s="15" t="str">
        <f t="shared" ca="1" si="192"/>
        <v/>
      </c>
      <c r="DU75" s="15" t="str">
        <f t="shared" ca="1" si="192"/>
        <v/>
      </c>
      <c r="DV75" s="15" t="str">
        <f t="shared" ca="1" si="127"/>
        <v/>
      </c>
    </row>
    <row r="76" spans="1:126">
      <c r="A76" s="15">
        <f t="shared" si="24"/>
        <v>64</v>
      </c>
      <c r="B76" s="15" t="str">
        <f t="shared" si="124"/>
        <v/>
      </c>
      <c r="D76" s="15" t="str">
        <f t="shared" si="128"/>
        <v/>
      </c>
      <c r="M76" s="19"/>
      <c r="T76" s="15" t="str">
        <f t="shared" ca="1" si="129"/>
        <v/>
      </c>
      <c r="U76" s="15" t="str">
        <f t="shared" si="126"/>
        <v/>
      </c>
      <c r="AD76" s="16" t="b">
        <f t="shared" si="139"/>
        <v>0</v>
      </c>
      <c r="AE76" s="16" t="b">
        <f t="shared" si="140"/>
        <v>0</v>
      </c>
      <c r="AF76" s="15" t="str">
        <f t="shared" si="141"/>
        <v/>
      </c>
      <c r="AG76" s="15" t="str">
        <f t="shared" ca="1" si="142"/>
        <v/>
      </c>
      <c r="AH76" s="15" t="str">
        <f t="shared" ca="1" si="143"/>
        <v/>
      </c>
      <c r="AI76" s="15" t="b">
        <f t="shared" ca="1" si="144"/>
        <v>0</v>
      </c>
      <c r="AJ76" s="15" t="str">
        <f t="shared" ca="1" si="130"/>
        <v/>
      </c>
      <c r="AK76" s="27" t="str">
        <f t="shared" ca="1" si="145"/>
        <v/>
      </c>
      <c r="AL76" s="15" t="b">
        <f t="shared" ca="1" si="146"/>
        <v>0</v>
      </c>
      <c r="AM76" s="15" t="str">
        <f t="shared" ca="1" si="147"/>
        <v/>
      </c>
      <c r="AN76" s="15">
        <f t="shared" ca="1" si="148"/>
        <v>3</v>
      </c>
      <c r="AO76" s="15" t="str">
        <f t="shared" ca="1" si="131"/>
        <v/>
      </c>
      <c r="AP76" s="15" t="str">
        <f t="shared" ca="1" si="149"/>
        <v/>
      </c>
      <c r="AQ76" s="27">
        <f t="shared" si="150"/>
        <v>4</v>
      </c>
      <c r="AR76" s="15" t="b">
        <f t="shared" si="151"/>
        <v>0</v>
      </c>
      <c r="AS76" s="27" t="b">
        <f t="shared" si="152"/>
        <v>0</v>
      </c>
      <c r="AT76" s="27" t="b">
        <f t="shared" si="153"/>
        <v>0</v>
      </c>
      <c r="AU76" s="27" t="str">
        <f t="shared" si="154"/>
        <v/>
      </c>
      <c r="AV76" s="16" t="b">
        <f t="shared" si="155"/>
        <v>0</v>
      </c>
      <c r="AW76" s="15" t="str">
        <f t="shared" ca="1" si="115"/>
        <v/>
      </c>
      <c r="AX76" s="27" t="b">
        <f t="shared" ca="1" si="156"/>
        <v>0</v>
      </c>
      <c r="AY76" s="27" t="b">
        <f t="shared" ca="1" si="157"/>
        <v>0</v>
      </c>
      <c r="AZ76" s="15" t="b">
        <f t="shared" ca="1" si="158"/>
        <v>0</v>
      </c>
      <c r="BA76" s="15" t="b">
        <f t="shared" ca="1" si="159"/>
        <v>0</v>
      </c>
      <c r="BB76" s="15" t="str">
        <f t="shared" si="160"/>
        <v/>
      </c>
      <c r="BC76" s="15" t="str">
        <f t="shared" ca="1" si="132"/>
        <v/>
      </c>
      <c r="BD76" s="15" t="b">
        <f t="shared" ca="1" si="161"/>
        <v>0</v>
      </c>
      <c r="BE76" s="15" t="b">
        <f t="shared" si="162"/>
        <v>0</v>
      </c>
      <c r="BF76" s="15" t="str">
        <f t="shared" ca="1" si="163"/>
        <v/>
      </c>
      <c r="BG76" s="15" t="str">
        <f t="shared" si="164"/>
        <v/>
      </c>
      <c r="BH76" s="15" t="str">
        <f t="array" aca="1" ref="BH76" ca="1">IF(IFERROR( S76,1),1,IF(BC76="","", SUM(IF(ISERROR(INDIRECT(BC76)),1,0))))</f>
        <v/>
      </c>
      <c r="BI76" s="15" t="b">
        <f t="shared" si="165"/>
        <v>0</v>
      </c>
      <c r="BJ76" s="15" t="b">
        <f t="shared" si="166"/>
        <v>0</v>
      </c>
      <c r="BK76" s="15" t="str">
        <f t="shared" si="167"/>
        <v/>
      </c>
      <c r="BL76" s="15">
        <f t="shared" si="168"/>
        <v>4</v>
      </c>
      <c r="BP76" s="15" t="b">
        <f t="shared" si="133"/>
        <v>0</v>
      </c>
      <c r="BQ76" s="15" t="b">
        <f t="shared" si="134"/>
        <v>0</v>
      </c>
      <c r="BR76" s="15" t="str">
        <f t="shared" si="169"/>
        <v/>
      </c>
      <c r="BS76" s="15">
        <f t="shared" si="135"/>
        <v>0</v>
      </c>
      <c r="BT76" s="15" t="str">
        <f t="shared" si="136"/>
        <v/>
      </c>
      <c r="BV76" s="15" t="b">
        <f t="shared" ca="1" si="170"/>
        <v>0</v>
      </c>
      <c r="BW76" s="15" t="b">
        <f t="shared" ca="1" si="171"/>
        <v>0</v>
      </c>
      <c r="BX76" s="15" t="b">
        <f t="shared" ca="1" si="137"/>
        <v>0</v>
      </c>
      <c r="BY76" s="15" t="b">
        <f t="shared" ca="1" si="172"/>
        <v>0</v>
      </c>
      <c r="BZ76" s="15" t="b">
        <f t="shared" si="173"/>
        <v>0</v>
      </c>
      <c r="CA76" s="15" t="b">
        <f t="shared" si="174"/>
        <v>0</v>
      </c>
      <c r="CB76" s="15" t="b">
        <f t="shared" ca="1" si="175"/>
        <v>0</v>
      </c>
      <c r="CC76" s="15" t="b">
        <f t="shared" si="188"/>
        <v>0</v>
      </c>
      <c r="CD76" s="15" t="b">
        <f t="shared" si="188"/>
        <v>0</v>
      </c>
      <c r="CE76" s="15" t="b">
        <f t="shared" ca="1" si="176"/>
        <v>0</v>
      </c>
      <c r="CF76" s="15" t="b">
        <f t="shared" si="177"/>
        <v>0</v>
      </c>
      <c r="CG76" s="15" t="b">
        <f t="shared" si="178"/>
        <v>0</v>
      </c>
      <c r="CH76" s="15" t="b">
        <f t="shared" si="179"/>
        <v>0</v>
      </c>
      <c r="CI76" s="15" t="b">
        <f t="shared" si="180"/>
        <v>0</v>
      </c>
      <c r="CJ76" s="15" t="b">
        <f t="shared" si="181"/>
        <v>0</v>
      </c>
      <c r="CK76" s="15" t="b">
        <f t="shared" ca="1" si="189"/>
        <v>0</v>
      </c>
      <c r="CL76" s="15" t="b">
        <f t="shared" ca="1" si="189"/>
        <v>0</v>
      </c>
      <c r="CM76" s="15" t="b">
        <f t="shared" ca="1" si="189"/>
        <v>0</v>
      </c>
      <c r="CN76" s="15" t="b">
        <f t="shared" ca="1" si="189"/>
        <v>0</v>
      </c>
      <c r="CO76" s="15" t="b">
        <f t="shared" ca="1" si="189"/>
        <v>0</v>
      </c>
      <c r="CP76" s="15" t="b">
        <f t="shared" ca="1" si="189"/>
        <v>0</v>
      </c>
      <c r="CQ76" s="15" t="b">
        <f t="shared" ca="1" si="189"/>
        <v>0</v>
      </c>
      <c r="CR76" s="21" t="b">
        <f t="shared" ca="1" si="189"/>
        <v>0</v>
      </c>
      <c r="CS76" s="22" t="b">
        <f t="shared" ca="1" si="190"/>
        <v>0</v>
      </c>
      <c r="CT76" s="22" t="b">
        <f t="shared" ca="1" si="190"/>
        <v>0</v>
      </c>
      <c r="CU76" s="22" t="b">
        <f t="shared" ca="1" si="190"/>
        <v>0</v>
      </c>
      <c r="CV76" s="22" t="b">
        <f t="shared" ca="1" si="190"/>
        <v>0</v>
      </c>
      <c r="CW76" s="22" t="b">
        <f t="shared" ca="1" si="190"/>
        <v>0</v>
      </c>
      <c r="CX76" s="22" t="b">
        <f t="shared" ca="1" si="190"/>
        <v>0</v>
      </c>
      <c r="CY76" s="22" t="b">
        <f t="shared" ca="1" si="190"/>
        <v>0</v>
      </c>
      <c r="CZ76" s="21" t="b">
        <f t="shared" ca="1" si="190"/>
        <v>0</v>
      </c>
      <c r="DB76" s="22" t="b">
        <f t="shared" ca="1" si="184"/>
        <v>0</v>
      </c>
      <c r="DC76" s="22" t="b">
        <f t="shared" ca="1" si="191"/>
        <v>0</v>
      </c>
      <c r="DD76" s="22" t="b">
        <f t="shared" ca="1" si="191"/>
        <v>0</v>
      </c>
      <c r="DE76" s="22" t="b">
        <f t="shared" ca="1" si="191"/>
        <v>0</v>
      </c>
      <c r="DF76" s="22" t="b">
        <f t="shared" ca="1" si="191"/>
        <v>0</v>
      </c>
      <c r="DG76" s="22" t="b">
        <f t="shared" ca="1" si="191"/>
        <v>0</v>
      </c>
      <c r="DH76" s="22" t="b">
        <f t="shared" ca="1" si="191"/>
        <v>0</v>
      </c>
      <c r="DI76" s="22" t="b">
        <f t="shared" ca="1" si="191"/>
        <v>0</v>
      </c>
      <c r="DJ76" s="22" t="b">
        <f t="shared" ca="1" si="186"/>
        <v>0</v>
      </c>
      <c r="DK76" s="22"/>
      <c r="DO76" s="15" t="str">
        <f t="shared" ca="1" si="192"/>
        <v/>
      </c>
      <c r="DP76" s="15" t="str">
        <f t="shared" ca="1" si="192"/>
        <v/>
      </c>
      <c r="DQ76" s="15" t="str">
        <f t="shared" ca="1" si="192"/>
        <v/>
      </c>
      <c r="DR76" s="15" t="str">
        <f t="shared" ca="1" si="192"/>
        <v/>
      </c>
      <c r="DS76" s="15" t="str">
        <f t="shared" ca="1" si="192"/>
        <v/>
      </c>
      <c r="DT76" s="15" t="str">
        <f t="shared" ca="1" si="192"/>
        <v/>
      </c>
      <c r="DU76" s="15" t="str">
        <f t="shared" ca="1" si="192"/>
        <v/>
      </c>
      <c r="DV76" s="15" t="str">
        <f t="shared" ca="1" si="127"/>
        <v/>
      </c>
    </row>
    <row r="77" spans="1:126">
      <c r="A77" s="15">
        <f t="shared" si="24"/>
        <v>65</v>
      </c>
      <c r="B77" s="15" t="str">
        <f t="shared" si="124"/>
        <v/>
      </c>
      <c r="D77" s="15" t="str">
        <f t="shared" si="128"/>
        <v/>
      </c>
      <c r="M77" s="19"/>
      <c r="T77" s="15" t="str">
        <f t="shared" ca="1" si="129"/>
        <v/>
      </c>
      <c r="U77" s="15" t="str">
        <f t="shared" si="126"/>
        <v/>
      </c>
      <c r="AD77" s="16" t="b">
        <f t="shared" si="139"/>
        <v>0</v>
      </c>
      <c r="AE77" s="16" t="b">
        <f t="shared" si="140"/>
        <v>0</v>
      </c>
      <c r="AF77" s="15" t="str">
        <f t="shared" si="141"/>
        <v/>
      </c>
      <c r="AG77" s="15" t="str">
        <f t="shared" ca="1" si="142"/>
        <v/>
      </c>
      <c r="AH77" s="15" t="str">
        <f t="shared" ca="1" si="143"/>
        <v/>
      </c>
      <c r="AI77" s="15" t="b">
        <f t="shared" ca="1" si="144"/>
        <v>0</v>
      </c>
      <c r="AJ77" s="15" t="str">
        <f t="shared" ca="1" si="130"/>
        <v/>
      </c>
      <c r="AK77" s="27" t="str">
        <f t="shared" ca="1" si="145"/>
        <v/>
      </c>
      <c r="AL77" s="15" t="b">
        <f t="shared" ca="1" si="146"/>
        <v>0</v>
      </c>
      <c r="AM77" s="15" t="str">
        <f t="shared" ca="1" si="147"/>
        <v/>
      </c>
      <c r="AN77" s="15">
        <f t="shared" ca="1" si="148"/>
        <v>3</v>
      </c>
      <c r="AO77" s="15" t="str">
        <f t="shared" ca="1" si="131"/>
        <v/>
      </c>
      <c r="AP77" s="15" t="str">
        <f t="shared" ca="1" si="149"/>
        <v/>
      </c>
      <c r="AQ77" s="27">
        <f t="shared" si="150"/>
        <v>4</v>
      </c>
      <c r="AR77" s="15" t="b">
        <f t="shared" si="151"/>
        <v>0</v>
      </c>
      <c r="AS77" s="27" t="b">
        <f t="shared" si="152"/>
        <v>0</v>
      </c>
      <c r="AT77" s="27" t="b">
        <f t="shared" si="153"/>
        <v>0</v>
      </c>
      <c r="AU77" s="27" t="str">
        <f t="shared" si="154"/>
        <v/>
      </c>
      <c r="AV77" s="16" t="b">
        <f t="shared" si="155"/>
        <v>0</v>
      </c>
      <c r="AW77" s="15" t="str">
        <f t="shared" ref="AW77:AW97" ca="1" si="193">IF(AR77,CELL(_CELL_ADDRESS_NAME,INDIRECT(J77)),"")</f>
        <v/>
      </c>
      <c r="AX77" s="27" t="b">
        <f t="shared" ca="1" si="156"/>
        <v>0</v>
      </c>
      <c r="AY77" s="27" t="b">
        <f t="shared" ca="1" si="157"/>
        <v>0</v>
      </c>
      <c r="AZ77" s="15" t="b">
        <f t="shared" ca="1" si="158"/>
        <v>0</v>
      </c>
      <c r="BA77" s="15" t="b">
        <f t="shared" ca="1" si="159"/>
        <v>0</v>
      </c>
      <c r="BB77" s="15" t="str">
        <f t="shared" si="160"/>
        <v/>
      </c>
      <c r="BC77" s="15" t="str">
        <f t="shared" ca="1" si="132"/>
        <v/>
      </c>
      <c r="BD77" s="15" t="b">
        <f t="shared" ca="1" si="161"/>
        <v>0</v>
      </c>
      <c r="BE77" s="15" t="b">
        <f t="shared" si="162"/>
        <v>0</v>
      </c>
      <c r="BF77" s="15" t="str">
        <f t="shared" ca="1" si="163"/>
        <v/>
      </c>
      <c r="BG77" s="15" t="str">
        <f t="shared" si="164"/>
        <v/>
      </c>
      <c r="BH77" s="15" t="str">
        <f t="array" aca="1" ref="BH77" ca="1">IF(IFERROR( S77,1),1,IF(BC77="","", SUM(IF(ISERROR(INDIRECT(BC77)),1,0))))</f>
        <v/>
      </c>
      <c r="BI77" s="15" t="b">
        <f t="shared" si="165"/>
        <v>0</v>
      </c>
      <c r="BJ77" s="15" t="b">
        <f t="shared" si="166"/>
        <v>0</v>
      </c>
      <c r="BK77" s="15" t="str">
        <f t="shared" si="167"/>
        <v/>
      </c>
      <c r="BL77" s="15">
        <f t="shared" si="168"/>
        <v>4</v>
      </c>
      <c r="BP77" s="15" t="b">
        <f t="shared" si="133"/>
        <v>0</v>
      </c>
      <c r="BQ77" s="15" t="b">
        <f t="shared" si="134"/>
        <v>0</v>
      </c>
      <c r="BR77" s="15" t="str">
        <f t="shared" si="169"/>
        <v/>
      </c>
      <c r="BS77" s="15">
        <f t="shared" si="135"/>
        <v>0</v>
      </c>
      <c r="BT77" s="15" t="str">
        <f t="shared" si="136"/>
        <v/>
      </c>
      <c r="BV77" s="15" t="b">
        <f t="shared" ca="1" si="170"/>
        <v>0</v>
      </c>
      <c r="BW77" s="15" t="b">
        <f t="shared" ca="1" si="171"/>
        <v>0</v>
      </c>
      <c r="BX77" s="15" t="b">
        <f t="shared" ca="1" si="137"/>
        <v>0</v>
      </c>
      <c r="BY77" s="15" t="b">
        <f t="shared" ca="1" si="172"/>
        <v>0</v>
      </c>
      <c r="BZ77" s="15" t="b">
        <f t="shared" si="173"/>
        <v>0</v>
      </c>
      <c r="CA77" s="15" t="b">
        <f t="shared" si="174"/>
        <v>0</v>
      </c>
      <c r="CB77" s="15" t="b">
        <f t="shared" ca="1" si="175"/>
        <v>0</v>
      </c>
      <c r="CC77" s="15" t="b">
        <f t="shared" si="188"/>
        <v>0</v>
      </c>
      <c r="CD77" s="15" t="b">
        <f t="shared" si="188"/>
        <v>0</v>
      </c>
      <c r="CE77" s="15" t="b">
        <f t="shared" ca="1" si="176"/>
        <v>0</v>
      </c>
      <c r="CF77" s="15" t="b">
        <f t="shared" si="177"/>
        <v>0</v>
      </c>
      <c r="CG77" s="15" t="b">
        <f t="shared" si="178"/>
        <v>0</v>
      </c>
      <c r="CH77" s="15" t="b">
        <f t="shared" si="179"/>
        <v>0</v>
      </c>
      <c r="CI77" s="15" t="b">
        <f t="shared" si="180"/>
        <v>0</v>
      </c>
      <c r="CJ77" s="15" t="b">
        <f t="shared" si="181"/>
        <v>0</v>
      </c>
      <c r="CK77" s="15" t="b">
        <f t="shared" ca="1" si="189"/>
        <v>0</v>
      </c>
      <c r="CL77" s="15" t="b">
        <f t="shared" ca="1" si="189"/>
        <v>0</v>
      </c>
      <c r="CM77" s="15" t="b">
        <f t="shared" ca="1" si="189"/>
        <v>0</v>
      </c>
      <c r="CN77" s="15" t="b">
        <f t="shared" ca="1" si="189"/>
        <v>0</v>
      </c>
      <c r="CO77" s="15" t="b">
        <f t="shared" ca="1" si="189"/>
        <v>0</v>
      </c>
      <c r="CP77" s="15" t="b">
        <f t="shared" ca="1" si="189"/>
        <v>0</v>
      </c>
      <c r="CQ77" s="15" t="b">
        <f t="shared" ca="1" si="189"/>
        <v>0</v>
      </c>
      <c r="CR77" s="21" t="b">
        <f t="shared" ca="1" si="189"/>
        <v>0</v>
      </c>
      <c r="CS77" s="22" t="b">
        <f t="shared" ca="1" si="190"/>
        <v>0</v>
      </c>
      <c r="CT77" s="22" t="b">
        <f t="shared" ca="1" si="190"/>
        <v>0</v>
      </c>
      <c r="CU77" s="22" t="b">
        <f t="shared" ca="1" si="190"/>
        <v>0</v>
      </c>
      <c r="CV77" s="22" t="b">
        <f t="shared" ca="1" si="190"/>
        <v>0</v>
      </c>
      <c r="CW77" s="22" t="b">
        <f t="shared" ca="1" si="190"/>
        <v>0</v>
      </c>
      <c r="CX77" s="22" t="b">
        <f t="shared" ca="1" si="190"/>
        <v>0</v>
      </c>
      <c r="CY77" s="22" t="b">
        <f t="shared" ca="1" si="190"/>
        <v>0</v>
      </c>
      <c r="CZ77" s="21" t="b">
        <f t="shared" ca="1" si="190"/>
        <v>0</v>
      </c>
      <c r="DB77" s="22" t="b">
        <f t="shared" ca="1" si="184"/>
        <v>0</v>
      </c>
      <c r="DC77" s="22" t="b">
        <f t="shared" ca="1" si="191"/>
        <v>0</v>
      </c>
      <c r="DD77" s="22" t="b">
        <f t="shared" ca="1" si="191"/>
        <v>0</v>
      </c>
      <c r="DE77" s="22" t="b">
        <f t="shared" ca="1" si="191"/>
        <v>0</v>
      </c>
      <c r="DF77" s="22" t="b">
        <f t="shared" ca="1" si="191"/>
        <v>0</v>
      </c>
      <c r="DG77" s="22" t="b">
        <f t="shared" ca="1" si="191"/>
        <v>0</v>
      </c>
      <c r="DH77" s="22" t="b">
        <f t="shared" ca="1" si="191"/>
        <v>0</v>
      </c>
      <c r="DI77" s="22" t="b">
        <f t="shared" ca="1" si="191"/>
        <v>0</v>
      </c>
      <c r="DJ77" s="22" t="b">
        <f t="shared" ca="1" si="186"/>
        <v>0</v>
      </c>
      <c r="DK77" s="22"/>
      <c r="DO77" s="15" t="str">
        <f t="shared" ca="1" si="192"/>
        <v/>
      </c>
      <c r="DP77" s="15" t="str">
        <f t="shared" ca="1" si="192"/>
        <v/>
      </c>
      <c r="DQ77" s="15" t="str">
        <f t="shared" ca="1" si="192"/>
        <v/>
      </c>
      <c r="DR77" s="15" t="str">
        <f t="shared" ca="1" si="192"/>
        <v/>
      </c>
      <c r="DS77" s="15" t="str">
        <f t="shared" ca="1" si="192"/>
        <v/>
      </c>
      <c r="DT77" s="15" t="str">
        <f t="shared" ca="1" si="192"/>
        <v/>
      </c>
      <c r="DU77" s="15" t="str">
        <f t="shared" ca="1" si="192"/>
        <v/>
      </c>
      <c r="DV77" s="15" t="str">
        <f t="shared" ca="1" si="127"/>
        <v/>
      </c>
    </row>
    <row r="78" spans="1:126">
      <c r="A78" s="15">
        <f t="shared" ref="A78:A97" si="194">ROW(A77)+1-ROW(A$12)</f>
        <v>66</v>
      </c>
      <c r="B78" s="15" t="str">
        <f t="shared" si="124"/>
        <v/>
      </c>
      <c r="D78" s="15" t="str">
        <f t="shared" si="128"/>
        <v/>
      </c>
      <c r="M78" s="19"/>
      <c r="T78" s="15" t="str">
        <f t="shared" ca="1" si="129"/>
        <v/>
      </c>
      <c r="U78" s="15" t="str">
        <f t="shared" si="126"/>
        <v/>
      </c>
      <c r="AD78" s="16" t="b">
        <f t="shared" si="139"/>
        <v>0</v>
      </c>
      <c r="AE78" s="16" t="b">
        <f t="shared" si="140"/>
        <v>0</v>
      </c>
      <c r="AF78" s="15" t="str">
        <f t="shared" si="141"/>
        <v/>
      </c>
      <c r="AG78" s="15" t="str">
        <f t="shared" ca="1" si="142"/>
        <v/>
      </c>
      <c r="AH78" s="15" t="str">
        <f t="shared" ca="1" si="143"/>
        <v/>
      </c>
      <c r="AI78" s="15" t="b">
        <f t="shared" ca="1" si="144"/>
        <v>0</v>
      </c>
      <c r="AJ78" s="15" t="str">
        <f t="shared" ca="1" si="130"/>
        <v/>
      </c>
      <c r="AK78" s="27" t="str">
        <f t="shared" ca="1" si="145"/>
        <v/>
      </c>
      <c r="AL78" s="15" t="b">
        <f t="shared" ca="1" si="146"/>
        <v>0</v>
      </c>
      <c r="AM78" s="15" t="str">
        <f t="shared" ca="1" si="147"/>
        <v/>
      </c>
      <c r="AN78" s="15">
        <f t="shared" ca="1" si="148"/>
        <v>3</v>
      </c>
      <c r="AO78" s="15" t="str">
        <f t="shared" ca="1" si="131"/>
        <v/>
      </c>
      <c r="AP78" s="15" t="str">
        <f t="shared" ca="1" si="149"/>
        <v/>
      </c>
      <c r="AQ78" s="27">
        <f t="shared" si="150"/>
        <v>4</v>
      </c>
      <c r="AR78" s="15" t="b">
        <f t="shared" si="151"/>
        <v>0</v>
      </c>
      <c r="AS78" s="27" t="b">
        <f t="shared" si="152"/>
        <v>0</v>
      </c>
      <c r="AT78" s="27" t="b">
        <f t="shared" si="153"/>
        <v>0</v>
      </c>
      <c r="AU78" s="27" t="str">
        <f t="shared" si="154"/>
        <v/>
      </c>
      <c r="AV78" s="16" t="b">
        <f t="shared" si="155"/>
        <v>0</v>
      </c>
      <c r="AW78" s="15" t="str">
        <f t="shared" ca="1" si="193"/>
        <v/>
      </c>
      <c r="AX78" s="27" t="b">
        <f t="shared" ca="1" si="156"/>
        <v>0</v>
      </c>
      <c r="AY78" s="27" t="b">
        <f t="shared" ca="1" si="157"/>
        <v>0</v>
      </c>
      <c r="AZ78" s="15" t="b">
        <f t="shared" ca="1" si="158"/>
        <v>0</v>
      </c>
      <c r="BA78" s="15" t="b">
        <f t="shared" ca="1" si="159"/>
        <v>0</v>
      </c>
      <c r="BB78" s="15" t="str">
        <f t="shared" si="160"/>
        <v/>
      </c>
      <c r="BC78" s="15" t="str">
        <f t="shared" ca="1" si="132"/>
        <v/>
      </c>
      <c r="BD78" s="15" t="b">
        <f t="shared" ca="1" si="161"/>
        <v>0</v>
      </c>
      <c r="BE78" s="15" t="b">
        <f t="shared" si="162"/>
        <v>0</v>
      </c>
      <c r="BF78" s="15" t="str">
        <f t="shared" ca="1" si="163"/>
        <v/>
      </c>
      <c r="BG78" s="15" t="str">
        <f t="shared" si="164"/>
        <v/>
      </c>
      <c r="BH78" s="15" t="str">
        <f t="array" aca="1" ref="BH78" ca="1">IF(IFERROR( S78,1),1,IF(BC78="","", SUM(IF(ISERROR(INDIRECT(BC78)),1,0))))</f>
        <v/>
      </c>
      <c r="BI78" s="15" t="b">
        <f t="shared" si="165"/>
        <v>0</v>
      </c>
      <c r="BJ78" s="15" t="b">
        <f t="shared" si="166"/>
        <v>0</v>
      </c>
      <c r="BK78" s="15" t="str">
        <f t="shared" si="167"/>
        <v/>
      </c>
      <c r="BL78" s="15">
        <f t="shared" si="168"/>
        <v>4</v>
      </c>
      <c r="BP78" s="15" t="b">
        <f t="shared" si="133"/>
        <v>0</v>
      </c>
      <c r="BQ78" s="15" t="b">
        <f t="shared" si="134"/>
        <v>0</v>
      </c>
      <c r="BR78" s="15" t="str">
        <f t="shared" si="169"/>
        <v/>
      </c>
      <c r="BS78" s="15">
        <f t="shared" si="135"/>
        <v>0</v>
      </c>
      <c r="BT78" s="15" t="str">
        <f t="shared" si="136"/>
        <v/>
      </c>
      <c r="BV78" s="15" t="b">
        <f t="shared" ca="1" si="170"/>
        <v>0</v>
      </c>
      <c r="BW78" s="15" t="b">
        <f t="shared" ca="1" si="171"/>
        <v>0</v>
      </c>
      <c r="BX78" s="15" t="b">
        <f t="shared" ca="1" si="137"/>
        <v>0</v>
      </c>
      <c r="BY78" s="15" t="b">
        <f t="shared" ca="1" si="172"/>
        <v>0</v>
      </c>
      <c r="BZ78" s="15" t="b">
        <f t="shared" si="173"/>
        <v>0</v>
      </c>
      <c r="CA78" s="15" t="b">
        <f t="shared" si="174"/>
        <v>0</v>
      </c>
      <c r="CB78" s="15" t="b">
        <f t="shared" ca="1" si="175"/>
        <v>0</v>
      </c>
      <c r="CC78" s="15" t="b">
        <f t="shared" si="188"/>
        <v>0</v>
      </c>
      <c r="CD78" s="15" t="b">
        <f t="shared" si="188"/>
        <v>0</v>
      </c>
      <c r="CE78" s="15" t="b">
        <f t="shared" ca="1" si="176"/>
        <v>0</v>
      </c>
      <c r="CF78" s="15" t="b">
        <f t="shared" si="177"/>
        <v>0</v>
      </c>
      <c r="CG78" s="15" t="b">
        <f t="shared" si="178"/>
        <v>0</v>
      </c>
      <c r="CH78" s="15" t="b">
        <f t="shared" si="179"/>
        <v>0</v>
      </c>
      <c r="CI78" s="15" t="b">
        <f t="shared" si="180"/>
        <v>0</v>
      </c>
      <c r="CJ78" s="15" t="b">
        <f t="shared" si="181"/>
        <v>0</v>
      </c>
      <c r="CK78" s="15" t="b">
        <f t="shared" ca="1" si="189"/>
        <v>0</v>
      </c>
      <c r="CL78" s="15" t="b">
        <f t="shared" ca="1" si="189"/>
        <v>0</v>
      </c>
      <c r="CM78" s="15" t="b">
        <f t="shared" ca="1" si="189"/>
        <v>0</v>
      </c>
      <c r="CN78" s="15" t="b">
        <f t="shared" ca="1" si="189"/>
        <v>0</v>
      </c>
      <c r="CO78" s="15" t="b">
        <f t="shared" ca="1" si="189"/>
        <v>0</v>
      </c>
      <c r="CP78" s="15" t="b">
        <f t="shared" ca="1" si="189"/>
        <v>0</v>
      </c>
      <c r="CQ78" s="15" t="b">
        <f t="shared" ca="1" si="189"/>
        <v>0</v>
      </c>
      <c r="CR78" s="21" t="b">
        <f t="shared" ca="1" si="189"/>
        <v>0</v>
      </c>
      <c r="CS78" s="22" t="b">
        <f t="shared" ca="1" si="190"/>
        <v>0</v>
      </c>
      <c r="CT78" s="22" t="b">
        <f t="shared" ca="1" si="190"/>
        <v>0</v>
      </c>
      <c r="CU78" s="22" t="b">
        <f t="shared" ca="1" si="190"/>
        <v>0</v>
      </c>
      <c r="CV78" s="22" t="b">
        <f t="shared" ca="1" si="190"/>
        <v>0</v>
      </c>
      <c r="CW78" s="22" t="b">
        <f t="shared" ca="1" si="190"/>
        <v>0</v>
      </c>
      <c r="CX78" s="22" t="b">
        <f t="shared" ca="1" si="190"/>
        <v>0</v>
      </c>
      <c r="CY78" s="22" t="b">
        <f t="shared" ca="1" si="190"/>
        <v>0</v>
      </c>
      <c r="CZ78" s="21" t="b">
        <f t="shared" ca="1" si="190"/>
        <v>0</v>
      </c>
      <c r="DB78" s="22" t="b">
        <f t="shared" ca="1" si="184"/>
        <v>0</v>
      </c>
      <c r="DC78" s="22" t="b">
        <f t="shared" ca="1" si="191"/>
        <v>0</v>
      </c>
      <c r="DD78" s="22" t="b">
        <f t="shared" ca="1" si="191"/>
        <v>0</v>
      </c>
      <c r="DE78" s="22" t="b">
        <f t="shared" ca="1" si="191"/>
        <v>0</v>
      </c>
      <c r="DF78" s="22" t="b">
        <f t="shared" ca="1" si="191"/>
        <v>0</v>
      </c>
      <c r="DG78" s="22" t="b">
        <f t="shared" ca="1" si="191"/>
        <v>0</v>
      </c>
      <c r="DH78" s="22" t="b">
        <f t="shared" ca="1" si="191"/>
        <v>0</v>
      </c>
      <c r="DI78" s="22" t="b">
        <f t="shared" ca="1" si="191"/>
        <v>0</v>
      </c>
      <c r="DJ78" s="22" t="b">
        <f t="shared" ca="1" si="186"/>
        <v>0</v>
      </c>
      <c r="DK78" s="22"/>
      <c r="DO78" s="15" t="str">
        <f t="shared" ca="1" si="192"/>
        <v/>
      </c>
      <c r="DP78" s="15" t="str">
        <f t="shared" ca="1" si="192"/>
        <v/>
      </c>
      <c r="DQ78" s="15" t="str">
        <f t="shared" ca="1" si="192"/>
        <v/>
      </c>
      <c r="DR78" s="15" t="str">
        <f t="shared" ca="1" si="192"/>
        <v/>
      </c>
      <c r="DS78" s="15" t="str">
        <f t="shared" ca="1" si="192"/>
        <v/>
      </c>
      <c r="DT78" s="15" t="str">
        <f t="shared" ca="1" si="192"/>
        <v/>
      </c>
      <c r="DU78" s="15" t="str">
        <f t="shared" ca="1" si="192"/>
        <v/>
      </c>
      <c r="DV78" s="15" t="str">
        <f t="shared" ca="1" si="127"/>
        <v/>
      </c>
    </row>
    <row r="79" spans="1:126">
      <c r="A79" s="15">
        <f t="shared" si="194"/>
        <v>67</v>
      </c>
      <c r="B79" s="15" t="str">
        <f t="shared" si="124"/>
        <v/>
      </c>
      <c r="D79" s="15" t="str">
        <f t="shared" si="128"/>
        <v/>
      </c>
      <c r="M79" s="19"/>
      <c r="T79" s="15" t="str">
        <f t="shared" ca="1" si="129"/>
        <v/>
      </c>
      <c r="U79" s="15" t="str">
        <f t="shared" ref="U79:U97" si="195">IF(AD79,BS79,"")</f>
        <v/>
      </c>
      <c r="AD79" s="16" t="b">
        <f t="shared" si="139"/>
        <v>0</v>
      </c>
      <c r="AE79" s="16" t="b">
        <f t="shared" si="140"/>
        <v>0</v>
      </c>
      <c r="AF79" s="15" t="str">
        <f t="shared" si="141"/>
        <v/>
      </c>
      <c r="AG79" s="15" t="str">
        <f t="shared" ca="1" si="142"/>
        <v/>
      </c>
      <c r="AH79" s="15" t="str">
        <f t="shared" ca="1" si="143"/>
        <v/>
      </c>
      <c r="AI79" s="15" t="b">
        <f t="shared" ca="1" si="144"/>
        <v>0</v>
      </c>
      <c r="AJ79" s="15" t="str">
        <f t="shared" ca="1" si="130"/>
        <v/>
      </c>
      <c r="AK79" s="27" t="str">
        <f t="shared" ca="1" si="145"/>
        <v/>
      </c>
      <c r="AL79" s="15" t="b">
        <f t="shared" ca="1" si="146"/>
        <v>0</v>
      </c>
      <c r="AM79" s="15" t="str">
        <f t="shared" ca="1" si="147"/>
        <v/>
      </c>
      <c r="AN79" s="15">
        <f t="shared" ca="1" si="148"/>
        <v>3</v>
      </c>
      <c r="AO79" s="15" t="str">
        <f t="shared" ca="1" si="131"/>
        <v/>
      </c>
      <c r="AP79" s="15" t="str">
        <f t="shared" ca="1" si="149"/>
        <v/>
      </c>
      <c r="AQ79" s="27">
        <f t="shared" si="150"/>
        <v>4</v>
      </c>
      <c r="AR79" s="15" t="b">
        <f t="shared" si="151"/>
        <v>0</v>
      </c>
      <c r="AS79" s="27" t="b">
        <f t="shared" si="152"/>
        <v>0</v>
      </c>
      <c r="AT79" s="27" t="b">
        <f t="shared" si="153"/>
        <v>0</v>
      </c>
      <c r="AU79" s="27" t="str">
        <f t="shared" si="154"/>
        <v/>
      </c>
      <c r="AV79" s="16" t="b">
        <f t="shared" si="155"/>
        <v>0</v>
      </c>
      <c r="AW79" s="15" t="str">
        <f t="shared" ca="1" si="193"/>
        <v/>
      </c>
      <c r="AX79" s="27" t="b">
        <f t="shared" ca="1" si="156"/>
        <v>0</v>
      </c>
      <c r="AY79" s="27" t="b">
        <f t="shared" ca="1" si="157"/>
        <v>0</v>
      </c>
      <c r="AZ79" s="15" t="b">
        <f t="shared" ca="1" si="158"/>
        <v>0</v>
      </c>
      <c r="BA79" s="15" t="b">
        <f t="shared" ca="1" si="159"/>
        <v>0</v>
      </c>
      <c r="BB79" s="15" t="str">
        <f t="shared" si="160"/>
        <v/>
      </c>
      <c r="BC79" s="15" t="str">
        <f t="shared" ca="1" si="132"/>
        <v/>
      </c>
      <c r="BD79" s="15" t="b">
        <f t="shared" ca="1" si="161"/>
        <v>0</v>
      </c>
      <c r="BE79" s="15" t="b">
        <f t="shared" si="162"/>
        <v>0</v>
      </c>
      <c r="BF79" s="15" t="str">
        <f t="shared" ca="1" si="163"/>
        <v/>
      </c>
      <c r="BG79" s="15" t="str">
        <f t="shared" si="164"/>
        <v/>
      </c>
      <c r="BH79" s="15" t="str">
        <f t="array" aca="1" ref="BH79" ca="1">IF(IFERROR( S79,1),1,IF(BC79="","", SUM(IF(ISERROR(INDIRECT(BC79)),1,0))))</f>
        <v/>
      </c>
      <c r="BI79" s="15" t="b">
        <f t="shared" si="165"/>
        <v>0</v>
      </c>
      <c r="BJ79" s="15" t="b">
        <f t="shared" si="166"/>
        <v>0</v>
      </c>
      <c r="BK79" s="15" t="str">
        <f t="shared" si="167"/>
        <v/>
      </c>
      <c r="BL79" s="15">
        <f t="shared" si="168"/>
        <v>4</v>
      </c>
      <c r="BP79" s="15" t="b">
        <f t="shared" si="133"/>
        <v>0</v>
      </c>
      <c r="BQ79" s="15" t="b">
        <f t="shared" si="134"/>
        <v>0</v>
      </c>
      <c r="BR79" s="15" t="str">
        <f t="shared" si="169"/>
        <v/>
      </c>
      <c r="BS79" s="15">
        <f t="shared" si="135"/>
        <v>0</v>
      </c>
      <c r="BT79" s="15" t="str">
        <f t="shared" si="136"/>
        <v/>
      </c>
      <c r="BV79" s="15" t="b">
        <f t="shared" ca="1" si="170"/>
        <v>0</v>
      </c>
      <c r="BW79" s="15" t="b">
        <f t="shared" ca="1" si="171"/>
        <v>0</v>
      </c>
      <c r="BX79" s="15" t="b">
        <f t="shared" ca="1" si="137"/>
        <v>0</v>
      </c>
      <c r="BY79" s="15" t="b">
        <f t="shared" ca="1" si="172"/>
        <v>0</v>
      </c>
      <c r="BZ79" s="15" t="b">
        <f t="shared" si="173"/>
        <v>0</v>
      </c>
      <c r="CA79" s="15" t="b">
        <f t="shared" si="174"/>
        <v>0</v>
      </c>
      <c r="CB79" s="15" t="b">
        <f t="shared" ca="1" si="175"/>
        <v>0</v>
      </c>
      <c r="CC79" s="15" t="b">
        <f t="shared" si="188"/>
        <v>0</v>
      </c>
      <c r="CD79" s="15" t="b">
        <f t="shared" si="188"/>
        <v>0</v>
      </c>
      <c r="CE79" s="15" t="b">
        <f t="shared" ca="1" si="176"/>
        <v>0</v>
      </c>
      <c r="CF79" s="15" t="b">
        <f t="shared" si="177"/>
        <v>0</v>
      </c>
      <c r="CG79" s="15" t="b">
        <f t="shared" si="178"/>
        <v>0</v>
      </c>
      <c r="CH79" s="15" t="b">
        <f t="shared" si="179"/>
        <v>0</v>
      </c>
      <c r="CI79" s="15" t="b">
        <f t="shared" si="180"/>
        <v>0</v>
      </c>
      <c r="CJ79" s="15" t="b">
        <f t="shared" si="181"/>
        <v>0</v>
      </c>
      <c r="CK79" s="15" t="b">
        <f t="shared" ca="1" si="189"/>
        <v>0</v>
      </c>
      <c r="CL79" s="15" t="b">
        <f t="shared" ca="1" si="189"/>
        <v>0</v>
      </c>
      <c r="CM79" s="15" t="b">
        <f t="shared" ca="1" si="189"/>
        <v>0</v>
      </c>
      <c r="CN79" s="15" t="b">
        <f t="shared" ca="1" si="189"/>
        <v>0</v>
      </c>
      <c r="CO79" s="15" t="b">
        <f t="shared" ca="1" si="189"/>
        <v>0</v>
      </c>
      <c r="CP79" s="15" t="b">
        <f t="shared" ca="1" si="189"/>
        <v>0</v>
      </c>
      <c r="CQ79" s="15" t="b">
        <f t="shared" ca="1" si="189"/>
        <v>0</v>
      </c>
      <c r="CR79" s="21" t="b">
        <f t="shared" ca="1" si="189"/>
        <v>0</v>
      </c>
      <c r="CS79" s="22" t="b">
        <f t="shared" ca="1" si="190"/>
        <v>0</v>
      </c>
      <c r="CT79" s="22" t="b">
        <f t="shared" ca="1" si="190"/>
        <v>0</v>
      </c>
      <c r="CU79" s="22" t="b">
        <f t="shared" ca="1" si="190"/>
        <v>0</v>
      </c>
      <c r="CV79" s="22" t="b">
        <f t="shared" ca="1" si="190"/>
        <v>0</v>
      </c>
      <c r="CW79" s="22" t="b">
        <f t="shared" ca="1" si="190"/>
        <v>0</v>
      </c>
      <c r="CX79" s="22" t="b">
        <f t="shared" ca="1" si="190"/>
        <v>0</v>
      </c>
      <c r="CY79" s="22" t="b">
        <f t="shared" ca="1" si="190"/>
        <v>0</v>
      </c>
      <c r="CZ79" s="21" t="b">
        <f t="shared" ca="1" si="190"/>
        <v>0</v>
      </c>
      <c r="DB79" s="22" t="b">
        <f t="shared" ca="1" si="184"/>
        <v>0</v>
      </c>
      <c r="DC79" s="22" t="b">
        <f t="shared" ca="1" si="191"/>
        <v>0</v>
      </c>
      <c r="DD79" s="22" t="b">
        <f t="shared" ca="1" si="191"/>
        <v>0</v>
      </c>
      <c r="DE79" s="22" t="b">
        <f t="shared" ca="1" si="191"/>
        <v>0</v>
      </c>
      <c r="DF79" s="22" t="b">
        <f t="shared" ca="1" si="191"/>
        <v>0</v>
      </c>
      <c r="DG79" s="22" t="b">
        <f t="shared" ca="1" si="191"/>
        <v>0</v>
      </c>
      <c r="DH79" s="22" t="b">
        <f t="shared" ca="1" si="191"/>
        <v>0</v>
      </c>
      <c r="DI79" s="22" t="b">
        <f t="shared" ca="1" si="191"/>
        <v>0</v>
      </c>
      <c r="DJ79" s="22" t="b">
        <f t="shared" ca="1" si="186"/>
        <v>0</v>
      </c>
      <c r="DK79" s="22"/>
      <c r="DO79" s="15" t="str">
        <f t="shared" ca="1" si="192"/>
        <v/>
      </c>
      <c r="DP79" s="15" t="str">
        <f t="shared" ca="1" si="192"/>
        <v/>
      </c>
      <c r="DQ79" s="15" t="str">
        <f t="shared" ca="1" si="192"/>
        <v/>
      </c>
      <c r="DR79" s="15" t="str">
        <f t="shared" ca="1" si="192"/>
        <v/>
      </c>
      <c r="DS79" s="15" t="str">
        <f t="shared" ca="1" si="192"/>
        <v/>
      </c>
      <c r="DT79" s="15" t="str">
        <f t="shared" ca="1" si="192"/>
        <v/>
      </c>
      <c r="DU79" s="15" t="str">
        <f t="shared" ca="1" si="192"/>
        <v/>
      </c>
      <c r="DV79" s="15" t="str">
        <f t="shared" ca="1" si="127"/>
        <v/>
      </c>
    </row>
    <row r="80" spans="1:126">
      <c r="A80" s="15">
        <f t="shared" si="194"/>
        <v>68</v>
      </c>
      <c r="B80" s="15" t="str">
        <f t="shared" si="124"/>
        <v/>
      </c>
      <c r="D80" s="15" t="str">
        <f t="shared" si="128"/>
        <v/>
      </c>
      <c r="M80" s="19"/>
      <c r="T80" s="15" t="str">
        <f t="shared" ca="1" si="129"/>
        <v/>
      </c>
      <c r="U80" s="15" t="str">
        <f t="shared" si="195"/>
        <v/>
      </c>
      <c r="AD80" s="16" t="b">
        <f t="shared" si="139"/>
        <v>0</v>
      </c>
      <c r="AE80" s="16" t="b">
        <f t="shared" si="140"/>
        <v>0</v>
      </c>
      <c r="AF80" s="15" t="str">
        <f t="shared" si="141"/>
        <v/>
      </c>
      <c r="AG80" s="15" t="str">
        <f t="shared" ca="1" si="142"/>
        <v/>
      </c>
      <c r="AH80" s="15" t="str">
        <f t="shared" ca="1" si="143"/>
        <v/>
      </c>
      <c r="AI80" s="15" t="b">
        <f t="shared" ca="1" si="144"/>
        <v>0</v>
      </c>
      <c r="AJ80" s="15" t="str">
        <f t="shared" ca="1" si="130"/>
        <v/>
      </c>
      <c r="AK80" s="27" t="str">
        <f t="shared" ca="1" si="145"/>
        <v/>
      </c>
      <c r="AL80" s="15" t="b">
        <f t="shared" ca="1" si="146"/>
        <v>0</v>
      </c>
      <c r="AM80" s="15" t="str">
        <f t="shared" ca="1" si="147"/>
        <v/>
      </c>
      <c r="AN80" s="15">
        <f t="shared" ca="1" si="148"/>
        <v>3</v>
      </c>
      <c r="AO80" s="15" t="str">
        <f t="shared" ca="1" si="131"/>
        <v/>
      </c>
      <c r="AP80" s="15" t="str">
        <f t="shared" ca="1" si="149"/>
        <v/>
      </c>
      <c r="AQ80" s="27">
        <f t="shared" si="150"/>
        <v>4</v>
      </c>
      <c r="AR80" s="15" t="b">
        <f t="shared" si="151"/>
        <v>0</v>
      </c>
      <c r="AS80" s="27" t="b">
        <f t="shared" si="152"/>
        <v>0</v>
      </c>
      <c r="AT80" s="27" t="b">
        <f t="shared" si="153"/>
        <v>0</v>
      </c>
      <c r="AU80" s="27" t="str">
        <f t="shared" si="154"/>
        <v/>
      </c>
      <c r="AV80" s="16" t="b">
        <f t="shared" si="155"/>
        <v>0</v>
      </c>
      <c r="AW80" s="15" t="str">
        <f t="shared" ca="1" si="193"/>
        <v/>
      </c>
      <c r="AX80" s="27" t="b">
        <f t="shared" ca="1" si="156"/>
        <v>0</v>
      </c>
      <c r="AY80" s="27" t="b">
        <f t="shared" ca="1" si="157"/>
        <v>0</v>
      </c>
      <c r="AZ80" s="15" t="b">
        <f t="shared" ca="1" si="158"/>
        <v>0</v>
      </c>
      <c r="BA80" s="15" t="b">
        <f t="shared" ca="1" si="159"/>
        <v>0</v>
      </c>
      <c r="BB80" s="15" t="str">
        <f t="shared" si="160"/>
        <v/>
      </c>
      <c r="BC80" s="15" t="str">
        <f t="shared" ca="1" si="132"/>
        <v/>
      </c>
      <c r="BD80" s="15" t="b">
        <f t="shared" ca="1" si="161"/>
        <v>0</v>
      </c>
      <c r="BE80" s="15" t="b">
        <f t="shared" si="162"/>
        <v>0</v>
      </c>
      <c r="BF80" s="15" t="str">
        <f t="shared" ca="1" si="163"/>
        <v/>
      </c>
      <c r="BG80" s="15" t="str">
        <f t="shared" si="164"/>
        <v/>
      </c>
      <c r="BH80" s="15" t="str">
        <f t="array" aca="1" ref="BH80" ca="1">IF(IFERROR( S80,1),1,IF(BC80="","", SUM(IF(ISERROR(INDIRECT(BC80)),1,0))))</f>
        <v/>
      </c>
      <c r="BI80" s="15" t="b">
        <f t="shared" si="165"/>
        <v>0</v>
      </c>
      <c r="BJ80" s="15" t="b">
        <f t="shared" si="166"/>
        <v>0</v>
      </c>
      <c r="BK80" s="15" t="str">
        <f t="shared" si="167"/>
        <v/>
      </c>
      <c r="BL80" s="15">
        <f t="shared" si="168"/>
        <v>4</v>
      </c>
      <c r="BP80" s="15" t="b">
        <f t="shared" si="133"/>
        <v>0</v>
      </c>
      <c r="BQ80" s="15" t="b">
        <f t="shared" si="134"/>
        <v>0</v>
      </c>
      <c r="BR80" s="15" t="str">
        <f t="shared" si="169"/>
        <v/>
      </c>
      <c r="BS80" s="15">
        <f t="shared" si="135"/>
        <v>0</v>
      </c>
      <c r="BT80" s="15" t="str">
        <f t="shared" si="136"/>
        <v/>
      </c>
      <c r="BV80" s="15" t="b">
        <f t="shared" ca="1" si="170"/>
        <v>0</v>
      </c>
      <c r="BW80" s="15" t="b">
        <f t="shared" ca="1" si="171"/>
        <v>0</v>
      </c>
      <c r="BX80" s="15" t="b">
        <f t="shared" ca="1" si="137"/>
        <v>0</v>
      </c>
      <c r="BY80" s="15" t="b">
        <f t="shared" ca="1" si="172"/>
        <v>0</v>
      </c>
      <c r="BZ80" s="15" t="b">
        <f t="shared" si="173"/>
        <v>0</v>
      </c>
      <c r="CA80" s="15" t="b">
        <f t="shared" si="174"/>
        <v>0</v>
      </c>
      <c r="CB80" s="15" t="b">
        <f t="shared" ca="1" si="175"/>
        <v>0</v>
      </c>
      <c r="CC80" s="15" t="b">
        <f t="shared" si="188"/>
        <v>0</v>
      </c>
      <c r="CD80" s="15" t="b">
        <f t="shared" si="188"/>
        <v>0</v>
      </c>
      <c r="CE80" s="15" t="b">
        <f t="shared" ca="1" si="176"/>
        <v>0</v>
      </c>
      <c r="CF80" s="15" t="b">
        <f t="shared" si="177"/>
        <v>0</v>
      </c>
      <c r="CG80" s="15" t="b">
        <f t="shared" si="178"/>
        <v>0</v>
      </c>
      <c r="CH80" s="15" t="b">
        <f t="shared" si="179"/>
        <v>0</v>
      </c>
      <c r="CI80" s="15" t="b">
        <f t="shared" si="180"/>
        <v>0</v>
      </c>
      <c r="CJ80" s="15" t="b">
        <f t="shared" si="181"/>
        <v>0</v>
      </c>
      <c r="CK80" s="15" t="b">
        <f t="shared" ca="1" si="189"/>
        <v>0</v>
      </c>
      <c r="CL80" s="15" t="b">
        <f t="shared" ca="1" si="189"/>
        <v>0</v>
      </c>
      <c r="CM80" s="15" t="b">
        <f t="shared" ca="1" si="189"/>
        <v>0</v>
      </c>
      <c r="CN80" s="15" t="b">
        <f t="shared" ca="1" si="189"/>
        <v>0</v>
      </c>
      <c r="CO80" s="15" t="b">
        <f t="shared" ca="1" si="189"/>
        <v>0</v>
      </c>
      <c r="CP80" s="15" t="b">
        <f t="shared" ca="1" si="189"/>
        <v>0</v>
      </c>
      <c r="CQ80" s="15" t="b">
        <f t="shared" ca="1" si="189"/>
        <v>0</v>
      </c>
      <c r="CR80" s="21" t="b">
        <f t="shared" ca="1" si="189"/>
        <v>0</v>
      </c>
      <c r="CS80" s="22" t="b">
        <f t="shared" ca="1" si="190"/>
        <v>0</v>
      </c>
      <c r="CT80" s="22" t="b">
        <f t="shared" ca="1" si="190"/>
        <v>0</v>
      </c>
      <c r="CU80" s="22" t="b">
        <f t="shared" ca="1" si="190"/>
        <v>0</v>
      </c>
      <c r="CV80" s="22" t="b">
        <f t="shared" ca="1" si="190"/>
        <v>0</v>
      </c>
      <c r="CW80" s="22" t="b">
        <f t="shared" ca="1" si="190"/>
        <v>0</v>
      </c>
      <c r="CX80" s="22" t="b">
        <f t="shared" ca="1" si="190"/>
        <v>0</v>
      </c>
      <c r="CY80" s="22" t="b">
        <f t="shared" ca="1" si="190"/>
        <v>0</v>
      </c>
      <c r="CZ80" s="21" t="b">
        <f t="shared" ca="1" si="190"/>
        <v>0</v>
      </c>
      <c r="DB80" s="22" t="b">
        <f t="shared" ca="1" si="184"/>
        <v>0</v>
      </c>
      <c r="DC80" s="22" t="b">
        <f t="shared" ca="1" si="191"/>
        <v>0</v>
      </c>
      <c r="DD80" s="22" t="b">
        <f t="shared" ca="1" si="191"/>
        <v>0</v>
      </c>
      <c r="DE80" s="22" t="b">
        <f t="shared" ca="1" si="191"/>
        <v>0</v>
      </c>
      <c r="DF80" s="22" t="b">
        <f t="shared" ca="1" si="191"/>
        <v>0</v>
      </c>
      <c r="DG80" s="22" t="b">
        <f t="shared" ca="1" si="191"/>
        <v>0</v>
      </c>
      <c r="DH80" s="22" t="b">
        <f t="shared" ca="1" si="191"/>
        <v>0</v>
      </c>
      <c r="DI80" s="22" t="b">
        <f t="shared" ca="1" si="191"/>
        <v>0</v>
      </c>
      <c r="DJ80" s="22" t="b">
        <f t="shared" ca="1" si="186"/>
        <v>0</v>
      </c>
      <c r="DK80" s="22"/>
      <c r="DO80" s="15" t="str">
        <f t="shared" ca="1" si="192"/>
        <v/>
      </c>
      <c r="DP80" s="15" t="str">
        <f t="shared" ca="1" si="192"/>
        <v/>
      </c>
      <c r="DQ80" s="15" t="str">
        <f t="shared" ca="1" si="192"/>
        <v/>
      </c>
      <c r="DR80" s="15" t="str">
        <f t="shared" ca="1" si="192"/>
        <v/>
      </c>
      <c r="DS80" s="15" t="str">
        <f t="shared" ca="1" si="192"/>
        <v/>
      </c>
      <c r="DT80" s="15" t="str">
        <f t="shared" ca="1" si="192"/>
        <v/>
      </c>
      <c r="DU80" s="15" t="str">
        <f t="shared" ca="1" si="192"/>
        <v/>
      </c>
      <c r="DV80" s="15" t="str">
        <f t="shared" ca="1" si="127"/>
        <v/>
      </c>
    </row>
    <row r="81" spans="1:126">
      <c r="A81" s="15">
        <f t="shared" si="194"/>
        <v>69</v>
      </c>
      <c r="B81" s="15" t="str">
        <f t="shared" si="124"/>
        <v/>
      </c>
      <c r="D81" s="15" t="str">
        <f t="shared" si="128"/>
        <v/>
      </c>
      <c r="M81" s="19"/>
      <c r="T81" s="15" t="str">
        <f t="shared" ca="1" si="129"/>
        <v/>
      </c>
      <c r="U81" s="15" t="str">
        <f t="shared" si="195"/>
        <v/>
      </c>
      <c r="AD81" s="16" t="b">
        <f t="shared" si="139"/>
        <v>0</v>
      </c>
      <c r="AE81" s="16" t="b">
        <f t="shared" si="140"/>
        <v>0</v>
      </c>
      <c r="AF81" s="15" t="str">
        <f t="shared" si="141"/>
        <v/>
      </c>
      <c r="AG81" s="15" t="str">
        <f t="shared" ca="1" si="142"/>
        <v/>
      </c>
      <c r="AH81" s="15" t="str">
        <f t="shared" ca="1" si="143"/>
        <v/>
      </c>
      <c r="AI81" s="15" t="b">
        <f t="shared" ca="1" si="144"/>
        <v>0</v>
      </c>
      <c r="AJ81" s="15" t="str">
        <f t="shared" ca="1" si="130"/>
        <v/>
      </c>
      <c r="AK81" s="27" t="str">
        <f t="shared" ca="1" si="145"/>
        <v/>
      </c>
      <c r="AL81" s="15" t="b">
        <f t="shared" ca="1" si="146"/>
        <v>0</v>
      </c>
      <c r="AM81" s="15" t="str">
        <f t="shared" ca="1" si="147"/>
        <v/>
      </c>
      <c r="AN81" s="15">
        <f t="shared" ca="1" si="148"/>
        <v>3</v>
      </c>
      <c r="AO81" s="15" t="str">
        <f t="shared" ca="1" si="131"/>
        <v/>
      </c>
      <c r="AP81" s="15" t="str">
        <f t="shared" ca="1" si="149"/>
        <v/>
      </c>
      <c r="AQ81" s="27">
        <f t="shared" si="150"/>
        <v>4</v>
      </c>
      <c r="AR81" s="15" t="b">
        <f t="shared" si="151"/>
        <v>0</v>
      </c>
      <c r="AS81" s="27" t="b">
        <f t="shared" si="152"/>
        <v>0</v>
      </c>
      <c r="AT81" s="27" t="b">
        <f t="shared" si="153"/>
        <v>0</v>
      </c>
      <c r="AU81" s="27" t="str">
        <f t="shared" si="154"/>
        <v/>
      </c>
      <c r="AV81" s="16" t="b">
        <f t="shared" si="155"/>
        <v>0</v>
      </c>
      <c r="AW81" s="15" t="str">
        <f t="shared" ca="1" si="193"/>
        <v/>
      </c>
      <c r="AX81" s="27" t="b">
        <f t="shared" ca="1" si="156"/>
        <v>0</v>
      </c>
      <c r="AY81" s="27" t="b">
        <f t="shared" ca="1" si="157"/>
        <v>0</v>
      </c>
      <c r="AZ81" s="15" t="b">
        <f t="shared" ca="1" si="158"/>
        <v>0</v>
      </c>
      <c r="BA81" s="15" t="b">
        <f t="shared" ca="1" si="159"/>
        <v>0</v>
      </c>
      <c r="BB81" s="15" t="str">
        <f t="shared" si="160"/>
        <v/>
      </c>
      <c r="BC81" s="15" t="str">
        <f t="shared" ca="1" si="132"/>
        <v/>
      </c>
      <c r="BD81" s="15" t="b">
        <f t="shared" ca="1" si="161"/>
        <v>0</v>
      </c>
      <c r="BE81" s="15" t="b">
        <f t="shared" si="162"/>
        <v>0</v>
      </c>
      <c r="BF81" s="15" t="str">
        <f t="shared" ca="1" si="163"/>
        <v/>
      </c>
      <c r="BG81" s="15" t="str">
        <f t="shared" si="164"/>
        <v/>
      </c>
      <c r="BH81" s="15" t="str">
        <f t="array" aca="1" ref="BH81" ca="1">IF(IFERROR( S81,1),1,IF(BC81="","", SUM(IF(ISERROR(INDIRECT(BC81)),1,0))))</f>
        <v/>
      </c>
      <c r="BI81" s="15" t="b">
        <f t="shared" si="165"/>
        <v>0</v>
      </c>
      <c r="BJ81" s="15" t="b">
        <f t="shared" si="166"/>
        <v>0</v>
      </c>
      <c r="BK81" s="15" t="str">
        <f t="shared" si="167"/>
        <v/>
      </c>
      <c r="BL81" s="15">
        <f t="shared" si="168"/>
        <v>4</v>
      </c>
      <c r="BP81" s="15" t="b">
        <f t="shared" si="133"/>
        <v>0</v>
      </c>
      <c r="BQ81" s="15" t="b">
        <f t="shared" si="134"/>
        <v>0</v>
      </c>
      <c r="BR81" s="15" t="str">
        <f t="shared" si="169"/>
        <v/>
      </c>
      <c r="BS81" s="15">
        <f t="shared" si="135"/>
        <v>0</v>
      </c>
      <c r="BT81" s="15" t="str">
        <f t="shared" si="136"/>
        <v/>
      </c>
      <c r="BV81" s="15" t="b">
        <f t="shared" ca="1" si="170"/>
        <v>0</v>
      </c>
      <c r="BW81" s="15" t="b">
        <f t="shared" ca="1" si="171"/>
        <v>0</v>
      </c>
      <c r="BX81" s="15" t="b">
        <f t="shared" ca="1" si="137"/>
        <v>0</v>
      </c>
      <c r="BY81" s="15" t="b">
        <f t="shared" ca="1" si="172"/>
        <v>0</v>
      </c>
      <c r="BZ81" s="15" t="b">
        <f t="shared" si="173"/>
        <v>0</v>
      </c>
      <c r="CA81" s="15" t="b">
        <f t="shared" si="174"/>
        <v>0</v>
      </c>
      <c r="CB81" s="15" t="b">
        <f t="shared" ca="1" si="175"/>
        <v>0</v>
      </c>
      <c r="CC81" s="15" t="b">
        <f t="shared" si="188"/>
        <v>0</v>
      </c>
      <c r="CD81" s="15" t="b">
        <f t="shared" si="188"/>
        <v>0</v>
      </c>
      <c r="CE81" s="15" t="b">
        <f t="shared" ca="1" si="176"/>
        <v>0</v>
      </c>
      <c r="CF81" s="15" t="b">
        <f t="shared" si="177"/>
        <v>0</v>
      </c>
      <c r="CG81" s="15" t="b">
        <f t="shared" si="178"/>
        <v>0</v>
      </c>
      <c r="CH81" s="15" t="b">
        <f t="shared" si="179"/>
        <v>0</v>
      </c>
      <c r="CI81" s="15" t="b">
        <f t="shared" si="180"/>
        <v>0</v>
      </c>
      <c r="CJ81" s="15" t="b">
        <f t="shared" si="181"/>
        <v>0</v>
      </c>
      <c r="CK81" s="15" t="b">
        <f t="shared" ca="1" si="189"/>
        <v>0</v>
      </c>
      <c r="CL81" s="15" t="b">
        <f t="shared" ca="1" si="189"/>
        <v>0</v>
      </c>
      <c r="CM81" s="15" t="b">
        <f t="shared" ca="1" si="189"/>
        <v>0</v>
      </c>
      <c r="CN81" s="15" t="b">
        <f t="shared" ca="1" si="189"/>
        <v>0</v>
      </c>
      <c r="CO81" s="15" t="b">
        <f t="shared" ca="1" si="189"/>
        <v>0</v>
      </c>
      <c r="CP81" s="15" t="b">
        <f t="shared" ca="1" si="189"/>
        <v>0</v>
      </c>
      <c r="CQ81" s="15" t="b">
        <f t="shared" ca="1" si="189"/>
        <v>0</v>
      </c>
      <c r="CR81" s="21" t="b">
        <f t="shared" ca="1" si="189"/>
        <v>0</v>
      </c>
      <c r="CS81" s="22" t="b">
        <f t="shared" ca="1" si="190"/>
        <v>0</v>
      </c>
      <c r="CT81" s="22" t="b">
        <f t="shared" ca="1" si="190"/>
        <v>0</v>
      </c>
      <c r="CU81" s="22" t="b">
        <f t="shared" ca="1" si="190"/>
        <v>0</v>
      </c>
      <c r="CV81" s="22" t="b">
        <f t="shared" ca="1" si="190"/>
        <v>0</v>
      </c>
      <c r="CW81" s="22" t="b">
        <f t="shared" ca="1" si="190"/>
        <v>0</v>
      </c>
      <c r="CX81" s="22" t="b">
        <f t="shared" ca="1" si="190"/>
        <v>0</v>
      </c>
      <c r="CY81" s="22" t="b">
        <f t="shared" ca="1" si="190"/>
        <v>0</v>
      </c>
      <c r="CZ81" s="21" t="b">
        <f t="shared" ca="1" si="190"/>
        <v>0</v>
      </c>
      <c r="DB81" s="22" t="b">
        <f t="shared" ca="1" si="184"/>
        <v>0</v>
      </c>
      <c r="DC81" s="22" t="b">
        <f t="shared" ca="1" si="191"/>
        <v>0</v>
      </c>
      <c r="DD81" s="22" t="b">
        <f t="shared" ca="1" si="191"/>
        <v>0</v>
      </c>
      <c r="DE81" s="22" t="b">
        <f t="shared" ca="1" si="191"/>
        <v>0</v>
      </c>
      <c r="DF81" s="22" t="b">
        <f t="shared" ca="1" si="191"/>
        <v>0</v>
      </c>
      <c r="DG81" s="22" t="b">
        <f t="shared" ca="1" si="191"/>
        <v>0</v>
      </c>
      <c r="DH81" s="22" t="b">
        <f t="shared" ca="1" si="191"/>
        <v>0</v>
      </c>
      <c r="DI81" s="22" t="b">
        <f t="shared" ca="1" si="191"/>
        <v>0</v>
      </c>
      <c r="DJ81" s="22" t="b">
        <f t="shared" ca="1" si="186"/>
        <v>0</v>
      </c>
      <c r="DK81" s="22"/>
      <c r="DO81" s="15" t="str">
        <f t="shared" ca="1" si="192"/>
        <v/>
      </c>
      <c r="DP81" s="15" t="str">
        <f t="shared" ca="1" si="192"/>
        <v/>
      </c>
      <c r="DQ81" s="15" t="str">
        <f t="shared" ca="1" si="192"/>
        <v/>
      </c>
      <c r="DR81" s="15" t="str">
        <f t="shared" ca="1" si="192"/>
        <v/>
      </c>
      <c r="DS81" s="15" t="str">
        <f t="shared" ca="1" si="192"/>
        <v/>
      </c>
      <c r="DT81" s="15" t="str">
        <f t="shared" ca="1" si="192"/>
        <v/>
      </c>
      <c r="DU81" s="15" t="str">
        <f t="shared" ca="1" si="192"/>
        <v/>
      </c>
      <c r="DV81" s="15" t="str">
        <f t="shared" ca="1" si="127"/>
        <v/>
      </c>
    </row>
    <row r="82" spans="1:126">
      <c r="A82" s="15">
        <f t="shared" si="194"/>
        <v>70</v>
      </c>
      <c r="B82" s="15" t="str">
        <f t="shared" si="124"/>
        <v/>
      </c>
      <c r="D82" s="15" t="str">
        <f t="shared" si="128"/>
        <v/>
      </c>
      <c r="M82" s="19"/>
      <c r="T82" s="15" t="str">
        <f t="shared" ca="1" si="129"/>
        <v/>
      </c>
      <c r="U82" s="15" t="str">
        <f t="shared" si="195"/>
        <v/>
      </c>
      <c r="AD82" s="16" t="b">
        <f t="shared" si="139"/>
        <v>0</v>
      </c>
      <c r="AE82" s="16" t="b">
        <f t="shared" si="140"/>
        <v>0</v>
      </c>
      <c r="AF82" s="15" t="str">
        <f t="shared" si="141"/>
        <v/>
      </c>
      <c r="AG82" s="15" t="str">
        <f t="shared" ca="1" si="142"/>
        <v/>
      </c>
      <c r="AH82" s="15" t="str">
        <f t="shared" ca="1" si="143"/>
        <v/>
      </c>
      <c r="AI82" s="15" t="b">
        <f t="shared" ca="1" si="144"/>
        <v>0</v>
      </c>
      <c r="AJ82" s="15" t="str">
        <f t="shared" ca="1" si="130"/>
        <v/>
      </c>
      <c r="AK82" s="27" t="str">
        <f t="shared" ca="1" si="145"/>
        <v/>
      </c>
      <c r="AL82" s="15" t="b">
        <f t="shared" ca="1" si="146"/>
        <v>0</v>
      </c>
      <c r="AM82" s="15" t="str">
        <f t="shared" ca="1" si="147"/>
        <v/>
      </c>
      <c r="AN82" s="15">
        <f t="shared" ca="1" si="148"/>
        <v>3</v>
      </c>
      <c r="AO82" s="15" t="str">
        <f t="shared" ca="1" si="131"/>
        <v/>
      </c>
      <c r="AP82" s="15" t="str">
        <f t="shared" ca="1" si="149"/>
        <v/>
      </c>
      <c r="AQ82" s="27">
        <f t="shared" si="150"/>
        <v>4</v>
      </c>
      <c r="AR82" s="15" t="b">
        <f t="shared" si="151"/>
        <v>0</v>
      </c>
      <c r="AS82" s="27" t="b">
        <f t="shared" si="152"/>
        <v>0</v>
      </c>
      <c r="AT82" s="27" t="b">
        <f t="shared" si="153"/>
        <v>0</v>
      </c>
      <c r="AU82" s="27" t="str">
        <f t="shared" si="154"/>
        <v/>
      </c>
      <c r="AV82" s="16" t="b">
        <f t="shared" si="155"/>
        <v>0</v>
      </c>
      <c r="AW82" s="15" t="str">
        <f t="shared" ca="1" si="193"/>
        <v/>
      </c>
      <c r="AX82" s="27" t="b">
        <f t="shared" ca="1" si="156"/>
        <v>0</v>
      </c>
      <c r="AY82" s="27" t="b">
        <f t="shared" ca="1" si="157"/>
        <v>0</v>
      </c>
      <c r="AZ82" s="15" t="b">
        <f t="shared" ca="1" si="158"/>
        <v>0</v>
      </c>
      <c r="BA82" s="15" t="b">
        <f t="shared" ca="1" si="159"/>
        <v>0</v>
      </c>
      <c r="BB82" s="15" t="str">
        <f t="shared" si="160"/>
        <v/>
      </c>
      <c r="BC82" s="15" t="str">
        <f t="shared" ca="1" si="132"/>
        <v/>
      </c>
      <c r="BD82" s="15" t="b">
        <f t="shared" ca="1" si="161"/>
        <v>0</v>
      </c>
      <c r="BE82" s="15" t="b">
        <f t="shared" si="162"/>
        <v>0</v>
      </c>
      <c r="BF82" s="15" t="str">
        <f t="shared" ca="1" si="163"/>
        <v/>
      </c>
      <c r="BG82" s="15" t="str">
        <f t="shared" si="164"/>
        <v/>
      </c>
      <c r="BH82" s="15" t="str">
        <f t="array" aca="1" ref="BH82" ca="1">IF(IFERROR( S82,1),1,IF(BC82="","", SUM(IF(ISERROR(INDIRECT(BC82)),1,0))))</f>
        <v/>
      </c>
      <c r="BI82" s="15" t="b">
        <f t="shared" si="165"/>
        <v>0</v>
      </c>
      <c r="BJ82" s="15" t="b">
        <f t="shared" si="166"/>
        <v>0</v>
      </c>
      <c r="BK82" s="15" t="str">
        <f t="shared" si="167"/>
        <v/>
      </c>
      <c r="BL82" s="15">
        <f t="shared" si="168"/>
        <v>4</v>
      </c>
      <c r="BP82" s="15" t="b">
        <f t="shared" si="133"/>
        <v>0</v>
      </c>
      <c r="BQ82" s="15" t="b">
        <f t="shared" si="134"/>
        <v>0</v>
      </c>
      <c r="BR82" s="15" t="str">
        <f t="shared" si="169"/>
        <v/>
      </c>
      <c r="BS82" s="15">
        <f t="shared" si="135"/>
        <v>0</v>
      </c>
      <c r="BT82" s="15" t="str">
        <f t="shared" si="136"/>
        <v/>
      </c>
      <c r="BV82" s="15" t="b">
        <f t="shared" ca="1" si="170"/>
        <v>0</v>
      </c>
      <c r="BW82" s="15" t="b">
        <f t="shared" ca="1" si="171"/>
        <v>0</v>
      </c>
      <c r="BX82" s="15" t="b">
        <f t="shared" ca="1" si="137"/>
        <v>0</v>
      </c>
      <c r="BY82" s="15" t="b">
        <f t="shared" ca="1" si="172"/>
        <v>0</v>
      </c>
      <c r="BZ82" s="15" t="b">
        <f t="shared" si="173"/>
        <v>0</v>
      </c>
      <c r="CA82" s="15" t="b">
        <f t="shared" si="174"/>
        <v>0</v>
      </c>
      <c r="CB82" s="15" t="b">
        <f t="shared" ca="1" si="175"/>
        <v>0</v>
      </c>
      <c r="CC82" s="15" t="b">
        <f t="shared" si="188"/>
        <v>0</v>
      </c>
      <c r="CD82" s="15" t="b">
        <f t="shared" si="188"/>
        <v>0</v>
      </c>
      <c r="CE82" s="15" t="b">
        <f t="shared" ca="1" si="176"/>
        <v>0</v>
      </c>
      <c r="CF82" s="15" t="b">
        <f t="shared" si="177"/>
        <v>0</v>
      </c>
      <c r="CG82" s="15" t="b">
        <f t="shared" si="178"/>
        <v>0</v>
      </c>
      <c r="CH82" s="15" t="b">
        <f t="shared" si="179"/>
        <v>0</v>
      </c>
      <c r="CI82" s="15" t="b">
        <f t="shared" si="180"/>
        <v>0</v>
      </c>
      <c r="CJ82" s="15" t="b">
        <f t="shared" si="181"/>
        <v>0</v>
      </c>
      <c r="CK82" s="15" t="b">
        <f t="shared" ca="1" si="189"/>
        <v>0</v>
      </c>
      <c r="CL82" s="15" t="b">
        <f t="shared" ca="1" si="189"/>
        <v>0</v>
      </c>
      <c r="CM82" s="15" t="b">
        <f t="shared" ca="1" si="189"/>
        <v>0</v>
      </c>
      <c r="CN82" s="15" t="b">
        <f t="shared" ca="1" si="189"/>
        <v>0</v>
      </c>
      <c r="CO82" s="15" t="b">
        <f t="shared" ca="1" si="189"/>
        <v>0</v>
      </c>
      <c r="CP82" s="15" t="b">
        <f t="shared" ca="1" si="189"/>
        <v>0</v>
      </c>
      <c r="CQ82" s="15" t="b">
        <f t="shared" ca="1" si="189"/>
        <v>0</v>
      </c>
      <c r="CR82" s="21" t="b">
        <f t="shared" ca="1" si="189"/>
        <v>0</v>
      </c>
      <c r="CS82" s="22" t="b">
        <f t="shared" ca="1" si="190"/>
        <v>0</v>
      </c>
      <c r="CT82" s="22" t="b">
        <f t="shared" ca="1" si="190"/>
        <v>0</v>
      </c>
      <c r="CU82" s="22" t="b">
        <f t="shared" ca="1" si="190"/>
        <v>0</v>
      </c>
      <c r="CV82" s="22" t="b">
        <f t="shared" ca="1" si="190"/>
        <v>0</v>
      </c>
      <c r="CW82" s="22" t="b">
        <f t="shared" ca="1" si="190"/>
        <v>0</v>
      </c>
      <c r="CX82" s="22" t="b">
        <f t="shared" ca="1" si="190"/>
        <v>0</v>
      </c>
      <c r="CY82" s="22" t="b">
        <f t="shared" ca="1" si="190"/>
        <v>0</v>
      </c>
      <c r="CZ82" s="21" t="b">
        <f t="shared" ca="1" si="190"/>
        <v>0</v>
      </c>
      <c r="DB82" s="22" t="b">
        <f t="shared" ca="1" si="184"/>
        <v>0</v>
      </c>
      <c r="DC82" s="22" t="b">
        <f t="shared" ca="1" si="191"/>
        <v>0</v>
      </c>
      <c r="DD82" s="22" t="b">
        <f t="shared" ca="1" si="191"/>
        <v>0</v>
      </c>
      <c r="DE82" s="22" t="b">
        <f t="shared" ca="1" si="191"/>
        <v>0</v>
      </c>
      <c r="DF82" s="22" t="b">
        <f t="shared" ca="1" si="191"/>
        <v>0</v>
      </c>
      <c r="DG82" s="22" t="b">
        <f t="shared" ca="1" si="191"/>
        <v>0</v>
      </c>
      <c r="DH82" s="22" t="b">
        <f t="shared" ca="1" si="191"/>
        <v>0</v>
      </c>
      <c r="DI82" s="22" t="b">
        <f t="shared" ca="1" si="191"/>
        <v>0</v>
      </c>
      <c r="DJ82" s="22" t="b">
        <f t="shared" ca="1" si="186"/>
        <v>0</v>
      </c>
      <c r="DK82" s="22"/>
      <c r="DO82" s="15" t="str">
        <f t="shared" ca="1" si="192"/>
        <v/>
      </c>
      <c r="DP82" s="15" t="str">
        <f t="shared" ca="1" si="192"/>
        <v/>
      </c>
      <c r="DQ82" s="15" t="str">
        <f t="shared" ca="1" si="192"/>
        <v/>
      </c>
      <c r="DR82" s="15" t="str">
        <f t="shared" ca="1" si="192"/>
        <v/>
      </c>
      <c r="DS82" s="15" t="str">
        <f t="shared" ca="1" si="192"/>
        <v/>
      </c>
      <c r="DT82" s="15" t="str">
        <f t="shared" ca="1" si="192"/>
        <v/>
      </c>
      <c r="DU82" s="15" t="str">
        <f t="shared" ca="1" si="192"/>
        <v/>
      </c>
      <c r="DV82" s="15" t="str">
        <f t="shared" ca="1" si="127"/>
        <v/>
      </c>
    </row>
    <row r="83" spans="1:126">
      <c r="A83" s="15">
        <f t="shared" si="194"/>
        <v>71</v>
      </c>
      <c r="B83" s="15" t="str">
        <f t="shared" ref="B83:B97" si="196">IF(AD83,IF(BS83&gt;0,BT83,IF(DA83,"Pole zależy od pól, które zależą od zamkniętego workbooka","ok.")),"")</f>
        <v/>
      </c>
      <c r="D83" s="15" t="str">
        <f t="shared" si="128"/>
        <v/>
      </c>
      <c r="M83" s="19"/>
      <c r="T83" s="15" t="str">
        <f t="shared" ca="1" si="129"/>
        <v/>
      </c>
      <c r="U83" s="15" t="str">
        <f t="shared" si="195"/>
        <v/>
      </c>
      <c r="AD83" s="16" t="b">
        <f t="shared" si="139"/>
        <v>0</v>
      </c>
      <c r="AE83" s="16" t="b">
        <f t="shared" si="140"/>
        <v>0</v>
      </c>
      <c r="AF83" s="15" t="str">
        <f t="shared" si="141"/>
        <v/>
      </c>
      <c r="AG83" s="15" t="str">
        <f t="shared" ca="1" si="142"/>
        <v/>
      </c>
      <c r="AH83" s="15" t="str">
        <f t="shared" ca="1" si="143"/>
        <v/>
      </c>
      <c r="AI83" s="15" t="b">
        <f t="shared" ca="1" si="144"/>
        <v>0</v>
      </c>
      <c r="AJ83" s="15" t="str">
        <f t="shared" ca="1" si="130"/>
        <v/>
      </c>
      <c r="AK83" s="27" t="str">
        <f t="shared" ca="1" si="145"/>
        <v/>
      </c>
      <c r="AL83" s="15" t="b">
        <f t="shared" ca="1" si="146"/>
        <v>0</v>
      </c>
      <c r="AM83" s="15" t="str">
        <f t="shared" ca="1" si="147"/>
        <v/>
      </c>
      <c r="AN83" s="15">
        <f t="shared" ca="1" si="148"/>
        <v>3</v>
      </c>
      <c r="AO83" s="15" t="str">
        <f t="shared" ca="1" si="131"/>
        <v/>
      </c>
      <c r="AP83" s="15" t="str">
        <f t="shared" ca="1" si="149"/>
        <v/>
      </c>
      <c r="AQ83" s="27">
        <f t="shared" si="150"/>
        <v>4</v>
      </c>
      <c r="AR83" s="15" t="b">
        <f t="shared" si="151"/>
        <v>0</v>
      </c>
      <c r="AS83" s="27" t="b">
        <f t="shared" si="152"/>
        <v>0</v>
      </c>
      <c r="AT83" s="27" t="b">
        <f t="shared" si="153"/>
        <v>0</v>
      </c>
      <c r="AU83" s="27" t="str">
        <f t="shared" si="154"/>
        <v/>
      </c>
      <c r="AV83" s="16" t="b">
        <f t="shared" si="155"/>
        <v>0</v>
      </c>
      <c r="AW83" s="15" t="str">
        <f t="shared" ca="1" si="193"/>
        <v/>
      </c>
      <c r="AX83" s="27" t="b">
        <f t="shared" ca="1" si="156"/>
        <v>0</v>
      </c>
      <c r="AY83" s="27" t="b">
        <f t="shared" ca="1" si="157"/>
        <v>0</v>
      </c>
      <c r="AZ83" s="15" t="b">
        <f t="shared" ca="1" si="158"/>
        <v>0</v>
      </c>
      <c r="BA83" s="15" t="b">
        <f t="shared" ca="1" si="159"/>
        <v>0</v>
      </c>
      <c r="BB83" s="15" t="str">
        <f t="shared" si="160"/>
        <v/>
      </c>
      <c r="BC83" s="15" t="str">
        <f t="shared" ca="1" si="132"/>
        <v/>
      </c>
      <c r="BD83" s="15" t="b">
        <f t="shared" ca="1" si="161"/>
        <v>0</v>
      </c>
      <c r="BE83" s="15" t="b">
        <f t="shared" si="162"/>
        <v>0</v>
      </c>
      <c r="BF83" s="15" t="str">
        <f t="shared" ca="1" si="163"/>
        <v/>
      </c>
      <c r="BG83" s="15" t="str">
        <f t="shared" si="164"/>
        <v/>
      </c>
      <c r="BH83" s="15" t="str">
        <f t="array" aca="1" ref="BH83" ca="1">IF(IFERROR( S83,1),1,IF(BC83="","", SUM(IF(ISERROR(INDIRECT(BC83)),1,0))))</f>
        <v/>
      </c>
      <c r="BI83" s="15" t="b">
        <f t="shared" si="165"/>
        <v>0</v>
      </c>
      <c r="BJ83" s="15" t="b">
        <f t="shared" si="166"/>
        <v>0</v>
      </c>
      <c r="BK83" s="15" t="str">
        <f t="shared" si="167"/>
        <v/>
      </c>
      <c r="BL83" s="15">
        <f t="shared" si="168"/>
        <v>4</v>
      </c>
      <c r="BP83" s="15" t="b">
        <f t="shared" si="133"/>
        <v>0</v>
      </c>
      <c r="BQ83" s="15" t="b">
        <f t="shared" si="134"/>
        <v>0</v>
      </c>
      <c r="BR83" s="15" t="str">
        <f t="shared" si="169"/>
        <v/>
      </c>
      <c r="BS83" s="15">
        <f t="shared" si="135"/>
        <v>0</v>
      </c>
      <c r="BT83" s="15" t="str">
        <f t="shared" si="136"/>
        <v/>
      </c>
      <c r="BV83" s="15" t="b">
        <f t="shared" ca="1" si="170"/>
        <v>0</v>
      </c>
      <c r="BW83" s="15" t="b">
        <f t="shared" ca="1" si="171"/>
        <v>0</v>
      </c>
      <c r="BX83" s="15" t="b">
        <f t="shared" ca="1" si="137"/>
        <v>0</v>
      </c>
      <c r="BY83" s="15" t="b">
        <f t="shared" ca="1" si="172"/>
        <v>0</v>
      </c>
      <c r="BZ83" s="15" t="b">
        <f t="shared" si="173"/>
        <v>0</v>
      </c>
      <c r="CA83" s="15" t="b">
        <f t="shared" si="174"/>
        <v>0</v>
      </c>
      <c r="CB83" s="15" t="b">
        <f t="shared" ca="1" si="175"/>
        <v>0</v>
      </c>
      <c r="CC83" s="15" t="b">
        <f t="shared" si="188"/>
        <v>0</v>
      </c>
      <c r="CD83" s="15" t="b">
        <f t="shared" si="188"/>
        <v>0</v>
      </c>
      <c r="CE83" s="15" t="b">
        <f t="shared" ca="1" si="176"/>
        <v>0</v>
      </c>
      <c r="CF83" s="15" t="b">
        <f t="shared" si="177"/>
        <v>0</v>
      </c>
      <c r="CG83" s="15" t="b">
        <f t="shared" si="178"/>
        <v>0</v>
      </c>
      <c r="CH83" s="15" t="b">
        <f t="shared" si="179"/>
        <v>0</v>
      </c>
      <c r="CI83" s="15" t="b">
        <f t="shared" si="180"/>
        <v>0</v>
      </c>
      <c r="CJ83" s="15" t="b">
        <f t="shared" si="181"/>
        <v>0</v>
      </c>
      <c r="CK83" s="15" t="b">
        <f t="shared" ca="1" si="189"/>
        <v>0</v>
      </c>
      <c r="CL83" s="15" t="b">
        <f t="shared" ca="1" si="189"/>
        <v>0</v>
      </c>
      <c r="CM83" s="15" t="b">
        <f t="shared" ca="1" si="189"/>
        <v>0</v>
      </c>
      <c r="CN83" s="15" t="b">
        <f t="shared" ca="1" si="189"/>
        <v>0</v>
      </c>
      <c r="CO83" s="15" t="b">
        <f t="shared" ca="1" si="189"/>
        <v>0</v>
      </c>
      <c r="CP83" s="15" t="b">
        <f t="shared" ca="1" si="189"/>
        <v>0</v>
      </c>
      <c r="CQ83" s="15" t="b">
        <f t="shared" ca="1" si="189"/>
        <v>0</v>
      </c>
      <c r="CR83" s="21" t="b">
        <f t="shared" ca="1" si="189"/>
        <v>0</v>
      </c>
      <c r="CS83" s="22" t="b">
        <f t="shared" ca="1" si="190"/>
        <v>0</v>
      </c>
      <c r="CT83" s="22" t="b">
        <f t="shared" ca="1" si="190"/>
        <v>0</v>
      </c>
      <c r="CU83" s="22" t="b">
        <f t="shared" ca="1" si="190"/>
        <v>0</v>
      </c>
      <c r="CV83" s="22" t="b">
        <f t="shared" ca="1" si="190"/>
        <v>0</v>
      </c>
      <c r="CW83" s="22" t="b">
        <f t="shared" ca="1" si="190"/>
        <v>0</v>
      </c>
      <c r="CX83" s="22" t="b">
        <f t="shared" ca="1" si="190"/>
        <v>0</v>
      </c>
      <c r="CY83" s="22" t="b">
        <f t="shared" ca="1" si="190"/>
        <v>0</v>
      </c>
      <c r="CZ83" s="21" t="b">
        <f t="shared" ca="1" si="190"/>
        <v>0</v>
      </c>
      <c r="DB83" s="22" t="b">
        <f t="shared" ca="1" si="184"/>
        <v>0</v>
      </c>
      <c r="DC83" s="22" t="b">
        <f t="shared" ca="1" si="191"/>
        <v>0</v>
      </c>
      <c r="DD83" s="22" t="b">
        <f t="shared" ca="1" si="191"/>
        <v>0</v>
      </c>
      <c r="DE83" s="22" t="b">
        <f t="shared" ca="1" si="191"/>
        <v>0</v>
      </c>
      <c r="DF83" s="22" t="b">
        <f t="shared" ca="1" si="191"/>
        <v>0</v>
      </c>
      <c r="DG83" s="22" t="b">
        <f t="shared" ca="1" si="191"/>
        <v>0</v>
      </c>
      <c r="DH83" s="22" t="b">
        <f t="shared" ca="1" si="191"/>
        <v>0</v>
      </c>
      <c r="DI83" s="22" t="b">
        <f t="shared" ca="1" si="191"/>
        <v>0</v>
      </c>
      <c r="DJ83" s="22" t="b">
        <f t="shared" ca="1" si="186"/>
        <v>0</v>
      </c>
      <c r="DK83" s="22"/>
      <c r="DO83" s="15" t="str">
        <f t="shared" ca="1" si="192"/>
        <v/>
      </c>
      <c r="DP83" s="15" t="str">
        <f t="shared" ca="1" si="192"/>
        <v/>
      </c>
      <c r="DQ83" s="15" t="str">
        <f t="shared" ca="1" si="192"/>
        <v/>
      </c>
      <c r="DR83" s="15" t="str">
        <f t="shared" ca="1" si="192"/>
        <v/>
      </c>
      <c r="DS83" s="15" t="str">
        <f t="shared" ca="1" si="192"/>
        <v/>
      </c>
      <c r="DT83" s="15" t="str">
        <f t="shared" ca="1" si="192"/>
        <v/>
      </c>
      <c r="DU83" s="15" t="str">
        <f t="shared" ca="1" si="192"/>
        <v/>
      </c>
      <c r="DV83" s="15" t="str">
        <f t="shared" ca="1" si="192"/>
        <v/>
      </c>
    </row>
    <row r="84" spans="1:126">
      <c r="A84" s="15">
        <f t="shared" si="194"/>
        <v>72</v>
      </c>
      <c r="B84" s="15" t="str">
        <f t="shared" si="196"/>
        <v/>
      </c>
      <c r="D84" s="15" t="str">
        <f t="shared" si="128"/>
        <v/>
      </c>
      <c r="M84" s="19"/>
      <c r="T84" s="15" t="str">
        <f t="shared" ca="1" si="129"/>
        <v/>
      </c>
      <c r="U84" s="15" t="str">
        <f t="shared" si="195"/>
        <v/>
      </c>
      <c r="AD84" s="16" t="b">
        <f t="shared" si="139"/>
        <v>0</v>
      </c>
      <c r="AE84" s="16" t="b">
        <f t="shared" si="140"/>
        <v>0</v>
      </c>
      <c r="AF84" s="15" t="str">
        <f t="shared" si="141"/>
        <v/>
      </c>
      <c r="AG84" s="15" t="str">
        <f t="shared" ca="1" si="142"/>
        <v/>
      </c>
      <c r="AH84" s="15" t="str">
        <f t="shared" ca="1" si="143"/>
        <v/>
      </c>
      <c r="AI84" s="15" t="b">
        <f t="shared" ca="1" si="144"/>
        <v>0</v>
      </c>
      <c r="AJ84" s="15" t="str">
        <f t="shared" ca="1" si="130"/>
        <v/>
      </c>
      <c r="AK84" s="27" t="str">
        <f t="shared" ca="1" si="145"/>
        <v/>
      </c>
      <c r="AL84" s="15" t="b">
        <f t="shared" ca="1" si="146"/>
        <v>0</v>
      </c>
      <c r="AM84" s="15" t="str">
        <f t="shared" ca="1" si="147"/>
        <v/>
      </c>
      <c r="AN84" s="15">
        <f t="shared" ca="1" si="148"/>
        <v>3</v>
      </c>
      <c r="AO84" s="15" t="str">
        <f t="shared" ca="1" si="131"/>
        <v/>
      </c>
      <c r="AP84" s="15" t="str">
        <f t="shared" ca="1" si="149"/>
        <v/>
      </c>
      <c r="AQ84" s="27">
        <f t="shared" si="150"/>
        <v>4</v>
      </c>
      <c r="AR84" s="15" t="b">
        <f t="shared" si="151"/>
        <v>0</v>
      </c>
      <c r="AS84" s="27" t="b">
        <f t="shared" si="152"/>
        <v>0</v>
      </c>
      <c r="AT84" s="27" t="b">
        <f t="shared" si="153"/>
        <v>0</v>
      </c>
      <c r="AU84" s="27" t="str">
        <f t="shared" si="154"/>
        <v/>
      </c>
      <c r="AV84" s="16" t="b">
        <f t="shared" si="155"/>
        <v>0</v>
      </c>
      <c r="AW84" s="15" t="str">
        <f t="shared" ca="1" si="193"/>
        <v/>
      </c>
      <c r="AX84" s="27" t="b">
        <f t="shared" ca="1" si="156"/>
        <v>0</v>
      </c>
      <c r="AY84" s="27" t="b">
        <f t="shared" ca="1" si="157"/>
        <v>0</v>
      </c>
      <c r="AZ84" s="15" t="b">
        <f t="shared" ca="1" si="158"/>
        <v>0</v>
      </c>
      <c r="BA84" s="15" t="b">
        <f t="shared" ca="1" si="159"/>
        <v>0</v>
      </c>
      <c r="BB84" s="15" t="str">
        <f t="shared" si="160"/>
        <v/>
      </c>
      <c r="BC84" s="15" t="str">
        <f t="shared" ca="1" si="132"/>
        <v/>
      </c>
      <c r="BD84" s="15" t="b">
        <f t="shared" ca="1" si="161"/>
        <v>0</v>
      </c>
      <c r="BE84" s="15" t="b">
        <f t="shared" si="162"/>
        <v>0</v>
      </c>
      <c r="BF84" s="15" t="str">
        <f t="shared" ca="1" si="163"/>
        <v/>
      </c>
      <c r="BG84" s="15" t="str">
        <f t="shared" si="164"/>
        <v/>
      </c>
      <c r="BH84" s="15" t="str">
        <f t="array" aca="1" ref="BH84" ca="1">IF(IFERROR( S84,1),1,IF(BC84="","", SUM(IF(ISERROR(INDIRECT(BC84)),1,0))))</f>
        <v/>
      </c>
      <c r="BI84" s="15" t="b">
        <f t="shared" si="165"/>
        <v>0</v>
      </c>
      <c r="BJ84" s="15" t="b">
        <f t="shared" si="166"/>
        <v>0</v>
      </c>
      <c r="BK84" s="15" t="str">
        <f t="shared" si="167"/>
        <v/>
      </c>
      <c r="BL84" s="15">
        <f t="shared" si="168"/>
        <v>4</v>
      </c>
      <c r="BP84" s="15" t="b">
        <f t="shared" si="133"/>
        <v>0</v>
      </c>
      <c r="BQ84" s="15" t="b">
        <f t="shared" si="134"/>
        <v>0</v>
      </c>
      <c r="BR84" s="15" t="str">
        <f t="shared" si="169"/>
        <v/>
      </c>
      <c r="BS84" s="15">
        <f t="shared" si="135"/>
        <v>0</v>
      </c>
      <c r="BT84" s="15" t="str">
        <f t="shared" si="136"/>
        <v/>
      </c>
      <c r="BV84" s="15" t="b">
        <f t="shared" ca="1" si="170"/>
        <v>0</v>
      </c>
      <c r="BW84" s="15" t="b">
        <f t="shared" ca="1" si="171"/>
        <v>0</v>
      </c>
      <c r="BX84" s="15" t="b">
        <f t="shared" ca="1" si="137"/>
        <v>0</v>
      </c>
      <c r="BY84" s="15" t="b">
        <f t="shared" ca="1" si="172"/>
        <v>0</v>
      </c>
      <c r="BZ84" s="15" t="b">
        <f t="shared" si="173"/>
        <v>0</v>
      </c>
      <c r="CA84" s="15" t="b">
        <f t="shared" si="174"/>
        <v>0</v>
      </c>
      <c r="CB84" s="15" t="b">
        <f t="shared" ca="1" si="175"/>
        <v>0</v>
      </c>
      <c r="CC84" s="15" t="b">
        <f t="shared" si="188"/>
        <v>0</v>
      </c>
      <c r="CD84" s="15" t="b">
        <f t="shared" si="188"/>
        <v>0</v>
      </c>
      <c r="CE84" s="15" t="b">
        <f t="shared" ca="1" si="176"/>
        <v>0</v>
      </c>
      <c r="CF84" s="15" t="b">
        <f t="shared" si="177"/>
        <v>0</v>
      </c>
      <c r="CG84" s="15" t="b">
        <f t="shared" si="178"/>
        <v>0</v>
      </c>
      <c r="CH84" s="15" t="b">
        <f t="shared" si="179"/>
        <v>0</v>
      </c>
      <c r="CI84" s="15" t="b">
        <f t="shared" si="180"/>
        <v>0</v>
      </c>
      <c r="CJ84" s="15" t="b">
        <f t="shared" si="181"/>
        <v>0</v>
      </c>
      <c r="CK84" s="15" t="b">
        <f t="shared" ca="1" si="189"/>
        <v>0</v>
      </c>
      <c r="CL84" s="15" t="b">
        <f t="shared" ca="1" si="189"/>
        <v>0</v>
      </c>
      <c r="CM84" s="15" t="b">
        <f t="shared" ca="1" si="189"/>
        <v>0</v>
      </c>
      <c r="CN84" s="15" t="b">
        <f t="shared" ca="1" si="189"/>
        <v>0</v>
      </c>
      <c r="CO84" s="15" t="b">
        <f t="shared" ca="1" si="189"/>
        <v>0</v>
      </c>
      <c r="CP84" s="15" t="b">
        <f t="shared" ca="1" si="189"/>
        <v>0</v>
      </c>
      <c r="CQ84" s="15" t="b">
        <f t="shared" ca="1" si="189"/>
        <v>0</v>
      </c>
      <c r="CR84" s="21" t="b">
        <f t="shared" ca="1" si="189"/>
        <v>0</v>
      </c>
      <c r="CS84" s="22" t="b">
        <f t="shared" ca="1" si="190"/>
        <v>0</v>
      </c>
      <c r="CT84" s="22" t="b">
        <f t="shared" ca="1" si="190"/>
        <v>0</v>
      </c>
      <c r="CU84" s="22" t="b">
        <f t="shared" ca="1" si="190"/>
        <v>0</v>
      </c>
      <c r="CV84" s="22" t="b">
        <f t="shared" ca="1" si="190"/>
        <v>0</v>
      </c>
      <c r="CW84" s="22" t="b">
        <f t="shared" ca="1" si="190"/>
        <v>0</v>
      </c>
      <c r="CX84" s="22" t="b">
        <f t="shared" ca="1" si="190"/>
        <v>0</v>
      </c>
      <c r="CY84" s="22" t="b">
        <f t="shared" ca="1" si="190"/>
        <v>0</v>
      </c>
      <c r="CZ84" s="21" t="b">
        <f t="shared" ca="1" si="190"/>
        <v>0</v>
      </c>
      <c r="DB84" s="22" t="b">
        <f t="shared" ca="1" si="184"/>
        <v>0</v>
      </c>
      <c r="DC84" s="22" t="b">
        <f t="shared" ca="1" si="191"/>
        <v>0</v>
      </c>
      <c r="DD84" s="22" t="b">
        <f t="shared" ca="1" si="191"/>
        <v>0</v>
      </c>
      <c r="DE84" s="22" t="b">
        <f t="shared" ca="1" si="191"/>
        <v>0</v>
      </c>
      <c r="DF84" s="22" t="b">
        <f t="shared" ca="1" si="191"/>
        <v>0</v>
      </c>
      <c r="DG84" s="22" t="b">
        <f t="shared" ca="1" si="191"/>
        <v>0</v>
      </c>
      <c r="DH84" s="22" t="b">
        <f t="shared" ca="1" si="191"/>
        <v>0</v>
      </c>
      <c r="DI84" s="22" t="b">
        <f t="shared" ca="1" si="191"/>
        <v>0</v>
      </c>
      <c r="DJ84" s="22" t="b">
        <f t="shared" ca="1" si="186"/>
        <v>0</v>
      </c>
      <c r="DK84" s="22"/>
      <c r="DO84" s="15" t="str">
        <f t="shared" ca="1" si="192"/>
        <v/>
      </c>
      <c r="DP84" s="15" t="str">
        <f t="shared" ca="1" si="192"/>
        <v/>
      </c>
      <c r="DQ84" s="15" t="str">
        <f t="shared" ca="1" si="192"/>
        <v/>
      </c>
      <c r="DR84" s="15" t="str">
        <f t="shared" ca="1" si="192"/>
        <v/>
      </c>
      <c r="DS84" s="15" t="str">
        <f t="shared" ca="1" si="192"/>
        <v/>
      </c>
      <c r="DT84" s="15" t="str">
        <f t="shared" ca="1" si="192"/>
        <v/>
      </c>
      <c r="DU84" s="15" t="str">
        <f t="shared" ca="1" si="192"/>
        <v/>
      </c>
      <c r="DV84" s="15" t="str">
        <f t="shared" ca="1" si="192"/>
        <v/>
      </c>
    </row>
    <row r="85" spans="1:126">
      <c r="A85" s="15">
        <f t="shared" si="194"/>
        <v>73</v>
      </c>
      <c r="B85" s="15" t="str">
        <f t="shared" si="196"/>
        <v/>
      </c>
      <c r="D85" s="15" t="str">
        <f t="shared" si="128"/>
        <v/>
      </c>
      <c r="M85" s="19"/>
      <c r="T85" s="15" t="str">
        <f t="shared" ca="1" si="129"/>
        <v/>
      </c>
      <c r="U85" s="15" t="str">
        <f t="shared" si="195"/>
        <v/>
      </c>
      <c r="AD85" s="16" t="b">
        <f t="shared" si="139"/>
        <v>0</v>
      </c>
      <c r="AE85" s="16" t="b">
        <f t="shared" si="140"/>
        <v>0</v>
      </c>
      <c r="AF85" s="15" t="str">
        <f t="shared" si="141"/>
        <v/>
      </c>
      <c r="AG85" s="15" t="str">
        <f t="shared" ca="1" si="142"/>
        <v/>
      </c>
      <c r="AH85" s="15" t="str">
        <f t="shared" ca="1" si="143"/>
        <v/>
      </c>
      <c r="AI85" s="15" t="b">
        <f t="shared" ca="1" si="144"/>
        <v>0</v>
      </c>
      <c r="AJ85" s="15" t="str">
        <f t="shared" ca="1" si="130"/>
        <v/>
      </c>
      <c r="AK85" s="27" t="str">
        <f t="shared" ca="1" si="145"/>
        <v/>
      </c>
      <c r="AL85" s="15" t="b">
        <f t="shared" ca="1" si="146"/>
        <v>0</v>
      </c>
      <c r="AM85" s="15" t="str">
        <f t="shared" ca="1" si="147"/>
        <v/>
      </c>
      <c r="AN85" s="15">
        <f t="shared" ca="1" si="148"/>
        <v>3</v>
      </c>
      <c r="AO85" s="15" t="str">
        <f t="shared" ca="1" si="131"/>
        <v/>
      </c>
      <c r="AP85" s="15" t="str">
        <f t="shared" ca="1" si="149"/>
        <v/>
      </c>
      <c r="AQ85" s="27">
        <f t="shared" si="150"/>
        <v>4</v>
      </c>
      <c r="AR85" s="15" t="b">
        <f t="shared" si="151"/>
        <v>0</v>
      </c>
      <c r="AS85" s="27" t="b">
        <f t="shared" si="152"/>
        <v>0</v>
      </c>
      <c r="AT85" s="27" t="b">
        <f t="shared" si="153"/>
        <v>0</v>
      </c>
      <c r="AU85" s="27" t="str">
        <f t="shared" si="154"/>
        <v/>
      </c>
      <c r="AV85" s="16" t="b">
        <f t="shared" si="155"/>
        <v>0</v>
      </c>
      <c r="AW85" s="15" t="str">
        <f t="shared" ca="1" si="193"/>
        <v/>
      </c>
      <c r="AX85" s="27" t="b">
        <f t="shared" ca="1" si="156"/>
        <v>0</v>
      </c>
      <c r="AY85" s="27" t="b">
        <f t="shared" ca="1" si="157"/>
        <v>0</v>
      </c>
      <c r="AZ85" s="15" t="b">
        <f t="shared" ca="1" si="158"/>
        <v>0</v>
      </c>
      <c r="BA85" s="15" t="b">
        <f t="shared" ca="1" si="159"/>
        <v>0</v>
      </c>
      <c r="BB85" s="15" t="str">
        <f t="shared" si="160"/>
        <v/>
      </c>
      <c r="BC85" s="15" t="str">
        <f t="shared" ca="1" si="132"/>
        <v/>
      </c>
      <c r="BD85" s="15" t="b">
        <f t="shared" ca="1" si="161"/>
        <v>0</v>
      </c>
      <c r="BE85" s="15" t="b">
        <f t="shared" si="162"/>
        <v>0</v>
      </c>
      <c r="BF85" s="15" t="str">
        <f t="shared" ca="1" si="163"/>
        <v/>
      </c>
      <c r="BG85" s="15" t="str">
        <f t="shared" si="164"/>
        <v/>
      </c>
      <c r="BH85" s="15" t="str">
        <f t="array" aca="1" ref="BH85" ca="1">IF(IFERROR( S85,1),1,IF(BC85="","", SUM(IF(ISERROR(INDIRECT(BC85)),1,0))))</f>
        <v/>
      </c>
      <c r="BI85" s="15" t="b">
        <f t="shared" si="165"/>
        <v>0</v>
      </c>
      <c r="BJ85" s="15" t="b">
        <f t="shared" si="166"/>
        <v>0</v>
      </c>
      <c r="BK85" s="15" t="str">
        <f t="shared" si="167"/>
        <v/>
      </c>
      <c r="BL85" s="15">
        <f t="shared" si="168"/>
        <v>4</v>
      </c>
      <c r="BP85" s="15" t="b">
        <f t="shared" si="133"/>
        <v>0</v>
      </c>
      <c r="BQ85" s="15" t="b">
        <f t="shared" si="134"/>
        <v>0</v>
      </c>
      <c r="BR85" s="15" t="str">
        <f t="shared" si="169"/>
        <v/>
      </c>
      <c r="BS85" s="15">
        <f t="shared" si="135"/>
        <v>0</v>
      </c>
      <c r="BT85" s="15" t="str">
        <f t="shared" ref="BT85:BT97" si="197">IF(BS85&gt;0,INDEX(BU$10:CZ$10,BS85),"")</f>
        <v/>
      </c>
      <c r="BV85" s="15" t="b">
        <f t="shared" ca="1" si="170"/>
        <v>0</v>
      </c>
      <c r="BW85" s="15" t="b">
        <f t="shared" ca="1" si="171"/>
        <v>0</v>
      </c>
      <c r="BX85" s="15" t="b">
        <f t="shared" ca="1" si="137"/>
        <v>0</v>
      </c>
      <c r="BY85" s="15" t="b">
        <f t="shared" ca="1" si="172"/>
        <v>0</v>
      </c>
      <c r="BZ85" s="15" t="b">
        <f t="shared" si="173"/>
        <v>0</v>
      </c>
      <c r="CA85" s="15" t="b">
        <f t="shared" si="174"/>
        <v>0</v>
      </c>
      <c r="CB85" s="15" t="b">
        <f t="shared" ca="1" si="175"/>
        <v>0</v>
      </c>
      <c r="CC85" s="15" t="b">
        <f t="shared" si="188"/>
        <v>0</v>
      </c>
      <c r="CD85" s="15" t="b">
        <f t="shared" si="188"/>
        <v>0</v>
      </c>
      <c r="CE85" s="15" t="b">
        <f t="shared" ca="1" si="176"/>
        <v>0</v>
      </c>
      <c r="CF85" s="15" t="b">
        <f t="shared" si="177"/>
        <v>0</v>
      </c>
      <c r="CG85" s="15" t="b">
        <f t="shared" si="178"/>
        <v>0</v>
      </c>
      <c r="CH85" s="15" t="b">
        <f t="shared" si="179"/>
        <v>0</v>
      </c>
      <c r="CI85" s="15" t="b">
        <f t="shared" si="180"/>
        <v>0</v>
      </c>
      <c r="CJ85" s="15" t="b">
        <f t="shared" si="181"/>
        <v>0</v>
      </c>
      <c r="CK85" s="15" t="b">
        <f t="shared" ca="1" si="189"/>
        <v>0</v>
      </c>
      <c r="CL85" s="15" t="b">
        <f t="shared" ca="1" si="189"/>
        <v>0</v>
      </c>
      <c r="CM85" s="15" t="b">
        <f t="shared" ca="1" si="189"/>
        <v>0</v>
      </c>
      <c r="CN85" s="15" t="b">
        <f t="shared" ca="1" si="189"/>
        <v>0</v>
      </c>
      <c r="CO85" s="15" t="b">
        <f t="shared" ca="1" si="189"/>
        <v>0</v>
      </c>
      <c r="CP85" s="15" t="b">
        <f t="shared" ca="1" si="189"/>
        <v>0</v>
      </c>
      <c r="CQ85" s="15" t="b">
        <f t="shared" ca="1" si="189"/>
        <v>0</v>
      </c>
      <c r="CR85" s="21" t="b">
        <f t="shared" ca="1" si="189"/>
        <v>0</v>
      </c>
      <c r="CS85" s="22" t="b">
        <f t="shared" ca="1" si="190"/>
        <v>0</v>
      </c>
      <c r="CT85" s="22" t="b">
        <f t="shared" ca="1" si="190"/>
        <v>0</v>
      </c>
      <c r="CU85" s="22" t="b">
        <f t="shared" ca="1" si="190"/>
        <v>0</v>
      </c>
      <c r="CV85" s="22" t="b">
        <f t="shared" ca="1" si="190"/>
        <v>0</v>
      </c>
      <c r="CW85" s="22" t="b">
        <f t="shared" ca="1" si="190"/>
        <v>0</v>
      </c>
      <c r="CX85" s="22" t="b">
        <f t="shared" ca="1" si="190"/>
        <v>0</v>
      </c>
      <c r="CY85" s="22" t="b">
        <f t="shared" ca="1" si="190"/>
        <v>0</v>
      </c>
      <c r="CZ85" s="21" t="b">
        <f t="shared" ca="1" si="190"/>
        <v>0</v>
      </c>
      <c r="DB85" s="22" t="b">
        <f t="shared" ca="1" si="184"/>
        <v>0</v>
      </c>
      <c r="DC85" s="22" t="b">
        <f t="shared" ca="1" si="191"/>
        <v>0</v>
      </c>
      <c r="DD85" s="22" t="b">
        <f t="shared" ca="1" si="191"/>
        <v>0</v>
      </c>
      <c r="DE85" s="22" t="b">
        <f t="shared" ca="1" si="191"/>
        <v>0</v>
      </c>
      <c r="DF85" s="22" t="b">
        <f t="shared" ca="1" si="191"/>
        <v>0</v>
      </c>
      <c r="DG85" s="22" t="b">
        <f t="shared" ca="1" si="191"/>
        <v>0</v>
      </c>
      <c r="DH85" s="22" t="b">
        <f t="shared" ca="1" si="191"/>
        <v>0</v>
      </c>
      <c r="DI85" s="22" t="b">
        <f t="shared" ca="1" si="191"/>
        <v>0</v>
      </c>
      <c r="DJ85" s="22" t="b">
        <f t="shared" ca="1" si="186"/>
        <v>0</v>
      </c>
      <c r="DK85" s="22"/>
      <c r="DO85" s="15" t="str">
        <f t="shared" ca="1" si="192"/>
        <v/>
      </c>
      <c r="DP85" s="15" t="str">
        <f t="shared" ca="1" si="192"/>
        <v/>
      </c>
      <c r="DQ85" s="15" t="str">
        <f t="shared" ca="1" si="192"/>
        <v/>
      </c>
      <c r="DR85" s="15" t="str">
        <f t="shared" ca="1" si="192"/>
        <v/>
      </c>
      <c r="DS85" s="15" t="str">
        <f t="shared" ca="1" si="192"/>
        <v/>
      </c>
      <c r="DT85" s="15" t="str">
        <f t="shared" ca="1" si="192"/>
        <v/>
      </c>
      <c r="DU85" s="15" t="str">
        <f t="shared" ca="1" si="192"/>
        <v/>
      </c>
      <c r="DV85" s="15" t="str">
        <f t="shared" ca="1" si="192"/>
        <v/>
      </c>
    </row>
    <row r="86" spans="1:126">
      <c r="A86" s="15">
        <f t="shared" si="194"/>
        <v>74</v>
      </c>
      <c r="B86" s="15" t="str">
        <f t="shared" si="196"/>
        <v/>
      </c>
      <c r="D86" s="15" t="str">
        <f t="shared" ref="D86:D97" si="198">IF(C86="","",C86)</f>
        <v/>
      </c>
      <c r="M86" s="19"/>
      <c r="T86" s="15" t="str">
        <f t="shared" ca="1" si="129"/>
        <v/>
      </c>
      <c r="U86" s="15" t="str">
        <f t="shared" si="195"/>
        <v/>
      </c>
      <c r="AD86" s="16" t="b">
        <f t="shared" si="139"/>
        <v>0</v>
      </c>
      <c r="AE86" s="16" t="b">
        <f t="shared" si="140"/>
        <v>0</v>
      </c>
      <c r="AF86" s="15" t="str">
        <f t="shared" si="141"/>
        <v/>
      </c>
      <c r="AG86" s="15" t="str">
        <f t="shared" ca="1" si="142"/>
        <v/>
      </c>
      <c r="AH86" s="15" t="str">
        <f t="shared" ca="1" si="143"/>
        <v/>
      </c>
      <c r="AI86" s="15" t="b">
        <f t="shared" ca="1" si="144"/>
        <v>0</v>
      </c>
      <c r="AJ86" s="15" t="str">
        <f t="shared" ref="AJ86:AJ97" ca="1" si="199">IF(AE86,INDIRECT(ADDRESS(ROW($T$4),COLUMN($T$4),,,AF86)),"")</f>
        <v/>
      </c>
      <c r="AK86" s="27" t="str">
        <f t="shared" ca="1" si="145"/>
        <v/>
      </c>
      <c r="AL86" s="15" t="b">
        <f t="shared" ca="1" si="146"/>
        <v>0</v>
      </c>
      <c r="AM86" s="15" t="str">
        <f t="shared" ca="1" si="147"/>
        <v/>
      </c>
      <c r="AN86" s="15">
        <f t="shared" ca="1" si="148"/>
        <v>3</v>
      </c>
      <c r="AO86" s="15" t="str">
        <f t="shared" ref="AO86:AO97" ca="1" si="200">IF(AE86,INDIRECT(ADDRESS(ROW($BS$4),COLUMN($BS$4),,,AF86)),"")</f>
        <v/>
      </c>
      <c r="AP86" s="15" t="str">
        <f t="shared" ca="1" si="149"/>
        <v/>
      </c>
      <c r="AQ86" s="27">
        <f t="shared" si="150"/>
        <v>4</v>
      </c>
      <c r="AR86" s="15" t="b">
        <f t="shared" si="151"/>
        <v>0</v>
      </c>
      <c r="AS86" s="27" t="b">
        <f t="shared" si="152"/>
        <v>0</v>
      </c>
      <c r="AT86" s="27" t="b">
        <f t="shared" si="153"/>
        <v>0</v>
      </c>
      <c r="AU86" s="27" t="str">
        <f t="shared" si="154"/>
        <v/>
      </c>
      <c r="AV86" s="16" t="b">
        <f t="shared" si="155"/>
        <v>0</v>
      </c>
      <c r="AW86" s="15" t="str">
        <f t="shared" ca="1" si="193"/>
        <v/>
      </c>
      <c r="AX86" s="27" t="b">
        <f t="shared" ca="1" si="156"/>
        <v>0</v>
      </c>
      <c r="AY86" s="27" t="b">
        <f t="shared" ca="1" si="157"/>
        <v>0</v>
      </c>
      <c r="AZ86" s="15" t="b">
        <f t="shared" ca="1" si="158"/>
        <v>0</v>
      </c>
      <c r="BA86" s="15" t="b">
        <f t="shared" ca="1" si="159"/>
        <v>0</v>
      </c>
      <c r="BB86" s="15" t="str">
        <f t="shared" si="160"/>
        <v/>
      </c>
      <c r="BC86" s="15" t="str">
        <f t="shared" ref="BC86:BC97" ca="1" si="201">IFERROR(IF(MIN(AZ86:BA86)&lt;=0,"",  BB86 &amp; IF(AND(OR(AZ86&gt;1,BA86&gt;1),AQ86=1), ":" &amp; ADDRESS(ROW(INDIRECT(BB86)) +BA86-1,COLUMN(INDIRECT(BB86))+AZ86-1),"")),"")</f>
        <v/>
      </c>
      <c r="BD86" s="15" t="b">
        <f t="shared" ca="1" si="161"/>
        <v>0</v>
      </c>
      <c r="BE86" s="15" t="b">
        <f t="shared" si="162"/>
        <v>0</v>
      </c>
      <c r="BF86" s="15" t="str">
        <f t="shared" ca="1" si="163"/>
        <v/>
      </c>
      <c r="BG86" s="15" t="str">
        <f t="shared" si="164"/>
        <v/>
      </c>
      <c r="BH86" s="15" t="str">
        <f t="array" aca="1" ref="BH86" ca="1">IF(IFERROR( S86,1),1,IF(BC86="","", SUM(IF(ISERROR(INDIRECT(BC86)),1,0))))</f>
        <v/>
      </c>
      <c r="BI86" s="15" t="b">
        <f t="shared" si="165"/>
        <v>0</v>
      </c>
      <c r="BJ86" s="15" t="b">
        <f t="shared" si="166"/>
        <v>0</v>
      </c>
      <c r="BK86" s="15" t="str">
        <f t="shared" si="167"/>
        <v/>
      </c>
      <c r="BL86" s="15">
        <f t="shared" si="168"/>
        <v>4</v>
      </c>
      <c r="BP86" s="15" t="b">
        <f t="shared" ref="BP86:BP97" si="202">IF(AD86,IF(M86="",TRUE,NOT(M86)),FALSE)</f>
        <v>0</v>
      </c>
      <c r="BQ86" s="15" t="b">
        <f t="shared" ref="BQ86:BQ97" si="203">IF(BP86,OR(BU86:CZ86),FALSE)</f>
        <v>0</v>
      </c>
      <c r="BR86" s="15" t="str">
        <f t="shared" si="169"/>
        <v/>
      </c>
      <c r="BS86" s="15">
        <f t="shared" ref="BS86:BS97" si="204">IF(BP86,IF(BQ86,BR86,IF(AQ86=2,AP86,0)),0)</f>
        <v>0</v>
      </c>
      <c r="BT86" s="15" t="str">
        <f t="shared" si="197"/>
        <v/>
      </c>
      <c r="BV86" s="15" t="b">
        <f t="shared" ca="1" si="170"/>
        <v>0</v>
      </c>
      <c r="BW86" s="15" t="b">
        <f t="shared" ca="1" si="171"/>
        <v>0</v>
      </c>
      <c r="BX86" s="15" t="b">
        <f t="shared" ref="BX86:BX97" ca="1" si="205">IFERROR(IF(AE86,IFERROR(INDIRECT(ADDRESS(ROW($B$2),COLUMN($B$2),4,,AF86))&lt;&gt;$B$2,TRUE)),FALSE)</f>
        <v>0</v>
      </c>
      <c r="BY86" s="15" t="b">
        <f t="shared" ca="1" si="172"/>
        <v>0</v>
      </c>
      <c r="BZ86" s="15" t="b">
        <f t="shared" si="173"/>
        <v>0</v>
      </c>
      <c r="CA86" s="15" t="b">
        <f t="shared" si="174"/>
        <v>0</v>
      </c>
      <c r="CB86" s="15" t="b">
        <f t="shared" ca="1" si="175"/>
        <v>0</v>
      </c>
      <c r="CC86" s="15" t="b">
        <f t="shared" si="188"/>
        <v>0</v>
      </c>
      <c r="CD86" s="15" t="b">
        <f t="shared" si="188"/>
        <v>0</v>
      </c>
      <c r="CE86" s="15" t="b">
        <f t="shared" ca="1" si="176"/>
        <v>0</v>
      </c>
      <c r="CF86" s="15" t="b">
        <f t="shared" si="177"/>
        <v>0</v>
      </c>
      <c r="CG86" s="15" t="b">
        <f t="shared" si="178"/>
        <v>0</v>
      </c>
      <c r="CH86" s="15" t="b">
        <f t="shared" si="179"/>
        <v>0</v>
      </c>
      <c r="CI86" s="15" t="b">
        <f t="shared" si="180"/>
        <v>0</v>
      </c>
      <c r="CJ86" s="15" t="b">
        <f t="shared" si="181"/>
        <v>0</v>
      </c>
      <c r="CK86" s="15" t="b">
        <f t="shared" ca="1" si="189"/>
        <v>0</v>
      </c>
      <c r="CL86" s="15" t="b">
        <f t="shared" ca="1" si="189"/>
        <v>0</v>
      </c>
      <c r="CM86" s="15" t="b">
        <f t="shared" ca="1" si="189"/>
        <v>0</v>
      </c>
      <c r="CN86" s="15" t="b">
        <f t="shared" ca="1" si="189"/>
        <v>0</v>
      </c>
      <c r="CO86" s="15" t="b">
        <f t="shared" ca="1" si="189"/>
        <v>0</v>
      </c>
      <c r="CP86" s="15" t="b">
        <f t="shared" ca="1" si="189"/>
        <v>0</v>
      </c>
      <c r="CQ86" s="15" t="b">
        <f t="shared" ca="1" si="189"/>
        <v>0</v>
      </c>
      <c r="CR86" s="21" t="b">
        <f t="shared" ca="1" si="189"/>
        <v>0</v>
      </c>
      <c r="CS86" s="22" t="b">
        <f t="shared" ca="1" si="190"/>
        <v>0</v>
      </c>
      <c r="CT86" s="22" t="b">
        <f t="shared" ca="1" si="190"/>
        <v>0</v>
      </c>
      <c r="CU86" s="22" t="b">
        <f t="shared" ca="1" si="190"/>
        <v>0</v>
      </c>
      <c r="CV86" s="22" t="b">
        <f t="shared" ca="1" si="190"/>
        <v>0</v>
      </c>
      <c r="CW86" s="22" t="b">
        <f t="shared" ca="1" si="190"/>
        <v>0</v>
      </c>
      <c r="CX86" s="22" t="b">
        <f t="shared" ca="1" si="190"/>
        <v>0</v>
      </c>
      <c r="CY86" s="22" t="b">
        <f t="shared" ca="1" si="190"/>
        <v>0</v>
      </c>
      <c r="CZ86" s="21" t="b">
        <f t="shared" ca="1" si="190"/>
        <v>0</v>
      </c>
      <c r="DB86" s="22" t="b">
        <f t="shared" ca="1" si="184"/>
        <v>0</v>
      </c>
      <c r="DC86" s="22" t="b">
        <f t="shared" ca="1" si="191"/>
        <v>0</v>
      </c>
      <c r="DD86" s="22" t="b">
        <f t="shared" ca="1" si="191"/>
        <v>0</v>
      </c>
      <c r="DE86" s="22" t="b">
        <f t="shared" ca="1" si="191"/>
        <v>0</v>
      </c>
      <c r="DF86" s="22" t="b">
        <f t="shared" ca="1" si="191"/>
        <v>0</v>
      </c>
      <c r="DG86" s="22" t="b">
        <f t="shared" ca="1" si="191"/>
        <v>0</v>
      </c>
      <c r="DH86" s="22" t="b">
        <f t="shared" ca="1" si="191"/>
        <v>0</v>
      </c>
      <c r="DI86" s="22" t="b">
        <f t="shared" ca="1" si="191"/>
        <v>0</v>
      </c>
      <c r="DJ86" s="22" t="b">
        <f t="shared" ca="1" si="186"/>
        <v>0</v>
      </c>
      <c r="DK86" s="22"/>
      <c r="DO86" s="15" t="str">
        <f t="shared" ca="1" si="192"/>
        <v/>
      </c>
      <c r="DP86" s="15" t="str">
        <f t="shared" ca="1" si="192"/>
        <v/>
      </c>
      <c r="DQ86" s="15" t="str">
        <f t="shared" ca="1" si="192"/>
        <v/>
      </c>
      <c r="DR86" s="15" t="str">
        <f t="shared" ca="1" si="192"/>
        <v/>
      </c>
      <c r="DS86" s="15" t="str">
        <f t="shared" ca="1" si="192"/>
        <v/>
      </c>
      <c r="DT86" s="15" t="str">
        <f t="shared" ca="1" si="192"/>
        <v/>
      </c>
      <c r="DU86" s="15" t="str">
        <f t="shared" ca="1" si="192"/>
        <v/>
      </c>
      <c r="DV86" s="15" t="str">
        <f t="shared" ca="1" si="192"/>
        <v/>
      </c>
    </row>
    <row r="87" spans="1:126">
      <c r="A87" s="15">
        <f t="shared" si="194"/>
        <v>75</v>
      </c>
      <c r="B87" s="15" t="str">
        <f t="shared" si="196"/>
        <v/>
      </c>
      <c r="D87" s="15" t="str">
        <f t="shared" si="198"/>
        <v/>
      </c>
      <c r="M87" s="19"/>
      <c r="T87" s="15" t="str">
        <f t="shared" ca="1" si="129"/>
        <v/>
      </c>
      <c r="U87" s="15" t="str">
        <f t="shared" si="195"/>
        <v/>
      </c>
      <c r="AD87" s="16" t="b">
        <f t="shared" si="139"/>
        <v>0</v>
      </c>
      <c r="AE87" s="16" t="b">
        <f t="shared" si="140"/>
        <v>0</v>
      </c>
      <c r="AF87" s="15" t="str">
        <f t="shared" si="141"/>
        <v/>
      </c>
      <c r="AG87" s="15" t="str">
        <f t="shared" ca="1" si="142"/>
        <v/>
      </c>
      <c r="AH87" s="15" t="str">
        <f t="shared" ca="1" si="143"/>
        <v/>
      </c>
      <c r="AI87" s="15" t="b">
        <f t="shared" ca="1" si="144"/>
        <v>0</v>
      </c>
      <c r="AJ87" s="15" t="str">
        <f t="shared" ca="1" si="199"/>
        <v/>
      </c>
      <c r="AK87" s="27" t="str">
        <f t="shared" ca="1" si="145"/>
        <v/>
      </c>
      <c r="AL87" s="15" t="b">
        <f t="shared" ca="1" si="146"/>
        <v>0</v>
      </c>
      <c r="AM87" s="15" t="str">
        <f t="shared" ca="1" si="147"/>
        <v/>
      </c>
      <c r="AN87" s="15">
        <f t="shared" ca="1" si="148"/>
        <v>3</v>
      </c>
      <c r="AO87" s="15" t="str">
        <f t="shared" ca="1" si="200"/>
        <v/>
      </c>
      <c r="AP87" s="15" t="str">
        <f t="shared" ca="1" si="149"/>
        <v/>
      </c>
      <c r="AQ87" s="27">
        <f t="shared" si="150"/>
        <v>4</v>
      </c>
      <c r="AR87" s="15" t="b">
        <f t="shared" si="151"/>
        <v>0</v>
      </c>
      <c r="AS87" s="27" t="b">
        <f t="shared" si="152"/>
        <v>0</v>
      </c>
      <c r="AT87" s="27" t="b">
        <f t="shared" si="153"/>
        <v>0</v>
      </c>
      <c r="AU87" s="27" t="str">
        <f t="shared" si="154"/>
        <v/>
      </c>
      <c r="AV87" s="16" t="b">
        <f t="shared" si="155"/>
        <v>0</v>
      </c>
      <c r="AW87" s="15" t="str">
        <f t="shared" ca="1" si="193"/>
        <v/>
      </c>
      <c r="AX87" s="27" t="b">
        <f t="shared" ca="1" si="156"/>
        <v>0</v>
      </c>
      <c r="AY87" s="27" t="b">
        <f t="shared" ca="1" si="157"/>
        <v>0</v>
      </c>
      <c r="AZ87" s="15" t="b">
        <f t="shared" ca="1" si="158"/>
        <v>0</v>
      </c>
      <c r="BA87" s="15" t="b">
        <f t="shared" ca="1" si="159"/>
        <v>0</v>
      </c>
      <c r="BB87" s="15" t="str">
        <f t="shared" si="160"/>
        <v/>
      </c>
      <c r="BC87" s="15" t="str">
        <f t="shared" ca="1" si="201"/>
        <v/>
      </c>
      <c r="BD87" s="15" t="b">
        <f t="shared" ca="1" si="161"/>
        <v>0</v>
      </c>
      <c r="BE87" s="15" t="b">
        <f t="shared" si="162"/>
        <v>0</v>
      </c>
      <c r="BF87" s="15" t="str">
        <f t="shared" ca="1" si="163"/>
        <v/>
      </c>
      <c r="BG87" s="15" t="str">
        <f t="shared" si="164"/>
        <v/>
      </c>
      <c r="BH87" s="15" t="str">
        <f t="array" aca="1" ref="BH87" ca="1">IF(IFERROR( S87,1),1,IF(BC87="","", SUM(IF(ISERROR(INDIRECT(BC87)),1,0))))</f>
        <v/>
      </c>
      <c r="BI87" s="15" t="b">
        <f t="shared" si="165"/>
        <v>0</v>
      </c>
      <c r="BJ87" s="15" t="b">
        <f t="shared" si="166"/>
        <v>0</v>
      </c>
      <c r="BK87" s="15" t="str">
        <f t="shared" si="167"/>
        <v/>
      </c>
      <c r="BL87" s="15">
        <f t="shared" si="168"/>
        <v>4</v>
      </c>
      <c r="BP87" s="15" t="b">
        <f t="shared" si="202"/>
        <v>0</v>
      </c>
      <c r="BQ87" s="15" t="b">
        <f t="shared" si="203"/>
        <v>0</v>
      </c>
      <c r="BR87" s="15" t="str">
        <f t="shared" si="169"/>
        <v/>
      </c>
      <c r="BS87" s="15">
        <f t="shared" si="204"/>
        <v>0</v>
      </c>
      <c r="BT87" s="15" t="str">
        <f t="shared" si="197"/>
        <v/>
      </c>
      <c r="BV87" s="15" t="b">
        <f t="shared" ca="1" si="170"/>
        <v>0</v>
      </c>
      <c r="BW87" s="15" t="b">
        <f t="shared" ca="1" si="171"/>
        <v>0</v>
      </c>
      <c r="BX87" s="15" t="b">
        <f t="shared" ca="1" si="205"/>
        <v>0</v>
      </c>
      <c r="BY87" s="15" t="b">
        <f t="shared" ca="1" si="172"/>
        <v>0</v>
      </c>
      <c r="BZ87" s="15" t="b">
        <f t="shared" si="173"/>
        <v>0</v>
      </c>
      <c r="CA87" s="15" t="b">
        <f t="shared" si="174"/>
        <v>0</v>
      </c>
      <c r="CB87" s="15" t="b">
        <f t="shared" ca="1" si="175"/>
        <v>0</v>
      </c>
      <c r="CC87" s="15" t="b">
        <f t="shared" si="188"/>
        <v>0</v>
      </c>
      <c r="CD87" s="15" t="b">
        <f t="shared" si="188"/>
        <v>0</v>
      </c>
      <c r="CE87" s="15" t="b">
        <f t="shared" ca="1" si="176"/>
        <v>0</v>
      </c>
      <c r="CF87" s="15" t="b">
        <f t="shared" si="177"/>
        <v>0</v>
      </c>
      <c r="CG87" s="15" t="b">
        <f t="shared" si="178"/>
        <v>0</v>
      </c>
      <c r="CH87" s="15" t="b">
        <f t="shared" si="179"/>
        <v>0</v>
      </c>
      <c r="CI87" s="15" t="b">
        <f t="shared" si="180"/>
        <v>0</v>
      </c>
      <c r="CJ87" s="15" t="b">
        <f t="shared" si="181"/>
        <v>0</v>
      </c>
      <c r="CK87" s="15" t="b">
        <f t="shared" ca="1" si="189"/>
        <v>0</v>
      </c>
      <c r="CL87" s="15" t="b">
        <f t="shared" ca="1" si="189"/>
        <v>0</v>
      </c>
      <c r="CM87" s="15" t="b">
        <f t="shared" ca="1" si="189"/>
        <v>0</v>
      </c>
      <c r="CN87" s="15" t="b">
        <f t="shared" ca="1" si="189"/>
        <v>0</v>
      </c>
      <c r="CO87" s="15" t="b">
        <f t="shared" ca="1" si="189"/>
        <v>0</v>
      </c>
      <c r="CP87" s="15" t="b">
        <f t="shared" ca="1" si="189"/>
        <v>0</v>
      </c>
      <c r="CQ87" s="15" t="b">
        <f t="shared" ca="1" si="189"/>
        <v>0</v>
      </c>
      <c r="CR87" s="21" t="b">
        <f t="shared" ca="1" si="189"/>
        <v>0</v>
      </c>
      <c r="CS87" s="22" t="b">
        <f t="shared" ca="1" si="190"/>
        <v>0</v>
      </c>
      <c r="CT87" s="22" t="b">
        <f t="shared" ca="1" si="190"/>
        <v>0</v>
      </c>
      <c r="CU87" s="22" t="b">
        <f t="shared" ca="1" si="190"/>
        <v>0</v>
      </c>
      <c r="CV87" s="22" t="b">
        <f t="shared" ca="1" si="190"/>
        <v>0</v>
      </c>
      <c r="CW87" s="22" t="b">
        <f t="shared" ca="1" si="190"/>
        <v>0</v>
      </c>
      <c r="CX87" s="22" t="b">
        <f t="shared" ca="1" si="190"/>
        <v>0</v>
      </c>
      <c r="CY87" s="22" t="b">
        <f t="shared" ca="1" si="190"/>
        <v>0</v>
      </c>
      <c r="CZ87" s="21" t="b">
        <f t="shared" ca="1" si="190"/>
        <v>0</v>
      </c>
      <c r="DB87" s="22" t="b">
        <f t="shared" ca="1" si="184"/>
        <v>0</v>
      </c>
      <c r="DC87" s="22" t="b">
        <f t="shared" ca="1" si="191"/>
        <v>0</v>
      </c>
      <c r="DD87" s="22" t="b">
        <f t="shared" ca="1" si="191"/>
        <v>0</v>
      </c>
      <c r="DE87" s="22" t="b">
        <f t="shared" ca="1" si="191"/>
        <v>0</v>
      </c>
      <c r="DF87" s="22" t="b">
        <f t="shared" ca="1" si="191"/>
        <v>0</v>
      </c>
      <c r="DG87" s="22" t="b">
        <f t="shared" ca="1" si="191"/>
        <v>0</v>
      </c>
      <c r="DH87" s="22" t="b">
        <f t="shared" ca="1" si="191"/>
        <v>0</v>
      </c>
      <c r="DI87" s="22" t="b">
        <f t="shared" ca="1" si="191"/>
        <v>0</v>
      </c>
      <c r="DJ87" s="22" t="b">
        <f t="shared" ca="1" si="186"/>
        <v>0</v>
      </c>
      <c r="DK87" s="22"/>
      <c r="DO87" s="15" t="str">
        <f t="shared" ca="1" si="192"/>
        <v/>
      </c>
      <c r="DP87" s="15" t="str">
        <f t="shared" ca="1" si="192"/>
        <v/>
      </c>
      <c r="DQ87" s="15" t="str">
        <f t="shared" ca="1" si="192"/>
        <v/>
      </c>
      <c r="DR87" s="15" t="str">
        <f t="shared" ca="1" si="192"/>
        <v/>
      </c>
      <c r="DS87" s="15" t="str">
        <f t="shared" ca="1" si="192"/>
        <v/>
      </c>
      <c r="DT87" s="15" t="str">
        <f t="shared" ca="1" si="192"/>
        <v/>
      </c>
      <c r="DU87" s="15" t="str">
        <f t="shared" ca="1" si="192"/>
        <v/>
      </c>
      <c r="DV87" s="15" t="str">
        <f t="shared" ca="1" si="192"/>
        <v/>
      </c>
    </row>
    <row r="88" spans="1:126">
      <c r="A88" s="15">
        <f t="shared" si="194"/>
        <v>76</v>
      </c>
      <c r="B88" s="15" t="str">
        <f t="shared" si="196"/>
        <v/>
      </c>
      <c r="D88" s="15" t="str">
        <f t="shared" si="198"/>
        <v/>
      </c>
      <c r="M88" s="19"/>
      <c r="T88" s="15" t="str">
        <f t="shared" ca="1" si="129"/>
        <v/>
      </c>
      <c r="U88" s="15" t="str">
        <f t="shared" si="195"/>
        <v/>
      </c>
      <c r="AD88" s="16" t="b">
        <f t="shared" si="139"/>
        <v>0</v>
      </c>
      <c r="AE88" s="16" t="b">
        <f t="shared" si="140"/>
        <v>0</v>
      </c>
      <c r="AF88" s="15" t="str">
        <f t="shared" si="141"/>
        <v/>
      </c>
      <c r="AG88" s="15" t="str">
        <f t="shared" ca="1" si="142"/>
        <v/>
      </c>
      <c r="AH88" s="15" t="str">
        <f t="shared" ca="1" si="143"/>
        <v/>
      </c>
      <c r="AI88" s="15" t="b">
        <f t="shared" ca="1" si="144"/>
        <v>0</v>
      </c>
      <c r="AJ88" s="15" t="str">
        <f t="shared" ca="1" si="199"/>
        <v/>
      </c>
      <c r="AK88" s="27" t="str">
        <f t="shared" ca="1" si="145"/>
        <v/>
      </c>
      <c r="AL88" s="15" t="b">
        <f t="shared" ca="1" si="146"/>
        <v>0</v>
      </c>
      <c r="AM88" s="15" t="str">
        <f t="shared" ca="1" si="147"/>
        <v/>
      </c>
      <c r="AN88" s="15">
        <f t="shared" ca="1" si="148"/>
        <v>3</v>
      </c>
      <c r="AO88" s="15" t="str">
        <f t="shared" ca="1" si="200"/>
        <v/>
      </c>
      <c r="AP88" s="15" t="str">
        <f t="shared" ca="1" si="149"/>
        <v/>
      </c>
      <c r="AQ88" s="27">
        <f t="shared" si="150"/>
        <v>4</v>
      </c>
      <c r="AR88" s="15" t="b">
        <f t="shared" si="151"/>
        <v>0</v>
      </c>
      <c r="AS88" s="27" t="b">
        <f t="shared" si="152"/>
        <v>0</v>
      </c>
      <c r="AT88" s="27" t="b">
        <f t="shared" si="153"/>
        <v>0</v>
      </c>
      <c r="AU88" s="27" t="str">
        <f t="shared" si="154"/>
        <v/>
      </c>
      <c r="AV88" s="16" t="b">
        <f t="shared" si="155"/>
        <v>0</v>
      </c>
      <c r="AW88" s="15" t="str">
        <f t="shared" ca="1" si="193"/>
        <v/>
      </c>
      <c r="AX88" s="27" t="b">
        <f t="shared" ca="1" si="156"/>
        <v>0</v>
      </c>
      <c r="AY88" s="27" t="b">
        <f t="shared" ca="1" si="157"/>
        <v>0</v>
      </c>
      <c r="AZ88" s="15" t="b">
        <f t="shared" ca="1" si="158"/>
        <v>0</v>
      </c>
      <c r="BA88" s="15" t="b">
        <f t="shared" ca="1" si="159"/>
        <v>0</v>
      </c>
      <c r="BB88" s="15" t="str">
        <f t="shared" si="160"/>
        <v/>
      </c>
      <c r="BC88" s="15" t="str">
        <f t="shared" ca="1" si="201"/>
        <v/>
      </c>
      <c r="BD88" s="15" t="b">
        <f t="shared" ca="1" si="161"/>
        <v>0</v>
      </c>
      <c r="BE88" s="15" t="b">
        <f t="shared" si="162"/>
        <v>0</v>
      </c>
      <c r="BF88" s="15" t="str">
        <f t="shared" ca="1" si="163"/>
        <v/>
      </c>
      <c r="BG88" s="15" t="str">
        <f t="shared" si="164"/>
        <v/>
      </c>
      <c r="BH88" s="15" t="str">
        <f t="array" aca="1" ref="BH88" ca="1">IF(IFERROR( S88,1),1,IF(BC88="","", SUM(IF(ISERROR(INDIRECT(BC88)),1,0))))</f>
        <v/>
      </c>
      <c r="BI88" s="15" t="b">
        <f t="shared" si="165"/>
        <v>0</v>
      </c>
      <c r="BJ88" s="15" t="b">
        <f t="shared" si="166"/>
        <v>0</v>
      </c>
      <c r="BK88" s="15" t="str">
        <f t="shared" si="167"/>
        <v/>
      </c>
      <c r="BL88" s="15">
        <f t="shared" si="168"/>
        <v>4</v>
      </c>
      <c r="BP88" s="15" t="b">
        <f t="shared" si="202"/>
        <v>0</v>
      </c>
      <c r="BQ88" s="15" t="b">
        <f t="shared" si="203"/>
        <v>0</v>
      </c>
      <c r="BR88" s="15" t="str">
        <f t="shared" si="169"/>
        <v/>
      </c>
      <c r="BS88" s="15">
        <f t="shared" si="204"/>
        <v>0</v>
      </c>
      <c r="BT88" s="15" t="str">
        <f t="shared" si="197"/>
        <v/>
      </c>
      <c r="BV88" s="15" t="b">
        <f t="shared" ca="1" si="170"/>
        <v>0</v>
      </c>
      <c r="BW88" s="15" t="b">
        <f t="shared" ca="1" si="171"/>
        <v>0</v>
      </c>
      <c r="BX88" s="15" t="b">
        <f t="shared" ca="1" si="205"/>
        <v>0</v>
      </c>
      <c r="BY88" s="15" t="b">
        <f t="shared" ca="1" si="172"/>
        <v>0</v>
      </c>
      <c r="BZ88" s="15" t="b">
        <f t="shared" si="173"/>
        <v>0</v>
      </c>
      <c r="CA88" s="15" t="b">
        <f t="shared" si="174"/>
        <v>0</v>
      </c>
      <c r="CB88" s="15" t="b">
        <f t="shared" ca="1" si="175"/>
        <v>0</v>
      </c>
      <c r="CC88" s="15" t="b">
        <f t="shared" si="188"/>
        <v>0</v>
      </c>
      <c r="CD88" s="15" t="b">
        <f t="shared" si="188"/>
        <v>0</v>
      </c>
      <c r="CE88" s="15" t="b">
        <f t="shared" ca="1" si="176"/>
        <v>0</v>
      </c>
      <c r="CF88" s="15" t="b">
        <f t="shared" si="177"/>
        <v>0</v>
      </c>
      <c r="CG88" s="15" t="b">
        <f t="shared" si="178"/>
        <v>0</v>
      </c>
      <c r="CH88" s="15" t="b">
        <f t="shared" si="179"/>
        <v>0</v>
      </c>
      <c r="CI88" s="15" t="b">
        <f t="shared" si="180"/>
        <v>0</v>
      </c>
      <c r="CJ88" s="15" t="b">
        <f t="shared" si="181"/>
        <v>0</v>
      </c>
      <c r="CK88" s="15" t="b">
        <f t="shared" ca="1" si="189"/>
        <v>0</v>
      </c>
      <c r="CL88" s="15" t="b">
        <f t="shared" ca="1" si="189"/>
        <v>0</v>
      </c>
      <c r="CM88" s="15" t="b">
        <f t="shared" ca="1" si="189"/>
        <v>0</v>
      </c>
      <c r="CN88" s="15" t="b">
        <f t="shared" ca="1" si="189"/>
        <v>0</v>
      </c>
      <c r="CO88" s="15" t="b">
        <f t="shared" ca="1" si="189"/>
        <v>0</v>
      </c>
      <c r="CP88" s="15" t="b">
        <f t="shared" ca="1" si="189"/>
        <v>0</v>
      </c>
      <c r="CQ88" s="15" t="b">
        <f t="shared" ca="1" si="189"/>
        <v>0</v>
      </c>
      <c r="CR88" s="21" t="b">
        <f t="shared" ca="1" si="189"/>
        <v>0</v>
      </c>
      <c r="CS88" s="22" t="b">
        <f t="shared" ca="1" si="190"/>
        <v>0</v>
      </c>
      <c r="CT88" s="22" t="b">
        <f t="shared" ca="1" si="190"/>
        <v>0</v>
      </c>
      <c r="CU88" s="22" t="b">
        <f t="shared" ca="1" si="190"/>
        <v>0</v>
      </c>
      <c r="CV88" s="22" t="b">
        <f t="shared" ca="1" si="190"/>
        <v>0</v>
      </c>
      <c r="CW88" s="22" t="b">
        <f t="shared" ca="1" si="190"/>
        <v>0</v>
      </c>
      <c r="CX88" s="22" t="b">
        <f t="shared" ca="1" si="190"/>
        <v>0</v>
      </c>
      <c r="CY88" s="22" t="b">
        <f t="shared" ca="1" si="190"/>
        <v>0</v>
      </c>
      <c r="CZ88" s="21" t="b">
        <f t="shared" ca="1" si="190"/>
        <v>0</v>
      </c>
      <c r="DB88" s="22" t="b">
        <f t="shared" ca="1" si="184"/>
        <v>0</v>
      </c>
      <c r="DC88" s="22" t="b">
        <f t="shared" ca="1" si="191"/>
        <v>0</v>
      </c>
      <c r="DD88" s="22" t="b">
        <f t="shared" ca="1" si="191"/>
        <v>0</v>
      </c>
      <c r="DE88" s="22" t="b">
        <f t="shared" ca="1" si="191"/>
        <v>0</v>
      </c>
      <c r="DF88" s="22" t="b">
        <f t="shared" ca="1" si="191"/>
        <v>0</v>
      </c>
      <c r="DG88" s="22" t="b">
        <f t="shared" ca="1" si="191"/>
        <v>0</v>
      </c>
      <c r="DH88" s="22" t="b">
        <f t="shared" ca="1" si="191"/>
        <v>0</v>
      </c>
      <c r="DI88" s="22" t="b">
        <f t="shared" ca="1" si="191"/>
        <v>0</v>
      </c>
      <c r="DJ88" s="22" t="b">
        <f t="shared" ca="1" si="186"/>
        <v>0</v>
      </c>
      <c r="DK88" s="22"/>
      <c r="DO88" s="15" t="str">
        <f t="shared" ca="1" si="192"/>
        <v/>
      </c>
      <c r="DP88" s="15" t="str">
        <f t="shared" ca="1" si="192"/>
        <v/>
      </c>
      <c r="DQ88" s="15" t="str">
        <f t="shared" ca="1" si="192"/>
        <v/>
      </c>
      <c r="DR88" s="15" t="str">
        <f t="shared" ca="1" si="192"/>
        <v/>
      </c>
      <c r="DS88" s="15" t="str">
        <f t="shared" ca="1" si="192"/>
        <v/>
      </c>
      <c r="DT88" s="15" t="str">
        <f t="shared" ca="1" si="192"/>
        <v/>
      </c>
      <c r="DU88" s="15" t="str">
        <f t="shared" ca="1" si="192"/>
        <v/>
      </c>
      <c r="DV88" s="15" t="str">
        <f t="shared" ca="1" si="192"/>
        <v/>
      </c>
    </row>
    <row r="89" spans="1:126">
      <c r="A89" s="15">
        <f t="shared" si="194"/>
        <v>77</v>
      </c>
      <c r="B89" s="15" t="str">
        <f t="shared" si="196"/>
        <v/>
      </c>
      <c r="D89" s="15" t="str">
        <f t="shared" si="198"/>
        <v/>
      </c>
      <c r="M89" s="19"/>
      <c r="T89" s="15" t="str">
        <f t="shared" ca="1" si="129"/>
        <v/>
      </c>
      <c r="U89" s="15" t="str">
        <f t="shared" si="195"/>
        <v/>
      </c>
      <c r="AD89" s="16" t="b">
        <f t="shared" si="139"/>
        <v>0</v>
      </c>
      <c r="AE89" s="16" t="b">
        <f t="shared" si="140"/>
        <v>0</v>
      </c>
      <c r="AF89" s="15" t="str">
        <f t="shared" si="141"/>
        <v/>
      </c>
      <c r="AG89" s="15" t="str">
        <f t="shared" ca="1" si="142"/>
        <v/>
      </c>
      <c r="AH89" s="15" t="str">
        <f t="shared" ca="1" si="143"/>
        <v/>
      </c>
      <c r="AI89" s="15" t="b">
        <f t="shared" ca="1" si="144"/>
        <v>0</v>
      </c>
      <c r="AJ89" s="15" t="str">
        <f t="shared" ca="1" si="199"/>
        <v/>
      </c>
      <c r="AK89" s="27" t="str">
        <f t="shared" ca="1" si="145"/>
        <v/>
      </c>
      <c r="AL89" s="15" t="b">
        <f t="shared" ca="1" si="146"/>
        <v>0</v>
      </c>
      <c r="AM89" s="15" t="str">
        <f t="shared" ca="1" si="147"/>
        <v/>
      </c>
      <c r="AN89" s="15">
        <f t="shared" ca="1" si="148"/>
        <v>3</v>
      </c>
      <c r="AO89" s="15" t="str">
        <f t="shared" ca="1" si="200"/>
        <v/>
      </c>
      <c r="AP89" s="15" t="str">
        <f t="shared" ca="1" si="149"/>
        <v/>
      </c>
      <c r="AQ89" s="27">
        <f t="shared" si="150"/>
        <v>4</v>
      </c>
      <c r="AR89" s="15" t="b">
        <f t="shared" si="151"/>
        <v>0</v>
      </c>
      <c r="AS89" s="27" t="b">
        <f t="shared" si="152"/>
        <v>0</v>
      </c>
      <c r="AT89" s="27" t="b">
        <f t="shared" si="153"/>
        <v>0</v>
      </c>
      <c r="AU89" s="27" t="str">
        <f t="shared" si="154"/>
        <v/>
      </c>
      <c r="AV89" s="16" t="b">
        <f t="shared" si="155"/>
        <v>0</v>
      </c>
      <c r="AW89" s="15" t="str">
        <f t="shared" ca="1" si="193"/>
        <v/>
      </c>
      <c r="AX89" s="27" t="b">
        <f t="shared" ca="1" si="156"/>
        <v>0</v>
      </c>
      <c r="AY89" s="27" t="b">
        <f t="shared" ca="1" si="157"/>
        <v>0</v>
      </c>
      <c r="AZ89" s="15" t="b">
        <f t="shared" ca="1" si="158"/>
        <v>0</v>
      </c>
      <c r="BA89" s="15" t="b">
        <f t="shared" ca="1" si="159"/>
        <v>0</v>
      </c>
      <c r="BB89" s="15" t="str">
        <f t="shared" si="160"/>
        <v/>
      </c>
      <c r="BC89" s="15" t="str">
        <f t="shared" ca="1" si="201"/>
        <v/>
      </c>
      <c r="BD89" s="15" t="b">
        <f t="shared" ca="1" si="161"/>
        <v>0</v>
      </c>
      <c r="BE89" s="15" t="b">
        <f t="shared" si="162"/>
        <v>0</v>
      </c>
      <c r="BF89" s="15" t="str">
        <f t="shared" ca="1" si="163"/>
        <v/>
      </c>
      <c r="BG89" s="15" t="str">
        <f t="shared" si="164"/>
        <v/>
      </c>
      <c r="BH89" s="15" t="str">
        <f t="array" aca="1" ref="BH89" ca="1">IF(IFERROR( S89,1),1,IF(BC89="","", SUM(IF(ISERROR(INDIRECT(BC89)),1,0))))</f>
        <v/>
      </c>
      <c r="BI89" s="15" t="b">
        <f t="shared" si="165"/>
        <v>0</v>
      </c>
      <c r="BJ89" s="15" t="b">
        <f t="shared" si="166"/>
        <v>0</v>
      </c>
      <c r="BK89" s="15" t="str">
        <f t="shared" si="167"/>
        <v/>
      </c>
      <c r="BL89" s="15">
        <f t="shared" si="168"/>
        <v>4</v>
      </c>
      <c r="BP89" s="15" t="b">
        <f t="shared" si="202"/>
        <v>0</v>
      </c>
      <c r="BQ89" s="15" t="b">
        <f t="shared" si="203"/>
        <v>0</v>
      </c>
      <c r="BR89" s="15" t="str">
        <f t="shared" si="169"/>
        <v/>
      </c>
      <c r="BS89" s="15">
        <f t="shared" si="204"/>
        <v>0</v>
      </c>
      <c r="BT89" s="15" t="str">
        <f t="shared" si="197"/>
        <v/>
      </c>
      <c r="BV89" s="15" t="b">
        <f t="shared" ca="1" si="170"/>
        <v>0</v>
      </c>
      <c r="BW89" s="15" t="b">
        <f t="shared" ca="1" si="171"/>
        <v>0</v>
      </c>
      <c r="BX89" s="15" t="b">
        <f t="shared" ca="1" si="205"/>
        <v>0</v>
      </c>
      <c r="BY89" s="15" t="b">
        <f t="shared" ca="1" si="172"/>
        <v>0</v>
      </c>
      <c r="BZ89" s="15" t="b">
        <f t="shared" si="173"/>
        <v>0</v>
      </c>
      <c r="CA89" s="15" t="b">
        <f t="shared" si="174"/>
        <v>0</v>
      </c>
      <c r="CB89" s="15" t="b">
        <f t="shared" ca="1" si="175"/>
        <v>0</v>
      </c>
      <c r="CC89" s="15" t="b">
        <f t="shared" si="188"/>
        <v>0</v>
      </c>
      <c r="CD89" s="15" t="b">
        <f t="shared" si="188"/>
        <v>0</v>
      </c>
      <c r="CE89" s="15" t="b">
        <f t="shared" ca="1" si="176"/>
        <v>0</v>
      </c>
      <c r="CF89" s="15" t="b">
        <f t="shared" si="177"/>
        <v>0</v>
      </c>
      <c r="CG89" s="15" t="b">
        <f t="shared" si="178"/>
        <v>0</v>
      </c>
      <c r="CH89" s="15" t="b">
        <f t="shared" si="179"/>
        <v>0</v>
      </c>
      <c r="CI89" s="15" t="b">
        <f t="shared" si="180"/>
        <v>0</v>
      </c>
      <c r="CJ89" s="15" t="b">
        <f t="shared" si="181"/>
        <v>0</v>
      </c>
      <c r="CK89" s="15" t="b">
        <f t="shared" ca="1" si="189"/>
        <v>0</v>
      </c>
      <c r="CL89" s="15" t="b">
        <f t="shared" ca="1" si="189"/>
        <v>0</v>
      </c>
      <c r="CM89" s="15" t="b">
        <f t="shared" ca="1" si="189"/>
        <v>0</v>
      </c>
      <c r="CN89" s="15" t="b">
        <f t="shared" ca="1" si="189"/>
        <v>0</v>
      </c>
      <c r="CO89" s="15" t="b">
        <f t="shared" ca="1" si="189"/>
        <v>0</v>
      </c>
      <c r="CP89" s="15" t="b">
        <f t="shared" ca="1" si="189"/>
        <v>0</v>
      </c>
      <c r="CQ89" s="15" t="b">
        <f t="shared" ca="1" si="189"/>
        <v>0</v>
      </c>
      <c r="CR89" s="21" t="b">
        <f t="shared" ca="1" si="189"/>
        <v>0</v>
      </c>
      <c r="CS89" s="22" t="b">
        <f t="shared" ca="1" si="190"/>
        <v>0</v>
      </c>
      <c r="CT89" s="22" t="b">
        <f t="shared" ca="1" si="190"/>
        <v>0</v>
      </c>
      <c r="CU89" s="22" t="b">
        <f t="shared" ca="1" si="190"/>
        <v>0</v>
      </c>
      <c r="CV89" s="22" t="b">
        <f t="shared" ca="1" si="190"/>
        <v>0</v>
      </c>
      <c r="CW89" s="22" t="b">
        <f t="shared" ca="1" si="190"/>
        <v>0</v>
      </c>
      <c r="CX89" s="22" t="b">
        <f t="shared" ca="1" si="190"/>
        <v>0</v>
      </c>
      <c r="CY89" s="22" t="b">
        <f t="shared" ca="1" si="190"/>
        <v>0</v>
      </c>
      <c r="CZ89" s="21" t="b">
        <f t="shared" ca="1" si="190"/>
        <v>0</v>
      </c>
      <c r="DB89" s="22" t="b">
        <f t="shared" ca="1" si="184"/>
        <v>0</v>
      </c>
      <c r="DC89" s="22" t="b">
        <f t="shared" ca="1" si="191"/>
        <v>0</v>
      </c>
      <c r="DD89" s="22" t="b">
        <f t="shared" ca="1" si="191"/>
        <v>0</v>
      </c>
      <c r="DE89" s="22" t="b">
        <f t="shared" ca="1" si="191"/>
        <v>0</v>
      </c>
      <c r="DF89" s="22" t="b">
        <f t="shared" ca="1" si="191"/>
        <v>0</v>
      </c>
      <c r="DG89" s="22" t="b">
        <f t="shared" ca="1" si="191"/>
        <v>0</v>
      </c>
      <c r="DH89" s="22" t="b">
        <f t="shared" ca="1" si="191"/>
        <v>0</v>
      </c>
      <c r="DI89" s="22" t="b">
        <f t="shared" ca="1" si="191"/>
        <v>0</v>
      </c>
      <c r="DJ89" s="22" t="b">
        <f t="shared" ca="1" si="186"/>
        <v>0</v>
      </c>
      <c r="DK89" s="22"/>
      <c r="DO89" s="15" t="str">
        <f t="shared" ca="1" si="192"/>
        <v/>
      </c>
      <c r="DP89" s="15" t="str">
        <f t="shared" ca="1" si="192"/>
        <v/>
      </c>
      <c r="DQ89" s="15" t="str">
        <f t="shared" ca="1" si="192"/>
        <v/>
      </c>
      <c r="DR89" s="15" t="str">
        <f t="shared" ca="1" si="192"/>
        <v/>
      </c>
      <c r="DS89" s="15" t="str">
        <f t="shared" ca="1" si="192"/>
        <v/>
      </c>
      <c r="DT89" s="15" t="str">
        <f t="shared" ca="1" si="192"/>
        <v/>
      </c>
      <c r="DU89" s="15" t="str">
        <f t="shared" ca="1" si="192"/>
        <v/>
      </c>
      <c r="DV89" s="15" t="str">
        <f t="shared" ca="1" si="192"/>
        <v/>
      </c>
    </row>
    <row r="90" spans="1:126">
      <c r="A90" s="15">
        <f t="shared" si="194"/>
        <v>78</v>
      </c>
      <c r="B90" s="15" t="str">
        <f t="shared" si="196"/>
        <v/>
      </c>
      <c r="D90" s="15" t="str">
        <f t="shared" si="198"/>
        <v/>
      </c>
      <c r="M90" s="19"/>
      <c r="T90" s="15" t="str">
        <f t="shared" ca="1" si="129"/>
        <v/>
      </c>
      <c r="U90" s="15" t="str">
        <f t="shared" si="195"/>
        <v/>
      </c>
      <c r="AD90" s="16" t="b">
        <f t="shared" si="139"/>
        <v>0</v>
      </c>
      <c r="AE90" s="16" t="b">
        <f t="shared" si="140"/>
        <v>0</v>
      </c>
      <c r="AF90" s="15" t="str">
        <f t="shared" si="141"/>
        <v/>
      </c>
      <c r="AG90" s="15" t="str">
        <f t="shared" ca="1" si="142"/>
        <v/>
      </c>
      <c r="AH90" s="15" t="str">
        <f t="shared" ca="1" si="143"/>
        <v/>
      </c>
      <c r="AI90" s="15" t="b">
        <f t="shared" ca="1" si="144"/>
        <v>0</v>
      </c>
      <c r="AJ90" s="15" t="str">
        <f t="shared" ca="1" si="199"/>
        <v/>
      </c>
      <c r="AK90" s="27" t="str">
        <f t="shared" ca="1" si="145"/>
        <v/>
      </c>
      <c r="AL90" s="15" t="b">
        <f t="shared" ca="1" si="146"/>
        <v>0</v>
      </c>
      <c r="AM90" s="15" t="str">
        <f t="shared" ca="1" si="147"/>
        <v/>
      </c>
      <c r="AN90" s="15">
        <f t="shared" ca="1" si="148"/>
        <v>3</v>
      </c>
      <c r="AO90" s="15" t="str">
        <f t="shared" ca="1" si="200"/>
        <v/>
      </c>
      <c r="AP90" s="15" t="str">
        <f t="shared" ca="1" si="149"/>
        <v/>
      </c>
      <c r="AQ90" s="27">
        <f t="shared" si="150"/>
        <v>4</v>
      </c>
      <c r="AR90" s="15" t="b">
        <f t="shared" si="151"/>
        <v>0</v>
      </c>
      <c r="AS90" s="27" t="b">
        <f t="shared" si="152"/>
        <v>0</v>
      </c>
      <c r="AT90" s="27" t="b">
        <f t="shared" si="153"/>
        <v>0</v>
      </c>
      <c r="AU90" s="27" t="str">
        <f t="shared" si="154"/>
        <v/>
      </c>
      <c r="AV90" s="16" t="b">
        <f t="shared" si="155"/>
        <v>0</v>
      </c>
      <c r="AW90" s="15" t="str">
        <f t="shared" ca="1" si="193"/>
        <v/>
      </c>
      <c r="AX90" s="27" t="b">
        <f t="shared" ca="1" si="156"/>
        <v>0</v>
      </c>
      <c r="AY90" s="27" t="b">
        <f t="shared" ca="1" si="157"/>
        <v>0</v>
      </c>
      <c r="AZ90" s="15" t="b">
        <f t="shared" ca="1" si="158"/>
        <v>0</v>
      </c>
      <c r="BA90" s="15" t="b">
        <f t="shared" ca="1" si="159"/>
        <v>0</v>
      </c>
      <c r="BB90" s="15" t="str">
        <f t="shared" si="160"/>
        <v/>
      </c>
      <c r="BC90" s="15" t="str">
        <f t="shared" ca="1" si="201"/>
        <v/>
      </c>
      <c r="BD90" s="15" t="b">
        <f t="shared" ca="1" si="161"/>
        <v>0</v>
      </c>
      <c r="BE90" s="15" t="b">
        <f t="shared" si="162"/>
        <v>0</v>
      </c>
      <c r="BF90" s="15" t="str">
        <f t="shared" ca="1" si="163"/>
        <v/>
      </c>
      <c r="BG90" s="15" t="str">
        <f t="shared" si="164"/>
        <v/>
      </c>
      <c r="BH90" s="15" t="str">
        <f t="array" aca="1" ref="BH90" ca="1">IF(IFERROR( S90,1),1,IF(BC90="","", SUM(IF(ISERROR(INDIRECT(BC90)),1,0))))</f>
        <v/>
      </c>
      <c r="BI90" s="15" t="b">
        <f t="shared" si="165"/>
        <v>0</v>
      </c>
      <c r="BJ90" s="15" t="b">
        <f t="shared" si="166"/>
        <v>0</v>
      </c>
      <c r="BK90" s="15" t="str">
        <f t="shared" si="167"/>
        <v/>
      </c>
      <c r="BL90" s="15">
        <f t="shared" si="168"/>
        <v>4</v>
      </c>
      <c r="BP90" s="15" t="b">
        <f t="shared" si="202"/>
        <v>0</v>
      </c>
      <c r="BQ90" s="15" t="b">
        <f t="shared" si="203"/>
        <v>0</v>
      </c>
      <c r="BR90" s="15" t="str">
        <f t="shared" si="169"/>
        <v/>
      </c>
      <c r="BS90" s="15">
        <f t="shared" si="204"/>
        <v>0</v>
      </c>
      <c r="BT90" s="15" t="str">
        <f t="shared" si="197"/>
        <v/>
      </c>
      <c r="BV90" s="15" t="b">
        <f t="shared" ca="1" si="170"/>
        <v>0</v>
      </c>
      <c r="BW90" s="15" t="b">
        <f t="shared" ca="1" si="171"/>
        <v>0</v>
      </c>
      <c r="BX90" s="15" t="b">
        <f t="shared" ca="1" si="205"/>
        <v>0</v>
      </c>
      <c r="BY90" s="15" t="b">
        <f t="shared" ca="1" si="172"/>
        <v>0</v>
      </c>
      <c r="BZ90" s="15" t="b">
        <f t="shared" si="173"/>
        <v>0</v>
      </c>
      <c r="CA90" s="15" t="b">
        <f t="shared" si="174"/>
        <v>0</v>
      </c>
      <c r="CB90" s="15" t="b">
        <f t="shared" ca="1" si="175"/>
        <v>0</v>
      </c>
      <c r="CC90" s="15" t="b">
        <f t="shared" si="188"/>
        <v>0</v>
      </c>
      <c r="CD90" s="15" t="b">
        <f t="shared" si="188"/>
        <v>0</v>
      </c>
      <c r="CE90" s="15" t="b">
        <f t="shared" ca="1" si="176"/>
        <v>0</v>
      </c>
      <c r="CF90" s="15" t="b">
        <f t="shared" si="177"/>
        <v>0</v>
      </c>
      <c r="CG90" s="15" t="b">
        <f t="shared" si="178"/>
        <v>0</v>
      </c>
      <c r="CH90" s="15" t="b">
        <f t="shared" si="179"/>
        <v>0</v>
      </c>
      <c r="CI90" s="15" t="b">
        <f t="shared" si="180"/>
        <v>0</v>
      </c>
      <c r="CJ90" s="15" t="b">
        <f t="shared" si="181"/>
        <v>0</v>
      </c>
      <c r="CK90" s="15" t="b">
        <f t="shared" ca="1" si="189"/>
        <v>0</v>
      </c>
      <c r="CL90" s="15" t="b">
        <f t="shared" ca="1" si="189"/>
        <v>0</v>
      </c>
      <c r="CM90" s="15" t="b">
        <f t="shared" ca="1" si="189"/>
        <v>0</v>
      </c>
      <c r="CN90" s="15" t="b">
        <f t="shared" ca="1" si="189"/>
        <v>0</v>
      </c>
      <c r="CO90" s="15" t="b">
        <f t="shared" ca="1" si="189"/>
        <v>0</v>
      </c>
      <c r="CP90" s="15" t="b">
        <f t="shared" ca="1" si="189"/>
        <v>0</v>
      </c>
      <c r="CQ90" s="15" t="b">
        <f t="shared" ca="1" si="189"/>
        <v>0</v>
      </c>
      <c r="CR90" s="21" t="b">
        <f t="shared" ca="1" si="189"/>
        <v>0</v>
      </c>
      <c r="CS90" s="22" t="b">
        <f t="shared" ca="1" si="190"/>
        <v>0</v>
      </c>
      <c r="CT90" s="22" t="b">
        <f t="shared" ca="1" si="190"/>
        <v>0</v>
      </c>
      <c r="CU90" s="22" t="b">
        <f t="shared" ca="1" si="190"/>
        <v>0</v>
      </c>
      <c r="CV90" s="22" t="b">
        <f t="shared" ca="1" si="190"/>
        <v>0</v>
      </c>
      <c r="CW90" s="22" t="b">
        <f t="shared" ca="1" si="190"/>
        <v>0</v>
      </c>
      <c r="CX90" s="22" t="b">
        <f t="shared" ca="1" si="190"/>
        <v>0</v>
      </c>
      <c r="CY90" s="22" t="b">
        <f t="shared" ca="1" si="190"/>
        <v>0</v>
      </c>
      <c r="CZ90" s="21" t="b">
        <f t="shared" ca="1" si="190"/>
        <v>0</v>
      </c>
      <c r="DB90" s="22" t="b">
        <f t="shared" ca="1" si="184"/>
        <v>0</v>
      </c>
      <c r="DC90" s="22" t="b">
        <f t="shared" ca="1" si="191"/>
        <v>0</v>
      </c>
      <c r="DD90" s="22" t="b">
        <f t="shared" ca="1" si="191"/>
        <v>0</v>
      </c>
      <c r="DE90" s="22" t="b">
        <f t="shared" ca="1" si="191"/>
        <v>0</v>
      </c>
      <c r="DF90" s="22" t="b">
        <f t="shared" ca="1" si="191"/>
        <v>0</v>
      </c>
      <c r="DG90" s="22" t="b">
        <f t="shared" ca="1" si="191"/>
        <v>0</v>
      </c>
      <c r="DH90" s="22" t="b">
        <f t="shared" ca="1" si="191"/>
        <v>0</v>
      </c>
      <c r="DI90" s="22" t="b">
        <f t="shared" ca="1" si="191"/>
        <v>0</v>
      </c>
      <c r="DJ90" s="22" t="b">
        <f t="shared" ca="1" si="186"/>
        <v>0</v>
      </c>
      <c r="DK90" s="22"/>
      <c r="DO90" s="15" t="str">
        <f t="shared" ca="1" si="192"/>
        <v/>
      </c>
      <c r="DP90" s="15" t="str">
        <f t="shared" ca="1" si="192"/>
        <v/>
      </c>
      <c r="DQ90" s="15" t="str">
        <f t="shared" ca="1" si="192"/>
        <v/>
      </c>
      <c r="DR90" s="15" t="str">
        <f t="shared" ca="1" si="192"/>
        <v/>
      </c>
      <c r="DS90" s="15" t="str">
        <f t="shared" ca="1" si="192"/>
        <v/>
      </c>
      <c r="DT90" s="15" t="str">
        <f t="shared" ca="1" si="192"/>
        <v/>
      </c>
      <c r="DU90" s="15" t="str">
        <f t="shared" ca="1" si="192"/>
        <v/>
      </c>
      <c r="DV90" s="15" t="str">
        <f t="shared" ca="1" si="192"/>
        <v/>
      </c>
    </row>
    <row r="91" spans="1:126">
      <c r="A91" s="15">
        <f t="shared" si="194"/>
        <v>79</v>
      </c>
      <c r="B91" s="15" t="str">
        <f t="shared" si="196"/>
        <v/>
      </c>
      <c r="D91" s="15" t="str">
        <f t="shared" si="198"/>
        <v/>
      </c>
      <c r="M91" s="19"/>
      <c r="T91" s="15" t="str">
        <f t="shared" ref="T91:T97" ca="1" si="206">BC91</f>
        <v/>
      </c>
      <c r="U91" s="15" t="str">
        <f t="shared" si="195"/>
        <v/>
      </c>
      <c r="AD91" s="16" t="b">
        <f t="shared" ref="AD91:AD97" si="207">C91&lt;&gt;""</f>
        <v>0</v>
      </c>
      <c r="AE91" s="16" t="b">
        <f t="shared" ref="AE91:AE97" si="208">AND(I91&lt;&gt;"",H91&lt;&gt;"")</f>
        <v>0</v>
      </c>
      <c r="AF91" s="15" t="str">
        <f t="shared" ref="AF91:AF97" si="209">IF(AE91,"[" &amp; H91 &amp; "]" &amp; $B$2,"")</f>
        <v/>
      </c>
      <c r="AG91" s="15" t="str">
        <f t="shared" ref="AG91:AG97" ca="1" si="210">IF(AND(AE91,NOT(BX91)),INDIRECT(ADDRESS(ROW($D$4),COLUMN($D$4),,,AF91)),"")</f>
        <v/>
      </c>
      <c r="AH91" s="15" t="str">
        <f t="shared" ref="AH91:AH97" ca="1" si="211">IF(AND(AE91,NOT(BX91)),MATCH(I91,INDIRECT(AG91),0),"")</f>
        <v/>
      </c>
      <c r="AI91" s="15" t="b">
        <f t="shared" ref="AI91:AI97" ca="1" si="212">AND(AE91,NOT(BX91),NOT(BY91))</f>
        <v>0</v>
      </c>
      <c r="AJ91" s="15" t="str">
        <f t="shared" ca="1" si="199"/>
        <v/>
      </c>
      <c r="AK91" s="27" t="str">
        <f t="shared" ref="AK91:AK97" ca="1" si="213">IF(AE91,INDEX(INDIRECT(AJ91),AH91),"")</f>
        <v/>
      </c>
      <c r="AL91" s="15" t="b">
        <f t="shared" ref="AL91:AL97" ca="1" si="214">AND(AE91,NOT(OR(BX91,BY91)))</f>
        <v>0</v>
      </c>
      <c r="AM91" s="15" t="str">
        <f t="shared" ref="AM91:AM97" ca="1" si="215">IF(AE91,INDIRECT(ADDRESS(ROW($BK$4),COLUMN($BK$4),,,AF91)),"")</f>
        <v/>
      </c>
      <c r="AN91" s="15">
        <f t="shared" ref="AN91:AN97" ca="1" si="216">IFERROR(IF(AE91,INDEX(INDIRECT(AM91),AH91),3),3)</f>
        <v>3</v>
      </c>
      <c r="AO91" s="15" t="str">
        <f t="shared" ca="1" si="200"/>
        <v/>
      </c>
      <c r="AP91" s="15" t="str">
        <f t="shared" ref="AP91:AP97" ca="1" si="217">IF(AQ91=2,INDEX(INDIRECT(AO91),AH91),"")</f>
        <v/>
      </c>
      <c r="AQ91" s="27">
        <f t="shared" ref="AQ91:AQ97" si="218">IF(AND(AE91,NOT(AR91)),2,IF(AND(AR91,NOT(AE91)),1,IF(AND(NOT(AE91),NOT(AR91)),4,3)))</f>
        <v>4</v>
      </c>
      <c r="AR91" s="15" t="b">
        <f t="shared" ref="AR91:AR97" si="219">AND(J91&lt;&gt;"",AD91)</f>
        <v>0</v>
      </c>
      <c r="AS91" s="27" t="b">
        <f t="shared" ref="AS91:AS97" si="220">NOT(ISERROR(FIND("[",J91)))</f>
        <v>0</v>
      </c>
      <c r="AT91" s="27" t="b">
        <f t="shared" ref="AT91:AT97" si="221">MID(J91,1,1)="'"</f>
        <v>0</v>
      </c>
      <c r="AU91" s="27" t="str">
        <f t="shared" ref="AU91:AU97" si="222">IF(AS91,FIND("]",J91),"")</f>
        <v/>
      </c>
      <c r="AV91" s="16" t="b">
        <f t="shared" ref="AV91:AV97" si="223">IF(AS91,MID(J91,1,AU91)&lt;&gt;$V$2,FALSE)</f>
        <v>0</v>
      </c>
      <c r="AW91" s="15" t="str">
        <f t="shared" ca="1" si="193"/>
        <v/>
      </c>
      <c r="AX91" s="27" t="b">
        <f t="shared" ref="AX91:AX97" ca="1" si="224">IF(AR91,ROWS(INDIRECT(AW91))&gt;1)</f>
        <v>0</v>
      </c>
      <c r="AY91" s="27" t="b">
        <f t="shared" ref="AY91:AY97" ca="1" si="225">IF(AR91,COLUMNS(INDIRECT(AW91))&gt;1)</f>
        <v>0</v>
      </c>
      <c r="AZ91" s="15" t="b">
        <f t="shared" ref="AZ91:AZ97" ca="1" si="226">IF($AE91,IF(NOT(AI91),"?",COLUMNS(INDIRECT($AK91))),IF($AD91,IF(L91="",1,L91)))</f>
        <v>0</v>
      </c>
      <c r="BA91" s="15" t="b">
        <f t="shared" ref="BA91:BA97" ca="1" si="227">IF($AE91,IF(NOT(AI91),"?",ROWS(INDIRECT($AK91))),IF($AD91,IF(K91="",1,K91)))</f>
        <v>0</v>
      </c>
      <c r="BB91" s="15" t="str">
        <f t="shared" ref="BB91:BB97" si="228">IF(AD91,CHOOSE(AQ91,AW91,AK91,"?"),"")</f>
        <v/>
      </c>
      <c r="BC91" s="15" t="str">
        <f t="shared" ca="1" si="201"/>
        <v/>
      </c>
      <c r="BD91" s="15" t="b">
        <f t="shared" ref="BD91:BD97" ca="1" si="229">AZ91*BA91&gt;1</f>
        <v>0</v>
      </c>
      <c r="BE91" s="15" t="b">
        <f t="shared" ref="BE91:BE97" si="230">IF(AND(AD91,AQ91=1),IF(Q91="",BI91, IF(Q91,TRUE,FALSE)),FALSE)</f>
        <v>0</v>
      </c>
      <c r="BF91" s="15" t="str">
        <f t="shared" ref="BF91:BF97" ca="1" si="231">IF(BE91,COUNTA(INDIRECT(BC91)),"")</f>
        <v/>
      </c>
      <c r="BG91" s="15" t="str">
        <f t="shared" ref="BG91:BG97" si="232">IF(BE91,AZ91*BA91,"")</f>
        <v/>
      </c>
      <c r="BH91" s="15" t="str">
        <f t="array" aca="1" ref="BH91" ca="1">IF(IFERROR( S91,1),1,IF(BC91="","", SUM(IF(ISERROR(INDIRECT(BC91)),1,0))))</f>
        <v/>
      </c>
      <c r="BI91" s="15" t="b">
        <f t="shared" ref="BI91:BI97" si="233">G91="r"</f>
        <v>0</v>
      </c>
      <c r="BJ91" s="15" t="b">
        <f t="shared" ref="BJ91:BJ97" si="234">G91="W"</f>
        <v>0</v>
      </c>
      <c r="BK91" s="15" t="str">
        <f t="shared" ref="BK91:BK97" si="235">IF(AR91,IF(AND(BI91,NOT(BJ91)),1,IF(AND(BJ91,NOT(BI91)),2,3)),"")</f>
        <v/>
      </c>
      <c r="BL91" s="15">
        <f t="shared" ref="BL91:BL97" si="236">CHOOSE(AQ91,BK91,AN91,3,4)</f>
        <v>4</v>
      </c>
      <c r="BP91" s="15" t="b">
        <f t="shared" si="202"/>
        <v>0</v>
      </c>
      <c r="BQ91" s="15" t="b">
        <f t="shared" si="203"/>
        <v>0</v>
      </c>
      <c r="BR91" s="15" t="str">
        <f t="shared" ref="BR91:BR97" si="237">IF(BQ91,MATCH(TRUE,BU91:CZ91,0),"")</f>
        <v/>
      </c>
      <c r="BS91" s="15">
        <f t="shared" si="204"/>
        <v>0</v>
      </c>
      <c r="BT91" s="15" t="str">
        <f t="shared" si="197"/>
        <v/>
      </c>
      <c r="BV91" s="15" t="b">
        <f t="shared" ref="BV91:BV97" ca="1" si="238">IFERROR(IF($AD91,COUNTIF(INDIRECT($C$4),C91)&gt;1,FALSE),FALSE)</f>
        <v>0</v>
      </c>
      <c r="BW91" s="15" t="b">
        <f t="shared" ref="BW91:BW97" ca="1" si="239">IFERROR(IF($AD91,IF(D91&lt;&gt;"",COUNTIF(INDIRECT($D$4),D91)&gt;1,FALSE),FALSE),FALSE)</f>
        <v>0</v>
      </c>
      <c r="BX91" s="15" t="b">
        <f t="shared" ca="1" si="205"/>
        <v>0</v>
      </c>
      <c r="BY91" s="15" t="b">
        <f t="shared" ref="BY91:BY97" ca="1" si="240">IFERROR(IF(AND(AE91,NOT(BX91)),IF(ISERROR(AH91),TRUE,FALSE)),FALSE)</f>
        <v>0</v>
      </c>
      <c r="BZ91" s="15" t="b">
        <f t="shared" ref="BZ91:BZ97" si="241">IFERROR(IF(BE91,BF91&lt;&gt;BG91,FALSE),FALSE)</f>
        <v>0</v>
      </c>
      <c r="CA91" s="15" t="b">
        <f t="shared" ref="CA91:CA97" si="242">AND(AR91,AE91,AD91)</f>
        <v>0</v>
      </c>
      <c r="CB91" s="15" t="b">
        <f t="shared" ref="CB91:CB97" ca="1" si="243">ISERROR(COUNT(INDIRECT(J91)))</f>
        <v>0</v>
      </c>
      <c r="CC91" s="15" t="b">
        <f t="shared" si="188"/>
        <v>0</v>
      </c>
      <c r="CD91" s="15" t="b">
        <f t="shared" si="188"/>
        <v>0</v>
      </c>
      <c r="CE91" s="15" t="b">
        <f t="shared" ref="CE91:CE97" ca="1" si="244">IF(AD91, IF(AQ91=1, IF(OR(R91,DB91,AK91="" ),FALSE,OR(ISERROR(INDIRECT(T91)))),FALSE),FALSE)</f>
        <v>0</v>
      </c>
      <c r="CF91" s="15" t="b">
        <f t="shared" ref="CF91:CF97" si="245">AND($AD91,$AQ91=2,COUNTA( S91)=1)</f>
        <v>0</v>
      </c>
      <c r="CG91" s="15" t="b">
        <f t="shared" ref="CG91:CG97" si="246">AND(AND(AQ91&lt;&gt;1,AQ91&lt;&gt;3),G91&lt;&gt;"")</f>
        <v>0</v>
      </c>
      <c r="CH91" s="15" t="b">
        <f t="shared" ref="CH91:CH97" si="247">AND(AQ91=1,BK91=3)</f>
        <v>0</v>
      </c>
      <c r="CI91" s="15" t="b">
        <f t="shared" ref="CI91:CI97" si="248">ISERROR(S91)</f>
        <v>0</v>
      </c>
      <c r="CJ91" s="15" t="b">
        <f t="shared" ref="CJ91:CJ97" si="249">IFERROR(IF(S91,TRUE,FALSE),FALSE)</f>
        <v>0</v>
      </c>
      <c r="CK91" s="15" t="b">
        <f t="shared" ca="1" si="189"/>
        <v>0</v>
      </c>
      <c r="CL91" s="15" t="b">
        <f t="shared" ca="1" si="189"/>
        <v>0</v>
      </c>
      <c r="CM91" s="15" t="b">
        <f t="shared" ca="1" si="189"/>
        <v>0</v>
      </c>
      <c r="CN91" s="15" t="b">
        <f t="shared" ca="1" si="189"/>
        <v>0</v>
      </c>
      <c r="CO91" s="15" t="b">
        <f t="shared" ca="1" si="189"/>
        <v>0</v>
      </c>
      <c r="CP91" s="15" t="b">
        <f t="shared" ca="1" si="189"/>
        <v>0</v>
      </c>
      <c r="CQ91" s="15" t="b">
        <f t="shared" ca="1" si="189"/>
        <v>0</v>
      </c>
      <c r="CR91" s="21" t="b">
        <f t="shared" ca="1" si="189"/>
        <v>0</v>
      </c>
      <c r="CS91" s="22" t="b">
        <f t="shared" ca="1" si="190"/>
        <v>0</v>
      </c>
      <c r="CT91" s="22" t="b">
        <f t="shared" ca="1" si="190"/>
        <v>0</v>
      </c>
      <c r="CU91" s="22" t="b">
        <f t="shared" ca="1" si="190"/>
        <v>0</v>
      </c>
      <c r="CV91" s="22" t="b">
        <f t="shared" ca="1" si="190"/>
        <v>0</v>
      </c>
      <c r="CW91" s="22" t="b">
        <f t="shared" ca="1" si="190"/>
        <v>0</v>
      </c>
      <c r="CX91" s="22" t="b">
        <f t="shared" ca="1" si="190"/>
        <v>0</v>
      </c>
      <c r="CY91" s="22" t="b">
        <f t="shared" ca="1" si="190"/>
        <v>0</v>
      </c>
      <c r="CZ91" s="21" t="b">
        <f t="shared" ca="1" si="190"/>
        <v>0</v>
      </c>
      <c r="DB91" s="22" t="b">
        <f t="shared" ref="DB91:DB97" ca="1" si="250">OR(DC91:DJ91)</f>
        <v>0</v>
      </c>
      <c r="DC91" s="22" t="b">
        <f t="shared" ca="1" si="191"/>
        <v>0</v>
      </c>
      <c r="DD91" s="22" t="b">
        <f t="shared" ca="1" si="191"/>
        <v>0</v>
      </c>
      <c r="DE91" s="22" t="b">
        <f t="shared" ca="1" si="191"/>
        <v>0</v>
      </c>
      <c r="DF91" s="22" t="b">
        <f t="shared" ca="1" si="191"/>
        <v>0</v>
      </c>
      <c r="DG91" s="22" t="b">
        <f t="shared" ca="1" si="191"/>
        <v>0</v>
      </c>
      <c r="DH91" s="22" t="b">
        <f t="shared" ca="1" si="191"/>
        <v>0</v>
      </c>
      <c r="DI91" s="22" t="b">
        <f t="shared" ca="1" si="191"/>
        <v>0</v>
      </c>
      <c r="DJ91" s="22" t="b">
        <f t="shared" ca="1" si="186"/>
        <v>0</v>
      </c>
      <c r="DK91" s="22"/>
      <c r="DO91" s="15" t="str">
        <f t="shared" ca="1" si="192"/>
        <v/>
      </c>
      <c r="DP91" s="15" t="str">
        <f t="shared" ca="1" si="192"/>
        <v/>
      </c>
      <c r="DQ91" s="15" t="str">
        <f t="shared" ca="1" si="192"/>
        <v/>
      </c>
      <c r="DR91" s="15" t="str">
        <f t="shared" ca="1" si="192"/>
        <v/>
      </c>
      <c r="DS91" s="15" t="str">
        <f t="shared" ca="1" si="192"/>
        <v/>
      </c>
      <c r="DT91" s="15" t="str">
        <f t="shared" ca="1" si="192"/>
        <v/>
      </c>
      <c r="DU91" s="15" t="str">
        <f t="shared" ca="1" si="192"/>
        <v/>
      </c>
      <c r="DV91" s="15" t="str">
        <f t="shared" ca="1" si="192"/>
        <v/>
      </c>
    </row>
    <row r="92" spans="1:126">
      <c r="A92" s="15">
        <f t="shared" si="194"/>
        <v>80</v>
      </c>
      <c r="B92" s="15" t="str">
        <f t="shared" si="196"/>
        <v/>
      </c>
      <c r="D92" s="15" t="str">
        <f t="shared" si="198"/>
        <v/>
      </c>
      <c r="M92" s="19"/>
      <c r="T92" s="15" t="str">
        <f t="shared" ca="1" si="206"/>
        <v/>
      </c>
      <c r="U92" s="15" t="str">
        <f t="shared" si="195"/>
        <v/>
      </c>
      <c r="AD92" s="16" t="b">
        <f t="shared" si="207"/>
        <v>0</v>
      </c>
      <c r="AE92" s="16" t="b">
        <f t="shared" si="208"/>
        <v>0</v>
      </c>
      <c r="AF92" s="15" t="str">
        <f t="shared" si="209"/>
        <v/>
      </c>
      <c r="AG92" s="15" t="str">
        <f t="shared" ca="1" si="210"/>
        <v/>
      </c>
      <c r="AH92" s="15" t="str">
        <f t="shared" ca="1" si="211"/>
        <v/>
      </c>
      <c r="AI92" s="15" t="b">
        <f t="shared" ca="1" si="212"/>
        <v>0</v>
      </c>
      <c r="AJ92" s="15" t="str">
        <f t="shared" ca="1" si="199"/>
        <v/>
      </c>
      <c r="AK92" s="27" t="str">
        <f t="shared" ca="1" si="213"/>
        <v/>
      </c>
      <c r="AL92" s="15" t="b">
        <f t="shared" ca="1" si="214"/>
        <v>0</v>
      </c>
      <c r="AM92" s="15" t="str">
        <f t="shared" ca="1" si="215"/>
        <v/>
      </c>
      <c r="AN92" s="15">
        <f t="shared" ca="1" si="216"/>
        <v>3</v>
      </c>
      <c r="AO92" s="15" t="str">
        <f t="shared" ca="1" si="200"/>
        <v/>
      </c>
      <c r="AP92" s="15" t="str">
        <f t="shared" ca="1" si="217"/>
        <v/>
      </c>
      <c r="AQ92" s="27">
        <f t="shared" si="218"/>
        <v>4</v>
      </c>
      <c r="AR92" s="15" t="b">
        <f t="shared" si="219"/>
        <v>0</v>
      </c>
      <c r="AS92" s="27" t="b">
        <f t="shared" si="220"/>
        <v>0</v>
      </c>
      <c r="AT92" s="27" t="b">
        <f t="shared" si="221"/>
        <v>0</v>
      </c>
      <c r="AU92" s="27" t="str">
        <f t="shared" si="222"/>
        <v/>
      </c>
      <c r="AV92" s="16" t="b">
        <f t="shared" si="223"/>
        <v>0</v>
      </c>
      <c r="AW92" s="15" t="str">
        <f t="shared" ca="1" si="193"/>
        <v/>
      </c>
      <c r="AX92" s="27" t="b">
        <f t="shared" ca="1" si="224"/>
        <v>0</v>
      </c>
      <c r="AY92" s="27" t="b">
        <f t="shared" ca="1" si="225"/>
        <v>0</v>
      </c>
      <c r="AZ92" s="15" t="b">
        <f t="shared" ca="1" si="226"/>
        <v>0</v>
      </c>
      <c r="BA92" s="15" t="b">
        <f t="shared" ca="1" si="227"/>
        <v>0</v>
      </c>
      <c r="BB92" s="15" t="str">
        <f t="shared" si="228"/>
        <v/>
      </c>
      <c r="BC92" s="15" t="str">
        <f t="shared" ca="1" si="201"/>
        <v/>
      </c>
      <c r="BD92" s="15" t="b">
        <f t="shared" ca="1" si="229"/>
        <v>0</v>
      </c>
      <c r="BE92" s="15" t="b">
        <f t="shared" si="230"/>
        <v>0</v>
      </c>
      <c r="BF92" s="15" t="str">
        <f t="shared" ca="1" si="231"/>
        <v/>
      </c>
      <c r="BG92" s="15" t="str">
        <f t="shared" si="232"/>
        <v/>
      </c>
      <c r="BH92" s="15" t="str">
        <f t="array" aca="1" ref="BH92" ca="1">IF(IFERROR( S92,1),1,IF(BC92="","", SUM(IF(ISERROR(INDIRECT(BC92)),1,0))))</f>
        <v/>
      </c>
      <c r="BI92" s="15" t="b">
        <f t="shared" si="233"/>
        <v>0</v>
      </c>
      <c r="BJ92" s="15" t="b">
        <f t="shared" si="234"/>
        <v>0</v>
      </c>
      <c r="BK92" s="15" t="str">
        <f t="shared" si="235"/>
        <v/>
      </c>
      <c r="BL92" s="15">
        <f t="shared" si="236"/>
        <v>4</v>
      </c>
      <c r="BP92" s="15" t="b">
        <f t="shared" si="202"/>
        <v>0</v>
      </c>
      <c r="BQ92" s="15" t="b">
        <f t="shared" si="203"/>
        <v>0</v>
      </c>
      <c r="BR92" s="15" t="str">
        <f t="shared" si="237"/>
        <v/>
      </c>
      <c r="BS92" s="15">
        <f t="shared" si="204"/>
        <v>0</v>
      </c>
      <c r="BT92" s="15" t="str">
        <f t="shared" si="197"/>
        <v/>
      </c>
      <c r="BV92" s="15" t="b">
        <f t="shared" ca="1" si="238"/>
        <v>0</v>
      </c>
      <c r="BW92" s="15" t="b">
        <f t="shared" ca="1" si="239"/>
        <v>0</v>
      </c>
      <c r="BX92" s="15" t="b">
        <f t="shared" ca="1" si="205"/>
        <v>0</v>
      </c>
      <c r="BY92" s="15" t="b">
        <f t="shared" ca="1" si="240"/>
        <v>0</v>
      </c>
      <c r="BZ92" s="15" t="b">
        <f t="shared" si="241"/>
        <v>0</v>
      </c>
      <c r="CA92" s="15" t="b">
        <f t="shared" si="242"/>
        <v>0</v>
      </c>
      <c r="CB92" s="15" t="b">
        <f t="shared" ca="1" si="243"/>
        <v>0</v>
      </c>
      <c r="CC92" s="15" t="b">
        <f t="shared" si="188"/>
        <v>0</v>
      </c>
      <c r="CD92" s="15" t="b">
        <f t="shared" si="188"/>
        <v>0</v>
      </c>
      <c r="CE92" s="15" t="b">
        <f t="shared" ca="1" si="244"/>
        <v>0</v>
      </c>
      <c r="CF92" s="15" t="b">
        <f t="shared" si="245"/>
        <v>0</v>
      </c>
      <c r="CG92" s="15" t="b">
        <f t="shared" si="246"/>
        <v>0</v>
      </c>
      <c r="CH92" s="15" t="b">
        <f t="shared" si="247"/>
        <v>0</v>
      </c>
      <c r="CI92" s="15" t="b">
        <f t="shared" si="248"/>
        <v>0</v>
      </c>
      <c r="CJ92" s="15" t="b">
        <f t="shared" si="249"/>
        <v>0</v>
      </c>
      <c r="CK92" s="15" t="b">
        <f t="shared" ca="1" si="189"/>
        <v>0</v>
      </c>
      <c r="CL92" s="15" t="b">
        <f t="shared" ca="1" si="189"/>
        <v>0</v>
      </c>
      <c r="CM92" s="15" t="b">
        <f t="shared" ca="1" si="189"/>
        <v>0</v>
      </c>
      <c r="CN92" s="15" t="b">
        <f t="shared" ca="1" si="189"/>
        <v>0</v>
      </c>
      <c r="CO92" s="15" t="b">
        <f t="shared" ca="1" si="189"/>
        <v>0</v>
      </c>
      <c r="CP92" s="15" t="b">
        <f t="shared" ca="1" si="189"/>
        <v>0</v>
      </c>
      <c r="CQ92" s="15" t="b">
        <f t="shared" ca="1" si="189"/>
        <v>0</v>
      </c>
      <c r="CR92" s="21" t="b">
        <f t="shared" ca="1" si="189"/>
        <v>0</v>
      </c>
      <c r="CS92" s="22" t="b">
        <f t="shared" ca="1" si="190"/>
        <v>0</v>
      </c>
      <c r="CT92" s="22" t="b">
        <f t="shared" ca="1" si="190"/>
        <v>0</v>
      </c>
      <c r="CU92" s="22" t="b">
        <f t="shared" ca="1" si="190"/>
        <v>0</v>
      </c>
      <c r="CV92" s="22" t="b">
        <f t="shared" ca="1" si="190"/>
        <v>0</v>
      </c>
      <c r="CW92" s="22" t="b">
        <f t="shared" ca="1" si="190"/>
        <v>0</v>
      </c>
      <c r="CX92" s="22" t="b">
        <f t="shared" ca="1" si="190"/>
        <v>0</v>
      </c>
      <c r="CY92" s="22" t="b">
        <f t="shared" ca="1" si="190"/>
        <v>0</v>
      </c>
      <c r="CZ92" s="21" t="b">
        <f t="shared" ca="1" si="190"/>
        <v>0</v>
      </c>
      <c r="DB92" s="22" t="b">
        <f t="shared" ca="1" si="250"/>
        <v>0</v>
      </c>
      <c r="DC92" s="22" t="b">
        <f t="shared" ca="1" si="191"/>
        <v>0</v>
      </c>
      <c r="DD92" s="22" t="b">
        <f t="shared" ca="1" si="191"/>
        <v>0</v>
      </c>
      <c r="DE92" s="22" t="b">
        <f t="shared" ca="1" si="191"/>
        <v>0</v>
      </c>
      <c r="DF92" s="22" t="b">
        <f t="shared" ca="1" si="191"/>
        <v>0</v>
      </c>
      <c r="DG92" s="22" t="b">
        <f t="shared" ca="1" si="191"/>
        <v>0</v>
      </c>
      <c r="DH92" s="22" t="b">
        <f t="shared" ca="1" si="191"/>
        <v>0</v>
      </c>
      <c r="DI92" s="22" t="b">
        <f t="shared" ca="1" si="191"/>
        <v>0</v>
      </c>
      <c r="DJ92" s="22" t="b">
        <f t="shared" ca="1" si="186"/>
        <v>0</v>
      </c>
      <c r="DK92" s="22"/>
      <c r="DO92" s="15" t="str">
        <f t="shared" ca="1" si="192"/>
        <v/>
      </c>
      <c r="DP92" s="15" t="str">
        <f t="shared" ca="1" si="192"/>
        <v/>
      </c>
      <c r="DQ92" s="15" t="str">
        <f t="shared" ca="1" si="192"/>
        <v/>
      </c>
      <c r="DR92" s="15" t="str">
        <f t="shared" ca="1" si="192"/>
        <v/>
      </c>
      <c r="DS92" s="15" t="str">
        <f t="shared" ca="1" si="192"/>
        <v/>
      </c>
      <c r="DT92" s="15" t="str">
        <f t="shared" ca="1" si="192"/>
        <v/>
      </c>
      <c r="DU92" s="15" t="str">
        <f t="shared" ca="1" si="192"/>
        <v/>
      </c>
      <c r="DV92" s="15" t="str">
        <f t="shared" ca="1" si="192"/>
        <v/>
      </c>
    </row>
    <row r="93" spans="1:126">
      <c r="A93" s="15">
        <f t="shared" si="194"/>
        <v>81</v>
      </c>
      <c r="B93" s="15" t="str">
        <f t="shared" si="196"/>
        <v/>
      </c>
      <c r="D93" s="15" t="str">
        <f t="shared" si="198"/>
        <v/>
      </c>
      <c r="M93" s="19"/>
      <c r="T93" s="15" t="str">
        <f t="shared" ca="1" si="206"/>
        <v/>
      </c>
      <c r="U93" s="15" t="str">
        <f t="shared" si="195"/>
        <v/>
      </c>
      <c r="AD93" s="16" t="b">
        <f t="shared" si="207"/>
        <v>0</v>
      </c>
      <c r="AE93" s="16" t="b">
        <f t="shared" si="208"/>
        <v>0</v>
      </c>
      <c r="AF93" s="15" t="str">
        <f t="shared" si="209"/>
        <v/>
      </c>
      <c r="AG93" s="15" t="str">
        <f t="shared" ca="1" si="210"/>
        <v/>
      </c>
      <c r="AH93" s="15" t="str">
        <f t="shared" ca="1" si="211"/>
        <v/>
      </c>
      <c r="AI93" s="15" t="b">
        <f t="shared" ca="1" si="212"/>
        <v>0</v>
      </c>
      <c r="AJ93" s="15" t="str">
        <f t="shared" ca="1" si="199"/>
        <v/>
      </c>
      <c r="AK93" s="27" t="str">
        <f t="shared" ca="1" si="213"/>
        <v/>
      </c>
      <c r="AL93" s="15" t="b">
        <f t="shared" ca="1" si="214"/>
        <v>0</v>
      </c>
      <c r="AM93" s="15" t="str">
        <f t="shared" ca="1" si="215"/>
        <v/>
      </c>
      <c r="AN93" s="15">
        <f t="shared" ca="1" si="216"/>
        <v>3</v>
      </c>
      <c r="AO93" s="15" t="str">
        <f t="shared" ca="1" si="200"/>
        <v/>
      </c>
      <c r="AP93" s="15" t="str">
        <f t="shared" ca="1" si="217"/>
        <v/>
      </c>
      <c r="AQ93" s="27">
        <f t="shared" si="218"/>
        <v>4</v>
      </c>
      <c r="AR93" s="15" t="b">
        <f t="shared" si="219"/>
        <v>0</v>
      </c>
      <c r="AS93" s="27" t="b">
        <f t="shared" si="220"/>
        <v>0</v>
      </c>
      <c r="AT93" s="27" t="b">
        <f t="shared" si="221"/>
        <v>0</v>
      </c>
      <c r="AU93" s="27" t="str">
        <f t="shared" si="222"/>
        <v/>
      </c>
      <c r="AV93" s="16" t="b">
        <f t="shared" si="223"/>
        <v>0</v>
      </c>
      <c r="AW93" s="15" t="str">
        <f t="shared" ca="1" si="193"/>
        <v/>
      </c>
      <c r="AX93" s="27" t="b">
        <f t="shared" ca="1" si="224"/>
        <v>0</v>
      </c>
      <c r="AY93" s="27" t="b">
        <f t="shared" ca="1" si="225"/>
        <v>0</v>
      </c>
      <c r="AZ93" s="15" t="b">
        <f t="shared" ca="1" si="226"/>
        <v>0</v>
      </c>
      <c r="BA93" s="15" t="b">
        <f t="shared" ca="1" si="227"/>
        <v>0</v>
      </c>
      <c r="BB93" s="15" t="str">
        <f t="shared" si="228"/>
        <v/>
      </c>
      <c r="BC93" s="15" t="str">
        <f t="shared" ca="1" si="201"/>
        <v/>
      </c>
      <c r="BD93" s="15" t="b">
        <f t="shared" ca="1" si="229"/>
        <v>0</v>
      </c>
      <c r="BE93" s="15" t="b">
        <f t="shared" si="230"/>
        <v>0</v>
      </c>
      <c r="BF93" s="15" t="str">
        <f t="shared" ca="1" si="231"/>
        <v/>
      </c>
      <c r="BG93" s="15" t="str">
        <f t="shared" si="232"/>
        <v/>
      </c>
      <c r="BH93" s="15" t="str">
        <f t="array" aca="1" ref="BH93" ca="1">IF(IFERROR( S93,1),1,IF(BC93="","", SUM(IF(ISERROR(INDIRECT(BC93)),1,0))))</f>
        <v/>
      </c>
      <c r="BI93" s="15" t="b">
        <f t="shared" si="233"/>
        <v>0</v>
      </c>
      <c r="BJ93" s="15" t="b">
        <f t="shared" si="234"/>
        <v>0</v>
      </c>
      <c r="BK93" s="15" t="str">
        <f t="shared" si="235"/>
        <v/>
      </c>
      <c r="BL93" s="15">
        <f t="shared" si="236"/>
        <v>4</v>
      </c>
      <c r="BP93" s="15" t="b">
        <f t="shared" si="202"/>
        <v>0</v>
      </c>
      <c r="BQ93" s="15" t="b">
        <f t="shared" si="203"/>
        <v>0</v>
      </c>
      <c r="BR93" s="15" t="str">
        <f t="shared" si="237"/>
        <v/>
      </c>
      <c r="BS93" s="15">
        <f t="shared" si="204"/>
        <v>0</v>
      </c>
      <c r="BT93" s="15" t="str">
        <f t="shared" si="197"/>
        <v/>
      </c>
      <c r="BV93" s="15" t="b">
        <f t="shared" ca="1" si="238"/>
        <v>0</v>
      </c>
      <c r="BW93" s="15" t="b">
        <f t="shared" ca="1" si="239"/>
        <v>0</v>
      </c>
      <c r="BX93" s="15" t="b">
        <f t="shared" ca="1" si="205"/>
        <v>0</v>
      </c>
      <c r="BY93" s="15" t="b">
        <f t="shared" ca="1" si="240"/>
        <v>0</v>
      </c>
      <c r="BZ93" s="15" t="b">
        <f t="shared" si="241"/>
        <v>0</v>
      </c>
      <c r="CA93" s="15" t="b">
        <f t="shared" si="242"/>
        <v>0</v>
      </c>
      <c r="CB93" s="15" t="b">
        <f t="shared" ca="1" si="243"/>
        <v>0</v>
      </c>
      <c r="CC93" s="15" t="b">
        <f t="shared" si="188"/>
        <v>0</v>
      </c>
      <c r="CD93" s="15" t="b">
        <f t="shared" si="188"/>
        <v>0</v>
      </c>
      <c r="CE93" s="15" t="b">
        <f t="shared" ca="1" si="244"/>
        <v>0</v>
      </c>
      <c r="CF93" s="15" t="b">
        <f t="shared" si="245"/>
        <v>0</v>
      </c>
      <c r="CG93" s="15" t="b">
        <f t="shared" si="246"/>
        <v>0</v>
      </c>
      <c r="CH93" s="15" t="b">
        <f t="shared" si="247"/>
        <v>0</v>
      </c>
      <c r="CI93" s="15" t="b">
        <f t="shared" si="248"/>
        <v>0</v>
      </c>
      <c r="CJ93" s="15" t="b">
        <f t="shared" si="249"/>
        <v>0</v>
      </c>
      <c r="CK93" s="15" t="b">
        <f t="shared" ca="1" si="189"/>
        <v>0</v>
      </c>
      <c r="CL93" s="15" t="b">
        <f t="shared" ca="1" si="189"/>
        <v>0</v>
      </c>
      <c r="CM93" s="15" t="b">
        <f t="shared" ca="1" si="189"/>
        <v>0</v>
      </c>
      <c r="CN93" s="15" t="b">
        <f t="shared" ca="1" si="189"/>
        <v>0</v>
      </c>
      <c r="CO93" s="15" t="b">
        <f t="shared" ca="1" si="189"/>
        <v>0</v>
      </c>
      <c r="CP93" s="15" t="b">
        <f t="shared" ca="1" si="189"/>
        <v>0</v>
      </c>
      <c r="CQ93" s="15" t="b">
        <f t="shared" ca="1" si="189"/>
        <v>0</v>
      </c>
      <c r="CR93" s="21" t="b">
        <f t="shared" ca="1" si="189"/>
        <v>0</v>
      </c>
      <c r="CS93" s="22" t="b">
        <f t="shared" ca="1" si="190"/>
        <v>0</v>
      </c>
      <c r="CT93" s="22" t="b">
        <f t="shared" ca="1" si="190"/>
        <v>0</v>
      </c>
      <c r="CU93" s="22" t="b">
        <f t="shared" ca="1" si="190"/>
        <v>0</v>
      </c>
      <c r="CV93" s="22" t="b">
        <f t="shared" ca="1" si="190"/>
        <v>0</v>
      </c>
      <c r="CW93" s="22" t="b">
        <f t="shared" ca="1" si="190"/>
        <v>0</v>
      </c>
      <c r="CX93" s="22" t="b">
        <f t="shared" ca="1" si="190"/>
        <v>0</v>
      </c>
      <c r="CY93" s="22" t="b">
        <f t="shared" ca="1" si="190"/>
        <v>0</v>
      </c>
      <c r="CZ93" s="21" t="b">
        <f t="shared" ca="1" si="190"/>
        <v>0</v>
      </c>
      <c r="DB93" s="22" t="b">
        <f t="shared" ca="1" si="250"/>
        <v>0</v>
      </c>
      <c r="DC93" s="22" t="b">
        <f t="shared" ca="1" si="191"/>
        <v>0</v>
      </c>
      <c r="DD93" s="22" t="b">
        <f t="shared" ca="1" si="191"/>
        <v>0</v>
      </c>
      <c r="DE93" s="22" t="b">
        <f t="shared" ca="1" si="191"/>
        <v>0</v>
      </c>
      <c r="DF93" s="22" t="b">
        <f t="shared" ca="1" si="191"/>
        <v>0</v>
      </c>
      <c r="DG93" s="22" t="b">
        <f t="shared" ca="1" si="191"/>
        <v>0</v>
      </c>
      <c r="DH93" s="22" t="b">
        <f t="shared" ca="1" si="191"/>
        <v>0</v>
      </c>
      <c r="DI93" s="22" t="b">
        <f t="shared" ca="1" si="191"/>
        <v>0</v>
      </c>
      <c r="DJ93" s="22" t="b">
        <f t="shared" ca="1" si="186"/>
        <v>0</v>
      </c>
      <c r="DK93" s="22"/>
      <c r="DO93" s="15" t="str">
        <f t="shared" ca="1" si="192"/>
        <v/>
      </c>
      <c r="DP93" s="15" t="str">
        <f t="shared" ca="1" si="192"/>
        <v/>
      </c>
      <c r="DQ93" s="15" t="str">
        <f t="shared" ca="1" si="192"/>
        <v/>
      </c>
      <c r="DR93" s="15" t="str">
        <f t="shared" ca="1" si="192"/>
        <v/>
      </c>
      <c r="DS93" s="15" t="str">
        <f t="shared" ca="1" si="192"/>
        <v/>
      </c>
      <c r="DT93" s="15" t="str">
        <f t="shared" ca="1" si="192"/>
        <v/>
      </c>
      <c r="DU93" s="15" t="str">
        <f t="shared" ca="1" si="192"/>
        <v/>
      </c>
      <c r="DV93" s="15" t="str">
        <f t="shared" ca="1" si="192"/>
        <v/>
      </c>
    </row>
    <row r="94" spans="1:126">
      <c r="A94" s="15">
        <f t="shared" si="194"/>
        <v>82</v>
      </c>
      <c r="B94" s="15" t="str">
        <f t="shared" si="196"/>
        <v/>
      </c>
      <c r="D94" s="15" t="str">
        <f t="shared" si="198"/>
        <v/>
      </c>
      <c r="M94" s="19"/>
      <c r="T94" s="15" t="str">
        <f t="shared" ca="1" si="206"/>
        <v/>
      </c>
      <c r="U94" s="15" t="str">
        <f t="shared" si="195"/>
        <v/>
      </c>
      <c r="AD94" s="16" t="b">
        <f t="shared" si="207"/>
        <v>0</v>
      </c>
      <c r="AE94" s="16" t="b">
        <f t="shared" si="208"/>
        <v>0</v>
      </c>
      <c r="AF94" s="15" t="str">
        <f t="shared" si="209"/>
        <v/>
      </c>
      <c r="AG94" s="15" t="str">
        <f t="shared" ca="1" si="210"/>
        <v/>
      </c>
      <c r="AH94" s="15" t="str">
        <f t="shared" ca="1" si="211"/>
        <v/>
      </c>
      <c r="AI94" s="15" t="b">
        <f t="shared" ca="1" si="212"/>
        <v>0</v>
      </c>
      <c r="AJ94" s="15" t="str">
        <f t="shared" ca="1" si="199"/>
        <v/>
      </c>
      <c r="AK94" s="27" t="str">
        <f t="shared" ca="1" si="213"/>
        <v/>
      </c>
      <c r="AL94" s="15" t="b">
        <f t="shared" ca="1" si="214"/>
        <v>0</v>
      </c>
      <c r="AM94" s="15" t="str">
        <f t="shared" ca="1" si="215"/>
        <v/>
      </c>
      <c r="AN94" s="15">
        <f t="shared" ca="1" si="216"/>
        <v>3</v>
      </c>
      <c r="AO94" s="15" t="str">
        <f t="shared" ca="1" si="200"/>
        <v/>
      </c>
      <c r="AP94" s="15" t="str">
        <f t="shared" ca="1" si="217"/>
        <v/>
      </c>
      <c r="AQ94" s="27">
        <f t="shared" si="218"/>
        <v>4</v>
      </c>
      <c r="AR94" s="15" t="b">
        <f t="shared" si="219"/>
        <v>0</v>
      </c>
      <c r="AS94" s="27" t="b">
        <f t="shared" si="220"/>
        <v>0</v>
      </c>
      <c r="AT94" s="27" t="b">
        <f t="shared" si="221"/>
        <v>0</v>
      </c>
      <c r="AU94" s="27" t="str">
        <f t="shared" si="222"/>
        <v/>
      </c>
      <c r="AV94" s="16" t="b">
        <f t="shared" si="223"/>
        <v>0</v>
      </c>
      <c r="AW94" s="15" t="str">
        <f t="shared" ca="1" si="193"/>
        <v/>
      </c>
      <c r="AX94" s="27" t="b">
        <f t="shared" ca="1" si="224"/>
        <v>0</v>
      </c>
      <c r="AY94" s="27" t="b">
        <f t="shared" ca="1" si="225"/>
        <v>0</v>
      </c>
      <c r="AZ94" s="15" t="b">
        <f t="shared" ca="1" si="226"/>
        <v>0</v>
      </c>
      <c r="BA94" s="15" t="b">
        <f t="shared" ca="1" si="227"/>
        <v>0</v>
      </c>
      <c r="BB94" s="15" t="str">
        <f t="shared" si="228"/>
        <v/>
      </c>
      <c r="BC94" s="15" t="str">
        <f t="shared" ca="1" si="201"/>
        <v/>
      </c>
      <c r="BD94" s="15" t="b">
        <f t="shared" ca="1" si="229"/>
        <v>0</v>
      </c>
      <c r="BE94" s="15" t="b">
        <f t="shared" si="230"/>
        <v>0</v>
      </c>
      <c r="BF94" s="15" t="str">
        <f t="shared" ca="1" si="231"/>
        <v/>
      </c>
      <c r="BG94" s="15" t="str">
        <f t="shared" si="232"/>
        <v/>
      </c>
      <c r="BH94" s="15" t="str">
        <f t="array" aca="1" ref="BH94" ca="1">IF(IFERROR( S94,1),1,IF(BC94="","", SUM(IF(ISERROR(INDIRECT(BC94)),1,0))))</f>
        <v/>
      </c>
      <c r="BI94" s="15" t="b">
        <f t="shared" si="233"/>
        <v>0</v>
      </c>
      <c r="BJ94" s="15" t="b">
        <f t="shared" si="234"/>
        <v>0</v>
      </c>
      <c r="BK94" s="15" t="str">
        <f t="shared" si="235"/>
        <v/>
      </c>
      <c r="BL94" s="15">
        <f t="shared" si="236"/>
        <v>4</v>
      </c>
      <c r="BP94" s="15" t="b">
        <f t="shared" si="202"/>
        <v>0</v>
      </c>
      <c r="BQ94" s="15" t="b">
        <f t="shared" si="203"/>
        <v>0</v>
      </c>
      <c r="BR94" s="15" t="str">
        <f t="shared" si="237"/>
        <v/>
      </c>
      <c r="BS94" s="15">
        <f t="shared" si="204"/>
        <v>0</v>
      </c>
      <c r="BT94" s="15" t="str">
        <f t="shared" si="197"/>
        <v/>
      </c>
      <c r="BV94" s="15" t="b">
        <f t="shared" ca="1" si="238"/>
        <v>0</v>
      </c>
      <c r="BW94" s="15" t="b">
        <f t="shared" ca="1" si="239"/>
        <v>0</v>
      </c>
      <c r="BX94" s="15" t="b">
        <f t="shared" ca="1" si="205"/>
        <v>0</v>
      </c>
      <c r="BY94" s="15" t="b">
        <f t="shared" ca="1" si="240"/>
        <v>0</v>
      </c>
      <c r="BZ94" s="15" t="b">
        <f t="shared" si="241"/>
        <v>0</v>
      </c>
      <c r="CA94" s="15" t="b">
        <f t="shared" si="242"/>
        <v>0</v>
      </c>
      <c r="CB94" s="15" t="b">
        <f t="shared" ca="1" si="243"/>
        <v>0</v>
      </c>
      <c r="CC94" s="15" t="b">
        <f t="shared" si="188"/>
        <v>0</v>
      </c>
      <c r="CD94" s="15" t="b">
        <f t="shared" si="188"/>
        <v>0</v>
      </c>
      <c r="CE94" s="15" t="b">
        <f t="shared" ca="1" si="244"/>
        <v>0</v>
      </c>
      <c r="CF94" s="15" t="b">
        <f t="shared" si="245"/>
        <v>0</v>
      </c>
      <c r="CG94" s="15" t="b">
        <f t="shared" si="246"/>
        <v>0</v>
      </c>
      <c r="CH94" s="15" t="b">
        <f t="shared" si="247"/>
        <v>0</v>
      </c>
      <c r="CI94" s="15" t="b">
        <f t="shared" si="248"/>
        <v>0</v>
      </c>
      <c r="CJ94" s="15" t="b">
        <f t="shared" si="249"/>
        <v>0</v>
      </c>
      <c r="CK94" s="15" t="b">
        <f t="shared" ca="1" si="189"/>
        <v>0</v>
      </c>
      <c r="CL94" s="15" t="b">
        <f t="shared" ca="1" si="189"/>
        <v>0</v>
      </c>
      <c r="CM94" s="15" t="b">
        <f t="shared" ca="1" si="189"/>
        <v>0</v>
      </c>
      <c r="CN94" s="15" t="b">
        <f t="shared" ca="1" si="189"/>
        <v>0</v>
      </c>
      <c r="CO94" s="15" t="b">
        <f t="shared" ca="1" si="189"/>
        <v>0</v>
      </c>
      <c r="CP94" s="15" t="b">
        <f t="shared" ca="1" si="189"/>
        <v>0</v>
      </c>
      <c r="CQ94" s="15" t="b">
        <f t="shared" ca="1" si="189"/>
        <v>0</v>
      </c>
      <c r="CR94" s="21" t="b">
        <f t="shared" ca="1" si="189"/>
        <v>0</v>
      </c>
      <c r="CS94" s="22" t="b">
        <f t="shared" ca="1" si="190"/>
        <v>0</v>
      </c>
      <c r="CT94" s="22" t="b">
        <f t="shared" ca="1" si="190"/>
        <v>0</v>
      </c>
      <c r="CU94" s="22" t="b">
        <f t="shared" ca="1" si="190"/>
        <v>0</v>
      </c>
      <c r="CV94" s="22" t="b">
        <f t="shared" ca="1" si="190"/>
        <v>0</v>
      </c>
      <c r="CW94" s="22" t="b">
        <f t="shared" ca="1" si="190"/>
        <v>0</v>
      </c>
      <c r="CX94" s="22" t="b">
        <f t="shared" ca="1" si="190"/>
        <v>0</v>
      </c>
      <c r="CY94" s="22" t="b">
        <f t="shared" ca="1" si="190"/>
        <v>0</v>
      </c>
      <c r="CZ94" s="21" t="b">
        <f t="shared" ca="1" si="190"/>
        <v>0</v>
      </c>
      <c r="DB94" s="22" t="b">
        <f t="shared" ca="1" si="250"/>
        <v>0</v>
      </c>
      <c r="DC94" s="22" t="b">
        <f t="shared" ca="1" si="191"/>
        <v>0</v>
      </c>
      <c r="DD94" s="22" t="b">
        <f t="shared" ca="1" si="191"/>
        <v>0</v>
      </c>
      <c r="DE94" s="22" t="b">
        <f t="shared" ca="1" si="191"/>
        <v>0</v>
      </c>
      <c r="DF94" s="22" t="b">
        <f t="shared" ca="1" si="191"/>
        <v>0</v>
      </c>
      <c r="DG94" s="22" t="b">
        <f t="shared" ca="1" si="191"/>
        <v>0</v>
      </c>
      <c r="DH94" s="22" t="b">
        <f t="shared" ca="1" si="191"/>
        <v>0</v>
      </c>
      <c r="DI94" s="22" t="b">
        <f t="shared" ca="1" si="191"/>
        <v>0</v>
      </c>
      <c r="DJ94" s="22" t="b">
        <f t="shared" ca="1" si="186"/>
        <v>0</v>
      </c>
      <c r="DK94" s="22"/>
      <c r="DO94" s="15" t="str">
        <f t="shared" ca="1" si="192"/>
        <v/>
      </c>
      <c r="DP94" s="15" t="str">
        <f t="shared" ca="1" si="192"/>
        <v/>
      </c>
      <c r="DQ94" s="15" t="str">
        <f t="shared" ca="1" si="192"/>
        <v/>
      </c>
      <c r="DR94" s="15" t="str">
        <f t="shared" ca="1" si="192"/>
        <v/>
      </c>
      <c r="DS94" s="15" t="str">
        <f t="shared" ca="1" si="192"/>
        <v/>
      </c>
      <c r="DT94" s="15" t="str">
        <f t="shared" ca="1" si="192"/>
        <v/>
      </c>
      <c r="DU94" s="15" t="str">
        <f t="shared" ca="1" si="192"/>
        <v/>
      </c>
      <c r="DV94" s="15" t="str">
        <f t="shared" ca="1" si="192"/>
        <v/>
      </c>
    </row>
    <row r="95" spans="1:126">
      <c r="A95" s="15">
        <f t="shared" si="194"/>
        <v>83</v>
      </c>
      <c r="B95" s="15" t="str">
        <f t="shared" si="196"/>
        <v/>
      </c>
      <c r="D95" s="15" t="str">
        <f t="shared" si="198"/>
        <v/>
      </c>
      <c r="M95" s="19"/>
      <c r="T95" s="15" t="str">
        <f t="shared" ca="1" si="206"/>
        <v/>
      </c>
      <c r="U95" s="15" t="str">
        <f t="shared" si="195"/>
        <v/>
      </c>
      <c r="AD95" s="16" t="b">
        <f t="shared" si="207"/>
        <v>0</v>
      </c>
      <c r="AE95" s="16" t="b">
        <f t="shared" si="208"/>
        <v>0</v>
      </c>
      <c r="AF95" s="15" t="str">
        <f t="shared" si="209"/>
        <v/>
      </c>
      <c r="AG95" s="15" t="str">
        <f t="shared" ca="1" si="210"/>
        <v/>
      </c>
      <c r="AH95" s="15" t="str">
        <f t="shared" ca="1" si="211"/>
        <v/>
      </c>
      <c r="AI95" s="15" t="b">
        <f t="shared" ca="1" si="212"/>
        <v>0</v>
      </c>
      <c r="AJ95" s="15" t="str">
        <f t="shared" ca="1" si="199"/>
        <v/>
      </c>
      <c r="AK95" s="27" t="str">
        <f t="shared" ca="1" si="213"/>
        <v/>
      </c>
      <c r="AL95" s="15" t="b">
        <f t="shared" ca="1" si="214"/>
        <v>0</v>
      </c>
      <c r="AM95" s="15" t="str">
        <f t="shared" ca="1" si="215"/>
        <v/>
      </c>
      <c r="AN95" s="15">
        <f t="shared" ca="1" si="216"/>
        <v>3</v>
      </c>
      <c r="AO95" s="15" t="str">
        <f t="shared" ca="1" si="200"/>
        <v/>
      </c>
      <c r="AP95" s="15" t="str">
        <f t="shared" ca="1" si="217"/>
        <v/>
      </c>
      <c r="AQ95" s="27">
        <f t="shared" si="218"/>
        <v>4</v>
      </c>
      <c r="AR95" s="15" t="b">
        <f t="shared" si="219"/>
        <v>0</v>
      </c>
      <c r="AS95" s="27" t="b">
        <f t="shared" si="220"/>
        <v>0</v>
      </c>
      <c r="AT95" s="27" t="b">
        <f t="shared" si="221"/>
        <v>0</v>
      </c>
      <c r="AU95" s="27" t="str">
        <f t="shared" si="222"/>
        <v/>
      </c>
      <c r="AV95" s="16" t="b">
        <f t="shared" si="223"/>
        <v>0</v>
      </c>
      <c r="AW95" s="15" t="str">
        <f t="shared" ca="1" si="193"/>
        <v/>
      </c>
      <c r="AX95" s="27" t="b">
        <f t="shared" ca="1" si="224"/>
        <v>0</v>
      </c>
      <c r="AY95" s="27" t="b">
        <f t="shared" ca="1" si="225"/>
        <v>0</v>
      </c>
      <c r="AZ95" s="15" t="b">
        <f t="shared" ca="1" si="226"/>
        <v>0</v>
      </c>
      <c r="BA95" s="15" t="b">
        <f t="shared" ca="1" si="227"/>
        <v>0</v>
      </c>
      <c r="BB95" s="15" t="str">
        <f t="shared" si="228"/>
        <v/>
      </c>
      <c r="BC95" s="15" t="str">
        <f t="shared" ca="1" si="201"/>
        <v/>
      </c>
      <c r="BD95" s="15" t="b">
        <f t="shared" ca="1" si="229"/>
        <v>0</v>
      </c>
      <c r="BE95" s="15" t="b">
        <f t="shared" si="230"/>
        <v>0</v>
      </c>
      <c r="BF95" s="15" t="str">
        <f t="shared" ca="1" si="231"/>
        <v/>
      </c>
      <c r="BG95" s="15" t="str">
        <f t="shared" si="232"/>
        <v/>
      </c>
      <c r="BH95" s="15" t="str">
        <f t="array" aca="1" ref="BH95" ca="1">IF(IFERROR( S95,1),1,IF(BC95="","", SUM(IF(ISERROR(INDIRECT(BC95)),1,0))))</f>
        <v/>
      </c>
      <c r="BI95" s="15" t="b">
        <f t="shared" si="233"/>
        <v>0</v>
      </c>
      <c r="BJ95" s="15" t="b">
        <f t="shared" si="234"/>
        <v>0</v>
      </c>
      <c r="BK95" s="15" t="str">
        <f t="shared" si="235"/>
        <v/>
      </c>
      <c r="BL95" s="15">
        <f t="shared" si="236"/>
        <v>4</v>
      </c>
      <c r="BP95" s="15" t="b">
        <f t="shared" si="202"/>
        <v>0</v>
      </c>
      <c r="BQ95" s="15" t="b">
        <f t="shared" si="203"/>
        <v>0</v>
      </c>
      <c r="BR95" s="15" t="str">
        <f t="shared" si="237"/>
        <v/>
      </c>
      <c r="BS95" s="15">
        <f t="shared" si="204"/>
        <v>0</v>
      </c>
      <c r="BT95" s="15" t="str">
        <f t="shared" si="197"/>
        <v/>
      </c>
      <c r="BV95" s="15" t="b">
        <f t="shared" ca="1" si="238"/>
        <v>0</v>
      </c>
      <c r="BW95" s="15" t="b">
        <f t="shared" ca="1" si="239"/>
        <v>0</v>
      </c>
      <c r="BX95" s="15" t="b">
        <f t="shared" ca="1" si="205"/>
        <v>0</v>
      </c>
      <c r="BY95" s="15" t="b">
        <f t="shared" ca="1" si="240"/>
        <v>0</v>
      </c>
      <c r="BZ95" s="15" t="b">
        <f t="shared" si="241"/>
        <v>0</v>
      </c>
      <c r="CA95" s="15" t="b">
        <f t="shared" si="242"/>
        <v>0</v>
      </c>
      <c r="CB95" s="15" t="b">
        <f t="shared" ca="1" si="243"/>
        <v>0</v>
      </c>
      <c r="CC95" s="15" t="b">
        <f t="shared" si="188"/>
        <v>0</v>
      </c>
      <c r="CD95" s="15" t="b">
        <f t="shared" si="188"/>
        <v>0</v>
      </c>
      <c r="CE95" s="15" t="b">
        <f t="shared" ca="1" si="244"/>
        <v>0</v>
      </c>
      <c r="CF95" s="15" t="b">
        <f t="shared" si="245"/>
        <v>0</v>
      </c>
      <c r="CG95" s="15" t="b">
        <f t="shared" si="246"/>
        <v>0</v>
      </c>
      <c r="CH95" s="15" t="b">
        <f t="shared" si="247"/>
        <v>0</v>
      </c>
      <c r="CI95" s="15" t="b">
        <f t="shared" si="248"/>
        <v>0</v>
      </c>
      <c r="CJ95" s="15" t="b">
        <f t="shared" si="249"/>
        <v>0</v>
      </c>
      <c r="CK95" s="15" t="b">
        <f t="shared" ca="1" si="189"/>
        <v>0</v>
      </c>
      <c r="CL95" s="15" t="b">
        <f t="shared" ca="1" si="189"/>
        <v>0</v>
      </c>
      <c r="CM95" s="15" t="b">
        <f t="shared" ca="1" si="189"/>
        <v>0</v>
      </c>
      <c r="CN95" s="15" t="b">
        <f t="shared" ca="1" si="189"/>
        <v>0</v>
      </c>
      <c r="CO95" s="15" t="b">
        <f t="shared" ca="1" si="189"/>
        <v>0</v>
      </c>
      <c r="CP95" s="15" t="b">
        <f t="shared" ca="1" si="189"/>
        <v>0</v>
      </c>
      <c r="CQ95" s="15" t="b">
        <f t="shared" ca="1" si="189"/>
        <v>0</v>
      </c>
      <c r="CR95" s="21" t="b">
        <f t="shared" ca="1" si="189"/>
        <v>0</v>
      </c>
      <c r="CS95" s="22" t="b">
        <f t="shared" ca="1" si="190"/>
        <v>0</v>
      </c>
      <c r="CT95" s="22" t="b">
        <f t="shared" ca="1" si="190"/>
        <v>0</v>
      </c>
      <c r="CU95" s="22" t="b">
        <f t="shared" ca="1" si="190"/>
        <v>0</v>
      </c>
      <c r="CV95" s="22" t="b">
        <f t="shared" ca="1" si="190"/>
        <v>0</v>
      </c>
      <c r="CW95" s="22" t="b">
        <f t="shared" ca="1" si="190"/>
        <v>0</v>
      </c>
      <c r="CX95" s="22" t="b">
        <f t="shared" ca="1" si="190"/>
        <v>0</v>
      </c>
      <c r="CY95" s="22" t="b">
        <f t="shared" ca="1" si="190"/>
        <v>0</v>
      </c>
      <c r="CZ95" s="21" t="b">
        <f t="shared" ca="1" si="190"/>
        <v>0</v>
      </c>
      <c r="DB95" s="22" t="b">
        <f t="shared" ca="1" si="250"/>
        <v>0</v>
      </c>
      <c r="DC95" s="22" t="b">
        <f t="shared" ca="1" si="191"/>
        <v>0</v>
      </c>
      <c r="DD95" s="22" t="b">
        <f t="shared" ca="1" si="191"/>
        <v>0</v>
      </c>
      <c r="DE95" s="22" t="b">
        <f t="shared" ca="1" si="191"/>
        <v>0</v>
      </c>
      <c r="DF95" s="22" t="b">
        <f t="shared" ca="1" si="191"/>
        <v>0</v>
      </c>
      <c r="DG95" s="22" t="b">
        <f t="shared" ca="1" si="191"/>
        <v>0</v>
      </c>
      <c r="DH95" s="22" t="b">
        <f t="shared" ca="1" si="191"/>
        <v>0</v>
      </c>
      <c r="DI95" s="22" t="b">
        <f t="shared" ca="1" si="191"/>
        <v>0</v>
      </c>
      <c r="DJ95" s="22" t="b">
        <f t="shared" ca="1" si="186"/>
        <v>0</v>
      </c>
      <c r="DK95" s="22"/>
      <c r="DO95" s="15" t="str">
        <f t="shared" ca="1" si="192"/>
        <v/>
      </c>
      <c r="DP95" s="15" t="str">
        <f t="shared" ca="1" si="192"/>
        <v/>
      </c>
      <c r="DQ95" s="15" t="str">
        <f t="shared" ca="1" si="192"/>
        <v/>
      </c>
      <c r="DR95" s="15" t="str">
        <f t="shared" ca="1" si="192"/>
        <v/>
      </c>
      <c r="DS95" s="15" t="str">
        <f t="shared" ca="1" si="192"/>
        <v/>
      </c>
      <c r="DT95" s="15" t="str">
        <f t="shared" ca="1" si="192"/>
        <v/>
      </c>
      <c r="DU95" s="15" t="str">
        <f t="shared" ca="1" si="192"/>
        <v/>
      </c>
      <c r="DV95" s="15" t="str">
        <f t="shared" ca="1" si="192"/>
        <v/>
      </c>
    </row>
    <row r="96" spans="1:126">
      <c r="A96" s="15">
        <f t="shared" si="194"/>
        <v>84</v>
      </c>
      <c r="B96" s="15" t="str">
        <f t="shared" si="196"/>
        <v/>
      </c>
      <c r="D96" s="15" t="str">
        <f t="shared" si="198"/>
        <v/>
      </c>
      <c r="M96" s="19"/>
      <c r="T96" s="15" t="str">
        <f t="shared" ca="1" si="206"/>
        <v/>
      </c>
      <c r="U96" s="15" t="str">
        <f t="shared" si="195"/>
        <v/>
      </c>
      <c r="AD96" s="16" t="b">
        <f t="shared" si="207"/>
        <v>0</v>
      </c>
      <c r="AE96" s="16" t="b">
        <f t="shared" si="208"/>
        <v>0</v>
      </c>
      <c r="AF96" s="15" t="str">
        <f t="shared" si="209"/>
        <v/>
      </c>
      <c r="AG96" s="15" t="str">
        <f t="shared" ca="1" si="210"/>
        <v/>
      </c>
      <c r="AH96" s="15" t="str">
        <f t="shared" ca="1" si="211"/>
        <v/>
      </c>
      <c r="AI96" s="15" t="b">
        <f t="shared" ca="1" si="212"/>
        <v>0</v>
      </c>
      <c r="AJ96" s="15" t="str">
        <f t="shared" ca="1" si="199"/>
        <v/>
      </c>
      <c r="AK96" s="27" t="str">
        <f t="shared" ca="1" si="213"/>
        <v/>
      </c>
      <c r="AL96" s="15" t="b">
        <f t="shared" ca="1" si="214"/>
        <v>0</v>
      </c>
      <c r="AM96" s="15" t="str">
        <f t="shared" ca="1" si="215"/>
        <v/>
      </c>
      <c r="AN96" s="15">
        <f t="shared" ca="1" si="216"/>
        <v>3</v>
      </c>
      <c r="AO96" s="15" t="str">
        <f t="shared" ca="1" si="200"/>
        <v/>
      </c>
      <c r="AP96" s="15" t="str">
        <f t="shared" ca="1" si="217"/>
        <v/>
      </c>
      <c r="AQ96" s="27">
        <f t="shared" si="218"/>
        <v>4</v>
      </c>
      <c r="AR96" s="15" t="b">
        <f t="shared" si="219"/>
        <v>0</v>
      </c>
      <c r="AS96" s="27" t="b">
        <f t="shared" si="220"/>
        <v>0</v>
      </c>
      <c r="AT96" s="27" t="b">
        <f t="shared" si="221"/>
        <v>0</v>
      </c>
      <c r="AU96" s="27" t="str">
        <f t="shared" si="222"/>
        <v/>
      </c>
      <c r="AV96" s="16" t="b">
        <f t="shared" si="223"/>
        <v>0</v>
      </c>
      <c r="AW96" s="15" t="str">
        <f t="shared" ca="1" si="193"/>
        <v/>
      </c>
      <c r="AX96" s="27" t="b">
        <f t="shared" ca="1" si="224"/>
        <v>0</v>
      </c>
      <c r="AY96" s="27" t="b">
        <f t="shared" ca="1" si="225"/>
        <v>0</v>
      </c>
      <c r="AZ96" s="15" t="b">
        <f t="shared" ca="1" si="226"/>
        <v>0</v>
      </c>
      <c r="BA96" s="15" t="b">
        <f t="shared" ca="1" si="227"/>
        <v>0</v>
      </c>
      <c r="BB96" s="15" t="str">
        <f t="shared" si="228"/>
        <v/>
      </c>
      <c r="BC96" s="15" t="str">
        <f t="shared" ca="1" si="201"/>
        <v/>
      </c>
      <c r="BD96" s="15" t="b">
        <f t="shared" ca="1" si="229"/>
        <v>0</v>
      </c>
      <c r="BE96" s="15" t="b">
        <f t="shared" si="230"/>
        <v>0</v>
      </c>
      <c r="BF96" s="15" t="str">
        <f t="shared" ca="1" si="231"/>
        <v/>
      </c>
      <c r="BG96" s="15" t="str">
        <f t="shared" si="232"/>
        <v/>
      </c>
      <c r="BH96" s="15" t="str">
        <f t="array" aca="1" ref="BH96" ca="1">IF(IFERROR( S96,1),1,IF(BC96="","", SUM(IF(ISERROR(INDIRECT(BC96)),1,0))))</f>
        <v/>
      </c>
      <c r="BI96" s="15" t="b">
        <f t="shared" si="233"/>
        <v>0</v>
      </c>
      <c r="BJ96" s="15" t="b">
        <f t="shared" si="234"/>
        <v>0</v>
      </c>
      <c r="BK96" s="15" t="str">
        <f t="shared" si="235"/>
        <v/>
      </c>
      <c r="BL96" s="15">
        <f t="shared" si="236"/>
        <v>4</v>
      </c>
      <c r="BP96" s="15" t="b">
        <f t="shared" si="202"/>
        <v>0</v>
      </c>
      <c r="BQ96" s="15" t="b">
        <f t="shared" si="203"/>
        <v>0</v>
      </c>
      <c r="BR96" s="15" t="str">
        <f t="shared" si="237"/>
        <v/>
      </c>
      <c r="BS96" s="15">
        <f t="shared" si="204"/>
        <v>0</v>
      </c>
      <c r="BT96" s="15" t="str">
        <f t="shared" si="197"/>
        <v/>
      </c>
      <c r="BV96" s="15" t="b">
        <f t="shared" ca="1" si="238"/>
        <v>0</v>
      </c>
      <c r="BW96" s="15" t="b">
        <f t="shared" ca="1" si="239"/>
        <v>0</v>
      </c>
      <c r="BX96" s="15" t="b">
        <f t="shared" ca="1" si="205"/>
        <v>0</v>
      </c>
      <c r="BY96" s="15" t="b">
        <f t="shared" ca="1" si="240"/>
        <v>0</v>
      </c>
      <c r="BZ96" s="15" t="b">
        <f t="shared" si="241"/>
        <v>0</v>
      </c>
      <c r="CA96" s="15" t="b">
        <f t="shared" si="242"/>
        <v>0</v>
      </c>
      <c r="CB96" s="15" t="b">
        <f t="shared" ca="1" si="243"/>
        <v>0</v>
      </c>
      <c r="CC96" s="15" t="b">
        <f t="shared" si="188"/>
        <v>0</v>
      </c>
      <c r="CD96" s="15" t="b">
        <f t="shared" si="188"/>
        <v>0</v>
      </c>
      <c r="CE96" s="15" t="b">
        <f t="shared" ca="1" si="244"/>
        <v>0</v>
      </c>
      <c r="CF96" s="15" t="b">
        <f t="shared" si="245"/>
        <v>0</v>
      </c>
      <c r="CG96" s="15" t="b">
        <f t="shared" si="246"/>
        <v>0</v>
      </c>
      <c r="CH96" s="15" t="b">
        <f t="shared" si="247"/>
        <v>0</v>
      </c>
      <c r="CI96" s="15" t="b">
        <f t="shared" si="248"/>
        <v>0</v>
      </c>
      <c r="CJ96" s="15" t="b">
        <f t="shared" si="249"/>
        <v>0</v>
      </c>
      <c r="CK96" s="15" t="b">
        <f t="shared" ca="1" si="189"/>
        <v>0</v>
      </c>
      <c r="CL96" s="15" t="b">
        <f t="shared" ca="1" si="189"/>
        <v>0</v>
      </c>
      <c r="CM96" s="15" t="b">
        <f t="shared" ca="1" si="189"/>
        <v>0</v>
      </c>
      <c r="CN96" s="15" t="b">
        <f t="shared" ca="1" si="189"/>
        <v>0</v>
      </c>
      <c r="CO96" s="15" t="b">
        <f t="shared" ca="1" si="189"/>
        <v>0</v>
      </c>
      <c r="CP96" s="15" t="b">
        <f t="shared" ca="1" si="189"/>
        <v>0</v>
      </c>
      <c r="CQ96" s="15" t="b">
        <f t="shared" ca="1" si="189"/>
        <v>0</v>
      </c>
      <c r="CR96" s="21" t="b">
        <f t="shared" ca="1" si="189"/>
        <v>0</v>
      </c>
      <c r="CS96" s="22" t="b">
        <f t="shared" ca="1" si="190"/>
        <v>0</v>
      </c>
      <c r="CT96" s="22" t="b">
        <f t="shared" ca="1" si="190"/>
        <v>0</v>
      </c>
      <c r="CU96" s="22" t="b">
        <f t="shared" ca="1" si="190"/>
        <v>0</v>
      </c>
      <c r="CV96" s="22" t="b">
        <f t="shared" ca="1" si="190"/>
        <v>0</v>
      </c>
      <c r="CW96" s="22" t="b">
        <f t="shared" ca="1" si="190"/>
        <v>0</v>
      </c>
      <c r="CX96" s="22" t="b">
        <f t="shared" ca="1" si="190"/>
        <v>0</v>
      </c>
      <c r="CY96" s="22" t="b">
        <f t="shared" ca="1" si="190"/>
        <v>0</v>
      </c>
      <c r="CZ96" s="21" t="b">
        <f t="shared" ca="1" si="190"/>
        <v>0</v>
      </c>
      <c r="DB96" s="22" t="b">
        <f t="shared" ca="1" si="250"/>
        <v>0</v>
      </c>
      <c r="DC96" s="22" t="b">
        <f t="shared" ca="1" si="191"/>
        <v>0</v>
      </c>
      <c r="DD96" s="22" t="b">
        <f t="shared" ca="1" si="191"/>
        <v>0</v>
      </c>
      <c r="DE96" s="22" t="b">
        <f t="shared" ca="1" si="191"/>
        <v>0</v>
      </c>
      <c r="DF96" s="22" t="b">
        <f t="shared" ca="1" si="191"/>
        <v>0</v>
      </c>
      <c r="DG96" s="22" t="b">
        <f t="shared" ca="1" si="191"/>
        <v>0</v>
      </c>
      <c r="DH96" s="22" t="b">
        <f t="shared" ca="1" si="191"/>
        <v>0</v>
      </c>
      <c r="DI96" s="22" t="b">
        <f t="shared" ca="1" si="191"/>
        <v>0</v>
      </c>
      <c r="DJ96" s="22" t="b">
        <f t="shared" ca="1" si="186"/>
        <v>0</v>
      </c>
      <c r="DK96" s="22"/>
      <c r="DO96" s="15" t="str">
        <f t="shared" ca="1" si="192"/>
        <v/>
      </c>
      <c r="DP96" s="15" t="str">
        <f t="shared" ca="1" si="192"/>
        <v/>
      </c>
      <c r="DQ96" s="15" t="str">
        <f t="shared" ca="1" si="192"/>
        <v/>
      </c>
      <c r="DR96" s="15" t="str">
        <f t="shared" ca="1" si="192"/>
        <v/>
      </c>
      <c r="DS96" s="15" t="str">
        <f t="shared" ca="1" si="192"/>
        <v/>
      </c>
      <c r="DT96" s="15" t="str">
        <f t="shared" ca="1" si="192"/>
        <v/>
      </c>
      <c r="DU96" s="15" t="str">
        <f t="shared" ca="1" si="192"/>
        <v/>
      </c>
      <c r="DV96" s="15" t="str">
        <f t="shared" ca="1" si="192"/>
        <v/>
      </c>
    </row>
    <row r="97" spans="1:126">
      <c r="A97" s="15">
        <f t="shared" si="194"/>
        <v>85</v>
      </c>
      <c r="B97" s="15" t="str">
        <f t="shared" si="196"/>
        <v/>
      </c>
      <c r="D97" s="15" t="str">
        <f t="shared" si="198"/>
        <v/>
      </c>
      <c r="M97" s="19"/>
      <c r="T97" s="15" t="str">
        <f t="shared" ca="1" si="206"/>
        <v/>
      </c>
      <c r="U97" s="15" t="str">
        <f t="shared" si="195"/>
        <v/>
      </c>
      <c r="AD97" s="16" t="b">
        <f t="shared" si="207"/>
        <v>0</v>
      </c>
      <c r="AE97" s="16" t="b">
        <f t="shared" si="208"/>
        <v>0</v>
      </c>
      <c r="AF97" s="15" t="str">
        <f t="shared" si="209"/>
        <v/>
      </c>
      <c r="AG97" s="15" t="str">
        <f t="shared" ca="1" si="210"/>
        <v/>
      </c>
      <c r="AH97" s="15" t="str">
        <f t="shared" ca="1" si="211"/>
        <v/>
      </c>
      <c r="AI97" s="15" t="b">
        <f t="shared" ca="1" si="212"/>
        <v>0</v>
      </c>
      <c r="AJ97" s="15" t="str">
        <f t="shared" ca="1" si="199"/>
        <v/>
      </c>
      <c r="AK97" s="27" t="str">
        <f t="shared" ca="1" si="213"/>
        <v/>
      </c>
      <c r="AL97" s="15" t="b">
        <f t="shared" ca="1" si="214"/>
        <v>0</v>
      </c>
      <c r="AM97" s="15" t="str">
        <f t="shared" ca="1" si="215"/>
        <v/>
      </c>
      <c r="AN97" s="15">
        <f t="shared" ca="1" si="216"/>
        <v>3</v>
      </c>
      <c r="AO97" s="15" t="str">
        <f t="shared" ca="1" si="200"/>
        <v/>
      </c>
      <c r="AP97" s="15" t="str">
        <f t="shared" ca="1" si="217"/>
        <v/>
      </c>
      <c r="AQ97" s="27">
        <f t="shared" si="218"/>
        <v>4</v>
      </c>
      <c r="AR97" s="15" t="b">
        <f t="shared" si="219"/>
        <v>0</v>
      </c>
      <c r="AS97" s="27" t="b">
        <f t="shared" si="220"/>
        <v>0</v>
      </c>
      <c r="AT97" s="27" t="b">
        <f t="shared" si="221"/>
        <v>0</v>
      </c>
      <c r="AU97" s="27" t="str">
        <f t="shared" si="222"/>
        <v/>
      </c>
      <c r="AV97" s="16" t="b">
        <f t="shared" si="223"/>
        <v>0</v>
      </c>
      <c r="AW97" s="15" t="str">
        <f t="shared" ca="1" si="193"/>
        <v/>
      </c>
      <c r="AX97" s="27" t="b">
        <f t="shared" ca="1" si="224"/>
        <v>0</v>
      </c>
      <c r="AY97" s="27" t="b">
        <f t="shared" ca="1" si="225"/>
        <v>0</v>
      </c>
      <c r="AZ97" s="15" t="b">
        <f t="shared" ca="1" si="226"/>
        <v>0</v>
      </c>
      <c r="BA97" s="15" t="b">
        <f t="shared" ca="1" si="227"/>
        <v>0</v>
      </c>
      <c r="BB97" s="15" t="str">
        <f t="shared" si="228"/>
        <v/>
      </c>
      <c r="BC97" s="15" t="str">
        <f t="shared" ca="1" si="201"/>
        <v/>
      </c>
      <c r="BD97" s="15" t="b">
        <f t="shared" ca="1" si="229"/>
        <v>0</v>
      </c>
      <c r="BE97" s="15" t="b">
        <f t="shared" si="230"/>
        <v>0</v>
      </c>
      <c r="BF97" s="15" t="str">
        <f t="shared" ca="1" si="231"/>
        <v/>
      </c>
      <c r="BG97" s="15" t="str">
        <f t="shared" si="232"/>
        <v/>
      </c>
      <c r="BH97" s="15" t="str">
        <f t="array" aca="1" ref="BH97" ca="1">IF(IFERROR( S97,1),1,IF(BC97="","", SUM(IF(ISERROR(INDIRECT(BC97)),1,0))))</f>
        <v/>
      </c>
      <c r="BI97" s="15" t="b">
        <f t="shared" si="233"/>
        <v>0</v>
      </c>
      <c r="BJ97" s="15" t="b">
        <f t="shared" si="234"/>
        <v>0</v>
      </c>
      <c r="BK97" s="15" t="str">
        <f t="shared" si="235"/>
        <v/>
      </c>
      <c r="BL97" s="15">
        <f t="shared" si="236"/>
        <v>4</v>
      </c>
      <c r="BP97" s="15" t="b">
        <f t="shared" si="202"/>
        <v>0</v>
      </c>
      <c r="BQ97" s="15" t="b">
        <f t="shared" si="203"/>
        <v>0</v>
      </c>
      <c r="BR97" s="15" t="str">
        <f t="shared" si="237"/>
        <v/>
      </c>
      <c r="BS97" s="15">
        <f t="shared" si="204"/>
        <v>0</v>
      </c>
      <c r="BT97" s="15" t="str">
        <f t="shared" si="197"/>
        <v/>
      </c>
      <c r="BV97" s="15" t="b">
        <f t="shared" ca="1" si="238"/>
        <v>0</v>
      </c>
      <c r="BW97" s="15" t="b">
        <f t="shared" ca="1" si="239"/>
        <v>0</v>
      </c>
      <c r="BX97" s="15" t="b">
        <f t="shared" ca="1" si="205"/>
        <v>0</v>
      </c>
      <c r="BY97" s="15" t="b">
        <f t="shared" ca="1" si="240"/>
        <v>0</v>
      </c>
      <c r="BZ97" s="15" t="b">
        <f t="shared" si="241"/>
        <v>0</v>
      </c>
      <c r="CA97" s="15" t="b">
        <f t="shared" si="242"/>
        <v>0</v>
      </c>
      <c r="CB97" s="15" t="b">
        <f t="shared" ca="1" si="243"/>
        <v>0</v>
      </c>
      <c r="CC97" s="15" t="b">
        <f t="shared" si="188"/>
        <v>0</v>
      </c>
      <c r="CD97" s="15" t="b">
        <f t="shared" si="188"/>
        <v>0</v>
      </c>
      <c r="CE97" s="15" t="b">
        <f t="shared" ca="1" si="244"/>
        <v>0</v>
      </c>
      <c r="CF97" s="15" t="b">
        <f t="shared" si="245"/>
        <v>0</v>
      </c>
      <c r="CG97" s="15" t="b">
        <f t="shared" si="246"/>
        <v>0</v>
      </c>
      <c r="CH97" s="15" t="b">
        <f t="shared" si="247"/>
        <v>0</v>
      </c>
      <c r="CI97" s="15" t="b">
        <f t="shared" si="248"/>
        <v>0</v>
      </c>
      <c r="CJ97" s="15" t="b">
        <f t="shared" si="249"/>
        <v>0</v>
      </c>
      <c r="CK97" s="15" t="b">
        <f t="shared" ca="1" si="189"/>
        <v>0</v>
      </c>
      <c r="CL97" s="15" t="b">
        <f t="shared" ca="1" si="189"/>
        <v>0</v>
      </c>
      <c r="CM97" s="15" t="b">
        <f t="shared" ca="1" si="189"/>
        <v>0</v>
      </c>
      <c r="CN97" s="15" t="b">
        <f t="shared" ca="1" si="189"/>
        <v>0</v>
      </c>
      <c r="CO97" s="15" t="b">
        <f t="shared" ca="1" si="189"/>
        <v>0</v>
      </c>
      <c r="CP97" s="15" t="b">
        <f t="shared" ca="1" si="189"/>
        <v>0</v>
      </c>
      <c r="CQ97" s="15" t="b">
        <f t="shared" ca="1" si="189"/>
        <v>0</v>
      </c>
      <c r="CR97" s="21" t="b">
        <f t="shared" ca="1" si="189"/>
        <v>0</v>
      </c>
      <c r="CS97" s="22" t="b">
        <f t="shared" ca="1" si="190"/>
        <v>0</v>
      </c>
      <c r="CT97" s="22" t="b">
        <f t="shared" ca="1" si="190"/>
        <v>0</v>
      </c>
      <c r="CU97" s="22" t="b">
        <f t="shared" ca="1" si="190"/>
        <v>0</v>
      </c>
      <c r="CV97" s="22" t="b">
        <f t="shared" ca="1" si="190"/>
        <v>0</v>
      </c>
      <c r="CW97" s="22" t="b">
        <f t="shared" ca="1" si="190"/>
        <v>0</v>
      </c>
      <c r="CX97" s="22" t="b">
        <f t="shared" ca="1" si="190"/>
        <v>0</v>
      </c>
      <c r="CY97" s="22" t="b">
        <f t="shared" ca="1" si="190"/>
        <v>0</v>
      </c>
      <c r="CZ97" s="21" t="b">
        <f t="shared" ca="1" si="190"/>
        <v>0</v>
      </c>
      <c r="DB97" s="22" t="b">
        <f t="shared" ca="1" si="250"/>
        <v>0</v>
      </c>
      <c r="DC97" s="22" t="b">
        <f t="shared" ca="1" si="191"/>
        <v>0</v>
      </c>
      <c r="DD97" s="22" t="b">
        <f t="shared" ca="1" si="191"/>
        <v>0</v>
      </c>
      <c r="DE97" s="22" t="b">
        <f t="shared" ca="1" si="191"/>
        <v>0</v>
      </c>
      <c r="DF97" s="22" t="b">
        <f t="shared" ca="1" si="191"/>
        <v>0</v>
      </c>
      <c r="DG97" s="22" t="b">
        <f t="shared" ca="1" si="191"/>
        <v>0</v>
      </c>
      <c r="DH97" s="22" t="b">
        <f t="shared" ca="1" si="191"/>
        <v>0</v>
      </c>
      <c r="DI97" s="22" t="b">
        <f t="shared" ca="1" si="191"/>
        <v>0</v>
      </c>
      <c r="DJ97" s="22" t="b">
        <f t="shared" ca="1" si="186"/>
        <v>0</v>
      </c>
      <c r="DK97" s="22"/>
      <c r="DO97" s="15" t="str">
        <f t="shared" ca="1" si="192"/>
        <v/>
      </c>
      <c r="DP97" s="15" t="str">
        <f t="shared" ca="1" si="192"/>
        <v/>
      </c>
      <c r="DQ97" s="15" t="str">
        <f t="shared" ca="1" si="192"/>
        <v/>
      </c>
      <c r="DR97" s="15" t="str">
        <f t="shared" ca="1" si="192"/>
        <v/>
      </c>
      <c r="DS97" s="15" t="str">
        <f t="shared" ca="1" si="192"/>
        <v/>
      </c>
      <c r="DT97" s="15" t="str">
        <f t="shared" ca="1" si="192"/>
        <v/>
      </c>
      <c r="DU97" s="15" t="str">
        <f t="shared" ca="1" si="192"/>
        <v/>
      </c>
      <c r="DV97" s="15" t="str">
        <f t="shared" ca="1" si="192"/>
        <v/>
      </c>
    </row>
  </sheetData>
  <customSheetViews>
    <customSheetView guid="{B0700225-2463-44C9-9C4E-A79FCDA233AE}">
      <pageMargins left="0.7" right="0.7" top="0.75" bottom="0.75" header="0.3" footer="0.3"/>
      <pageSetup paperSize="9" orientation="portrait" horizontalDpi="1200" verticalDpi="1200" r:id="rId1"/>
    </customSheetView>
    <customSheetView guid="{E6351D91-D2AA-41F8-B6F1-38581D57FD08}" state="hidden">
      <pageMargins left="0.7" right="0.7" top="0.75" bottom="0.75" header="0.3" footer="0.3"/>
      <pageSetup paperSize="9" orientation="portrait" horizontalDpi="1200" verticalDpi="1200" r:id="rId2"/>
    </customSheetView>
  </customSheetViews>
  <conditionalFormatting sqref="I13:I171">
    <cfRule type="expression" dxfId="120" priority="51" stopIfTrue="1">
      <formula>(H13&lt;&gt;"")*(I13="")</formula>
    </cfRule>
  </conditionalFormatting>
  <conditionalFormatting sqref="D13:D171">
    <cfRule type="expression" dxfId="119" priority="50">
      <formula>($A13&lt;=$C$2)</formula>
    </cfRule>
  </conditionalFormatting>
  <conditionalFormatting sqref="W13:AC171">
    <cfRule type="expression" dxfId="118" priority="49">
      <formula>$AD13*(V13&lt;&gt;"")</formula>
    </cfRule>
  </conditionalFormatting>
  <conditionalFormatting sqref="H13:H171">
    <cfRule type="expression" dxfId="117" priority="46" stopIfTrue="1">
      <formula>$BX13</formula>
    </cfRule>
  </conditionalFormatting>
  <conditionalFormatting sqref="D13:F171">
    <cfRule type="expression" dxfId="116" priority="45" stopIfTrue="1">
      <formula>$BW13</formula>
    </cfRule>
  </conditionalFormatting>
  <conditionalFormatting sqref="A13:B171">
    <cfRule type="expression" dxfId="115" priority="44" stopIfTrue="1">
      <formula>$BS13&gt;0</formula>
    </cfRule>
  </conditionalFormatting>
  <conditionalFormatting sqref="L2:S2">
    <cfRule type="expression" dxfId="114" priority="43">
      <formula>NOT($O$2)</formula>
    </cfRule>
  </conditionalFormatting>
  <conditionalFormatting sqref="H13:L171">
    <cfRule type="expression" dxfId="113" priority="42" stopIfTrue="1">
      <formula>$CA13*(H13&lt;&gt;"")</formula>
    </cfRule>
  </conditionalFormatting>
  <conditionalFormatting sqref="H13:J171">
    <cfRule type="expression" dxfId="112" priority="41" stopIfTrue="1">
      <formula>$AQ13=4</formula>
    </cfRule>
  </conditionalFormatting>
  <conditionalFormatting sqref="E13:F171">
    <cfRule type="expression" dxfId="111" priority="32">
      <formula>$AD13*($AQ13=1)</formula>
    </cfRule>
  </conditionalFormatting>
  <conditionalFormatting sqref="R13:R171">
    <cfRule type="expression" dxfId="110" priority="29" stopIfTrue="1">
      <formula>$CD13</formula>
    </cfRule>
  </conditionalFormatting>
  <conditionalFormatting sqref="S13:S171">
    <cfRule type="expression" dxfId="109" priority="28" stopIfTrue="1">
      <formula>$CF13</formula>
    </cfRule>
  </conditionalFormatting>
  <conditionalFormatting sqref="B13:B171">
    <cfRule type="expression" dxfId="108" priority="21">
      <formula>($BS13=0)*$AD13</formula>
    </cfRule>
  </conditionalFormatting>
  <conditionalFormatting sqref="N13:O171">
    <cfRule type="expression" dxfId="107" priority="8">
      <formula>($AQ13=1)*NOT($BI13)</formula>
    </cfRule>
  </conditionalFormatting>
  <conditionalFormatting sqref="N13:N171">
    <cfRule type="expression" dxfId="106" priority="7" stopIfTrue="1">
      <formula>($AQ13=1)*$BI13*($P13=1)</formula>
    </cfRule>
  </conditionalFormatting>
  <conditionalFormatting sqref="O13:O171">
    <cfRule type="expression" dxfId="105" priority="6" stopIfTrue="1">
      <formula>($AQ13=1)*$BI13*($P13=2)</formula>
    </cfRule>
  </conditionalFormatting>
  <conditionalFormatting sqref="L2:L3">
    <cfRule type="expression" dxfId="104" priority="5">
      <formula>ISERROR(INDIRECT($L$2))</formula>
    </cfRule>
  </conditionalFormatting>
  <conditionalFormatting sqref="T13:T171">
    <cfRule type="expression" dxfId="103" priority="4">
      <formula>ISERROR(INDIRECT(T13))*(BS13=0)*AD13</formula>
    </cfRule>
  </conditionalFormatting>
  <conditionalFormatting sqref="R13:S171">
    <cfRule type="expression" dxfId="102" priority="3">
      <formula>$AD13*($AQ13=1)*(P13="")</formula>
    </cfRule>
  </conditionalFormatting>
  <conditionalFormatting sqref="M13:M171">
    <cfRule type="expression" dxfId="101" priority="1" stopIfTrue="1">
      <formula>($AQ13=1)</formula>
    </cfRule>
    <cfRule type="expression" dxfId="100" priority="2" stopIfTrue="1">
      <formula>($AQ13=2)+($AQ13=3)</formula>
    </cfRule>
  </conditionalFormatting>
  <conditionalFormatting sqref="G13:G171 C13:C171">
    <cfRule type="expression" dxfId="99" priority="13" stopIfTrue="1">
      <formula>($AQ13=2)*($BL13=2)</formula>
    </cfRule>
    <cfRule type="expression" dxfId="98" priority="14" stopIfTrue="1">
      <formula>($AQ13=2)*($BL13=1)</formula>
    </cfRule>
    <cfRule type="expression" dxfId="97" priority="15" stopIfTrue="1">
      <formula>($AQ13=1)*($BL13=2)</formula>
    </cfRule>
    <cfRule type="expression" dxfId="96" priority="16" stopIfTrue="1">
      <formula>($AQ13=1)*($BL13=1)</formula>
    </cfRule>
  </conditionalFormatting>
  <conditionalFormatting sqref="K13:L171">
    <cfRule type="expression" dxfId="95" priority="9" stopIfTrue="1">
      <formula>(K13&lt;&gt;"")*NOT(ISNUMBER(K13))</formula>
    </cfRule>
    <cfRule type="expression" dxfId="94" priority="10">
      <formula>($AQ13=1)*$AD13</formula>
    </cfRule>
  </conditionalFormatting>
  <conditionalFormatting sqref="V13:V171">
    <cfRule type="expression" dxfId="93" priority="11" stopIfTrue="1">
      <formula>DC13</formula>
    </cfRule>
    <cfRule type="expression" dxfId="92" priority="12">
      <formula>$AD13*(($AQ13=4)+($AQ13=1))</formula>
    </cfRule>
  </conditionalFormatting>
  <conditionalFormatting sqref="C13:C171">
    <cfRule type="expression" dxfId="91" priority="17" stopIfTrue="1">
      <formula>BV13</formula>
    </cfRule>
    <cfRule type="expression" dxfId="90" priority="18">
      <formula>($A13=$C$2+1)</formula>
    </cfRule>
  </conditionalFormatting>
  <conditionalFormatting sqref="H13:I171">
    <cfRule type="expression" dxfId="89" priority="19" stopIfTrue="1">
      <formula>$BY13</formula>
    </cfRule>
    <cfRule type="expression" dxfId="88" priority="20">
      <formula>($AQ13=2)*$AD13</formula>
    </cfRule>
  </conditionalFormatting>
  <conditionalFormatting sqref="B13:AC171">
    <cfRule type="expression" dxfId="87" priority="22" stopIfTrue="1">
      <formula>BQ13</formula>
    </cfRule>
    <cfRule type="expression" dxfId="86" priority="23" stopIfTrue="1">
      <formula>BY13</formula>
    </cfRule>
  </conditionalFormatting>
  <conditionalFormatting sqref="H13:I171 A13:B171">
    <cfRule type="expression" dxfId="85" priority="24" stopIfTrue="1">
      <formula>$DB13</formula>
    </cfRule>
    <cfRule type="expression" dxfId="84" priority="25" stopIfTrue="1">
      <formula>$BX13</formula>
    </cfRule>
  </conditionalFormatting>
  <conditionalFormatting sqref="Q13:R171">
    <cfRule type="expression" dxfId="83" priority="26">
      <formula>$AD13*($AQ13=1)*(Q13)</formula>
    </cfRule>
    <cfRule type="expression" dxfId="82" priority="27">
      <formula>$AD13*($AQ13=1)*NOT(Q13)*(Q13&lt;&gt;"")</formula>
    </cfRule>
  </conditionalFormatting>
  <conditionalFormatting sqref="Q13:Q171">
    <cfRule type="expression" dxfId="81" priority="30" stopIfTrue="1">
      <formula>$CC13</formula>
    </cfRule>
    <cfRule type="expression" dxfId="80" priority="31">
      <formula>$AD13*($AQ13=1)*(Q13="")*(($K13&lt;&gt;"")+($K13&gt;2)+($L13&lt;&gt;"")+($L13&gt;2))</formula>
    </cfRule>
  </conditionalFormatting>
  <conditionalFormatting sqref="P13:P171">
    <cfRule type="expression" dxfId="79" priority="33" stopIfTrue="1">
      <formula>($AQ13=2)*(P13&lt;&gt;"")</formula>
    </cfRule>
    <cfRule type="expression" dxfId="78" priority="34" stopIfTrue="1">
      <formula>($AQ13=1)*(((P13&lt;&gt;1)+(P13&lt;&gt;2)+(P13&lt;&gt;3)+(P13&lt;&gt;""))=4)</formula>
    </cfRule>
    <cfRule type="expression" dxfId="77" priority="35">
      <formula>$AD13*($AQ13=1)*($P13=2)</formula>
    </cfRule>
    <cfRule type="expression" dxfId="76" priority="36">
      <formula>$AD13*($AQ13=1)*($P13=1)</formula>
    </cfRule>
    <cfRule type="expression" dxfId="75" priority="37">
      <formula>$AD13*($AQ13=1)*($P13=3)</formula>
    </cfRule>
    <cfRule type="expression" dxfId="74" priority="38">
      <formula>$AD13*($AQ13=1)*(P13="")*(($K13&lt;&gt;"")+($K13&gt;2)+($L13&lt;&gt;"")+($L13&gt;2))*($BL13=1)</formula>
    </cfRule>
  </conditionalFormatting>
  <conditionalFormatting sqref="J13:J171">
    <cfRule type="expression" dxfId="73" priority="39" stopIfTrue="1">
      <formula>#REF!</formula>
    </cfRule>
    <cfRule type="expression" dxfId="72" priority="40" stopIfTrue="1">
      <formula>($AQ13=1)*$AD13</formula>
    </cfRule>
  </conditionalFormatting>
  <conditionalFormatting sqref="G13:G171">
    <cfRule type="expression" dxfId="71" priority="47" stopIfTrue="1">
      <formula>$CG13</formula>
    </cfRule>
    <cfRule type="expression" dxfId="70" priority="48" stopIfTrue="1">
      <formula>$CH13</formula>
    </cfRule>
  </conditionalFormatting>
  <pageMargins left="0.7" right="0.7" top="0.75" bottom="0.75" header="0.3" footer="0.3"/>
  <pageSetup paperSize="9" orientation="portrait" horizontalDpi="1200" verticalDpi="12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Z783"/>
  <sheetViews>
    <sheetView tabSelected="1" zoomScale="175" zoomScaleNormal="175" workbookViewId="0">
      <pane xSplit="1" ySplit="2" topLeftCell="B3" activePane="bottomRight" state="frozenSplit"/>
      <selection pane="topRight" activeCell="B1" sqref="B1"/>
      <selection pane="bottomLeft" activeCell="A3" sqref="A3"/>
      <selection pane="bottomRight" activeCell="N13" sqref="N13"/>
    </sheetView>
  </sheetViews>
  <sheetFormatPr defaultRowHeight="12.75"/>
  <cols>
    <col min="1" max="1" width="9" style="31" customWidth="1"/>
    <col min="2" max="4" width="9.42578125" style="31" bestFit="1" customWidth="1"/>
    <col min="5" max="5" width="9.5703125" style="31" bestFit="1" customWidth="1"/>
    <col min="6" max="6" width="9.42578125" style="31" bestFit="1" customWidth="1"/>
    <col min="7" max="7" width="10.85546875" style="31" bestFit="1" customWidth="1"/>
    <col min="8" max="8" width="10.7109375" style="31" customWidth="1"/>
    <col min="9" max="10" width="10.85546875" style="31" bestFit="1" customWidth="1"/>
    <col min="11" max="16" width="9.42578125" style="31" bestFit="1" customWidth="1"/>
    <col min="17" max="17" width="10.85546875" style="31" bestFit="1" customWidth="1"/>
    <col min="18" max="19" width="10.7109375" style="31" customWidth="1"/>
    <col min="20" max="20" width="10.85546875" style="31" bestFit="1" customWidth="1"/>
    <col min="21" max="22" width="10.7109375" style="31" customWidth="1"/>
    <col min="23" max="23" width="10.7109375" style="31" bestFit="1" customWidth="1"/>
    <col min="24" max="25" width="10.7109375" style="31" customWidth="1"/>
    <col min="26" max="26" width="10.7109375" style="31" bestFit="1" customWidth="1"/>
    <col min="27" max="27" width="9.28515625" style="31" customWidth="1"/>
    <col min="28" max="28" width="12.7109375" style="31" customWidth="1"/>
    <col min="29" max="29" width="10.7109375" style="31" bestFit="1" customWidth="1"/>
    <col min="30" max="30" width="9.28515625" style="31" customWidth="1"/>
    <col min="31" max="202" width="9.28515625" style="31" bestFit="1" customWidth="1"/>
    <col min="203" max="203" width="10.7109375" style="31" bestFit="1" customWidth="1"/>
    <col min="204" max="555" width="9.28515625" style="31" bestFit="1" customWidth="1"/>
    <col min="556" max="16384" width="9.140625" style="31"/>
  </cols>
  <sheetData>
    <row r="1" spans="1:26">
      <c r="A1" s="32" t="str">
        <f ca="1">IF(NOW(),"Lp")</f>
        <v>Lp</v>
      </c>
      <c r="B1" s="32" t="s">
        <v>454</v>
      </c>
      <c r="C1" s="32" t="s">
        <v>455</v>
      </c>
      <c r="D1" s="32" t="s">
        <v>456</v>
      </c>
      <c r="E1" s="32"/>
      <c r="F1" s="32" t="s">
        <v>457</v>
      </c>
      <c r="G1" s="32" t="s">
        <v>458</v>
      </c>
      <c r="H1" s="32" t="s">
        <v>459</v>
      </c>
      <c r="I1" s="32" t="s">
        <v>460</v>
      </c>
      <c r="J1" s="32" t="s">
        <v>455</v>
      </c>
      <c r="K1" s="32" t="s">
        <v>455</v>
      </c>
      <c r="L1" s="32" t="s">
        <v>461</v>
      </c>
      <c r="M1" s="32" t="s">
        <v>462</v>
      </c>
      <c r="N1" s="32" t="s">
        <v>463</v>
      </c>
      <c r="O1" s="32" t="s">
        <v>464</v>
      </c>
      <c r="P1" s="32" t="s">
        <v>464</v>
      </c>
      <c r="Q1" s="32" t="s">
        <v>465</v>
      </c>
      <c r="R1" s="32" t="s">
        <v>466</v>
      </c>
      <c r="S1" s="32" t="s">
        <v>517</v>
      </c>
      <c r="T1" s="32" t="s">
        <v>519</v>
      </c>
      <c r="U1" s="32" t="s">
        <v>515</v>
      </c>
      <c r="V1" s="32" t="s">
        <v>467</v>
      </c>
      <c r="W1" s="32" t="s">
        <v>513</v>
      </c>
      <c r="X1" s="32"/>
      <c r="Y1" s="32"/>
      <c r="Z1" s="32"/>
    </row>
    <row r="2" spans="1:26">
      <c r="A2" s="31" t="s">
        <v>468</v>
      </c>
      <c r="B2" s="32" t="s">
        <v>469</v>
      </c>
      <c r="C2" s="32" t="s">
        <v>470</v>
      </c>
      <c r="D2" s="32" t="s">
        <v>471</v>
      </c>
      <c r="E2" s="32"/>
      <c r="F2" s="32" t="s">
        <v>472</v>
      </c>
      <c r="G2" s="32" t="s">
        <v>473</v>
      </c>
      <c r="H2" s="32" t="s">
        <v>474</v>
      </c>
      <c r="I2" s="32" t="s">
        <v>472</v>
      </c>
      <c r="J2" s="32" t="s">
        <v>475</v>
      </c>
      <c r="K2" s="32" t="s">
        <v>476</v>
      </c>
      <c r="L2" s="32" t="s">
        <v>477</v>
      </c>
      <c r="M2" s="32" t="s">
        <v>474</v>
      </c>
      <c r="N2" s="32" t="s">
        <v>478</v>
      </c>
      <c r="O2" s="32" t="s">
        <v>479</v>
      </c>
      <c r="P2" s="32" t="s">
        <v>480</v>
      </c>
      <c r="Q2" s="32" t="s">
        <v>481</v>
      </c>
      <c r="R2" s="32" t="s">
        <v>482</v>
      </c>
      <c r="S2" s="32" t="s">
        <v>518</v>
      </c>
      <c r="T2" s="32" t="s">
        <v>419</v>
      </c>
      <c r="U2" s="32" t="s">
        <v>516</v>
      </c>
      <c r="V2" s="32" t="s">
        <v>483</v>
      </c>
      <c r="W2" s="32" t="s">
        <v>514</v>
      </c>
      <c r="X2" s="32"/>
      <c r="Y2" s="32"/>
      <c r="Z2" s="32"/>
    </row>
    <row r="3" spans="1:26" ht="13.5" customHeight="1">
      <c r="A3" s="32" t="s">
        <v>484</v>
      </c>
      <c r="B3" s="31" t="s">
        <v>485</v>
      </c>
      <c r="C3" s="31">
        <v>23</v>
      </c>
      <c r="D3" s="31">
        <v>3</v>
      </c>
      <c r="F3" s="31">
        <v>2</v>
      </c>
      <c r="G3" s="31">
        <v>2</v>
      </c>
      <c r="H3" s="31">
        <v>1</v>
      </c>
      <c r="J3" s="31">
        <v>3</v>
      </c>
      <c r="L3" s="31">
        <v>43</v>
      </c>
      <c r="M3" s="31">
        <v>9</v>
      </c>
      <c r="N3" s="31">
        <v>0.14000000000000001</v>
      </c>
      <c r="O3" s="31">
        <v>42773</v>
      </c>
      <c r="P3" s="31">
        <v>42773</v>
      </c>
      <c r="Q3" s="31">
        <v>1</v>
      </c>
      <c r="R3" s="31">
        <v>0</v>
      </c>
      <c r="S3" s="31">
        <v>1</v>
      </c>
      <c r="T3" s="31">
        <f>1*(INT(S3/2)&lt;&gt;S3/2)</f>
        <v>1</v>
      </c>
      <c r="U3" s="31">
        <v>1</v>
      </c>
      <c r="V3" s="31">
        <v>3</v>
      </c>
      <c r="W3" s="31">
        <v>1</v>
      </c>
    </row>
    <row r="4" spans="1:26" ht="13.5" customHeight="1">
      <c r="A4" s="32" t="s">
        <v>486</v>
      </c>
      <c r="B4" s="31" t="s">
        <v>487</v>
      </c>
      <c r="C4" s="31">
        <v>43</v>
      </c>
      <c r="D4" s="31">
        <v>4</v>
      </c>
      <c r="J4" s="31">
        <v>3</v>
      </c>
      <c r="L4" s="31">
        <v>52</v>
      </c>
      <c r="N4" s="31">
        <v>5</v>
      </c>
      <c r="O4" s="31">
        <v>42773</v>
      </c>
      <c r="P4" s="31">
        <v>42773</v>
      </c>
      <c r="Q4" s="31">
        <v>2</v>
      </c>
      <c r="R4" s="31">
        <v>1</v>
      </c>
      <c r="S4" s="31">
        <v>3</v>
      </c>
      <c r="T4" s="31">
        <f t="shared" ref="T4:T12" si="0">1*(INT(S4/2)&lt;&gt;S4/2)</f>
        <v>1</v>
      </c>
      <c r="U4" s="31">
        <v>3</v>
      </c>
      <c r="V4" s="31">
        <v>4</v>
      </c>
      <c r="W4" s="31">
        <v>2</v>
      </c>
    </row>
    <row r="5" spans="1:26" ht="13.5" customHeight="1">
      <c r="A5" s="32" t="s">
        <v>488</v>
      </c>
      <c r="B5" s="31" t="s">
        <v>489</v>
      </c>
      <c r="C5" s="31" t="s">
        <v>490</v>
      </c>
      <c r="D5" s="31">
        <v>1</v>
      </c>
      <c r="F5" s="31">
        <v>1</v>
      </c>
      <c r="G5" s="31">
        <v>1</v>
      </c>
      <c r="H5" s="31">
        <v>3</v>
      </c>
      <c r="J5" s="31">
        <v>9.1</v>
      </c>
      <c r="L5" s="31">
        <v>3</v>
      </c>
      <c r="M5" s="31">
        <v>3</v>
      </c>
      <c r="N5" s="31">
        <v>6</v>
      </c>
      <c r="O5" s="31" t="s">
        <v>364</v>
      </c>
      <c r="Q5" s="31">
        <v>2</v>
      </c>
      <c r="R5" s="31">
        <v>1</v>
      </c>
      <c r="S5" s="31">
        <v>5</v>
      </c>
      <c r="T5" s="31">
        <f t="shared" si="0"/>
        <v>1</v>
      </c>
      <c r="U5" s="31">
        <v>4</v>
      </c>
      <c r="V5" s="31">
        <v>1</v>
      </c>
      <c r="W5" s="31">
        <v>2</v>
      </c>
    </row>
    <row r="6" spans="1:26" ht="13.5" customHeight="1">
      <c r="A6" s="32" t="s">
        <v>491</v>
      </c>
      <c r="B6" s="31" t="s">
        <v>492</v>
      </c>
      <c r="C6" s="31">
        <v>3</v>
      </c>
      <c r="D6" s="31">
        <v>4</v>
      </c>
      <c r="F6" s="31">
        <v>3</v>
      </c>
      <c r="G6" s="31">
        <v>3</v>
      </c>
      <c r="H6" s="31">
        <v>3</v>
      </c>
      <c r="J6" s="31">
        <v>3</v>
      </c>
      <c r="K6" s="31">
        <v>4</v>
      </c>
      <c r="L6" s="31">
        <v>5</v>
      </c>
      <c r="M6" s="31">
        <v>6</v>
      </c>
      <c r="N6" s="31">
        <v>6</v>
      </c>
      <c r="Q6" s="31">
        <v>2</v>
      </c>
      <c r="R6" s="31">
        <v>1</v>
      </c>
      <c r="S6" s="31">
        <v>6</v>
      </c>
      <c r="T6" s="31">
        <f t="shared" si="0"/>
        <v>0</v>
      </c>
      <c r="U6" s="31">
        <v>2</v>
      </c>
      <c r="V6" s="31" t="s">
        <v>341</v>
      </c>
      <c r="W6" s="31">
        <v>2</v>
      </c>
    </row>
    <row r="7" spans="1:26" ht="13.5" customHeight="1">
      <c r="A7" s="32" t="s">
        <v>493</v>
      </c>
      <c r="B7" s="31" t="s">
        <v>338</v>
      </c>
      <c r="C7" s="31" t="s">
        <v>341</v>
      </c>
      <c r="D7" s="31">
        <v>4</v>
      </c>
      <c r="F7" s="31">
        <v>4</v>
      </c>
      <c r="G7" s="31">
        <v>4</v>
      </c>
      <c r="H7" s="31">
        <v>4</v>
      </c>
      <c r="J7" s="31">
        <v>1</v>
      </c>
      <c r="L7" s="31">
        <v>10</v>
      </c>
      <c r="M7" s="31">
        <v>4</v>
      </c>
      <c r="N7" s="31">
        <v>3</v>
      </c>
      <c r="O7" s="31">
        <v>42773</v>
      </c>
      <c r="P7" s="31">
        <v>42773</v>
      </c>
      <c r="Q7" s="31">
        <v>1</v>
      </c>
      <c r="R7" s="31">
        <v>0</v>
      </c>
      <c r="S7" s="31">
        <v>8</v>
      </c>
      <c r="T7" s="31">
        <f t="shared" si="0"/>
        <v>0</v>
      </c>
      <c r="U7" s="31">
        <v>3</v>
      </c>
      <c r="V7" s="31" t="s">
        <v>341</v>
      </c>
      <c r="W7" s="31">
        <v>1</v>
      </c>
    </row>
    <row r="8" spans="1:26" ht="13.5" customHeight="1">
      <c r="A8" s="32"/>
      <c r="B8" s="31" t="s">
        <v>494</v>
      </c>
      <c r="C8" s="31" t="s">
        <v>341</v>
      </c>
      <c r="F8" s="31" t="s">
        <v>495</v>
      </c>
      <c r="G8" s="31" t="s">
        <v>496</v>
      </c>
      <c r="H8" s="31">
        <v>2</v>
      </c>
      <c r="L8" s="31">
        <v>45</v>
      </c>
      <c r="M8" s="31">
        <v>2</v>
      </c>
      <c r="N8" s="31">
        <v>0.14000000000000001</v>
      </c>
      <c r="Q8" s="31">
        <v>1</v>
      </c>
      <c r="R8" s="31">
        <v>1</v>
      </c>
      <c r="S8" s="31">
        <v>2</v>
      </c>
      <c r="T8" s="31">
        <f t="shared" si="0"/>
        <v>0</v>
      </c>
      <c r="U8" s="31">
        <v>6</v>
      </c>
      <c r="W8" s="31">
        <v>1</v>
      </c>
    </row>
    <row r="9" spans="1:26" ht="13.5" customHeight="1">
      <c r="A9" s="32" t="s">
        <v>497</v>
      </c>
      <c r="B9" s="31" t="s">
        <v>498</v>
      </c>
      <c r="C9" s="31">
        <v>43</v>
      </c>
      <c r="D9" s="31">
        <v>4</v>
      </c>
      <c r="F9" s="31" t="s">
        <v>341</v>
      </c>
      <c r="G9" s="31" t="s">
        <v>341</v>
      </c>
      <c r="J9" s="31" t="str">
        <f>"4"</f>
        <v>4</v>
      </c>
      <c r="L9" s="31">
        <v>-32</v>
      </c>
      <c r="N9" s="31">
        <v>3</v>
      </c>
      <c r="O9" s="31">
        <v>38</v>
      </c>
      <c r="P9" s="31">
        <v>38</v>
      </c>
      <c r="Q9" s="31">
        <v>2</v>
      </c>
      <c r="R9" s="31">
        <v>0</v>
      </c>
      <c r="S9" s="31">
        <v>3</v>
      </c>
      <c r="T9" s="31">
        <f t="shared" si="0"/>
        <v>1</v>
      </c>
      <c r="U9" s="31">
        <v>4</v>
      </c>
      <c r="V9" s="31" t="s">
        <v>338</v>
      </c>
      <c r="W9" s="32" t="s">
        <v>338</v>
      </c>
    </row>
    <row r="10" spans="1:26" ht="13.5" customHeight="1">
      <c r="A10" s="32" t="s">
        <v>499</v>
      </c>
      <c r="B10" s="31" t="s">
        <v>500</v>
      </c>
      <c r="D10" s="31">
        <v>3</v>
      </c>
      <c r="F10" s="31">
        <v>2</v>
      </c>
      <c r="G10" s="31">
        <v>2</v>
      </c>
      <c r="H10" s="31">
        <v>2</v>
      </c>
      <c r="J10" s="31">
        <v>1</v>
      </c>
      <c r="L10" s="31">
        <v>2</v>
      </c>
      <c r="M10" s="31">
        <v>2</v>
      </c>
      <c r="N10" s="31">
        <v>2</v>
      </c>
      <c r="Q10" s="31">
        <v>2</v>
      </c>
      <c r="R10" s="31">
        <v>0</v>
      </c>
      <c r="S10" s="31">
        <v>4</v>
      </c>
      <c r="T10" s="31">
        <f t="shared" si="0"/>
        <v>0</v>
      </c>
      <c r="U10" s="31">
        <v>10</v>
      </c>
      <c r="V10" s="31">
        <v>3</v>
      </c>
      <c r="W10" s="31">
        <v>2</v>
      </c>
    </row>
    <row r="11" spans="1:26" ht="13.5" customHeight="1">
      <c r="A11" s="32" t="s">
        <v>501</v>
      </c>
      <c r="C11" s="31">
        <v>43</v>
      </c>
      <c r="D11" s="31">
        <v>4</v>
      </c>
      <c r="F11" s="31">
        <v>1</v>
      </c>
      <c r="G11" s="31">
        <v>1</v>
      </c>
      <c r="H11" s="31">
        <v>1</v>
      </c>
      <c r="J11" s="31">
        <v>3</v>
      </c>
      <c r="L11" s="31">
        <v>3</v>
      </c>
      <c r="M11" s="31">
        <v>-2</v>
      </c>
      <c r="N11" s="31">
        <v>3</v>
      </c>
      <c r="O11" s="31">
        <v>42773</v>
      </c>
      <c r="P11" s="31">
        <v>42773</v>
      </c>
      <c r="S11" s="31">
        <v>6</v>
      </c>
      <c r="T11" s="31">
        <f t="shared" si="0"/>
        <v>0</v>
      </c>
      <c r="U11" s="31">
        <v>2</v>
      </c>
      <c r="V11" s="31">
        <v>4</v>
      </c>
    </row>
    <row r="12" spans="1:26" ht="13.5" customHeight="1">
      <c r="A12" s="32" t="s">
        <v>502</v>
      </c>
      <c r="C12" s="31" t="e">
        <f t="shared" ref="C12:H12" si="1">1/0</f>
        <v>#DIV/0!</v>
      </c>
      <c r="D12" s="31" t="e">
        <v>#DIV/0!</v>
      </c>
      <c r="E12" s="31" t="e">
        <f t="shared" si="1"/>
        <v>#DIV/0!</v>
      </c>
      <c r="F12" s="31" t="e">
        <f t="shared" si="1"/>
        <v>#DIV/0!</v>
      </c>
      <c r="G12" s="31" t="e">
        <f t="shared" si="1"/>
        <v>#DIV/0!</v>
      </c>
      <c r="H12" s="31" t="e">
        <f t="shared" si="1"/>
        <v>#DIV/0!</v>
      </c>
      <c r="J12" s="31">
        <v>4</v>
      </c>
      <c r="L12" s="31">
        <v>-10</v>
      </c>
      <c r="M12" s="31" t="e">
        <f>1/0</f>
        <v>#DIV/0!</v>
      </c>
      <c r="N12" s="31">
        <v>0.98</v>
      </c>
      <c r="S12" s="31">
        <v>7</v>
      </c>
      <c r="T12" s="31">
        <f t="shared" si="0"/>
        <v>1</v>
      </c>
      <c r="U12" s="31">
        <v>3</v>
      </c>
      <c r="V12" s="31" t="e">
        <v>#DIV/0!</v>
      </c>
      <c r="W12" s="31">
        <v>2</v>
      </c>
    </row>
    <row r="13" spans="1:26" ht="13.5" customHeight="1">
      <c r="A13" s="32"/>
    </row>
    <row r="14" spans="1:26" ht="13.5" customHeight="1">
      <c r="A14" s="32"/>
    </row>
    <row r="15" spans="1:26" ht="13.5" customHeight="1">
      <c r="A15" s="32"/>
    </row>
    <row r="16" spans="1:26" ht="13.5" customHeight="1">
      <c r="A16" s="32"/>
    </row>
    <row r="17" spans="1:1" ht="13.5" customHeight="1">
      <c r="A17" s="32"/>
    </row>
    <row r="18" spans="1:1" ht="13.5" customHeight="1">
      <c r="A18" s="32"/>
    </row>
    <row r="19" spans="1:1" ht="13.5" customHeight="1">
      <c r="A19" s="32"/>
    </row>
    <row r="20" spans="1:1" ht="13.5" customHeight="1">
      <c r="A20" s="32"/>
    </row>
    <row r="21" spans="1:1" ht="13.5" customHeight="1">
      <c r="A21" s="32"/>
    </row>
    <row r="22" spans="1:1" ht="13.5" customHeight="1">
      <c r="A22" s="32"/>
    </row>
    <row r="23" spans="1:1" ht="13.5" customHeight="1">
      <c r="A23" s="32"/>
    </row>
    <row r="24" spans="1:1" ht="13.5" customHeight="1">
      <c r="A24" s="32"/>
    </row>
    <row r="25" spans="1:1" ht="13.5" customHeight="1">
      <c r="A25" s="32"/>
    </row>
    <row r="26" spans="1:1" ht="13.5" customHeight="1">
      <c r="A26" s="32"/>
    </row>
    <row r="27" spans="1:1" ht="13.5" customHeight="1">
      <c r="A27" s="32"/>
    </row>
    <row r="28" spans="1:1" ht="13.5" customHeight="1">
      <c r="A28" s="32"/>
    </row>
    <row r="29" spans="1:1" ht="13.5" customHeight="1">
      <c r="A29" s="32"/>
    </row>
    <row r="30" spans="1:1" ht="13.5" customHeight="1">
      <c r="A30" s="32"/>
    </row>
    <row r="31" spans="1:1" ht="13.5" customHeight="1">
      <c r="A31" s="32"/>
    </row>
    <row r="32" spans="1:1" ht="13.5" customHeight="1">
      <c r="A32" s="32"/>
    </row>
    <row r="33" spans="1:1" ht="13.5" customHeight="1">
      <c r="A33" s="32"/>
    </row>
    <row r="34" spans="1:1" ht="13.5" customHeight="1">
      <c r="A34" s="32"/>
    </row>
    <row r="35" spans="1:1" ht="13.5" customHeight="1">
      <c r="A35" s="32"/>
    </row>
    <row r="36" spans="1:1" ht="13.5" customHeight="1">
      <c r="A36" s="32"/>
    </row>
    <row r="37" spans="1:1" ht="13.5" customHeight="1">
      <c r="A37" s="32"/>
    </row>
    <row r="38" spans="1:1" ht="13.5" customHeight="1">
      <c r="A38" s="32"/>
    </row>
    <row r="39" spans="1:1" ht="13.5" customHeight="1">
      <c r="A39" s="32"/>
    </row>
    <row r="40" spans="1:1" ht="13.5" customHeight="1">
      <c r="A40" s="32"/>
    </row>
    <row r="41" spans="1:1" ht="13.5" customHeight="1">
      <c r="A41" s="32"/>
    </row>
    <row r="42" spans="1:1" ht="13.5" customHeight="1">
      <c r="A42" s="32"/>
    </row>
    <row r="43" spans="1:1" ht="13.5" customHeight="1">
      <c r="A43" s="32"/>
    </row>
    <row r="44" spans="1:1" ht="13.5" customHeight="1">
      <c r="A44" s="32"/>
    </row>
    <row r="45" spans="1:1" ht="13.5" customHeight="1">
      <c r="A45" s="32"/>
    </row>
    <row r="46" spans="1:1" ht="13.5" customHeight="1">
      <c r="A46" s="32"/>
    </row>
    <row r="47" spans="1:1" ht="13.5" customHeight="1">
      <c r="A47" s="32"/>
    </row>
    <row r="48" spans="1:1" ht="13.5" customHeight="1">
      <c r="A48" s="32"/>
    </row>
    <row r="49" spans="1:1" ht="13.5" customHeight="1">
      <c r="A49" s="32"/>
    </row>
    <row r="50" spans="1:1" ht="13.5" customHeight="1">
      <c r="A50" s="32"/>
    </row>
    <row r="51" spans="1:1" ht="13.5" customHeight="1">
      <c r="A51" s="32"/>
    </row>
    <row r="52" spans="1:1" ht="13.5" customHeight="1">
      <c r="A52" s="32"/>
    </row>
    <row r="53" spans="1:1" ht="13.5" customHeight="1">
      <c r="A53" s="32"/>
    </row>
    <row r="54" spans="1:1" ht="13.5" customHeight="1">
      <c r="A54" s="32"/>
    </row>
    <row r="55" spans="1:1" ht="13.5" customHeight="1">
      <c r="A55" s="32"/>
    </row>
    <row r="56" spans="1:1" ht="13.5" customHeight="1">
      <c r="A56" s="32"/>
    </row>
    <row r="57" spans="1:1" ht="13.5" customHeight="1">
      <c r="A57" s="32"/>
    </row>
    <row r="58" spans="1:1" ht="13.5" customHeight="1">
      <c r="A58" s="32"/>
    </row>
    <row r="59" spans="1:1" ht="13.5" customHeight="1">
      <c r="A59" s="32"/>
    </row>
    <row r="60" spans="1:1" ht="13.5" customHeight="1">
      <c r="A60" s="32"/>
    </row>
    <row r="61" spans="1:1" ht="13.5" customHeight="1">
      <c r="A61" s="32"/>
    </row>
    <row r="62" spans="1:1" ht="13.5" customHeight="1">
      <c r="A62" s="32"/>
    </row>
    <row r="63" spans="1:1" ht="13.5" customHeight="1">
      <c r="A63" s="32"/>
    </row>
    <row r="64" spans="1:1" ht="13.5" customHeight="1">
      <c r="A64" s="32"/>
    </row>
    <row r="65" spans="1:1" ht="13.5" customHeight="1">
      <c r="A65" s="32"/>
    </row>
    <row r="66" spans="1:1" ht="13.5" customHeight="1">
      <c r="A66" s="32"/>
    </row>
    <row r="67" spans="1:1" ht="13.5" customHeight="1">
      <c r="A67" s="32"/>
    </row>
    <row r="68" spans="1:1" ht="13.5" customHeight="1">
      <c r="A68" s="32"/>
    </row>
    <row r="69" spans="1:1" ht="13.5" customHeight="1">
      <c r="A69" s="32"/>
    </row>
    <row r="70" spans="1:1" ht="13.5" customHeight="1">
      <c r="A70" s="32"/>
    </row>
    <row r="71" spans="1:1" ht="13.5" customHeight="1">
      <c r="A71" s="32"/>
    </row>
    <row r="72" spans="1:1" ht="13.5" customHeight="1">
      <c r="A72" s="32"/>
    </row>
    <row r="73" spans="1:1" ht="13.5" customHeight="1">
      <c r="A73" s="32"/>
    </row>
    <row r="74" spans="1:1" ht="13.5" customHeight="1">
      <c r="A74" s="32"/>
    </row>
    <row r="75" spans="1:1" ht="13.5" customHeight="1">
      <c r="A75" s="32"/>
    </row>
    <row r="76" spans="1:1" ht="13.5" customHeight="1">
      <c r="A76" s="32"/>
    </row>
    <row r="77" spans="1:1" ht="13.5" customHeight="1">
      <c r="A77" s="32"/>
    </row>
    <row r="78" spans="1:1" ht="13.5" customHeight="1">
      <c r="A78" s="32"/>
    </row>
    <row r="79" spans="1:1" ht="13.5" customHeight="1">
      <c r="A79" s="32"/>
    </row>
    <row r="80" spans="1:1" ht="13.5" customHeight="1">
      <c r="A80" s="32"/>
    </row>
    <row r="81" spans="1:10" ht="13.5" customHeight="1">
      <c r="A81" s="32"/>
    </row>
    <row r="82" spans="1:10" ht="13.5" customHeight="1">
      <c r="A82" s="32"/>
      <c r="J82" s="32"/>
    </row>
    <row r="83" spans="1:10" ht="13.5" customHeight="1">
      <c r="A83" s="32"/>
    </row>
    <row r="84" spans="1:10" ht="13.5" customHeight="1">
      <c r="A84" s="32"/>
    </row>
    <row r="85" spans="1:10" ht="13.5" customHeight="1">
      <c r="A85" s="32"/>
    </row>
    <row r="86" spans="1:10" ht="13.5" customHeight="1">
      <c r="A86" s="32"/>
    </row>
    <row r="87" spans="1:10" ht="13.5" customHeight="1">
      <c r="A87" s="32"/>
    </row>
    <row r="88" spans="1:10" ht="13.5" customHeight="1">
      <c r="A88" s="32"/>
    </row>
    <row r="89" spans="1:10" ht="13.5" customHeight="1">
      <c r="A89" s="32"/>
    </row>
    <row r="90" spans="1:10" ht="13.5" customHeight="1">
      <c r="A90" s="32"/>
    </row>
    <row r="91" spans="1:10" ht="13.5" customHeight="1">
      <c r="A91" s="32"/>
    </row>
    <row r="92" spans="1:10" ht="13.5" customHeight="1">
      <c r="A92" s="32"/>
    </row>
    <row r="93" spans="1:10" ht="13.5" customHeight="1">
      <c r="A93" s="32"/>
    </row>
    <row r="94" spans="1:10" ht="13.5" customHeight="1">
      <c r="A94" s="32"/>
    </row>
    <row r="95" spans="1:10" ht="13.5" customHeight="1">
      <c r="A95" s="32"/>
    </row>
    <row r="96" spans="1:10" ht="13.5" customHeight="1">
      <c r="A96" s="32"/>
    </row>
    <row r="97" spans="1:1" ht="13.5" customHeight="1">
      <c r="A97" s="32"/>
    </row>
    <row r="98" spans="1:1" ht="13.5" customHeight="1">
      <c r="A98" s="32"/>
    </row>
    <row r="99" spans="1:1" ht="13.5" customHeight="1">
      <c r="A99" s="32"/>
    </row>
    <row r="100" spans="1:1" ht="13.5" customHeight="1">
      <c r="A100" s="32"/>
    </row>
    <row r="101" spans="1:1" ht="13.5" customHeight="1">
      <c r="A101" s="32"/>
    </row>
    <row r="102" spans="1:1" ht="13.5" customHeight="1">
      <c r="A102" s="32"/>
    </row>
    <row r="103" spans="1:1" ht="13.5" customHeight="1">
      <c r="A103" s="32"/>
    </row>
    <row r="104" spans="1:1" ht="13.5" customHeight="1">
      <c r="A104" s="32"/>
    </row>
    <row r="105" spans="1:1" ht="13.5" customHeight="1">
      <c r="A105" s="32"/>
    </row>
    <row r="106" spans="1:1" ht="13.5" customHeight="1">
      <c r="A106" s="32"/>
    </row>
    <row r="107" spans="1:1" ht="13.5" customHeight="1">
      <c r="A107" s="32"/>
    </row>
    <row r="108" spans="1:1" ht="13.5" customHeight="1">
      <c r="A108" s="32"/>
    </row>
    <row r="109" spans="1:1" ht="13.5" customHeight="1">
      <c r="A109" s="32"/>
    </row>
    <row r="110" spans="1:1" ht="13.5" customHeight="1">
      <c r="A110" s="32"/>
    </row>
    <row r="111" spans="1:1" ht="13.5" customHeight="1">
      <c r="A111" s="32"/>
    </row>
    <row r="112" spans="1:1" ht="13.5" customHeight="1">
      <c r="A112" s="32"/>
    </row>
    <row r="113" spans="1:1" ht="13.5" customHeight="1">
      <c r="A113" s="32"/>
    </row>
    <row r="114" spans="1:1" ht="13.5" customHeight="1">
      <c r="A114" s="32"/>
    </row>
    <row r="115" spans="1:1" ht="13.5" customHeight="1">
      <c r="A115" s="32"/>
    </row>
    <row r="116" spans="1:1" ht="13.5" customHeight="1">
      <c r="A116" s="32"/>
    </row>
    <row r="117" spans="1:1" ht="13.5" customHeight="1">
      <c r="A117" s="32"/>
    </row>
    <row r="118" spans="1:1" ht="13.5" customHeight="1">
      <c r="A118" s="32"/>
    </row>
    <row r="119" spans="1:1" ht="13.5" customHeight="1">
      <c r="A119" s="32"/>
    </row>
    <row r="120" spans="1:1" ht="13.5" customHeight="1">
      <c r="A120" s="32"/>
    </row>
    <row r="121" spans="1:1" ht="13.5" customHeight="1">
      <c r="A121" s="32"/>
    </row>
    <row r="122" spans="1:1" ht="13.5" customHeight="1">
      <c r="A122" s="32"/>
    </row>
    <row r="123" spans="1:1" ht="13.5" customHeight="1">
      <c r="A123" s="32"/>
    </row>
    <row r="124" spans="1:1" ht="13.5" customHeight="1">
      <c r="A124" s="32"/>
    </row>
    <row r="125" spans="1:1" ht="13.5" customHeight="1">
      <c r="A125" s="32"/>
    </row>
    <row r="126" spans="1:1" ht="13.5" customHeight="1">
      <c r="A126" s="32"/>
    </row>
    <row r="127" spans="1:1" ht="13.5" customHeight="1">
      <c r="A127" s="32"/>
    </row>
    <row r="128" spans="1:1" ht="13.5" customHeight="1">
      <c r="A128" s="32"/>
    </row>
    <row r="129" spans="1:1" ht="13.5" customHeight="1">
      <c r="A129" s="32"/>
    </row>
    <row r="130" spans="1:1" ht="13.5" customHeight="1">
      <c r="A130" s="32"/>
    </row>
    <row r="131" spans="1:1" ht="13.5" customHeight="1">
      <c r="A131" s="32"/>
    </row>
    <row r="132" spans="1:1" ht="13.5" customHeight="1">
      <c r="A132" s="32"/>
    </row>
    <row r="133" spans="1:1" ht="13.5" customHeight="1">
      <c r="A133" s="32"/>
    </row>
    <row r="134" spans="1:1" ht="13.5" customHeight="1">
      <c r="A134" s="32"/>
    </row>
    <row r="135" spans="1:1" ht="13.5" customHeight="1">
      <c r="A135" s="32"/>
    </row>
    <row r="136" spans="1:1" ht="13.5" customHeight="1">
      <c r="A136" s="32"/>
    </row>
    <row r="137" spans="1:1" ht="13.5" customHeight="1">
      <c r="A137" s="32"/>
    </row>
    <row r="138" spans="1:1" ht="13.5" customHeight="1">
      <c r="A138" s="32"/>
    </row>
    <row r="139" spans="1:1" ht="13.5" customHeight="1">
      <c r="A139" s="32"/>
    </row>
    <row r="140" spans="1:1" ht="13.5" customHeight="1">
      <c r="A140" s="32"/>
    </row>
    <row r="141" spans="1:1" ht="13.5" customHeight="1">
      <c r="A141" s="32"/>
    </row>
    <row r="142" spans="1:1" ht="13.5" customHeight="1">
      <c r="A142" s="32"/>
    </row>
    <row r="143" spans="1:1" ht="13.5" customHeight="1">
      <c r="A143" s="32"/>
    </row>
    <row r="144" spans="1:1" ht="13.5" customHeight="1">
      <c r="A144" s="32"/>
    </row>
    <row r="145" spans="1:1" ht="13.5" customHeight="1">
      <c r="A145" s="32"/>
    </row>
    <row r="146" spans="1:1" ht="13.5" customHeight="1">
      <c r="A146" s="32"/>
    </row>
    <row r="147" spans="1:1" ht="13.5" customHeight="1">
      <c r="A147" s="32"/>
    </row>
    <row r="148" spans="1:1" ht="13.5" customHeight="1">
      <c r="A148" s="32"/>
    </row>
    <row r="149" spans="1:1" ht="13.5" customHeight="1">
      <c r="A149" s="32"/>
    </row>
    <row r="150" spans="1:1" ht="13.5" customHeight="1">
      <c r="A150" s="32"/>
    </row>
    <row r="151" spans="1:1" ht="13.5" customHeight="1">
      <c r="A151" s="32"/>
    </row>
    <row r="152" spans="1:1" ht="13.5" customHeight="1">
      <c r="A152" s="32"/>
    </row>
    <row r="153" spans="1:1" ht="13.5" customHeight="1">
      <c r="A153" s="32"/>
    </row>
    <row r="154" spans="1:1" ht="13.5" customHeight="1">
      <c r="A154" s="32"/>
    </row>
    <row r="155" spans="1:1" ht="13.5" customHeight="1">
      <c r="A155" s="32"/>
    </row>
    <row r="156" spans="1:1" ht="13.5" customHeight="1">
      <c r="A156" s="32"/>
    </row>
    <row r="157" spans="1:1" ht="13.5" customHeight="1">
      <c r="A157" s="32"/>
    </row>
    <row r="158" spans="1:1" ht="13.5" customHeight="1">
      <c r="A158" s="32"/>
    </row>
    <row r="159" spans="1:1" ht="13.5" customHeight="1">
      <c r="A159" s="32"/>
    </row>
    <row r="160" spans="1:1" ht="13.5" customHeight="1">
      <c r="A160" s="32"/>
    </row>
    <row r="161" spans="1:1" ht="13.5" customHeight="1">
      <c r="A161" s="32"/>
    </row>
    <row r="162" spans="1:1" ht="13.5" customHeight="1">
      <c r="A162" s="32"/>
    </row>
    <row r="163" spans="1:1" ht="13.5" customHeight="1">
      <c r="A163" s="32"/>
    </row>
    <row r="164" spans="1:1" ht="13.5" customHeight="1">
      <c r="A164" s="32"/>
    </row>
    <row r="165" spans="1:1" ht="13.5" customHeight="1">
      <c r="A165" s="32"/>
    </row>
    <row r="166" spans="1:1" ht="13.5" customHeight="1">
      <c r="A166" s="32"/>
    </row>
    <row r="167" spans="1:1" ht="13.5" customHeight="1">
      <c r="A167" s="32"/>
    </row>
    <row r="168" spans="1:1" ht="13.5" customHeight="1">
      <c r="A168" s="32"/>
    </row>
    <row r="169" spans="1:1" ht="13.5" customHeight="1">
      <c r="A169" s="32"/>
    </row>
    <row r="170" spans="1:1" ht="13.5" customHeight="1">
      <c r="A170" s="32"/>
    </row>
    <row r="171" spans="1:1" ht="13.5" customHeight="1">
      <c r="A171" s="32"/>
    </row>
    <row r="172" spans="1:1" ht="13.5" customHeight="1">
      <c r="A172" s="32"/>
    </row>
    <row r="173" spans="1:1" ht="13.5" customHeight="1">
      <c r="A173" s="32"/>
    </row>
    <row r="174" spans="1:1" ht="13.5" customHeight="1">
      <c r="A174" s="32"/>
    </row>
    <row r="175" spans="1:1" ht="13.5" customHeight="1">
      <c r="A175" s="32"/>
    </row>
    <row r="176" spans="1:1" ht="13.5" customHeight="1">
      <c r="A176" s="32"/>
    </row>
    <row r="177" spans="1:1" ht="13.5" customHeight="1">
      <c r="A177" s="32"/>
    </row>
    <row r="178" spans="1:1" ht="13.5" customHeight="1">
      <c r="A178" s="32"/>
    </row>
    <row r="179" spans="1:1" ht="13.5" customHeight="1">
      <c r="A179" s="32"/>
    </row>
    <row r="180" spans="1:1" ht="13.5" customHeight="1">
      <c r="A180" s="32"/>
    </row>
    <row r="181" spans="1:1" ht="13.5" customHeight="1">
      <c r="A181" s="32"/>
    </row>
    <row r="182" spans="1:1" ht="13.5" customHeight="1">
      <c r="A182" s="32"/>
    </row>
    <row r="183" spans="1:1" ht="13.5" customHeight="1">
      <c r="A183" s="32"/>
    </row>
    <row r="184" spans="1:1" ht="13.5" customHeight="1">
      <c r="A184" s="32"/>
    </row>
    <row r="185" spans="1:1" ht="13.5" customHeight="1">
      <c r="A185" s="32"/>
    </row>
    <row r="186" spans="1:1" ht="13.5" customHeight="1">
      <c r="A186" s="32"/>
    </row>
    <row r="187" spans="1:1" ht="13.5" customHeight="1">
      <c r="A187" s="32"/>
    </row>
    <row r="188" spans="1:1" ht="13.5" customHeight="1">
      <c r="A188" s="32"/>
    </row>
    <row r="189" spans="1:1" ht="13.5" customHeight="1">
      <c r="A189" s="32"/>
    </row>
    <row r="190" spans="1:1" ht="13.5" customHeight="1">
      <c r="A190" s="32"/>
    </row>
    <row r="191" spans="1:1" ht="13.5" customHeight="1">
      <c r="A191" s="32"/>
    </row>
    <row r="192" spans="1:1" ht="13.5" customHeight="1">
      <c r="A192" s="32"/>
    </row>
    <row r="193" spans="1:1" ht="13.5" customHeight="1">
      <c r="A193" s="32"/>
    </row>
    <row r="194" spans="1:1" ht="13.5" customHeight="1">
      <c r="A194" s="32"/>
    </row>
    <row r="195" spans="1:1" ht="13.5" customHeight="1">
      <c r="A195" s="32"/>
    </row>
    <row r="196" spans="1:1" ht="13.5" customHeight="1">
      <c r="A196" s="32"/>
    </row>
    <row r="197" spans="1:1" ht="13.5" customHeight="1">
      <c r="A197" s="32"/>
    </row>
    <row r="198" spans="1:1" ht="13.5" customHeight="1">
      <c r="A198" s="32"/>
    </row>
    <row r="199" spans="1:1" ht="13.5" customHeight="1">
      <c r="A199" s="32"/>
    </row>
    <row r="200" spans="1:1" ht="13.5" customHeight="1">
      <c r="A200" s="32"/>
    </row>
    <row r="201" spans="1:1" ht="13.5" customHeight="1">
      <c r="A201" s="32"/>
    </row>
    <row r="202" spans="1:1" ht="13.5" customHeight="1">
      <c r="A202" s="32"/>
    </row>
    <row r="203" spans="1:1" ht="13.5" customHeight="1">
      <c r="A203" s="32"/>
    </row>
    <row r="204" spans="1:1" ht="13.5" customHeight="1">
      <c r="A204" s="32"/>
    </row>
    <row r="205" spans="1:1" ht="13.5" customHeight="1">
      <c r="A205" s="32"/>
    </row>
    <row r="206" spans="1:1" ht="13.5" customHeight="1">
      <c r="A206" s="32"/>
    </row>
    <row r="207" spans="1:1" ht="13.5" customHeight="1">
      <c r="A207" s="32"/>
    </row>
    <row r="208" spans="1:1" ht="13.5" customHeight="1">
      <c r="A208" s="32"/>
    </row>
    <row r="209" spans="1:1" ht="13.5" customHeight="1">
      <c r="A209" s="32"/>
    </row>
    <row r="210" spans="1:1" ht="13.5" customHeight="1">
      <c r="A210" s="32"/>
    </row>
    <row r="211" spans="1:1" ht="13.5" customHeight="1">
      <c r="A211" s="32"/>
    </row>
    <row r="212" spans="1:1" ht="13.5" customHeight="1">
      <c r="A212" s="32"/>
    </row>
    <row r="213" spans="1:1" ht="13.5" customHeight="1">
      <c r="A213" s="32"/>
    </row>
    <row r="214" spans="1:1" ht="13.5" customHeight="1">
      <c r="A214" s="32"/>
    </row>
    <row r="215" spans="1:1" ht="13.5" customHeight="1">
      <c r="A215" s="32"/>
    </row>
    <row r="216" spans="1:1" ht="13.5" customHeight="1">
      <c r="A216" s="32"/>
    </row>
    <row r="217" spans="1:1" ht="13.5" customHeight="1">
      <c r="A217" s="32"/>
    </row>
    <row r="218" spans="1:1" ht="13.5" customHeight="1">
      <c r="A218" s="32"/>
    </row>
    <row r="219" spans="1:1" ht="13.5" customHeight="1">
      <c r="A219" s="32"/>
    </row>
    <row r="220" spans="1:1" ht="13.5" customHeight="1">
      <c r="A220" s="32"/>
    </row>
    <row r="221" spans="1:1" ht="13.5" customHeight="1">
      <c r="A221" s="32"/>
    </row>
    <row r="222" spans="1:1" ht="13.5" customHeight="1">
      <c r="A222" s="32"/>
    </row>
    <row r="223" spans="1:1" ht="13.5" customHeight="1">
      <c r="A223" s="32"/>
    </row>
    <row r="224" spans="1:1" ht="13.5" customHeight="1">
      <c r="A224" s="32"/>
    </row>
    <row r="225" spans="1:1" ht="13.5" customHeight="1">
      <c r="A225" s="32"/>
    </row>
    <row r="226" spans="1:1" ht="13.5" customHeight="1">
      <c r="A226" s="32"/>
    </row>
    <row r="227" spans="1:1" ht="13.5" customHeight="1">
      <c r="A227" s="32"/>
    </row>
    <row r="228" spans="1:1" ht="13.5" customHeight="1">
      <c r="A228" s="32"/>
    </row>
    <row r="229" spans="1:1" ht="13.5" customHeight="1">
      <c r="A229" s="32"/>
    </row>
    <row r="230" spans="1:1" ht="13.5" customHeight="1">
      <c r="A230" s="32"/>
    </row>
    <row r="231" spans="1:1" ht="13.5" customHeight="1">
      <c r="A231" s="32"/>
    </row>
    <row r="232" spans="1:1" ht="13.5" customHeight="1">
      <c r="A232" s="32"/>
    </row>
    <row r="233" spans="1:1" ht="13.5" customHeight="1">
      <c r="A233" s="32"/>
    </row>
    <row r="234" spans="1:1" ht="13.5" customHeight="1">
      <c r="A234" s="32"/>
    </row>
    <row r="235" spans="1:1" ht="13.5" customHeight="1">
      <c r="A235" s="32"/>
    </row>
    <row r="236" spans="1:1" ht="13.5" customHeight="1">
      <c r="A236" s="32"/>
    </row>
    <row r="237" spans="1:1" ht="13.5" customHeight="1">
      <c r="A237" s="32"/>
    </row>
    <row r="238" spans="1:1" ht="13.5" customHeight="1">
      <c r="A238" s="32"/>
    </row>
    <row r="239" spans="1:1" ht="13.5" customHeight="1">
      <c r="A239" s="32"/>
    </row>
    <row r="240" spans="1:1" ht="13.5" customHeight="1">
      <c r="A240" s="32"/>
    </row>
    <row r="241" spans="1:1" ht="13.5" customHeight="1">
      <c r="A241" s="32"/>
    </row>
    <row r="242" spans="1:1" ht="13.5" customHeight="1">
      <c r="A242" s="32"/>
    </row>
    <row r="243" spans="1:1" ht="13.5" customHeight="1">
      <c r="A243" s="32"/>
    </row>
    <row r="244" spans="1:1" ht="13.5" customHeight="1">
      <c r="A244" s="32"/>
    </row>
    <row r="245" spans="1:1" ht="13.5" customHeight="1">
      <c r="A245" s="32"/>
    </row>
    <row r="246" spans="1:1" ht="13.5" customHeight="1">
      <c r="A246" s="32"/>
    </row>
    <row r="247" spans="1:1" ht="13.5" customHeight="1">
      <c r="A247" s="32"/>
    </row>
    <row r="248" spans="1:1" ht="13.5" customHeight="1">
      <c r="A248" s="32"/>
    </row>
    <row r="249" spans="1:1" ht="13.5" customHeight="1">
      <c r="A249" s="32"/>
    </row>
    <row r="250" spans="1:1" ht="13.5" customHeight="1">
      <c r="A250" s="32"/>
    </row>
    <row r="251" spans="1:1" ht="13.5" customHeight="1">
      <c r="A251" s="32"/>
    </row>
    <row r="252" spans="1:1" ht="13.5" customHeight="1">
      <c r="A252" s="32"/>
    </row>
    <row r="253" spans="1:1" ht="13.5" customHeight="1">
      <c r="A253" s="32"/>
    </row>
    <row r="254" spans="1:1" ht="13.5" customHeight="1">
      <c r="A254" s="32"/>
    </row>
    <row r="255" spans="1:1" ht="13.5" customHeight="1">
      <c r="A255" s="32"/>
    </row>
    <row r="256" spans="1:1" ht="13.5" customHeight="1">
      <c r="A256" s="32"/>
    </row>
    <row r="257" spans="1:1" ht="13.5" customHeight="1">
      <c r="A257" s="32"/>
    </row>
    <row r="258" spans="1:1" ht="13.5" customHeight="1">
      <c r="A258" s="32"/>
    </row>
    <row r="259" spans="1:1" ht="13.5" customHeight="1">
      <c r="A259" s="32"/>
    </row>
    <row r="260" spans="1:1" ht="13.5" customHeight="1">
      <c r="A260" s="32"/>
    </row>
    <row r="261" spans="1:1" ht="13.5" customHeight="1">
      <c r="A261" s="32"/>
    </row>
    <row r="262" spans="1:1" ht="13.5" customHeight="1">
      <c r="A262" s="32"/>
    </row>
    <row r="263" spans="1:1" ht="13.5" customHeight="1">
      <c r="A263" s="32"/>
    </row>
    <row r="264" spans="1:1" ht="13.5" customHeight="1">
      <c r="A264" s="32"/>
    </row>
    <row r="265" spans="1:1" ht="13.5" customHeight="1">
      <c r="A265" s="32"/>
    </row>
    <row r="266" spans="1:1" ht="13.5" customHeight="1">
      <c r="A266" s="32"/>
    </row>
    <row r="267" spans="1:1" ht="13.5" customHeight="1">
      <c r="A267" s="32"/>
    </row>
    <row r="268" spans="1:1" ht="13.5" customHeight="1">
      <c r="A268" s="32"/>
    </row>
    <row r="269" spans="1:1" ht="13.5" customHeight="1">
      <c r="A269" s="32"/>
    </row>
    <row r="270" spans="1:1" ht="13.5" customHeight="1">
      <c r="A270" s="32"/>
    </row>
    <row r="271" spans="1:1" ht="13.5" customHeight="1">
      <c r="A271" s="32"/>
    </row>
    <row r="272" spans="1:1" ht="13.5" customHeight="1">
      <c r="A272" s="32"/>
    </row>
    <row r="273" spans="1:1" ht="13.5" customHeight="1">
      <c r="A273" s="32"/>
    </row>
    <row r="274" spans="1:1" ht="13.5" customHeight="1">
      <c r="A274" s="32"/>
    </row>
    <row r="275" spans="1:1" ht="13.5" customHeight="1">
      <c r="A275" s="32"/>
    </row>
    <row r="276" spans="1:1" ht="13.5" customHeight="1">
      <c r="A276" s="32"/>
    </row>
    <row r="277" spans="1:1" ht="13.5" customHeight="1">
      <c r="A277" s="32"/>
    </row>
    <row r="278" spans="1:1" ht="13.5" customHeight="1">
      <c r="A278" s="32"/>
    </row>
    <row r="279" spans="1:1" ht="13.5" customHeight="1">
      <c r="A279" s="32"/>
    </row>
    <row r="280" spans="1:1" ht="13.5" customHeight="1">
      <c r="A280" s="32"/>
    </row>
    <row r="281" spans="1:1" ht="13.5" customHeight="1">
      <c r="A281" s="32"/>
    </row>
    <row r="282" spans="1:1" ht="13.5" customHeight="1">
      <c r="A282" s="32"/>
    </row>
    <row r="283" spans="1:1" ht="13.5" customHeight="1">
      <c r="A283" s="32"/>
    </row>
    <row r="284" spans="1:1" ht="13.5" customHeight="1">
      <c r="A284" s="32"/>
    </row>
    <row r="285" spans="1:1" ht="13.5" customHeight="1">
      <c r="A285" s="32"/>
    </row>
    <row r="286" spans="1:1" ht="13.5" customHeight="1">
      <c r="A286" s="32"/>
    </row>
    <row r="287" spans="1:1" ht="13.5" customHeight="1">
      <c r="A287" s="32"/>
    </row>
    <row r="288" spans="1:1" ht="13.5" customHeight="1">
      <c r="A288" s="32"/>
    </row>
    <row r="289" spans="1:1" ht="13.5" customHeight="1">
      <c r="A289" s="32"/>
    </row>
    <row r="290" spans="1:1" ht="13.5" customHeight="1">
      <c r="A290" s="32"/>
    </row>
    <row r="291" spans="1:1" ht="13.5" customHeight="1">
      <c r="A291" s="32"/>
    </row>
    <row r="292" spans="1:1" ht="13.5" customHeight="1">
      <c r="A292" s="32"/>
    </row>
    <row r="293" spans="1:1" ht="13.5" customHeight="1">
      <c r="A293" s="32"/>
    </row>
    <row r="294" spans="1:1" ht="13.5" customHeight="1">
      <c r="A294" s="32"/>
    </row>
    <row r="295" spans="1:1" ht="13.5" customHeight="1">
      <c r="A295" s="32"/>
    </row>
    <row r="296" spans="1:1" ht="13.5" customHeight="1">
      <c r="A296" s="32"/>
    </row>
    <row r="297" spans="1:1" ht="13.5" customHeight="1">
      <c r="A297" s="32"/>
    </row>
    <row r="298" spans="1:1" ht="13.5" customHeight="1">
      <c r="A298" s="32"/>
    </row>
    <row r="299" spans="1:1" ht="13.5" customHeight="1">
      <c r="A299" s="32"/>
    </row>
    <row r="300" spans="1:1" ht="13.5" customHeight="1">
      <c r="A300" s="32"/>
    </row>
    <row r="301" spans="1:1" ht="13.5" customHeight="1">
      <c r="A301" s="32"/>
    </row>
    <row r="302" spans="1:1" ht="13.5" customHeight="1">
      <c r="A302" s="32"/>
    </row>
    <row r="303" spans="1:1" ht="13.5" customHeight="1">
      <c r="A303" s="32"/>
    </row>
    <row r="304" spans="1:1" ht="13.5" customHeight="1">
      <c r="A304" s="32"/>
    </row>
    <row r="305" spans="1:1" ht="13.5" customHeight="1">
      <c r="A305" s="32"/>
    </row>
    <row r="306" spans="1:1" ht="13.5" customHeight="1">
      <c r="A306" s="32"/>
    </row>
    <row r="307" spans="1:1" ht="13.5" customHeight="1">
      <c r="A307" s="32"/>
    </row>
    <row r="308" spans="1:1" ht="13.5" customHeight="1">
      <c r="A308" s="32"/>
    </row>
    <row r="309" spans="1:1" ht="13.5" customHeight="1">
      <c r="A309" s="32"/>
    </row>
    <row r="310" spans="1:1" ht="13.5" customHeight="1">
      <c r="A310" s="32"/>
    </row>
    <row r="311" spans="1:1" ht="13.5" customHeight="1">
      <c r="A311" s="32"/>
    </row>
    <row r="312" spans="1:1" ht="13.5" customHeight="1">
      <c r="A312" s="32"/>
    </row>
    <row r="313" spans="1:1" ht="13.5" customHeight="1">
      <c r="A313" s="32"/>
    </row>
    <row r="314" spans="1:1" ht="13.5" customHeight="1">
      <c r="A314" s="32"/>
    </row>
    <row r="315" spans="1:1" ht="13.5" customHeight="1">
      <c r="A315" s="32"/>
    </row>
    <row r="316" spans="1:1" ht="13.5" customHeight="1">
      <c r="A316" s="32"/>
    </row>
    <row r="317" spans="1:1" ht="13.5" customHeight="1">
      <c r="A317" s="32"/>
    </row>
    <row r="318" spans="1:1" ht="13.5" customHeight="1">
      <c r="A318" s="32"/>
    </row>
    <row r="319" spans="1:1" ht="13.5" customHeight="1">
      <c r="A319" s="32"/>
    </row>
    <row r="320" spans="1:1" ht="13.5" customHeight="1">
      <c r="A320" s="32"/>
    </row>
    <row r="321" spans="1:1" ht="13.5" customHeight="1">
      <c r="A321" s="32"/>
    </row>
    <row r="322" spans="1:1" ht="13.5" customHeight="1">
      <c r="A322" s="32"/>
    </row>
    <row r="323" spans="1:1" ht="13.5" customHeight="1">
      <c r="A323" s="32"/>
    </row>
    <row r="324" spans="1:1" ht="13.5" customHeight="1">
      <c r="A324" s="32"/>
    </row>
    <row r="325" spans="1:1" ht="13.5" customHeight="1">
      <c r="A325" s="32"/>
    </row>
    <row r="326" spans="1:1" ht="13.5" customHeight="1">
      <c r="A326" s="32"/>
    </row>
    <row r="327" spans="1:1" ht="13.5" customHeight="1">
      <c r="A327" s="32"/>
    </row>
    <row r="328" spans="1:1" ht="13.5" customHeight="1">
      <c r="A328" s="32"/>
    </row>
    <row r="329" spans="1:1" ht="13.5" customHeight="1">
      <c r="A329" s="32"/>
    </row>
    <row r="330" spans="1:1" ht="13.5" customHeight="1">
      <c r="A330" s="32"/>
    </row>
    <row r="331" spans="1:1" ht="13.5" customHeight="1">
      <c r="A331" s="32"/>
    </row>
    <row r="332" spans="1:1" ht="13.5" customHeight="1">
      <c r="A332" s="32"/>
    </row>
    <row r="333" spans="1:1" ht="13.5" customHeight="1">
      <c r="A333" s="32"/>
    </row>
    <row r="334" spans="1:1" ht="13.5" customHeight="1">
      <c r="A334" s="32"/>
    </row>
    <row r="335" spans="1:1" ht="13.5" customHeight="1">
      <c r="A335" s="32"/>
    </row>
    <row r="336" spans="1:1" ht="13.5" customHeight="1">
      <c r="A336" s="32"/>
    </row>
    <row r="337" spans="1:1" ht="13.5" customHeight="1">
      <c r="A337" s="32"/>
    </row>
    <row r="338" spans="1:1" ht="13.5" customHeight="1">
      <c r="A338" s="32"/>
    </row>
    <row r="339" spans="1:1" ht="13.5" customHeight="1">
      <c r="A339" s="32"/>
    </row>
    <row r="340" spans="1:1" ht="13.5" customHeight="1">
      <c r="A340" s="32"/>
    </row>
    <row r="341" spans="1:1" ht="13.5" customHeight="1">
      <c r="A341" s="32"/>
    </row>
    <row r="342" spans="1:1" ht="13.5" customHeight="1">
      <c r="A342" s="32"/>
    </row>
    <row r="343" spans="1:1" ht="13.5" customHeight="1">
      <c r="A343" s="32"/>
    </row>
    <row r="344" spans="1:1" ht="13.5" customHeight="1">
      <c r="A344" s="32"/>
    </row>
    <row r="345" spans="1:1" ht="13.5" customHeight="1">
      <c r="A345" s="32"/>
    </row>
    <row r="346" spans="1:1" ht="13.5" customHeight="1">
      <c r="A346" s="32"/>
    </row>
    <row r="347" spans="1:1" ht="13.5" customHeight="1">
      <c r="A347" s="32"/>
    </row>
    <row r="348" spans="1:1" ht="13.5" customHeight="1">
      <c r="A348" s="32"/>
    </row>
    <row r="349" spans="1:1" ht="13.5" customHeight="1">
      <c r="A349" s="32"/>
    </row>
    <row r="350" spans="1:1" ht="13.5" customHeight="1">
      <c r="A350" s="32"/>
    </row>
    <row r="351" spans="1:1" ht="13.5" customHeight="1">
      <c r="A351" s="32"/>
    </row>
    <row r="352" spans="1:1" ht="13.5" customHeight="1">
      <c r="A352" s="32"/>
    </row>
    <row r="353" spans="1:1" ht="13.5" customHeight="1">
      <c r="A353" s="32"/>
    </row>
    <row r="354" spans="1:1" ht="13.5" customHeight="1">
      <c r="A354" s="32"/>
    </row>
    <row r="355" spans="1:1" ht="13.5" customHeight="1">
      <c r="A355" s="32"/>
    </row>
    <row r="356" spans="1:1" ht="13.5" customHeight="1">
      <c r="A356" s="32"/>
    </row>
    <row r="357" spans="1:1" ht="13.5" customHeight="1">
      <c r="A357" s="32"/>
    </row>
    <row r="358" spans="1:1" ht="13.5" customHeight="1">
      <c r="A358" s="32"/>
    </row>
    <row r="359" spans="1:1" ht="13.5" customHeight="1">
      <c r="A359" s="32"/>
    </row>
    <row r="360" spans="1:1" ht="13.5" customHeight="1">
      <c r="A360" s="32"/>
    </row>
    <row r="361" spans="1:1" ht="13.5" customHeight="1">
      <c r="A361" s="32"/>
    </row>
    <row r="362" spans="1:1" ht="13.5" customHeight="1">
      <c r="A362" s="32"/>
    </row>
    <row r="363" spans="1:1" ht="13.5" customHeight="1">
      <c r="A363" s="32"/>
    </row>
    <row r="364" spans="1:1" ht="13.5" customHeight="1">
      <c r="A364" s="32"/>
    </row>
    <row r="365" spans="1:1" ht="13.5" customHeight="1">
      <c r="A365" s="32"/>
    </row>
    <row r="366" spans="1:1" ht="13.5" customHeight="1">
      <c r="A366" s="32"/>
    </row>
    <row r="367" spans="1:1" ht="13.5" customHeight="1">
      <c r="A367" s="32"/>
    </row>
    <row r="368" spans="1:1" ht="13.5" customHeight="1">
      <c r="A368" s="32"/>
    </row>
    <row r="369" spans="1:1" ht="13.5" customHeight="1">
      <c r="A369" s="32"/>
    </row>
    <row r="370" spans="1:1" ht="13.5" customHeight="1">
      <c r="A370" s="32"/>
    </row>
    <row r="371" spans="1:1" ht="13.5" customHeight="1">
      <c r="A371" s="32"/>
    </row>
    <row r="372" spans="1:1" ht="13.5" customHeight="1">
      <c r="A372" s="32"/>
    </row>
    <row r="373" spans="1:1" ht="13.5" customHeight="1">
      <c r="A373" s="32"/>
    </row>
    <row r="374" spans="1:1" ht="13.5" customHeight="1">
      <c r="A374" s="32"/>
    </row>
    <row r="375" spans="1:1" ht="13.5" customHeight="1">
      <c r="A375" s="32"/>
    </row>
    <row r="376" spans="1:1" ht="13.5" customHeight="1">
      <c r="A376" s="32"/>
    </row>
    <row r="377" spans="1:1" ht="13.5" customHeight="1">
      <c r="A377" s="32"/>
    </row>
    <row r="378" spans="1:1" ht="13.5" customHeight="1">
      <c r="A378" s="32"/>
    </row>
    <row r="379" spans="1:1" ht="13.5" customHeight="1">
      <c r="A379" s="32"/>
    </row>
    <row r="380" spans="1:1" ht="13.5" customHeight="1">
      <c r="A380" s="32"/>
    </row>
    <row r="381" spans="1:1" ht="13.5" customHeight="1">
      <c r="A381" s="32"/>
    </row>
    <row r="382" spans="1:1" ht="13.5" customHeight="1">
      <c r="A382" s="32"/>
    </row>
    <row r="383" spans="1:1" ht="13.5" customHeight="1">
      <c r="A383" s="32"/>
    </row>
    <row r="384" spans="1:1" ht="13.5" customHeight="1">
      <c r="A384" s="32"/>
    </row>
    <row r="385" spans="1:1" ht="13.5" customHeight="1">
      <c r="A385" s="32"/>
    </row>
    <row r="386" spans="1:1" ht="13.5" customHeight="1">
      <c r="A386" s="32"/>
    </row>
    <row r="387" spans="1:1" ht="13.5" customHeight="1">
      <c r="A387" s="32"/>
    </row>
    <row r="388" spans="1:1" ht="13.5" customHeight="1">
      <c r="A388" s="32"/>
    </row>
    <row r="389" spans="1:1" ht="13.5" customHeight="1">
      <c r="A389" s="32"/>
    </row>
    <row r="390" spans="1:1" ht="13.5" customHeight="1">
      <c r="A390" s="32"/>
    </row>
    <row r="391" spans="1:1" ht="13.5" customHeight="1">
      <c r="A391" s="32"/>
    </row>
    <row r="392" spans="1:1" ht="13.5" customHeight="1">
      <c r="A392" s="32"/>
    </row>
    <row r="393" spans="1:1" ht="13.5" customHeight="1">
      <c r="A393" s="32"/>
    </row>
    <row r="394" spans="1:1" ht="13.5" customHeight="1">
      <c r="A394" s="32"/>
    </row>
    <row r="395" spans="1:1" ht="13.5" customHeight="1">
      <c r="A395" s="32"/>
    </row>
    <row r="396" spans="1:1" ht="13.5" customHeight="1">
      <c r="A396" s="32"/>
    </row>
    <row r="397" spans="1:1" ht="13.5" customHeight="1">
      <c r="A397" s="32"/>
    </row>
    <row r="398" spans="1:1" ht="13.5" customHeight="1">
      <c r="A398" s="32"/>
    </row>
    <row r="399" spans="1:1" ht="13.5" customHeight="1">
      <c r="A399" s="32"/>
    </row>
    <row r="400" spans="1:1" ht="13.5" customHeight="1">
      <c r="A400" s="32"/>
    </row>
    <row r="401" spans="1:1" ht="13.5" customHeight="1">
      <c r="A401" s="32"/>
    </row>
    <row r="402" spans="1:1" ht="13.5" customHeight="1">
      <c r="A402" s="32"/>
    </row>
    <row r="403" spans="1:1" ht="13.5" customHeight="1">
      <c r="A403" s="32"/>
    </row>
    <row r="404" spans="1:1" ht="13.5" customHeight="1">
      <c r="A404" s="32"/>
    </row>
    <row r="405" spans="1:1" ht="13.5" customHeight="1">
      <c r="A405" s="32"/>
    </row>
    <row r="406" spans="1:1" ht="13.5" customHeight="1">
      <c r="A406" s="32"/>
    </row>
    <row r="407" spans="1:1" ht="13.5" customHeight="1">
      <c r="A407" s="32"/>
    </row>
    <row r="408" spans="1:1" ht="13.5" customHeight="1">
      <c r="A408" s="32"/>
    </row>
    <row r="409" spans="1:1" ht="13.5" customHeight="1">
      <c r="A409" s="32"/>
    </row>
    <row r="410" spans="1:1" ht="13.5" customHeight="1">
      <c r="A410" s="32"/>
    </row>
    <row r="411" spans="1:1" ht="13.5" customHeight="1">
      <c r="A411" s="32"/>
    </row>
    <row r="412" spans="1:1" ht="13.5" customHeight="1">
      <c r="A412" s="32"/>
    </row>
    <row r="413" spans="1:1" ht="13.5" customHeight="1">
      <c r="A413" s="32"/>
    </row>
    <row r="414" spans="1:1" ht="13.5" customHeight="1">
      <c r="A414" s="32"/>
    </row>
    <row r="415" spans="1:1" ht="13.5" customHeight="1">
      <c r="A415" s="32"/>
    </row>
    <row r="416" spans="1:1" ht="13.5" customHeight="1">
      <c r="A416" s="32"/>
    </row>
    <row r="417" spans="1:1" ht="13.5" customHeight="1">
      <c r="A417" s="32"/>
    </row>
    <row r="418" spans="1:1" ht="13.5" customHeight="1">
      <c r="A418" s="32"/>
    </row>
    <row r="419" spans="1:1" ht="13.5" customHeight="1">
      <c r="A419" s="32"/>
    </row>
    <row r="420" spans="1:1" ht="13.5" customHeight="1">
      <c r="A420" s="32"/>
    </row>
    <row r="421" spans="1:1" ht="13.5" customHeight="1">
      <c r="A421" s="32"/>
    </row>
    <row r="422" spans="1:1" ht="13.5" customHeight="1">
      <c r="A422" s="32"/>
    </row>
    <row r="423" spans="1:1" ht="13.5" customHeight="1">
      <c r="A423" s="32"/>
    </row>
    <row r="424" spans="1:1" ht="13.5" customHeight="1">
      <c r="A424" s="32"/>
    </row>
    <row r="425" spans="1:1" ht="13.5" customHeight="1">
      <c r="A425" s="32"/>
    </row>
    <row r="426" spans="1:1" ht="13.5" customHeight="1">
      <c r="A426" s="32"/>
    </row>
    <row r="427" spans="1:1" ht="13.5" customHeight="1">
      <c r="A427" s="32"/>
    </row>
    <row r="428" spans="1:1" ht="13.5" customHeight="1">
      <c r="A428" s="32"/>
    </row>
    <row r="429" spans="1:1" ht="13.5" customHeight="1">
      <c r="A429" s="32"/>
    </row>
    <row r="430" spans="1:1" ht="13.5" customHeight="1">
      <c r="A430" s="32"/>
    </row>
    <row r="431" spans="1:1" ht="13.5" customHeight="1">
      <c r="A431" s="32"/>
    </row>
    <row r="432" spans="1:1" ht="13.5" customHeight="1">
      <c r="A432" s="32"/>
    </row>
    <row r="433" spans="1:1" ht="13.5" customHeight="1">
      <c r="A433" s="32"/>
    </row>
    <row r="434" spans="1:1" ht="13.5" customHeight="1">
      <c r="A434" s="32"/>
    </row>
    <row r="435" spans="1:1" ht="13.5" customHeight="1">
      <c r="A435" s="32"/>
    </row>
    <row r="436" spans="1:1" ht="13.5" customHeight="1">
      <c r="A436" s="32"/>
    </row>
    <row r="437" spans="1:1" ht="13.5" customHeight="1">
      <c r="A437" s="32"/>
    </row>
    <row r="438" spans="1:1" ht="13.5" customHeight="1">
      <c r="A438" s="32"/>
    </row>
    <row r="439" spans="1:1" ht="13.5" customHeight="1">
      <c r="A439" s="32"/>
    </row>
    <row r="440" spans="1:1" ht="13.5" customHeight="1">
      <c r="A440" s="32"/>
    </row>
    <row r="441" spans="1:1" ht="13.5" customHeight="1">
      <c r="A441" s="32"/>
    </row>
    <row r="442" spans="1:1" ht="13.5" customHeight="1">
      <c r="A442" s="32"/>
    </row>
    <row r="443" spans="1:1" ht="13.5" customHeight="1">
      <c r="A443" s="32"/>
    </row>
    <row r="444" spans="1:1" ht="13.5" customHeight="1">
      <c r="A444" s="32"/>
    </row>
    <row r="445" spans="1:1" ht="13.5" customHeight="1">
      <c r="A445" s="32"/>
    </row>
    <row r="446" spans="1:1" ht="13.5" customHeight="1">
      <c r="A446" s="32"/>
    </row>
    <row r="447" spans="1:1" ht="13.5" customHeight="1">
      <c r="A447" s="32"/>
    </row>
    <row r="448" spans="1:1" ht="13.5" customHeight="1">
      <c r="A448" s="32"/>
    </row>
    <row r="449" spans="1:1" ht="13.5" customHeight="1">
      <c r="A449" s="32"/>
    </row>
    <row r="450" spans="1:1" ht="13.5" customHeight="1">
      <c r="A450" s="32"/>
    </row>
    <row r="451" spans="1:1" ht="13.5" customHeight="1">
      <c r="A451" s="32"/>
    </row>
    <row r="452" spans="1:1" ht="13.5" customHeight="1">
      <c r="A452" s="32"/>
    </row>
    <row r="453" spans="1:1" ht="13.5" customHeight="1">
      <c r="A453" s="32"/>
    </row>
    <row r="454" spans="1:1" ht="13.5" customHeight="1">
      <c r="A454" s="32"/>
    </row>
    <row r="455" spans="1:1" ht="13.5" customHeight="1">
      <c r="A455" s="32"/>
    </row>
    <row r="456" spans="1:1" ht="13.5" customHeight="1">
      <c r="A456" s="32"/>
    </row>
    <row r="457" spans="1:1" ht="13.5" customHeight="1">
      <c r="A457" s="32"/>
    </row>
    <row r="458" spans="1:1" ht="13.5" customHeight="1">
      <c r="A458" s="32"/>
    </row>
    <row r="459" spans="1:1" ht="13.5" customHeight="1">
      <c r="A459" s="32"/>
    </row>
    <row r="460" spans="1:1" ht="13.5" customHeight="1">
      <c r="A460" s="32"/>
    </row>
    <row r="461" spans="1:1" ht="13.5" customHeight="1">
      <c r="A461" s="32"/>
    </row>
    <row r="462" spans="1:1" ht="13.5" customHeight="1">
      <c r="A462" s="32"/>
    </row>
    <row r="463" spans="1:1" ht="13.5" customHeight="1">
      <c r="A463" s="32"/>
    </row>
    <row r="464" spans="1:1" ht="13.5" customHeight="1">
      <c r="A464" s="32"/>
    </row>
    <row r="465" spans="1:1" ht="13.5" customHeight="1">
      <c r="A465" s="32"/>
    </row>
    <row r="466" spans="1:1" ht="13.5" customHeight="1">
      <c r="A466" s="32"/>
    </row>
    <row r="467" spans="1:1" ht="13.5" customHeight="1">
      <c r="A467" s="32"/>
    </row>
    <row r="468" spans="1:1" ht="13.5" customHeight="1">
      <c r="A468" s="32"/>
    </row>
    <row r="469" spans="1:1" ht="13.5" customHeight="1">
      <c r="A469" s="32"/>
    </row>
    <row r="470" spans="1:1" ht="13.5" customHeight="1">
      <c r="A470" s="32"/>
    </row>
    <row r="471" spans="1:1" ht="13.5" customHeight="1">
      <c r="A471" s="32"/>
    </row>
    <row r="472" spans="1:1" ht="13.5" customHeight="1">
      <c r="A472" s="32"/>
    </row>
    <row r="473" spans="1:1" ht="13.5" customHeight="1">
      <c r="A473" s="32"/>
    </row>
    <row r="474" spans="1:1" ht="13.5" customHeight="1">
      <c r="A474" s="32"/>
    </row>
    <row r="475" spans="1:1" ht="13.5" customHeight="1">
      <c r="A475" s="32"/>
    </row>
    <row r="476" spans="1:1" ht="13.5" customHeight="1">
      <c r="A476" s="32"/>
    </row>
    <row r="477" spans="1:1" ht="13.5" customHeight="1">
      <c r="A477" s="32"/>
    </row>
    <row r="478" spans="1:1" ht="13.5" customHeight="1">
      <c r="A478" s="32"/>
    </row>
    <row r="479" spans="1:1" ht="13.5" customHeight="1">
      <c r="A479" s="32"/>
    </row>
    <row r="480" spans="1:1" ht="13.5" customHeight="1">
      <c r="A480" s="32"/>
    </row>
    <row r="481" spans="1:1" ht="13.5" customHeight="1">
      <c r="A481" s="32"/>
    </row>
    <row r="482" spans="1:1" ht="13.5" customHeight="1">
      <c r="A482" s="32"/>
    </row>
    <row r="483" spans="1:1" ht="13.5" customHeight="1">
      <c r="A483" s="32"/>
    </row>
    <row r="484" spans="1:1" ht="13.5" customHeight="1">
      <c r="A484" s="32"/>
    </row>
    <row r="485" spans="1:1" ht="13.5" customHeight="1">
      <c r="A485" s="32"/>
    </row>
    <row r="486" spans="1:1" ht="13.5" customHeight="1">
      <c r="A486" s="32"/>
    </row>
    <row r="487" spans="1:1" ht="13.5" customHeight="1">
      <c r="A487" s="32"/>
    </row>
    <row r="488" spans="1:1" ht="13.5" customHeight="1">
      <c r="A488" s="32"/>
    </row>
    <row r="489" spans="1:1" ht="13.5" customHeight="1">
      <c r="A489" s="32"/>
    </row>
    <row r="490" spans="1:1" ht="13.5" customHeight="1">
      <c r="A490" s="32"/>
    </row>
    <row r="491" spans="1:1" ht="13.5" customHeight="1">
      <c r="A491" s="32"/>
    </row>
    <row r="492" spans="1:1" ht="13.5" customHeight="1">
      <c r="A492" s="32"/>
    </row>
    <row r="493" spans="1:1" ht="13.5" customHeight="1">
      <c r="A493" s="32"/>
    </row>
    <row r="494" spans="1:1" ht="13.5" customHeight="1">
      <c r="A494" s="32"/>
    </row>
    <row r="495" spans="1:1" ht="13.5" customHeight="1">
      <c r="A495" s="32"/>
    </row>
    <row r="496" spans="1:1" ht="13.5" customHeight="1">
      <c r="A496" s="32"/>
    </row>
    <row r="497" spans="1:1" ht="13.5" customHeight="1">
      <c r="A497" s="32"/>
    </row>
    <row r="498" spans="1:1" ht="13.5" customHeight="1">
      <c r="A498" s="32"/>
    </row>
    <row r="499" spans="1:1" ht="13.5" customHeight="1">
      <c r="A499" s="32"/>
    </row>
    <row r="500" spans="1:1" ht="13.5" customHeight="1">
      <c r="A500" s="32"/>
    </row>
    <row r="501" spans="1:1" ht="13.5" customHeight="1">
      <c r="A501" s="32"/>
    </row>
    <row r="502" spans="1:1" ht="13.5" customHeight="1">
      <c r="A502" s="32"/>
    </row>
    <row r="503" spans="1:1" ht="13.5" customHeight="1">
      <c r="A503" s="32"/>
    </row>
    <row r="504" spans="1:1" ht="13.5" customHeight="1">
      <c r="A504" s="32"/>
    </row>
    <row r="505" spans="1:1" ht="13.5" customHeight="1">
      <c r="A505" s="32"/>
    </row>
    <row r="506" spans="1:1" ht="13.5" customHeight="1">
      <c r="A506" s="32"/>
    </row>
    <row r="507" spans="1:1" ht="13.5" customHeight="1">
      <c r="A507" s="32"/>
    </row>
    <row r="508" spans="1:1" ht="13.5" customHeight="1">
      <c r="A508" s="32"/>
    </row>
    <row r="509" spans="1:1" ht="13.5" customHeight="1">
      <c r="A509" s="32"/>
    </row>
    <row r="510" spans="1:1" ht="13.5" customHeight="1">
      <c r="A510" s="32"/>
    </row>
    <row r="511" spans="1:1" ht="13.5" customHeight="1">
      <c r="A511" s="32"/>
    </row>
    <row r="512" spans="1:1" ht="13.5" customHeight="1">
      <c r="A512" s="32"/>
    </row>
    <row r="513" spans="1:1" ht="13.5" customHeight="1">
      <c r="A513" s="32"/>
    </row>
    <row r="514" spans="1:1" ht="13.5" customHeight="1">
      <c r="A514" s="32"/>
    </row>
    <row r="515" spans="1:1" ht="13.5" customHeight="1">
      <c r="A515" s="32"/>
    </row>
    <row r="516" spans="1:1" ht="13.5" customHeight="1">
      <c r="A516" s="32"/>
    </row>
    <row r="517" spans="1:1" ht="13.5" customHeight="1">
      <c r="A517" s="32"/>
    </row>
    <row r="518" spans="1:1" ht="13.5" customHeight="1">
      <c r="A518" s="32"/>
    </row>
    <row r="519" spans="1:1" ht="13.5" customHeight="1">
      <c r="A519" s="32"/>
    </row>
    <row r="520" spans="1:1" ht="13.5" customHeight="1">
      <c r="A520" s="32"/>
    </row>
    <row r="521" spans="1:1" ht="13.5" customHeight="1">
      <c r="A521" s="32"/>
    </row>
    <row r="522" spans="1:1" ht="13.5" customHeight="1">
      <c r="A522" s="32"/>
    </row>
    <row r="523" spans="1:1" ht="13.5" customHeight="1">
      <c r="A523" s="32"/>
    </row>
    <row r="524" spans="1:1" ht="13.5" customHeight="1">
      <c r="A524" s="32"/>
    </row>
    <row r="525" spans="1:1" ht="13.5" customHeight="1">
      <c r="A525" s="32"/>
    </row>
    <row r="526" spans="1:1" ht="13.5" customHeight="1">
      <c r="A526" s="32"/>
    </row>
    <row r="527" spans="1:1" ht="13.5" customHeight="1">
      <c r="A527" s="32"/>
    </row>
    <row r="528" spans="1:1" ht="13.5" customHeight="1">
      <c r="A528" s="32"/>
    </row>
    <row r="529" spans="1:1" ht="13.5" customHeight="1">
      <c r="A529" s="32"/>
    </row>
    <row r="530" spans="1:1" ht="13.5" customHeight="1">
      <c r="A530" s="32"/>
    </row>
    <row r="531" spans="1:1" ht="13.5" customHeight="1">
      <c r="A531" s="32"/>
    </row>
    <row r="532" spans="1:1" ht="13.5" customHeight="1">
      <c r="A532" s="32"/>
    </row>
    <row r="533" spans="1:1" ht="13.5" customHeight="1">
      <c r="A533" s="32"/>
    </row>
    <row r="534" spans="1:1" ht="13.5" customHeight="1">
      <c r="A534" s="32"/>
    </row>
    <row r="535" spans="1:1" ht="13.5" customHeight="1">
      <c r="A535" s="32"/>
    </row>
    <row r="536" spans="1:1" ht="13.5" customHeight="1">
      <c r="A536" s="32"/>
    </row>
    <row r="537" spans="1:1" ht="13.5" customHeight="1">
      <c r="A537" s="32"/>
    </row>
    <row r="538" spans="1:1" ht="13.5" customHeight="1">
      <c r="A538" s="32"/>
    </row>
    <row r="539" spans="1:1" ht="13.5" customHeight="1">
      <c r="A539" s="32"/>
    </row>
    <row r="540" spans="1:1" ht="13.5" customHeight="1">
      <c r="A540" s="32"/>
    </row>
    <row r="541" spans="1:1" ht="13.5" customHeight="1">
      <c r="A541" s="32"/>
    </row>
    <row r="542" spans="1:1" ht="13.5" customHeight="1">
      <c r="A542" s="32"/>
    </row>
    <row r="543" spans="1:1" ht="13.5" customHeight="1">
      <c r="A543" s="32"/>
    </row>
    <row r="544" spans="1:1" ht="13.5" customHeight="1">
      <c r="A544" s="32"/>
    </row>
    <row r="545" spans="1:1" ht="13.5" customHeight="1">
      <c r="A545" s="32"/>
    </row>
    <row r="546" spans="1:1" ht="13.5" customHeight="1">
      <c r="A546" s="32"/>
    </row>
    <row r="547" spans="1:1" ht="13.5" customHeight="1">
      <c r="A547" s="32"/>
    </row>
    <row r="548" spans="1:1" ht="13.5" customHeight="1">
      <c r="A548" s="32"/>
    </row>
    <row r="549" spans="1:1" ht="13.5" customHeight="1">
      <c r="A549" s="32"/>
    </row>
    <row r="550" spans="1:1" ht="13.5" customHeight="1">
      <c r="A550" s="32"/>
    </row>
    <row r="551" spans="1:1" ht="13.5" customHeight="1">
      <c r="A551" s="32"/>
    </row>
    <row r="552" spans="1:1" ht="13.5" customHeight="1">
      <c r="A552" s="32"/>
    </row>
    <row r="553" spans="1:1" ht="13.5" customHeight="1">
      <c r="A553" s="32"/>
    </row>
    <row r="554" spans="1:1" ht="13.5" customHeight="1">
      <c r="A554" s="32"/>
    </row>
    <row r="555" spans="1:1" ht="13.5" customHeight="1">
      <c r="A555" s="32"/>
    </row>
    <row r="556" spans="1:1" ht="13.5" customHeight="1">
      <c r="A556" s="32"/>
    </row>
    <row r="557" spans="1:1" ht="13.5" customHeight="1">
      <c r="A557" s="32"/>
    </row>
    <row r="558" spans="1:1" ht="13.5" customHeight="1">
      <c r="A558" s="32"/>
    </row>
    <row r="559" spans="1:1" ht="13.5" customHeight="1">
      <c r="A559" s="32"/>
    </row>
    <row r="560" spans="1:1" ht="13.5" customHeight="1">
      <c r="A560" s="32"/>
    </row>
    <row r="561" spans="1:1" ht="13.5" customHeight="1">
      <c r="A561" s="32"/>
    </row>
    <row r="562" spans="1:1" ht="13.5" customHeight="1">
      <c r="A562" s="32"/>
    </row>
    <row r="563" spans="1:1" ht="13.5" customHeight="1">
      <c r="A563" s="32"/>
    </row>
    <row r="564" spans="1:1" ht="13.5" customHeight="1">
      <c r="A564" s="32"/>
    </row>
    <row r="565" spans="1:1" ht="13.5" customHeight="1">
      <c r="A565" s="32"/>
    </row>
    <row r="566" spans="1:1" ht="13.5" customHeight="1">
      <c r="A566" s="32"/>
    </row>
    <row r="567" spans="1:1" ht="13.5" customHeight="1">
      <c r="A567" s="32"/>
    </row>
    <row r="568" spans="1:1" ht="13.5" customHeight="1">
      <c r="A568" s="32"/>
    </row>
    <row r="569" spans="1:1" ht="13.5" customHeight="1">
      <c r="A569" s="32"/>
    </row>
    <row r="570" spans="1:1" ht="13.5" customHeight="1">
      <c r="A570" s="32"/>
    </row>
    <row r="571" spans="1:1" ht="13.5" customHeight="1">
      <c r="A571" s="32"/>
    </row>
    <row r="572" spans="1:1" ht="13.5" customHeight="1">
      <c r="A572" s="32"/>
    </row>
    <row r="573" spans="1:1" ht="13.5" customHeight="1">
      <c r="A573" s="32"/>
    </row>
    <row r="574" spans="1:1" ht="13.5" customHeight="1">
      <c r="A574" s="32"/>
    </row>
    <row r="575" spans="1:1" ht="13.5" customHeight="1">
      <c r="A575" s="32"/>
    </row>
    <row r="576" spans="1:1" ht="13.5" customHeight="1">
      <c r="A576" s="32"/>
    </row>
    <row r="577" spans="1:1" ht="13.5" customHeight="1">
      <c r="A577" s="32"/>
    </row>
    <row r="578" spans="1:1" ht="13.5" customHeight="1">
      <c r="A578" s="32"/>
    </row>
    <row r="579" spans="1:1" ht="13.5" customHeight="1">
      <c r="A579" s="32"/>
    </row>
    <row r="580" spans="1:1" ht="13.5" customHeight="1">
      <c r="A580" s="32"/>
    </row>
    <row r="581" spans="1:1" ht="13.5" customHeight="1">
      <c r="A581" s="32"/>
    </row>
    <row r="582" spans="1:1" ht="13.5" customHeight="1">
      <c r="A582" s="32"/>
    </row>
    <row r="583" spans="1:1" ht="13.5" customHeight="1">
      <c r="A583" s="32"/>
    </row>
    <row r="584" spans="1:1" ht="13.5" customHeight="1">
      <c r="A584" s="32"/>
    </row>
    <row r="585" spans="1:1" ht="13.5" customHeight="1">
      <c r="A585" s="32"/>
    </row>
    <row r="586" spans="1:1" ht="13.5" customHeight="1">
      <c r="A586" s="32"/>
    </row>
    <row r="587" spans="1:1" ht="13.5" customHeight="1">
      <c r="A587" s="32"/>
    </row>
    <row r="588" spans="1:1" ht="13.5" customHeight="1">
      <c r="A588" s="32"/>
    </row>
    <row r="589" spans="1:1" ht="13.5" customHeight="1">
      <c r="A589" s="32"/>
    </row>
    <row r="590" spans="1:1" ht="13.5" customHeight="1">
      <c r="A590" s="32"/>
    </row>
    <row r="591" spans="1:1" ht="13.5" customHeight="1">
      <c r="A591" s="32"/>
    </row>
    <row r="592" spans="1:1" ht="13.5" customHeight="1">
      <c r="A592" s="32"/>
    </row>
    <row r="593" spans="1:1" ht="13.5" customHeight="1">
      <c r="A593" s="32"/>
    </row>
    <row r="594" spans="1:1" ht="13.5" customHeight="1">
      <c r="A594" s="32"/>
    </row>
    <row r="595" spans="1:1" ht="13.5" customHeight="1">
      <c r="A595" s="32"/>
    </row>
    <row r="596" spans="1:1" ht="13.5" customHeight="1">
      <c r="A596" s="32"/>
    </row>
    <row r="597" spans="1:1" ht="13.5" customHeight="1">
      <c r="A597" s="32"/>
    </row>
    <row r="598" spans="1:1" ht="13.5" customHeight="1">
      <c r="A598" s="32"/>
    </row>
    <row r="599" spans="1:1" ht="13.5" customHeight="1">
      <c r="A599" s="32"/>
    </row>
    <row r="600" spans="1:1" ht="13.5" customHeight="1">
      <c r="A600" s="32"/>
    </row>
    <row r="601" spans="1:1" ht="13.5" customHeight="1">
      <c r="A601" s="32"/>
    </row>
    <row r="602" spans="1:1" ht="13.5" customHeight="1">
      <c r="A602" s="32"/>
    </row>
    <row r="603" spans="1:1" ht="13.5" customHeight="1">
      <c r="A603" s="32"/>
    </row>
    <row r="604" spans="1:1" ht="13.5" customHeight="1">
      <c r="A604" s="32"/>
    </row>
    <row r="605" spans="1:1" ht="13.5" customHeight="1">
      <c r="A605" s="32"/>
    </row>
    <row r="606" spans="1:1" ht="13.5" customHeight="1">
      <c r="A606" s="32"/>
    </row>
    <row r="607" spans="1:1" ht="13.5" customHeight="1">
      <c r="A607" s="32"/>
    </row>
    <row r="608" spans="1:1" ht="13.5" customHeight="1">
      <c r="A608" s="32"/>
    </row>
    <row r="609" spans="1:1" ht="13.5" customHeight="1">
      <c r="A609" s="32"/>
    </row>
    <row r="610" spans="1:1" ht="13.5" customHeight="1">
      <c r="A610" s="32"/>
    </row>
    <row r="611" spans="1:1" ht="13.5" customHeight="1">
      <c r="A611" s="32"/>
    </row>
    <row r="612" spans="1:1" ht="13.5" customHeight="1">
      <c r="A612" s="32"/>
    </row>
    <row r="613" spans="1:1" ht="13.5" customHeight="1">
      <c r="A613" s="32"/>
    </row>
    <row r="614" spans="1:1" ht="13.5" customHeight="1">
      <c r="A614" s="32"/>
    </row>
    <row r="615" spans="1:1" ht="13.5" customHeight="1">
      <c r="A615" s="32"/>
    </row>
    <row r="616" spans="1:1" ht="13.5" customHeight="1">
      <c r="A616" s="32"/>
    </row>
    <row r="617" spans="1:1" ht="13.5" customHeight="1">
      <c r="A617" s="32"/>
    </row>
    <row r="618" spans="1:1" ht="13.5" customHeight="1">
      <c r="A618" s="32"/>
    </row>
    <row r="619" spans="1:1" ht="13.5" customHeight="1">
      <c r="A619" s="32"/>
    </row>
    <row r="620" spans="1:1" ht="13.5" customHeight="1">
      <c r="A620" s="32"/>
    </row>
    <row r="621" spans="1:1" ht="13.5" customHeight="1">
      <c r="A621" s="32"/>
    </row>
    <row r="622" spans="1:1" ht="13.5" customHeight="1">
      <c r="A622" s="32"/>
    </row>
    <row r="623" spans="1:1" ht="13.5" customHeight="1">
      <c r="A623" s="32"/>
    </row>
    <row r="624" spans="1:1" ht="13.5" customHeight="1">
      <c r="A624" s="32"/>
    </row>
    <row r="625" spans="1:1" ht="13.5" customHeight="1">
      <c r="A625" s="32"/>
    </row>
    <row r="626" spans="1:1" ht="13.5" customHeight="1">
      <c r="A626" s="32"/>
    </row>
    <row r="627" spans="1:1" ht="13.5" customHeight="1">
      <c r="A627" s="32"/>
    </row>
    <row r="628" spans="1:1" ht="13.5" customHeight="1">
      <c r="A628" s="32"/>
    </row>
    <row r="629" spans="1:1" ht="13.5" customHeight="1">
      <c r="A629" s="32"/>
    </row>
    <row r="630" spans="1:1" ht="13.5" customHeight="1">
      <c r="A630" s="32"/>
    </row>
    <row r="631" spans="1:1" ht="13.5" customHeight="1">
      <c r="A631" s="32"/>
    </row>
    <row r="632" spans="1:1" ht="13.5" customHeight="1">
      <c r="A632" s="32"/>
    </row>
    <row r="633" spans="1:1" ht="13.5" customHeight="1">
      <c r="A633" s="32"/>
    </row>
    <row r="634" spans="1:1" ht="13.5" customHeight="1">
      <c r="A634" s="32"/>
    </row>
    <row r="635" spans="1:1" ht="13.5" customHeight="1">
      <c r="A635" s="32"/>
    </row>
    <row r="636" spans="1:1" ht="13.5" customHeight="1">
      <c r="A636" s="32"/>
    </row>
    <row r="637" spans="1:1" ht="13.5" customHeight="1">
      <c r="A637" s="32"/>
    </row>
    <row r="638" spans="1:1" ht="13.5" customHeight="1">
      <c r="A638" s="32"/>
    </row>
    <row r="639" spans="1:1" ht="13.5" customHeight="1">
      <c r="A639" s="32"/>
    </row>
    <row r="640" spans="1:1" ht="13.5" customHeight="1">
      <c r="A640" s="32"/>
    </row>
    <row r="641" spans="1:24" ht="13.5" customHeight="1">
      <c r="A641" s="32"/>
    </row>
    <row r="642" spans="1:24" ht="13.5" customHeight="1">
      <c r="A642" s="32"/>
    </row>
    <row r="643" spans="1:24" ht="13.5" customHeight="1">
      <c r="A643" s="32"/>
    </row>
    <row r="644" spans="1:24" ht="13.5" customHeight="1">
      <c r="A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/>
      <c r="W644" s="32"/>
      <c r="X644" s="32"/>
    </row>
    <row r="646" spans="1:24">
      <c r="B646" s="31" t="b">
        <f t="shared" ref="B646" ca="1" si="2">IF(INDEX(_WEW_IsUserValidationEntered,COLUMN(B$1)),NOT(OFFSET(B3,0,1)&lt;&gt;0),FALSE)</f>
        <v>0</v>
      </c>
      <c r="C646" s="31" t="e">
        <f ca="1">IF(INDEX(_WEW_IsUserValidationEntered,COLUMN(#REF!)),NOT(OFFSET(#REF!,0,1)&lt;&gt;0),FALSE)</f>
        <v>#REF!</v>
      </c>
      <c r="D646" s="31" t="b">
        <f ca="1">IF(INDEX(_WEW_IsUserValidationEntered,COLUMN(C$1)),NOT(OFFSET(C3,0,1)&lt;&gt;0),FALSE)</f>
        <v>0</v>
      </c>
      <c r="E646" s="31" t="b">
        <f ca="1">IF(INDEX(_WEW_IsUserValidationEntered,COLUMN(D$1)),NOT(OFFSET(D3,0,1)&lt;&gt;0),FALSE)</f>
        <v>0</v>
      </c>
      <c r="F646" s="31" t="b">
        <f ca="1">IF(INDEX(_WEW_IsUserValidationEntered,COLUMN(E$1)),NOT(OFFSET(E3,0,1)&lt;&gt;0),FALSE)</f>
        <v>0</v>
      </c>
      <c r="G646" s="31" t="b">
        <f ca="1">IF(INDEX(_WEW_IsUserValidationEntered,COLUMN(F$1)),NOT(OFFSET(F3,0,1)&lt;&gt;0),FALSE)</f>
        <v>0</v>
      </c>
      <c r="H646" s="31" t="b">
        <f ca="1">IF(INDEX(_WEW_IsUserValidationEntered,COLUMN(G$1)),NOT(OFFSET(G3,0,1)&lt;&gt;0),FALSE)</f>
        <v>0</v>
      </c>
      <c r="I646" s="31" t="b">
        <f t="shared" ref="I646:J646" ca="1" si="3">IF(INDEX(_WEW_IsUserValidationEntered,COLUMN(J$1)),NOT(OFFSET(J3,0,1)&lt;&gt;0),FALSE)</f>
        <v>0</v>
      </c>
      <c r="J646" s="31" t="b">
        <f t="shared" ca="1" si="3"/>
        <v>0</v>
      </c>
      <c r="K646" s="31" t="e">
        <f ca="1">IF(INDEX(_WEW_IsUserValidationEntered,COLUMN(#REF!)),NOT(OFFSET(#REF!,0,1)&lt;&gt;0),FALSE)</f>
        <v>#REF!</v>
      </c>
      <c r="L646" s="31" t="e">
        <f ca="1">IF(INDEX(_WEW_IsUserValidationEntered,COLUMN(#REF!)),NOT(OFFSET(#REF!,0,1)&lt;&gt;0),FALSE)</f>
        <v>#REF!</v>
      </c>
      <c r="M646" s="31" t="e">
        <f ca="1">IF(INDEX(_WEW_IsUserValidationEntered,COLUMN(#REF!)),NOT(OFFSET(#REF!,0,1)&lt;&gt;0),FALSE)</f>
        <v>#REF!</v>
      </c>
      <c r="N646" s="31" t="e">
        <f ca="1">IF(INDEX(_WEW_IsUserValidationEntered,COLUMN(#REF!)),NOT(OFFSET(#REF!,0,1)&lt;&gt;0),FALSE)</f>
        <v>#REF!</v>
      </c>
      <c r="O646" s="31" t="e">
        <f ca="1">IF(INDEX(_WEW_IsUserValidationEntered,COLUMN(#REF!)),NOT(OFFSET(#REF!,0,1)&lt;&gt;0),FALSE)</f>
        <v>#REF!</v>
      </c>
      <c r="P646" s="31" t="e">
        <f ca="1">IF(INDEX(_WEW_IsUserValidationEntered,COLUMN(#REF!)),NOT(OFFSET(#REF!,0,1)&lt;&gt;0),FALSE)</f>
        <v>#REF!</v>
      </c>
      <c r="Q646" s="31" t="e">
        <f ca="1">IF(INDEX(_WEW_IsUserValidationEntered,COLUMN(#REF!)),NOT(OFFSET(#REF!,0,1)),FALSE)</f>
        <v>#REF!</v>
      </c>
    </row>
    <row r="647" spans="1:24">
      <c r="Q647" s="31" t="e">
        <f ca="1">IF(INDEX(_WEW_IsUserValidationEntered,COLUMN(#REF!)),NOT(OFFSET(#REF!,0,1)&lt;&gt;0),FALSE)</f>
        <v>#REF!</v>
      </c>
    </row>
    <row r="648" spans="1:24">
      <c r="Q648" s="31" t="e">
        <f ca="1">IF(INDEX(_WEW_IsUserValidationEntered,COLUMN(#REF!)),NOT(OFFSET(#REF!,0,1)&lt;&gt;0),FALSE)</f>
        <v>#REF!</v>
      </c>
    </row>
    <row r="649" spans="1:24">
      <c r="Q649" s="31" t="e">
        <f ca="1">IF(INDEX(_WEW_IsUserValidationEntered,COLUMN(#REF!)),NOT(OFFSET(#REF!,0,1)&lt;&gt;0),FALSE)</f>
        <v>#REF!</v>
      </c>
    </row>
    <row r="650" spans="1:24">
      <c r="Q650" s="31" t="e">
        <f ca="1">IF(INDEX(_WEW_IsUserValidationEntered,COLUMN(#REF!)),NOT(OFFSET(#REF!,0,1)&lt;&gt;0),FALSE)</f>
        <v>#REF!</v>
      </c>
    </row>
    <row r="651" spans="1:24">
      <c r="Q651" s="31" t="e">
        <f ca="1">IF(INDEX(_WEW_IsUserValidationEntered,COLUMN(#REF!)),NOT(OFFSET(#REF!,0,1)&lt;&gt;0),FALSE)</f>
        <v>#REF!</v>
      </c>
    </row>
    <row r="652" spans="1:24">
      <c r="Q652" s="31" t="e">
        <f ca="1">IF(INDEX(_WEW_IsUserValidationEntered,COLUMN(#REF!)),NOT(OFFSET(#REF!,0,1)&lt;&gt;0),FALSE)</f>
        <v>#REF!</v>
      </c>
    </row>
    <row r="653" spans="1:24">
      <c r="Q653" s="31" t="e">
        <f ca="1">IF(INDEX(_WEW_IsUserValidationEntered,COLUMN(#REF!)),NOT(OFFSET(#REF!,0,1)&lt;&gt;0),FALSE)</f>
        <v>#REF!</v>
      </c>
    </row>
    <row r="654" spans="1:24">
      <c r="Q654" s="31" t="e">
        <f ca="1">IF(INDEX(_WEW_IsUserValidationEntered,COLUMN(#REF!)),NOT(OFFSET(#REF!,0,1)&lt;&gt;0),FALSE)</f>
        <v>#REF!</v>
      </c>
    </row>
    <row r="655" spans="1:24">
      <c r="Q655" s="31" t="e">
        <f ca="1">IF(INDEX(_WEW_IsUserValidationEntered,COLUMN(#REF!)),NOT(OFFSET(#REF!,0,1)&lt;&gt;0),FALSE)</f>
        <v>#REF!</v>
      </c>
    </row>
    <row r="656" spans="1:24">
      <c r="Q656" s="31" t="e">
        <f ca="1">IF(INDEX(_WEW_IsUserValidationEntered,COLUMN(#REF!)),NOT(OFFSET(#REF!,0,1)&lt;&gt;0),FALSE)</f>
        <v>#REF!</v>
      </c>
    </row>
    <row r="657" spans="17:17">
      <c r="Q657" s="31" t="e">
        <f ca="1">IF(INDEX(_WEW_IsUserValidationEntered,COLUMN(#REF!)),NOT(OFFSET(#REF!,0,1)&lt;&gt;0),FALSE)</f>
        <v>#REF!</v>
      </c>
    </row>
    <row r="658" spans="17:17">
      <c r="Q658" s="31" t="e">
        <f ca="1">IF(INDEX(_WEW_IsUserValidationEntered,COLUMN(#REF!)),NOT(OFFSET(#REF!,0,1)&lt;&gt;0),FALSE)</f>
        <v>#REF!</v>
      </c>
    </row>
    <row r="659" spans="17:17">
      <c r="Q659" s="31" t="e">
        <f ca="1">IF(INDEX(_WEW_IsUserValidationEntered,COLUMN(#REF!)),NOT(OFFSET(#REF!,0,1)&lt;&gt;0),FALSE)</f>
        <v>#REF!</v>
      </c>
    </row>
    <row r="660" spans="17:17">
      <c r="Q660" s="31" t="e">
        <f ca="1">IF(INDEX(_WEW_IsUserValidationEntered,COLUMN(#REF!)),NOT(OFFSET(#REF!,0,1)&lt;&gt;0),FALSE)</f>
        <v>#REF!</v>
      </c>
    </row>
    <row r="661" spans="17:17">
      <c r="Q661" s="31" t="e">
        <f ca="1">IF(INDEX(_WEW_IsUserValidationEntered,COLUMN(#REF!)),NOT(OFFSET(#REF!,0,1)&lt;&gt;0),FALSE)</f>
        <v>#REF!</v>
      </c>
    </row>
    <row r="662" spans="17:17">
      <c r="Q662" s="31" t="e">
        <f ca="1">IF(INDEX(_WEW_IsUserValidationEntered,COLUMN(#REF!)),NOT(OFFSET(#REF!,0,1)&lt;&gt;0),FALSE)</f>
        <v>#REF!</v>
      </c>
    </row>
    <row r="663" spans="17:17">
      <c r="Q663" s="31" t="e">
        <f ca="1">IF(INDEX(_WEW_IsUserValidationEntered,COLUMN(#REF!)),NOT(OFFSET(#REF!,0,1)&lt;&gt;0),FALSE)</f>
        <v>#REF!</v>
      </c>
    </row>
    <row r="664" spans="17:17">
      <c r="Q664" s="31" t="e">
        <f ca="1">IF(INDEX(_WEW_IsUserValidationEntered,COLUMN(#REF!)),NOT(OFFSET(#REF!,0,1)&lt;&gt;0),FALSE)</f>
        <v>#REF!</v>
      </c>
    </row>
    <row r="665" spans="17:17">
      <c r="Q665" s="31" t="e">
        <f ca="1">IF(INDEX(_WEW_IsUserValidationEntered,COLUMN(#REF!)),NOT(OFFSET(#REF!,0,1)&lt;&gt;0),FALSE)</f>
        <v>#REF!</v>
      </c>
    </row>
    <row r="666" spans="17:17">
      <c r="Q666" s="31" t="e">
        <f ca="1">IF(INDEX(_WEW_IsUserValidationEntered,COLUMN(#REF!)),NOT(OFFSET(#REF!,0,1)&lt;&gt;0),FALSE)</f>
        <v>#REF!</v>
      </c>
    </row>
    <row r="667" spans="17:17">
      <c r="Q667" s="31" t="e">
        <f ca="1">IF(INDEX(_WEW_IsUserValidationEntered,COLUMN(#REF!)),NOT(OFFSET(#REF!,0,1)&lt;&gt;0),FALSE)</f>
        <v>#REF!</v>
      </c>
    </row>
    <row r="668" spans="17:17">
      <c r="Q668" s="31" t="e">
        <f ca="1">IF(INDEX(_WEW_IsUserValidationEntered,COLUMN(#REF!)),NOT(OFFSET(#REF!,0,1)&lt;&gt;0),FALSE)</f>
        <v>#REF!</v>
      </c>
    </row>
    <row r="669" spans="17:17">
      <c r="Q669" s="31" t="e">
        <f ca="1">IF(INDEX(_WEW_IsUserValidationEntered,COLUMN(#REF!)),NOT(OFFSET(#REF!,0,1)&lt;&gt;0),FALSE)</f>
        <v>#REF!</v>
      </c>
    </row>
    <row r="670" spans="17:17">
      <c r="Q670" s="31" t="e">
        <f ca="1">IF(INDEX(_WEW_IsUserValidationEntered,COLUMN(#REF!)),NOT(OFFSET(#REF!,0,1)&lt;&gt;0),FALSE)</f>
        <v>#REF!</v>
      </c>
    </row>
    <row r="671" spans="17:17">
      <c r="Q671" s="31" t="e">
        <f ca="1">IF(INDEX(_WEW_IsUserValidationEntered,COLUMN(#REF!)),NOT(OFFSET(#REF!,0,1)&lt;&gt;0),FALSE)</f>
        <v>#REF!</v>
      </c>
    </row>
    <row r="672" spans="17:17">
      <c r="Q672" s="31" t="e">
        <f ca="1">IF(INDEX(_WEW_IsUserValidationEntered,COLUMN(#REF!)),NOT(OFFSET(#REF!,0,1)&lt;&gt;0),FALSE)</f>
        <v>#REF!</v>
      </c>
    </row>
    <row r="673" spans="17:17">
      <c r="Q673" s="31" t="e">
        <f ca="1">IF(INDEX(_WEW_IsUserValidationEntered,COLUMN(#REF!)),NOT(OFFSET(#REF!,0,1)&lt;&gt;0),FALSE)</f>
        <v>#REF!</v>
      </c>
    </row>
    <row r="674" spans="17:17">
      <c r="Q674" s="31" t="e">
        <f ca="1">IF(INDEX(_WEW_IsUserValidationEntered,COLUMN(#REF!)),NOT(OFFSET(#REF!,0,1)&lt;&gt;0),FALSE)</f>
        <v>#REF!</v>
      </c>
    </row>
    <row r="675" spans="17:17">
      <c r="Q675" s="31" t="e">
        <f ca="1">IF(INDEX(_WEW_IsUserValidationEntered,COLUMN(#REF!)),NOT(OFFSET(#REF!,0,1)&lt;&gt;0),FALSE)</f>
        <v>#REF!</v>
      </c>
    </row>
    <row r="676" spans="17:17">
      <c r="Q676" s="31" t="e">
        <f ca="1">IF(INDEX(_WEW_IsUserValidationEntered,COLUMN(#REF!)),NOT(OFFSET(#REF!,0,1)&lt;&gt;0),FALSE)</f>
        <v>#REF!</v>
      </c>
    </row>
    <row r="677" spans="17:17">
      <c r="Q677" s="31" t="e">
        <f ca="1">IF(INDEX(_WEW_IsUserValidationEntered,COLUMN(#REF!)),NOT(OFFSET(#REF!,0,1)&lt;&gt;0),FALSE)</f>
        <v>#REF!</v>
      </c>
    </row>
    <row r="678" spans="17:17">
      <c r="Q678" s="31" t="e">
        <f ca="1">IF(INDEX(_WEW_IsUserValidationEntered,COLUMN(#REF!)),NOT(OFFSET(#REF!,0,1)&lt;&gt;0),FALSE)</f>
        <v>#REF!</v>
      </c>
    </row>
    <row r="679" spans="17:17">
      <c r="Q679" s="31" t="e">
        <f ca="1">IF(INDEX(_WEW_IsUserValidationEntered,COLUMN(#REF!)),NOT(OFFSET(#REF!,0,1)&lt;&gt;0),FALSE)</f>
        <v>#REF!</v>
      </c>
    </row>
    <row r="680" spans="17:17">
      <c r="Q680" s="31" t="e">
        <f ca="1">IF(INDEX(_WEW_IsUserValidationEntered,COLUMN(#REF!)),NOT(OFFSET(#REF!,0,1)&lt;&gt;0),FALSE)</f>
        <v>#REF!</v>
      </c>
    </row>
    <row r="681" spans="17:17">
      <c r="Q681" s="31" t="e">
        <f ca="1">IF(INDEX(_WEW_IsUserValidationEntered,COLUMN(#REF!)),NOT(OFFSET(#REF!,0,1)&lt;&gt;0),FALSE)</f>
        <v>#REF!</v>
      </c>
    </row>
    <row r="682" spans="17:17">
      <c r="Q682" s="31" t="e">
        <f ca="1">IF(INDEX(_WEW_IsUserValidationEntered,COLUMN(#REF!)),NOT(OFFSET(#REF!,0,1)&lt;&gt;0),FALSE)</f>
        <v>#REF!</v>
      </c>
    </row>
    <row r="683" spans="17:17">
      <c r="Q683" s="31" t="e">
        <f ca="1">IF(INDEX(_WEW_IsUserValidationEntered,COLUMN(#REF!)),NOT(OFFSET(#REF!,0,1)&lt;&gt;0),FALSE)</f>
        <v>#REF!</v>
      </c>
    </row>
    <row r="684" spans="17:17">
      <c r="Q684" s="31" t="e">
        <f ca="1">IF(INDEX(_WEW_IsUserValidationEntered,COLUMN(#REF!)),NOT(OFFSET(#REF!,0,1)&lt;&gt;0),FALSE)</f>
        <v>#REF!</v>
      </c>
    </row>
    <row r="685" spans="17:17">
      <c r="Q685" s="31" t="e">
        <f ca="1">IF(INDEX(_WEW_IsUserValidationEntered,COLUMN(#REF!)),NOT(OFFSET(#REF!,0,1)&lt;&gt;0),FALSE)</f>
        <v>#REF!</v>
      </c>
    </row>
    <row r="686" spans="17:17">
      <c r="Q686" s="31" t="e">
        <f ca="1">IF(INDEX(_WEW_IsUserValidationEntered,COLUMN(#REF!)),NOT(OFFSET(#REF!,0,1)&lt;&gt;0),FALSE)</f>
        <v>#REF!</v>
      </c>
    </row>
    <row r="687" spans="17:17">
      <c r="Q687" s="31" t="e">
        <f ca="1">IF(INDEX(_WEW_IsUserValidationEntered,COLUMN(#REF!)),NOT(OFFSET(#REF!,0,1)&lt;&gt;0),FALSE)</f>
        <v>#REF!</v>
      </c>
    </row>
    <row r="688" spans="17:17">
      <c r="Q688" s="31" t="e">
        <f ca="1">IF(INDEX(_WEW_IsUserValidationEntered,COLUMN(#REF!)),NOT(OFFSET(#REF!,0,1)&lt;&gt;0),FALSE)</f>
        <v>#REF!</v>
      </c>
    </row>
    <row r="689" spans="17:17">
      <c r="Q689" s="31" t="e">
        <f ca="1">IF(INDEX(_WEW_IsUserValidationEntered,COLUMN(#REF!)),NOT(OFFSET(#REF!,0,1)&lt;&gt;0),FALSE)</f>
        <v>#REF!</v>
      </c>
    </row>
    <row r="690" spans="17:17">
      <c r="Q690" s="31" t="e">
        <f ca="1">IF(INDEX(_WEW_IsUserValidationEntered,COLUMN(#REF!)),NOT(OFFSET(#REF!,0,1)&lt;&gt;0),FALSE)</f>
        <v>#REF!</v>
      </c>
    </row>
    <row r="691" spans="17:17">
      <c r="Q691" s="31" t="e">
        <f ca="1">IF(INDEX(_WEW_IsUserValidationEntered,COLUMN(#REF!)),NOT(OFFSET(#REF!,0,1)&lt;&gt;0),FALSE)</f>
        <v>#REF!</v>
      </c>
    </row>
    <row r="692" spans="17:17">
      <c r="Q692" s="31" t="e">
        <f ca="1">IF(INDEX(_WEW_IsUserValidationEntered,COLUMN(#REF!)),NOT(OFFSET(#REF!,0,1)&lt;&gt;0),FALSE)</f>
        <v>#REF!</v>
      </c>
    </row>
    <row r="693" spans="17:17">
      <c r="Q693" s="31" t="e">
        <f ca="1">IF(INDEX(_WEW_IsUserValidationEntered,COLUMN(#REF!)),NOT(OFFSET(#REF!,0,1)&lt;&gt;0),FALSE)</f>
        <v>#REF!</v>
      </c>
    </row>
    <row r="694" spans="17:17">
      <c r="Q694" s="31" t="e">
        <f ca="1">IF(INDEX(_WEW_IsUserValidationEntered,COLUMN(#REF!)),NOT(OFFSET(#REF!,0,1)&lt;&gt;0),FALSE)</f>
        <v>#REF!</v>
      </c>
    </row>
    <row r="695" spans="17:17">
      <c r="Q695" s="31" t="e">
        <f ca="1">IF(INDEX(_WEW_IsUserValidationEntered,COLUMN(#REF!)),NOT(OFFSET(#REF!,0,1)&lt;&gt;0),FALSE)</f>
        <v>#REF!</v>
      </c>
    </row>
    <row r="696" spans="17:17">
      <c r="Q696" s="31" t="e">
        <f ca="1">IF(INDEX(_WEW_IsUserValidationEntered,COLUMN(#REF!)),NOT(OFFSET(#REF!,0,1)&lt;&gt;0),FALSE)</f>
        <v>#REF!</v>
      </c>
    </row>
    <row r="697" spans="17:17">
      <c r="Q697" s="31" t="e">
        <f ca="1">IF(INDEX(_WEW_IsUserValidationEntered,COLUMN(#REF!)),NOT(OFFSET(#REF!,0,1)&lt;&gt;0),FALSE)</f>
        <v>#REF!</v>
      </c>
    </row>
    <row r="698" spans="17:17">
      <c r="Q698" s="31" t="e">
        <f ca="1">IF(INDEX(_WEW_IsUserValidationEntered,COLUMN(#REF!)),NOT(OFFSET(#REF!,0,1)&lt;&gt;0),FALSE)</f>
        <v>#REF!</v>
      </c>
    </row>
    <row r="699" spans="17:17">
      <c r="Q699" s="31" t="e">
        <f ca="1">IF(INDEX(_WEW_IsUserValidationEntered,COLUMN(#REF!)),NOT(OFFSET(#REF!,0,1)&lt;&gt;0),FALSE)</f>
        <v>#REF!</v>
      </c>
    </row>
    <row r="700" spans="17:17">
      <c r="Q700" s="31" t="e">
        <f ca="1">IF(INDEX(_WEW_IsUserValidationEntered,COLUMN(#REF!)),NOT(OFFSET(#REF!,0,1)&lt;&gt;0),FALSE)</f>
        <v>#REF!</v>
      </c>
    </row>
    <row r="701" spans="17:17">
      <c r="Q701" s="31" t="e">
        <f ca="1">IF(INDEX(_WEW_IsUserValidationEntered,COLUMN(#REF!)),NOT(OFFSET(#REF!,0,1)&lt;&gt;0),FALSE)</f>
        <v>#REF!</v>
      </c>
    </row>
    <row r="702" spans="17:17">
      <c r="Q702" s="31" t="e">
        <f ca="1">IF(INDEX(_WEW_IsUserValidationEntered,COLUMN(#REF!)),NOT(OFFSET(#REF!,0,1)&lt;&gt;0),FALSE)</f>
        <v>#REF!</v>
      </c>
    </row>
    <row r="703" spans="17:17">
      <c r="Q703" s="31" t="e">
        <f ca="1">IF(INDEX(_WEW_IsUserValidationEntered,COLUMN(#REF!)),NOT(OFFSET(#REF!,0,1)&lt;&gt;0),FALSE)</f>
        <v>#REF!</v>
      </c>
    </row>
    <row r="704" spans="17:17">
      <c r="Q704" s="31" t="e">
        <f ca="1">IF(INDEX(_WEW_IsUserValidationEntered,COLUMN(#REF!)),NOT(OFFSET(#REF!,0,1)&lt;&gt;0),FALSE)</f>
        <v>#REF!</v>
      </c>
    </row>
    <row r="705" spans="17:17">
      <c r="Q705" s="31" t="e">
        <f ca="1">IF(INDEX(_WEW_IsUserValidationEntered,COLUMN(#REF!)),NOT(OFFSET(#REF!,0,1)&lt;&gt;0),FALSE)</f>
        <v>#REF!</v>
      </c>
    </row>
    <row r="706" spans="17:17">
      <c r="Q706" s="31" t="e">
        <f ca="1">IF(INDEX(_WEW_IsUserValidationEntered,COLUMN(#REF!)),NOT(OFFSET(#REF!,0,1)&lt;&gt;0),FALSE)</f>
        <v>#REF!</v>
      </c>
    </row>
    <row r="707" spans="17:17">
      <c r="Q707" s="31" t="e">
        <f ca="1">IF(INDEX(_WEW_IsUserValidationEntered,COLUMN(#REF!)),NOT(OFFSET(#REF!,0,1)&lt;&gt;0),FALSE)</f>
        <v>#REF!</v>
      </c>
    </row>
    <row r="708" spans="17:17">
      <c r="Q708" s="31" t="e">
        <f ca="1">IF(INDEX(_WEW_IsUserValidationEntered,COLUMN(#REF!)),NOT(OFFSET(#REF!,0,1)&lt;&gt;0),FALSE)</f>
        <v>#REF!</v>
      </c>
    </row>
    <row r="709" spans="17:17">
      <c r="Q709" s="31" t="e">
        <f ca="1">IF(INDEX(_WEW_IsUserValidationEntered,COLUMN(#REF!)),NOT(OFFSET(#REF!,0,1)&lt;&gt;0),FALSE)</f>
        <v>#REF!</v>
      </c>
    </row>
    <row r="710" spans="17:17">
      <c r="Q710" s="31" t="e">
        <f ca="1">IF(INDEX(_WEW_IsUserValidationEntered,COLUMN(#REF!)),NOT(OFFSET(#REF!,0,1)&lt;&gt;0),FALSE)</f>
        <v>#REF!</v>
      </c>
    </row>
    <row r="711" spans="17:17">
      <c r="Q711" s="31" t="e">
        <f ca="1">IF(INDEX(_WEW_IsUserValidationEntered,COLUMN(#REF!)),NOT(OFFSET(#REF!,0,1)&lt;&gt;0),FALSE)</f>
        <v>#REF!</v>
      </c>
    </row>
    <row r="712" spans="17:17">
      <c r="Q712" s="31" t="e">
        <f ca="1">IF(INDEX(_WEW_IsUserValidationEntered,COLUMN(#REF!)),NOT(OFFSET(#REF!,0,1)&lt;&gt;0),FALSE)</f>
        <v>#REF!</v>
      </c>
    </row>
    <row r="713" spans="17:17">
      <c r="Q713" s="31" t="e">
        <f ca="1">IF(INDEX(_WEW_IsUserValidationEntered,COLUMN(#REF!)),NOT(OFFSET(#REF!,0,1)&lt;&gt;0),FALSE)</f>
        <v>#REF!</v>
      </c>
    </row>
    <row r="714" spans="17:17">
      <c r="Q714" s="31" t="e">
        <f ca="1">IF(INDEX(_WEW_IsUserValidationEntered,COLUMN(#REF!)),NOT(OFFSET(#REF!,0,1)&lt;&gt;0),FALSE)</f>
        <v>#REF!</v>
      </c>
    </row>
    <row r="715" spans="17:17">
      <c r="Q715" s="31" t="e">
        <f ca="1">IF(INDEX(_WEW_IsUserValidationEntered,COLUMN(#REF!)),NOT(OFFSET(#REF!,0,1)&lt;&gt;0),FALSE)</f>
        <v>#REF!</v>
      </c>
    </row>
    <row r="716" spans="17:17">
      <c r="Q716" s="31" t="e">
        <f ca="1">IF(INDEX(_WEW_IsUserValidationEntered,COLUMN(#REF!)),NOT(OFFSET(#REF!,0,1)&lt;&gt;0),FALSE)</f>
        <v>#REF!</v>
      </c>
    </row>
    <row r="717" spans="17:17">
      <c r="Q717" s="31" t="e">
        <f ca="1">IF(INDEX(_WEW_IsUserValidationEntered,COLUMN(#REF!)),NOT(OFFSET(#REF!,0,1)&lt;&gt;0),FALSE)</f>
        <v>#REF!</v>
      </c>
    </row>
    <row r="718" spans="17:17">
      <c r="Q718" s="31" t="e">
        <f ca="1">IF(INDEX(_WEW_IsUserValidationEntered,COLUMN(#REF!)),NOT(OFFSET(#REF!,0,1)&lt;&gt;0),FALSE)</f>
        <v>#REF!</v>
      </c>
    </row>
    <row r="719" spans="17:17">
      <c r="Q719" s="31" t="e">
        <f ca="1">IF(INDEX(_WEW_IsUserValidationEntered,COLUMN(#REF!)),NOT(OFFSET(#REF!,0,1)&lt;&gt;0),FALSE)</f>
        <v>#REF!</v>
      </c>
    </row>
    <row r="720" spans="17:17">
      <c r="Q720" s="31" t="e">
        <f ca="1">IF(INDEX(_WEW_IsUserValidationEntered,COLUMN(#REF!)),NOT(OFFSET(#REF!,0,1)&lt;&gt;0),FALSE)</f>
        <v>#REF!</v>
      </c>
    </row>
    <row r="721" spans="17:17">
      <c r="Q721" s="31" t="e">
        <f ca="1">IF(INDEX(_WEW_IsUserValidationEntered,COLUMN(#REF!)),NOT(OFFSET(#REF!,0,1)&lt;&gt;0),FALSE)</f>
        <v>#REF!</v>
      </c>
    </row>
    <row r="722" spans="17:17">
      <c r="Q722" s="31" t="e">
        <f ca="1">IF(INDEX(_WEW_IsUserValidationEntered,COLUMN(#REF!)),NOT(OFFSET(#REF!,0,1)&lt;&gt;0),FALSE)</f>
        <v>#REF!</v>
      </c>
    </row>
    <row r="723" spans="17:17">
      <c r="Q723" s="31" t="e">
        <f ca="1">IF(INDEX(_WEW_IsUserValidationEntered,COLUMN(#REF!)),NOT(OFFSET(#REF!,0,1)&lt;&gt;0),FALSE)</f>
        <v>#REF!</v>
      </c>
    </row>
    <row r="724" spans="17:17">
      <c r="Q724" s="31" t="e">
        <f ca="1">IF(INDEX(_WEW_IsUserValidationEntered,COLUMN(#REF!)),NOT(OFFSET(#REF!,0,1)&lt;&gt;0),FALSE)</f>
        <v>#REF!</v>
      </c>
    </row>
    <row r="725" spans="17:17">
      <c r="Q725" s="31" t="e">
        <f ca="1">IF(INDEX(_WEW_IsUserValidationEntered,COLUMN(#REF!)),NOT(OFFSET(#REF!,0,1)&lt;&gt;0),FALSE)</f>
        <v>#REF!</v>
      </c>
    </row>
    <row r="726" spans="17:17">
      <c r="Q726" s="31" t="e">
        <f ca="1">IF(INDEX(_WEW_IsUserValidationEntered,COLUMN(#REF!)),NOT(OFFSET(#REF!,0,1)&lt;&gt;0),FALSE)</f>
        <v>#REF!</v>
      </c>
    </row>
    <row r="727" spans="17:17">
      <c r="Q727" s="31" t="e">
        <f ca="1">IF(INDEX(_WEW_IsUserValidationEntered,COLUMN(#REF!)),NOT(OFFSET(#REF!,0,1)&lt;&gt;0),FALSE)</f>
        <v>#REF!</v>
      </c>
    </row>
    <row r="728" spans="17:17">
      <c r="Q728" s="31" t="e">
        <f ca="1">IF(INDEX(_WEW_IsUserValidationEntered,COLUMN(#REF!)),NOT(OFFSET(#REF!,0,1)&lt;&gt;0),FALSE)</f>
        <v>#REF!</v>
      </c>
    </row>
    <row r="729" spans="17:17">
      <c r="Q729" s="31" t="e">
        <f ca="1">IF(INDEX(_WEW_IsUserValidationEntered,COLUMN(#REF!)),NOT(OFFSET(#REF!,0,1)&lt;&gt;0),FALSE)</f>
        <v>#REF!</v>
      </c>
    </row>
    <row r="730" spans="17:17">
      <c r="Q730" s="31" t="e">
        <f ca="1">IF(INDEX(_WEW_IsUserValidationEntered,COLUMN(#REF!)),NOT(OFFSET(#REF!,0,1)&lt;&gt;0),FALSE)</f>
        <v>#REF!</v>
      </c>
    </row>
    <row r="731" spans="17:17">
      <c r="Q731" s="31" t="e">
        <f ca="1">IF(INDEX(_WEW_IsUserValidationEntered,COLUMN(#REF!)),NOT(OFFSET(#REF!,0,1)&lt;&gt;0),FALSE)</f>
        <v>#REF!</v>
      </c>
    </row>
    <row r="732" spans="17:17">
      <c r="Q732" s="31" t="e">
        <f ca="1">IF(INDEX(_WEW_IsUserValidationEntered,COLUMN(#REF!)),NOT(OFFSET(#REF!,0,1)&lt;&gt;0),FALSE)</f>
        <v>#REF!</v>
      </c>
    </row>
    <row r="733" spans="17:17">
      <c r="Q733" s="31" t="e">
        <f ca="1">IF(INDEX(_WEW_IsUserValidationEntered,COLUMN(#REF!)),NOT(OFFSET(#REF!,0,1)&lt;&gt;0),FALSE)</f>
        <v>#REF!</v>
      </c>
    </row>
    <row r="734" spans="17:17">
      <c r="Q734" s="31" t="e">
        <f ca="1">IF(INDEX(_WEW_IsUserValidationEntered,COLUMN(#REF!)),NOT(OFFSET(#REF!,0,1)&lt;&gt;0),FALSE)</f>
        <v>#REF!</v>
      </c>
    </row>
    <row r="735" spans="17:17">
      <c r="Q735" s="31" t="e">
        <f ca="1">IF(INDEX(_WEW_IsUserValidationEntered,COLUMN(#REF!)),NOT(OFFSET(#REF!,0,1)&lt;&gt;0),FALSE)</f>
        <v>#REF!</v>
      </c>
    </row>
    <row r="736" spans="17:17">
      <c r="Q736" s="31" t="e">
        <f ca="1">IF(INDEX(_WEW_IsUserValidationEntered,COLUMN(#REF!)),NOT(OFFSET(#REF!,0,1)&lt;&gt;0),FALSE)</f>
        <v>#REF!</v>
      </c>
    </row>
    <row r="737" spans="17:17">
      <c r="Q737" s="31" t="e">
        <f ca="1">IF(INDEX(_WEW_IsUserValidationEntered,COLUMN(#REF!)),NOT(OFFSET(#REF!,0,1)&lt;&gt;0),FALSE)</f>
        <v>#REF!</v>
      </c>
    </row>
    <row r="738" spans="17:17">
      <c r="Q738" s="31" t="e">
        <f ca="1">IF(INDEX(_WEW_IsUserValidationEntered,COLUMN(#REF!)),NOT(OFFSET(#REF!,0,1)&lt;&gt;0),FALSE)</f>
        <v>#REF!</v>
      </c>
    </row>
    <row r="739" spans="17:17">
      <c r="Q739" s="31" t="e">
        <f ca="1">IF(INDEX(_WEW_IsUserValidationEntered,COLUMN(#REF!)),NOT(OFFSET(#REF!,0,1)&lt;&gt;0),FALSE)</f>
        <v>#REF!</v>
      </c>
    </row>
    <row r="740" spans="17:17">
      <c r="Q740" s="31" t="e">
        <f ca="1">IF(INDEX(_WEW_IsUserValidationEntered,COLUMN(#REF!)),NOT(OFFSET(#REF!,0,1)&lt;&gt;0),FALSE)</f>
        <v>#REF!</v>
      </c>
    </row>
    <row r="741" spans="17:17">
      <c r="Q741" s="31" t="e">
        <f ca="1">IF(INDEX(_WEW_IsUserValidationEntered,COLUMN(#REF!)),NOT(OFFSET(#REF!,0,1)&lt;&gt;0),FALSE)</f>
        <v>#REF!</v>
      </c>
    </row>
    <row r="742" spans="17:17">
      <c r="Q742" s="31" t="e">
        <f ca="1">IF(INDEX(_WEW_IsUserValidationEntered,COLUMN(#REF!)),NOT(OFFSET(#REF!,0,1)&lt;&gt;0),FALSE)</f>
        <v>#REF!</v>
      </c>
    </row>
    <row r="743" spans="17:17">
      <c r="Q743" s="31" t="e">
        <f ca="1">IF(INDEX(_WEW_IsUserValidationEntered,COLUMN(#REF!)),NOT(OFFSET(#REF!,0,1)&lt;&gt;0),FALSE)</f>
        <v>#REF!</v>
      </c>
    </row>
    <row r="744" spans="17:17">
      <c r="Q744" s="31" t="e">
        <f ca="1">IF(INDEX(_WEW_IsUserValidationEntered,COLUMN(#REF!)),NOT(OFFSET(#REF!,0,1)&lt;&gt;0),FALSE)</f>
        <v>#REF!</v>
      </c>
    </row>
    <row r="745" spans="17:17">
      <c r="Q745" s="31" t="e">
        <f ca="1">IF(INDEX(_WEW_IsUserValidationEntered,COLUMN(#REF!)),NOT(OFFSET(#REF!,0,1)&lt;&gt;0),FALSE)</f>
        <v>#REF!</v>
      </c>
    </row>
    <row r="746" spans="17:17">
      <c r="Q746" s="31" t="e">
        <f ca="1">IF(INDEX(_WEW_IsUserValidationEntered,COLUMN(#REF!)),NOT(OFFSET(#REF!,0,1)&lt;&gt;0),FALSE)</f>
        <v>#REF!</v>
      </c>
    </row>
    <row r="747" spans="17:17">
      <c r="Q747" s="31" t="e">
        <f ca="1">IF(INDEX(_WEW_IsUserValidationEntered,COLUMN(#REF!)),NOT(OFFSET(#REF!,0,1)&lt;&gt;0),FALSE)</f>
        <v>#REF!</v>
      </c>
    </row>
    <row r="748" spans="17:17">
      <c r="Q748" s="31" t="e">
        <f ca="1">IF(INDEX(_WEW_IsUserValidationEntered,COLUMN(#REF!)),NOT(OFFSET(#REF!,0,1)&lt;&gt;0),FALSE)</f>
        <v>#REF!</v>
      </c>
    </row>
    <row r="749" spans="17:17">
      <c r="Q749" s="31" t="e">
        <f ca="1">IF(INDEX(_WEW_IsUserValidationEntered,COLUMN(#REF!)),NOT(OFFSET(#REF!,0,1)&lt;&gt;0),FALSE)</f>
        <v>#REF!</v>
      </c>
    </row>
    <row r="750" spans="17:17">
      <c r="Q750" s="31" t="e">
        <f ca="1">IF(INDEX(_WEW_IsUserValidationEntered,COLUMN(#REF!)),NOT(OFFSET(#REF!,0,1)&lt;&gt;0),FALSE)</f>
        <v>#REF!</v>
      </c>
    </row>
    <row r="751" spans="17:17">
      <c r="Q751" s="31" t="e">
        <f ca="1">IF(INDEX(_WEW_IsUserValidationEntered,COLUMN(#REF!)),NOT(OFFSET(#REF!,0,1)&lt;&gt;0),FALSE)</f>
        <v>#REF!</v>
      </c>
    </row>
    <row r="752" spans="17:17">
      <c r="Q752" s="31" t="e">
        <f ca="1">IF(INDEX(_WEW_IsUserValidationEntered,COLUMN(#REF!)),NOT(OFFSET(#REF!,0,1)&lt;&gt;0),FALSE)</f>
        <v>#REF!</v>
      </c>
    </row>
    <row r="753" spans="17:17">
      <c r="Q753" s="31" t="e">
        <f ca="1">IF(INDEX(_WEW_IsUserValidationEntered,COLUMN(#REF!)),NOT(OFFSET(#REF!,0,1)&lt;&gt;0),FALSE)</f>
        <v>#REF!</v>
      </c>
    </row>
    <row r="754" spans="17:17">
      <c r="Q754" s="31" t="e">
        <f ca="1">IF(INDEX(_WEW_IsUserValidationEntered,COLUMN(#REF!)),NOT(OFFSET(#REF!,0,1)&lt;&gt;0),FALSE)</f>
        <v>#REF!</v>
      </c>
    </row>
    <row r="755" spans="17:17">
      <c r="Q755" s="31" t="e">
        <f ca="1">IF(INDEX(_WEW_IsUserValidationEntered,COLUMN(#REF!)),NOT(OFFSET(#REF!,0,1)&lt;&gt;0),FALSE)</f>
        <v>#REF!</v>
      </c>
    </row>
    <row r="756" spans="17:17">
      <c r="Q756" s="31" t="e">
        <f ca="1">IF(INDEX(_WEW_IsUserValidationEntered,COLUMN(#REF!)),NOT(OFFSET(#REF!,0,1)&lt;&gt;0),FALSE)</f>
        <v>#REF!</v>
      </c>
    </row>
    <row r="757" spans="17:17">
      <c r="Q757" s="31" t="e">
        <f ca="1">IF(INDEX(_WEW_IsUserValidationEntered,COLUMN(#REF!)),NOT(OFFSET(#REF!,0,1)&lt;&gt;0),FALSE)</f>
        <v>#REF!</v>
      </c>
    </row>
    <row r="758" spans="17:17">
      <c r="Q758" s="31" t="e">
        <f ca="1">IF(INDEX(_WEW_IsUserValidationEntered,COLUMN(#REF!)),NOT(OFFSET(#REF!,0,1)&lt;&gt;0),FALSE)</f>
        <v>#REF!</v>
      </c>
    </row>
    <row r="759" spans="17:17">
      <c r="Q759" s="31" t="e">
        <f ca="1">IF(INDEX(_WEW_IsUserValidationEntered,COLUMN(#REF!)),NOT(OFFSET(#REF!,0,1)&lt;&gt;0),FALSE)</f>
        <v>#REF!</v>
      </c>
    </row>
    <row r="760" spans="17:17">
      <c r="Q760" s="31" t="e">
        <f ca="1">IF(INDEX(_WEW_IsUserValidationEntered,COLUMN(#REF!)),NOT(OFFSET(#REF!,0,1)&lt;&gt;0),FALSE)</f>
        <v>#REF!</v>
      </c>
    </row>
    <row r="761" spans="17:17">
      <c r="Q761" s="31" t="e">
        <f ca="1">IF(INDEX(_WEW_IsUserValidationEntered,COLUMN(#REF!)),NOT(OFFSET(#REF!,0,1)&lt;&gt;0),FALSE)</f>
        <v>#REF!</v>
      </c>
    </row>
    <row r="762" spans="17:17">
      <c r="Q762" s="31" t="e">
        <f ca="1">IF(INDEX(_WEW_IsUserValidationEntered,COLUMN(#REF!)),NOT(OFFSET(#REF!,0,1)&lt;&gt;0),FALSE)</f>
        <v>#REF!</v>
      </c>
    </row>
    <row r="763" spans="17:17">
      <c r="Q763" s="31" t="e">
        <f ca="1">IF(INDEX(_WEW_IsUserValidationEntered,COLUMN(#REF!)),NOT(OFFSET(#REF!,0,1)&lt;&gt;0),FALSE)</f>
        <v>#REF!</v>
      </c>
    </row>
    <row r="764" spans="17:17">
      <c r="Q764" s="31" t="e">
        <f ca="1">IF(INDEX(_WEW_IsUserValidationEntered,COLUMN(#REF!)),NOT(OFFSET(#REF!,0,1)&lt;&gt;0),FALSE)</f>
        <v>#REF!</v>
      </c>
    </row>
    <row r="765" spans="17:17">
      <c r="Q765" s="31" t="e">
        <f ca="1">IF(INDEX(_WEW_IsUserValidationEntered,COLUMN(#REF!)),NOT(OFFSET(#REF!,0,1)&lt;&gt;0),FALSE)</f>
        <v>#REF!</v>
      </c>
    </row>
    <row r="766" spans="17:17">
      <c r="Q766" s="31" t="e">
        <f ca="1">IF(INDEX(_WEW_IsUserValidationEntered,COLUMN(#REF!)),NOT(OFFSET(#REF!,0,1)&lt;&gt;0),FALSE)</f>
        <v>#REF!</v>
      </c>
    </row>
    <row r="767" spans="17:17">
      <c r="Q767" s="31" t="e">
        <f ca="1">IF(INDEX(_WEW_IsUserValidationEntered,COLUMN(#REF!)),NOT(OFFSET(#REF!,0,1)&lt;&gt;0),FALSE)</f>
        <v>#REF!</v>
      </c>
    </row>
    <row r="768" spans="17:17">
      <c r="Q768" s="31" t="e">
        <f ca="1">IF(INDEX(_WEW_IsUserValidationEntered,COLUMN(#REF!)),NOT(OFFSET(#REF!,0,1)&lt;&gt;0),FALSE)</f>
        <v>#REF!</v>
      </c>
    </row>
    <row r="769" spans="17:17">
      <c r="Q769" s="31" t="e">
        <f ca="1">IF(INDEX(_WEW_IsUserValidationEntered,COLUMN(#REF!)),NOT(OFFSET(#REF!,0,1)&lt;&gt;0),FALSE)</f>
        <v>#REF!</v>
      </c>
    </row>
    <row r="770" spans="17:17">
      <c r="Q770" s="31" t="e">
        <f ca="1">IF(INDEX(_WEW_IsUserValidationEntered,COLUMN(#REF!)),NOT(OFFSET(#REF!,0,1)&lt;&gt;0),FALSE)</f>
        <v>#REF!</v>
      </c>
    </row>
    <row r="771" spans="17:17">
      <c r="Q771" s="31" t="e">
        <f ca="1">IF(INDEX(_WEW_IsUserValidationEntered,COLUMN(#REF!)),NOT(OFFSET(#REF!,0,1)&lt;&gt;0),FALSE)</f>
        <v>#REF!</v>
      </c>
    </row>
    <row r="772" spans="17:17">
      <c r="Q772" s="31" t="e">
        <f ca="1">IF(INDEX(_WEW_IsUserValidationEntered,COLUMN(#REF!)),NOT(OFFSET(#REF!,0,1)&lt;&gt;0),FALSE)</f>
        <v>#REF!</v>
      </c>
    </row>
    <row r="773" spans="17:17">
      <c r="Q773" s="31" t="e">
        <f ca="1">IF(INDEX(_WEW_IsUserValidationEntered,COLUMN(#REF!)),NOT(OFFSET(#REF!,0,1)&lt;&gt;0),FALSE)</f>
        <v>#REF!</v>
      </c>
    </row>
    <row r="774" spans="17:17">
      <c r="Q774" s="31" t="e">
        <f ca="1">IF(INDEX(_WEW_IsUserValidationEntered,COLUMN(#REF!)),NOT(OFFSET(#REF!,0,1)&lt;&gt;0),FALSE)</f>
        <v>#REF!</v>
      </c>
    </row>
    <row r="775" spans="17:17">
      <c r="Q775" s="31" t="e">
        <f ca="1">IF(INDEX(_WEW_IsUserValidationEntered,COLUMN(#REF!)),NOT(OFFSET(#REF!,0,1)&lt;&gt;0),FALSE)</f>
        <v>#REF!</v>
      </c>
    </row>
    <row r="776" spans="17:17">
      <c r="Q776" s="31" t="e">
        <f ca="1">IF(INDEX(_WEW_IsUserValidationEntered,COLUMN(#REF!)),NOT(OFFSET(#REF!,0,1)&lt;&gt;0),FALSE)</f>
        <v>#REF!</v>
      </c>
    </row>
    <row r="777" spans="17:17">
      <c r="Q777" s="31" t="e">
        <f ca="1">IF(INDEX(_WEW_IsUserValidationEntered,COLUMN(#REF!)),NOT(OFFSET(#REF!,0,1)&lt;&gt;0),FALSE)</f>
        <v>#REF!</v>
      </c>
    </row>
    <row r="778" spans="17:17">
      <c r="Q778" s="31" t="e">
        <f ca="1">IF(INDEX(_WEW_IsUserValidationEntered,COLUMN(#REF!)),NOT(OFFSET(#REF!,0,1)&lt;&gt;0),FALSE)</f>
        <v>#REF!</v>
      </c>
    </row>
    <row r="779" spans="17:17">
      <c r="Q779" s="31" t="e">
        <f ca="1">IF(INDEX(_WEW_IsUserValidationEntered,COLUMN(#REF!)),NOT(OFFSET(#REF!,0,1)&lt;&gt;0),FALSE)</f>
        <v>#REF!</v>
      </c>
    </row>
    <row r="780" spans="17:17">
      <c r="Q780" s="31" t="e">
        <f ca="1">IF(INDEX(_WEW_IsUserValidationEntered,COLUMN(#REF!)),NOT(OFFSET(#REF!,0,1)&lt;&gt;0),FALSE)</f>
        <v>#REF!</v>
      </c>
    </row>
    <row r="781" spans="17:17">
      <c r="Q781" s="31" t="e">
        <f ca="1">IF(INDEX(_WEW_IsUserValidationEntered,COLUMN(#REF!)),NOT(OFFSET(#REF!,0,1)&lt;&gt;0),FALSE)</f>
        <v>#REF!</v>
      </c>
    </row>
    <row r="782" spans="17:17">
      <c r="Q782" s="31" t="e">
        <f ca="1">IF(INDEX(_WEW_IsUserValidationEntered,COLUMN(#REF!)),NOT(OFFSET(#REF!,0,1)&lt;&gt;0),FALSE)</f>
        <v>#REF!</v>
      </c>
    </row>
    <row r="783" spans="17:17">
      <c r="Q783" s="31" t="e">
        <f ca="1">IF(INDEX(_WEW_IsUserValidationEntered,COLUMN(#REF!)),NOT(OFFSET(#REF!,0,1)&lt;&gt;0),FALSE)</f>
        <v>#REF!</v>
      </c>
    </row>
  </sheetData>
  <sheetProtection insertColumns="0" insertRows="0" deleteColumns="0" deleteRows="0"/>
  <protectedRanges>
    <protectedRange sqref="A1:XFD1048576" name="Dane"/>
  </protectedRanges>
  <customSheetViews>
    <customSheetView guid="{B0700225-2463-44C9-9C4E-A79FCDA233AE}" scale="55">
      <pane xSplit="1" ySplit="2" topLeftCell="B3" activePane="bottomRight" state="frozenSplit"/>
      <selection pane="bottomRight" activeCell="A3" sqref="A3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 scale="70">
      <pane xSplit="1" ySplit="2" topLeftCell="B3" activePane="bottomRight" state="frozenSplit"/>
      <selection pane="bottomRight" activeCell="B1" sqref="B1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B3:R644 S3:Z12">
    <cfRule type="expression" dxfId="69" priority="1" stopIfTrue="1">
      <formula>(ROW(B3)-2&gt;CaseCnt)+(COLUMN(B3)&gt;VariableCount)+($A3="")+IF(B$2="",TRUE,MID(B$2,1,1)=".")</formula>
    </cfRule>
    <cfRule type="expression" dxfId="68" priority="2" stopIfTrue="1">
      <formula>IF(ISNUMBER(B3),AND(INDEX(_Wew_ForceDiscrete,COLUMN(B$1)),B3&lt;&gt;INT(B3)),FALSE)</formula>
    </cfRule>
    <cfRule type="expression" dxfId="67" priority="3" stopIfTrue="1">
      <formula>IF(ISNUMBER(B3),AND(INDEX(_WEW_Typ_Niecalk,COLUMN(B$1)),B3&lt;&gt;INT(B3)),FALSE)</formula>
    </cfRule>
    <cfRule type="expression" dxfId="66" priority="4">
      <formula>(B3="")*INDEX(_WEW_Required,COLUMN(B$1))</formula>
    </cfRule>
    <cfRule type="expression" dxfId="65" priority="5">
      <formula>(B3="")*NOT(INDEX(_WEW_Required,COLUMN(B$1)))</formula>
    </cfRule>
    <cfRule type="expression" dxfId="64" priority="8" stopIfTrue="1">
      <formula>IF(AND(NOT(ISNUMBER(B3)),NOT(INDEX(_WEW_Required,COLUMN(B$1)))),NOT(ISERROR(MATCH(B3,INDIRECT(INDEX(_WEW_valuelabels,COLUMN(B$1))),0))))</formula>
    </cfRule>
    <cfRule type="expression" dxfId="63" priority="10" stopIfTrue="1">
      <formula>IF(AND(NOT(ISNUMBER(B3)),INDEX(_WEW_Required,COLUMN(B$1))),NOT(ISERROR(MATCH(B3,INDIRECT(INDEX(_WEW_valuelabels,COLUMN(B$1))),0))))</formula>
    </cfRule>
    <cfRule type="expression" dxfId="62" priority="11">
      <formula>IF(INDEX(_WEW_IsUserValidationEntered,COLUMN(B$1)),NOT(OFFSET(B3,0,1)),FALSE)</formula>
    </cfRule>
    <cfRule type="expression" dxfId="61" priority="12">
      <formula>IF(INDEX(_WEW_IsUserValidationEntered2,COLUMN(B$1)),NOT(OFFSET(B3,0,2)),FALSE)</formula>
    </cfRule>
    <cfRule type="expression" dxfId="60" priority="18" stopIfTrue="1">
      <formula>NOT(ISNUMBER(B3))*(B3&lt;&gt;"")*(INDEX(_WEW_IntendedVariableClass,COLUMN(B$1))&lt;&gt;"S")</formula>
    </cfRule>
    <cfRule type="expression" dxfId="59" priority="23">
      <formula>(B3="NA")</formula>
    </cfRule>
    <cfRule type="expression" dxfId="58" priority="24">
      <formula>ISERROR(B3)</formula>
    </cfRule>
    <cfRule type="expression" dxfId="57" priority="25" stopIfTrue="1">
      <formula>ISNUMBER(B3)*ISERROR(MATCH(B3,INDIRECT(INDEX(_WEW_valuelabels,COLUMN(B$1))),0))*(INDEX(_WEW_ForceLabels,COLUMN(B$1)))</formula>
    </cfRule>
    <cfRule type="expression" dxfId="56" priority="26" stopIfTrue="1">
      <formula>IF(AND(ISNUMBER(B3),INDEX(_Wew_ForceMax,COLUMN(B$1))&lt;&gt;""), B3&gt;INDEX(_Wew_ForceMax,COLUMN(B$1)))</formula>
    </cfRule>
    <cfRule type="expression" dxfId="55" priority="27">
      <formula>IF(AND(INDEX(_Wew_ForceMin,COLUMN(B$1))&lt;&gt;"",ISNUMBER(B3)), B3&lt;INDEX(_Wew_ForceMin,COLUMN(B$1)))</formula>
    </cfRule>
    <cfRule type="expression" dxfId="54" priority="28">
      <formula>(B3=INDEX(_WEW_Max,COLUMN(B$1)))</formula>
    </cfRule>
    <cfRule type="expression" dxfId="53" priority="30">
      <formula>(B3=INDEX(_WEW_Min,COLUMN(B$1)))</formula>
    </cfRule>
    <cfRule type="expression" dxfId="52" priority="31">
      <formula>IF(AND(ISNUMBER(B3),INDEX(_WEW_LabelCount,COLUMN(B$1))&gt;0),(ISERROR(MATCH(B3,INDIRECT(INDEX(_WEW_valuelabels,COLUMN(B$1))),0))))</formula>
    </cfRule>
    <cfRule type="expression" dxfId="51" priority="32">
      <formula>(ROW(B3)-2&lt;=CaseCnt)*(COLUMN(B3)&lt;=VariableCount)*($A3&lt;&gt;"")*(B$1&lt;&gt;"")*(B$2&lt;&gt;"")</formula>
    </cfRule>
  </conditionalFormatting>
  <conditionalFormatting sqref="A1:R644 S13:X644 S1:Z12">
    <cfRule type="expression" priority="6" stopIfTrue="1">
      <formula>NOT(_Flag_HighlightValues)</formula>
    </cfRule>
  </conditionalFormatting>
  <conditionalFormatting sqref="B1:Z2">
    <cfRule type="expression" dxfId="50" priority="9">
      <formula>INDEX(_WEW_Measure,COLUMN(B$1))="O"</formula>
    </cfRule>
    <cfRule type="expression" dxfId="49" priority="19" stopIfTrue="1">
      <formula>INDEX(_WEW_VariableClass,COLUMN(B$1))="S"</formula>
    </cfRule>
    <cfRule type="expression" dxfId="48" priority="37">
      <formula>OR(INDEX(_WEW_IntendedVariableClass,COLUMN(B$1))="I",INDEX(_WEW_IntendedVariableClass,COLUMN(B$1))="F",INDEX(_WEW_IntendedVariableClass,COLUMN(B$1))="D")</formula>
    </cfRule>
  </conditionalFormatting>
  <conditionalFormatting sqref="A3:A644">
    <cfRule type="expression" dxfId="47" priority="346">
      <formula>NOT(ISERROR(FIND(A3," ")))*(A3&lt;&gt;"")</formula>
    </cfRule>
  </conditionalFormatting>
  <conditionalFormatting sqref="B2:Z2">
    <cfRule type="expression" dxfId="46" priority="7">
      <formula>INDEX(_WEW_VariableClass,COLUMN(B$1))="E"</formula>
    </cfRule>
  </conditionalFormatting>
  <conditionalFormatting sqref="S13:X644">
    <cfRule type="expression" dxfId="45" priority="567" stopIfTrue="1">
      <formula>(ROW(S13)-2&gt;CaseCnt)+(COLUMN(S13)&gt;VariableCount)+($A13="")+IF(U$2="",TRUE,MID(U$2,1,1)=".")</formula>
    </cfRule>
    <cfRule type="expression" dxfId="44" priority="568" stopIfTrue="1">
      <formula>IF(ISNUMBER(S13),AND(INDEX(_Wew_ForceDiscrete,COLUMN(U$1)),S13&lt;&gt;INT(S13)),FALSE)</formula>
    </cfRule>
    <cfRule type="expression" dxfId="43" priority="569" stopIfTrue="1">
      <formula>IF(ISNUMBER(S13),AND(INDEX(_WEW_Typ_Niecalk,COLUMN(U$1)),S13&lt;&gt;INT(S13)),FALSE)</formula>
    </cfRule>
    <cfRule type="expression" dxfId="42" priority="570">
      <formula>(S13="")*INDEX(_WEW_Required,COLUMN(U$1))</formula>
    </cfRule>
    <cfRule type="expression" dxfId="41" priority="571">
      <formula>(S13="")*NOT(INDEX(_WEW_Required,COLUMN(U$1)))</formula>
    </cfRule>
    <cfRule type="expression" dxfId="40" priority="572" stopIfTrue="1">
      <formula>IF(AND(NOT(ISNUMBER(S13)),NOT(INDEX(_WEW_Required,COLUMN(U$1)))),NOT(ISERROR(MATCH(S13,INDIRECT(INDEX(_WEW_valuelabels,COLUMN(U$1))),0))))</formula>
    </cfRule>
    <cfRule type="expression" dxfId="39" priority="573" stopIfTrue="1">
      <formula>IF(AND(NOT(ISNUMBER(S13)),INDEX(_WEW_Required,COLUMN(U$1))),NOT(ISERROR(MATCH(S13,INDIRECT(INDEX(_WEW_valuelabels,COLUMN(U$1))),0))))</formula>
    </cfRule>
    <cfRule type="expression" dxfId="38" priority="574">
      <formula>IF(INDEX(_WEW_IsUserValidationEntered,COLUMN(U$1)),NOT(OFFSET(S13,0,1)),FALSE)</formula>
    </cfRule>
    <cfRule type="expression" dxfId="37" priority="575">
      <formula>IF(INDEX(_WEW_IsUserValidationEntered2,COLUMN(U$1)),NOT(OFFSET(S13,0,2)),FALSE)</formula>
    </cfRule>
    <cfRule type="expression" dxfId="36" priority="576" stopIfTrue="1">
      <formula>NOT(ISNUMBER(S13))*(S13&lt;&gt;"")*(INDEX(_WEW_IntendedVariableClass,COLUMN(U$1))&lt;&gt;"S")</formula>
    </cfRule>
    <cfRule type="expression" dxfId="35" priority="577">
      <formula>(S13="NA")</formula>
    </cfRule>
    <cfRule type="expression" dxfId="34" priority="578">
      <formula>ISERROR(S13)</formula>
    </cfRule>
    <cfRule type="expression" dxfId="33" priority="579" stopIfTrue="1">
      <formula>ISNUMBER(S13)*ISERROR(MATCH(S13,INDIRECT(INDEX(_WEW_valuelabels,COLUMN(U$1))),0))*(INDEX(_WEW_ForceLabels,COLUMN(U$1)))</formula>
    </cfRule>
    <cfRule type="expression" dxfId="32" priority="580" stopIfTrue="1">
      <formula>IF(AND(ISNUMBER(S13),INDEX(_Wew_ForceMax,COLUMN(U$1))&lt;&gt;""), S13&gt;INDEX(_Wew_ForceMax,COLUMN(U$1)))</formula>
    </cfRule>
    <cfRule type="expression" dxfId="31" priority="581">
      <formula>IF(AND(INDEX(_Wew_ForceMin,COLUMN(U$1))&lt;&gt;"",ISNUMBER(S13)), S13&lt;INDEX(_Wew_ForceMin,COLUMN(U$1)))</formula>
    </cfRule>
    <cfRule type="expression" dxfId="30" priority="582">
      <formula>(S13=INDEX(_WEW_Max,COLUMN(U$1)))</formula>
    </cfRule>
    <cfRule type="expression" dxfId="29" priority="583">
      <formula>(S13=INDEX(_WEW_Min,COLUMN(U$1)))</formula>
    </cfRule>
    <cfRule type="expression" dxfId="28" priority="584">
      <formula>IF(AND(ISNUMBER(S13),INDEX(_WEW_LabelCount,COLUMN(U$1))&gt;0),(ISERROR(MATCH(S13,INDIRECT(INDEX(_WEW_valuelabels,COLUMN(U$1))),0))))</formula>
    </cfRule>
    <cfRule type="expression" dxfId="27" priority="585">
      <formula>(ROW(S13)-2&lt;=CaseCnt)*(COLUMN(S13)&lt;=VariableCount)*($A13&lt;&gt;"")*(U$1&lt;&gt;"")*(U$2&lt;&gt;"")</formula>
    </cfRule>
  </conditionalFormatting>
  <dataValidations count="10">
    <dataValidation allowBlank="1" showInputMessage="1" showErrorMessage="1" promptTitle="Variable consistency check" prompt="There are errors in the entered values in the following cases: LAB3" sqref="V2 D2 F2 H2"/>
    <dataValidation allowBlank="1" showInputMessage="1" showErrorMessage="1" promptTitle="Variable consistency check" prompt="The following records are missing in this required field: VIE1, LAB2" sqref="W2"/>
    <dataValidation allowBlank="1" showInputMessage="1" showErrorMessage="1" promptTitle="Variable consistency check" prompt="There are some cases with values not explicitly declared in the labels dictionary: WAW1: 9, JAN1: 6, LAB2: -2. There are errors in the entered values in the following cases: LAB3" sqref="M2"/>
    <dataValidation allowBlank="1" showInputMessage="1" showErrorMessage="1" promptTitle="Variable consistency check" prompt="There are errors in the entered values in the following cases: LAB3. The following cases are non-numeric: VIE1: NF" sqref="G2"/>
    <dataValidation allowBlank="1" showInputMessage="1" showErrorMessage="1" promptTitle="Variable consistency check" prompt="The following cases are non-numeric: VIE1: 4" sqref="J2"/>
    <dataValidation allowBlank="1" showInputMessage="1" showErrorMessage="1" promptTitle="Variable consistency check" prompt="The following cases have values below declared theorethical min: VIE1: -32, LAB3: -10. The following cases have values above declared theorethical max: WAW1: 43, WAW2: 52, JAN2: 10" sqref="L2"/>
    <dataValidation allowBlank="1" showInputMessage="1" showErrorMessage="1" promptTitle="Variable consistency check" prompt="The following cases are non-numeric: WAW3: x" sqref="O2"/>
    <dataValidation allowBlank="1" showInputMessage="1" showErrorMessage="1" promptTitle="Variable consistency check" prompt="There are errors in the entered values in the following cases: LAB3. The following cases are non-numeric: WAW3: nas" sqref="C2"/>
    <dataValidation allowBlank="1" showInputMessage="1" showErrorMessage="1" promptTitle="Variable consistency check" prompt="In the following cases Zmienna z walidacją must be odd: JAN1: 6, JAN2: 8, LAB1: 4, LAB2: 6" sqref="S2"/>
    <dataValidation allowBlank="1" showInputMessage="1" showErrorMessage="1" promptTitle="Variable consistency check" prompt="The following cases have non-integer values: WAW1: 0,14, LAB3: 0,98" sqref="N2"/>
  </dataValidations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AQV36"/>
  <sheetViews>
    <sheetView topLeftCell="AD1" zoomScale="160" zoomScaleNormal="160" workbookViewId="0">
      <selection activeCell="AE3" sqref="AE3:AF3"/>
    </sheetView>
  </sheetViews>
  <sheetFormatPr defaultRowHeight="12.75"/>
  <sheetData>
    <row r="1" spans="1:46 1137:1140">
      <c r="A1" t="str">
        <f t="shared" ref="A1:AT1" ca="1" si="0">IF(INDIRECT(ADDRESS(MOD(COLUMN(A2),2)+1,INT((COLUMN(A2)-1)/2)+1, ,,"data_frame"))="","",INDIRECT(ADDRESS(MOD(COLUMN(A2),2)+1,INT((COLUMN(A2)-1)/2)+1, ,,"data_frame")))</f>
        <v>lp</v>
      </c>
      <c r="B1" t="str">
        <f t="shared" ca="1" si="0"/>
        <v>Lp</v>
      </c>
      <c r="C1" t="str">
        <f t="shared" ca="1" si="0"/>
        <v>txt</v>
      </c>
      <c r="D1" t="str">
        <f t="shared" ca="1" si="0"/>
        <v>Zmienna tekstowa</v>
      </c>
      <c r="E1" s="14" t="str">
        <f t="shared" ca="1" si="0"/>
        <v>num1</v>
      </c>
      <c r="F1" s="14" t="str">
        <f t="shared" ca="1" si="0"/>
        <v>Zmienna liczbowa z brakami</v>
      </c>
      <c r="G1" s="14" t="str">
        <f t="shared" ca="1" si="0"/>
        <v>num2</v>
      </c>
      <c r="H1" s="14" t="str">
        <f t="shared" ca="1" si="0"/>
        <v>Zmienna liczbowa bez braków</v>
      </c>
      <c r="I1" s="14" t="str">
        <f t="shared" ca="1" si="0"/>
        <v/>
      </c>
      <c r="J1" s="14" t="str">
        <f t="shared" ca="1" si="0"/>
        <v/>
      </c>
      <c r="K1" s="14" t="str">
        <f t="shared" ca="1" si="0"/>
        <v>fac1</v>
      </c>
      <c r="L1" s="14" t="str">
        <f t="shared" ca="1" si="0"/>
        <v>Faktor z brakami</v>
      </c>
      <c r="M1" s="14" t="str">
        <f t="shared" ca="1" si="0"/>
        <v>fac2</v>
      </c>
      <c r="N1" s="14" t="str">
        <f t="shared" ca="1" si="0"/>
        <v>Zmienna chyba numeric</v>
      </c>
      <c r="O1" s="14" t="str">
        <f ca="1">IF(INDIRECT(ADDRESS(MOD(COLUMN(O2),2)+1,INT((COLUMN(O2)-1)/2)+1, ,,"data_frame"))="","",INDIRECT(ADDRESS(MOD(COLUMN(O2),2)+1,INT((COLUMN(O2)-1)/2)+1, ,,"data_frame")))</f>
        <v>fac3</v>
      </c>
      <c r="P1" s="14" t="str">
        <f ca="1">IF(INDIRECT(ADDRESS(MOD(COLUMN(P2),2)+1,INT((COLUMN(P2)-1)/2)+1, ,,"data_frame"))="","",INDIRECT(ADDRESS(MOD(COLUMN(P2),2)+1,INT((COLUMN(P2)-1)/2)+1, ,,"data_frame")))</f>
        <v>Faktor bez braków</v>
      </c>
      <c r="Q1" s="14" t="str">
        <f ca="1">IF(INDIRECT(ADDRESS(MOD(COLUMN(Q2),2)+1,INT((COLUMN(Q2)-1)/2)+1, ,,"data_frame"))="","",INDIRECT(ADDRESS(MOD(COLUMN(Q2),2)+1,INT((COLUMN(Q2)-1)/2)+1, ,,"data_frame")))</f>
        <v>fac1</v>
      </c>
      <c r="R1" s="14" t="str">
        <f ca="1">IF(INDIRECT(ADDRESS(MOD(COLUMN(R2),2)+1,INT((COLUMN(R2)-1)/2)+1, ,,"data_frame"))="","",INDIRECT(ADDRESS(MOD(COLUMN(R2),2)+1,INT((COLUMN(R2)-1)/2)+1, ,,"data_frame")))</f>
        <v>powtórzona nazwa</v>
      </c>
      <c r="S1" s="14" t="str">
        <f t="shared" ca="1" si="0"/>
        <v>num1_fix</v>
      </c>
      <c r="T1" s="14" t="str">
        <f t="shared" ca="1" si="0"/>
        <v>Zmienna liczbowa z brakami</v>
      </c>
      <c r="U1" s="14" t="str">
        <f t="shared" ca="1" si="0"/>
        <v>num1_fix2</v>
      </c>
      <c r="V1" s="14" t="str">
        <f t="shared" ca="1" si="0"/>
        <v>Zmienna liczbowa z brakami</v>
      </c>
      <c r="W1" s="14" t="str">
        <f t="shared" ca="1" si="0"/>
        <v>num_maxmin</v>
      </c>
      <c r="X1" s="14" t="str">
        <f t="shared" ca="1" si="0"/>
        <v>Zmienna z max i min teor</v>
      </c>
      <c r="Y1" s="14" t="str">
        <f t="shared" ca="1" si="0"/>
        <v>fac3</v>
      </c>
      <c r="Z1" s="14" t="str">
        <f t="shared" ca="1" si="0"/>
        <v>Faktor bez braków, ale z wartościami spoza zakresu</v>
      </c>
      <c r="AA1" s="14" t="str">
        <f t="shared" ca="1" si="0"/>
        <v>numdiscr</v>
      </c>
      <c r="AB1" s="14" t="str">
        <f t="shared" ca="1" si="0"/>
        <v>Zmienna ciągła, ale dyskretna</v>
      </c>
      <c r="AC1" s="14" t="str">
        <f t="shared" ca="1" si="0"/>
        <v>dat1</v>
      </c>
      <c r="AD1" s="14" t="str">
        <f t="shared" ca="1" si="0"/>
        <v>Taka moja data</v>
      </c>
      <c r="AE1" s="14" t="str">
        <f t="shared" ca="1" si="0"/>
        <v>dat2</v>
      </c>
      <c r="AF1" s="14" t="str">
        <f t="shared" ca="1" si="0"/>
        <v>Taka moja data</v>
      </c>
      <c r="AG1" s="14" t="str">
        <f t="shared" ca="1" si="0"/>
        <v>dobule</v>
      </c>
      <c r="AH1" s="14" t="str">
        <f t="shared" ca="1" si="0"/>
        <v>dwupoziomowa</v>
      </c>
      <c r="AI1" s="14" t="str">
        <f t="shared" ca="1" si="0"/>
        <v>dobule2</v>
      </c>
      <c r="AJ1" s="14" t="str">
        <f t="shared" ca="1" si="0"/>
        <v>dwupoziomowa2</v>
      </c>
      <c r="AK1" s="14" t="str">
        <f t="shared" ref="AK1:AL1" ca="1" si="1">IF(INDIRECT(ADDRESS(MOD(COLUMN(AK2),2)+1,INT((COLUMN(AK2)-1)/2)+1, ,,"data_frame"))="","",INDIRECT(ADDRESS(MOD(COLUMN(AK2),2)+1,INT((COLUMN(AK2)-1)/2)+1, ,,"data_frame")))</f>
        <v>validacja1</v>
      </c>
      <c r="AL1" s="14" t="str">
        <f t="shared" ca="1" si="1"/>
        <v>Zmienna z walidacją</v>
      </c>
      <c r="AM1" s="14" t="str">
        <f t="shared" ref="AM1" ca="1" si="2">IF(INDIRECT(ADDRESS(MOD(COLUMN(AM2),2)+1,INT((COLUMN(AM2)-1)/2)+1, ,,"data_frame"))="","",INDIRECT(ADDRESS(MOD(COLUMN(AM2),2)+1,INT((COLUMN(AM2)-1)/2)+1, ,,"data_frame")))</f>
        <v>.validation</v>
      </c>
      <c r="AN1" s="14" t="str">
        <f t="shared" ref="AN1" ca="1" si="3">IF(INDIRECT(ADDRESS(MOD(COLUMN(AN2),2)+1,INT((COLUMN(AN2)-1)/2)+1, ,,"data_frame"))="","",INDIRECT(ADDRESS(MOD(COLUMN(AN2),2)+1,INT((COLUMN(AN2)-1)/2)+1, ,,"data_frame")))</f>
        <v>Must be odd</v>
      </c>
      <c r="AO1" s="14" t="str">
        <f t="shared" ca="1" si="0"/>
        <v>new_var</v>
      </c>
      <c r="AP1" s="14" t="str">
        <f t="shared" ca="1" si="0"/>
        <v>My new variable</v>
      </c>
      <c r="AQ1" s="14" t="str">
        <f t="shared" ca="1" si="0"/>
        <v>num4</v>
      </c>
      <c r="AR1" s="14" t="str">
        <f t="shared" ca="1" si="0"/>
        <v>Zmienna liczbowa bez braków ale z NA</v>
      </c>
      <c r="AS1" s="14" t="str">
        <f t="shared" ca="1" si="0"/>
        <v>required1</v>
      </c>
      <c r="AT1" s="14" t="str">
        <f t="shared" ca="1" si="0"/>
        <v>Zmienna required</v>
      </c>
      <c r="AQS1" s="14" t="str">
        <f t="shared" ref="AQS1:AQV1" ca="1" si="4">IF(INDIRECT(ADDRESS(MOD(COLUMN(AQS2),2)+1,INT((COLUMN(AQS2)-1)/2)+1, ,,"data_frame"))="","",INDIRECT(ADDRESS(MOD(COLUMN(AQS2),2)+1,INT((COLUMN(AQS2)-1)/2)+1, ,,"data_frame")))</f>
        <v/>
      </c>
      <c r="AQT1" s="14" t="str">
        <f t="shared" ca="1" si="4"/>
        <v/>
      </c>
      <c r="AQU1" s="14" t="str">
        <f t="shared" ca="1" si="4"/>
        <v/>
      </c>
      <c r="AQV1" s="14" t="str">
        <f t="shared" ca="1" si="4"/>
        <v/>
      </c>
    </row>
    <row r="2" spans="1:46 1137:1140">
      <c r="A2" t="str">
        <f t="shared" ref="A2:D2" ca="1" si="5">IF(A1="","",IF(MOD(COLUMN(B1)-1,2)=0,"Labels","Values"))</f>
        <v>Values</v>
      </c>
      <c r="B2" t="str">
        <f t="shared" ca="1" si="5"/>
        <v>Labels</v>
      </c>
      <c r="C2" t="str">
        <f t="shared" ca="1" si="5"/>
        <v>Values</v>
      </c>
      <c r="D2" t="str">
        <f t="shared" ca="1" si="5"/>
        <v>Labels</v>
      </c>
      <c r="E2" s="14" t="str">
        <f t="shared" ref="E2" ca="1" si="6">IF(E1="","",IF(MOD(COLUMN(F1)-1,2)=0,"Labels","Values"))</f>
        <v>Values</v>
      </c>
      <c r="F2" s="14" t="str">
        <f t="shared" ref="F2" ca="1" si="7">IF(F1="","",IF(MOD(COLUMN(G1)-1,2)=0,"Labels","Values"))</f>
        <v>Labels</v>
      </c>
      <c r="G2" s="14" t="str">
        <f t="shared" ref="G2" ca="1" si="8">IF(G1="","",IF(MOD(COLUMN(H1)-1,2)=0,"Labels","Values"))</f>
        <v>Values</v>
      </c>
      <c r="H2" s="14" t="str">
        <f t="shared" ref="H2" ca="1" si="9">IF(H1="","",IF(MOD(COLUMN(I1)-1,2)=0,"Labels","Values"))</f>
        <v>Labels</v>
      </c>
      <c r="I2" s="14" t="str">
        <f t="shared" ref="I2" ca="1" si="10">IF(I1="","",IF(MOD(COLUMN(J1)-1,2)=0,"Labels","Values"))</f>
        <v/>
      </c>
      <c r="J2" s="14" t="str">
        <f t="shared" ref="J2" ca="1" si="11">IF(J1="","",IF(MOD(COLUMN(K1)-1,2)=0,"Labels","Values"))</f>
        <v/>
      </c>
      <c r="K2" s="14" t="str">
        <f t="shared" ref="K2" ca="1" si="12">IF(K1="","",IF(MOD(COLUMN(L1)-1,2)=0,"Labels","Values"))</f>
        <v>Values</v>
      </c>
      <c r="L2" s="14" t="str">
        <f t="shared" ref="L2" ca="1" si="13">IF(L1="","",IF(MOD(COLUMN(M1)-1,2)=0,"Labels","Values"))</f>
        <v>Labels</v>
      </c>
      <c r="M2" s="14" t="str">
        <f t="shared" ref="M2" ca="1" si="14">IF(M1="","",IF(MOD(COLUMN(N1)-1,2)=0,"Labels","Values"))</f>
        <v>Values</v>
      </c>
      <c r="N2" s="14" t="str">
        <f t="shared" ref="N2" ca="1" si="15">IF(N1="","",IF(MOD(COLUMN(O1)-1,2)=0,"Labels","Values"))</f>
        <v>Labels</v>
      </c>
      <c r="O2" s="14" t="str">
        <f ca="1">IF(O1="","",IF(MOD(COLUMN(P1)-1,2)=0,"Labels","Values"))</f>
        <v>Values</v>
      </c>
      <c r="P2" s="14" t="str">
        <f ca="1">IF(P1="","",IF(MOD(COLUMN(Q1)-1,2)=0,"Labels","Values"))</f>
        <v>Labels</v>
      </c>
      <c r="Q2" s="14" t="str">
        <f ca="1">IF(Q1="","",IF(MOD(COLUMN(R1)-1,2)=0,"Labels","Values"))</f>
        <v>Values</v>
      </c>
      <c r="R2" s="14" t="str">
        <f ca="1">IF(R1="","",IF(MOD(COLUMN(S1)-1,2)=0,"Labels","Values"))</f>
        <v>Labels</v>
      </c>
      <c r="S2" s="14" t="str">
        <f t="shared" ref="S2" ca="1" si="16">IF(S1="","",IF(MOD(COLUMN(T1)-1,2)=0,"Labels","Values"))</f>
        <v>Values</v>
      </c>
      <c r="T2" s="14" t="str">
        <f t="shared" ref="T2" ca="1" si="17">IF(T1="","",IF(MOD(COLUMN(U1)-1,2)=0,"Labels","Values"))</f>
        <v>Labels</v>
      </c>
      <c r="U2" s="14" t="str">
        <f t="shared" ref="U2" ca="1" si="18">IF(U1="","",IF(MOD(COLUMN(V1)-1,2)=0,"Labels","Values"))</f>
        <v>Values</v>
      </c>
      <c r="V2" s="14" t="str">
        <f t="shared" ref="V2" ca="1" si="19">IF(V1="","",IF(MOD(COLUMN(W1)-1,2)=0,"Labels","Values"))</f>
        <v>Labels</v>
      </c>
      <c r="W2" s="14" t="str">
        <f t="shared" ref="W2" ca="1" si="20">IF(W1="","",IF(MOD(COLUMN(X1)-1,2)=0,"Labels","Values"))</f>
        <v>Values</v>
      </c>
      <c r="X2" s="14" t="str">
        <f t="shared" ref="X2" ca="1" si="21">IF(X1="","",IF(MOD(COLUMN(Y1)-1,2)=0,"Labels","Values"))</f>
        <v>Labels</v>
      </c>
      <c r="Y2" s="14" t="str">
        <f t="shared" ref="Y2" ca="1" si="22">IF(Y1="","",IF(MOD(COLUMN(Z1)-1,2)=0,"Labels","Values"))</f>
        <v>Values</v>
      </c>
      <c r="Z2" s="14" t="str">
        <f t="shared" ref="Z2" ca="1" si="23">IF(Z1="","",IF(MOD(COLUMN(AA1)-1,2)=0,"Labels","Values"))</f>
        <v>Labels</v>
      </c>
      <c r="AA2" s="14" t="str">
        <f t="shared" ref="AA2" ca="1" si="24">IF(AA1="","",IF(MOD(COLUMN(AB1)-1,2)=0,"Labels","Values"))</f>
        <v>Values</v>
      </c>
      <c r="AB2" s="14" t="str">
        <f t="shared" ref="AB2" ca="1" si="25">IF(AB1="","",IF(MOD(COLUMN(AC1)-1,2)=0,"Labels","Values"))</f>
        <v>Labels</v>
      </c>
      <c r="AC2" s="14" t="str">
        <f t="shared" ref="AC2" ca="1" si="26">IF(AC1="","",IF(MOD(COLUMN(AD1)-1,2)=0,"Labels","Values"))</f>
        <v>Values</v>
      </c>
      <c r="AD2" s="14" t="str">
        <f t="shared" ref="AD2" ca="1" si="27">IF(AD1="","",IF(MOD(COLUMN(AE1)-1,2)=0,"Labels","Values"))</f>
        <v>Labels</v>
      </c>
      <c r="AE2" s="14" t="str">
        <f t="shared" ref="AE2" ca="1" si="28">IF(AE1="","",IF(MOD(COLUMN(AF1)-1,2)=0,"Labels","Values"))</f>
        <v>Values</v>
      </c>
      <c r="AF2" s="14" t="str">
        <f t="shared" ref="AF2" ca="1" si="29">IF(AF1="","",IF(MOD(COLUMN(AG1)-1,2)=0,"Labels","Values"))</f>
        <v>Labels</v>
      </c>
      <c r="AG2" s="14" t="str">
        <f t="shared" ref="AG2" ca="1" si="30">IF(AG1="","",IF(MOD(COLUMN(AH1)-1,2)=0,"Labels","Values"))</f>
        <v>Values</v>
      </c>
      <c r="AH2" s="14" t="str">
        <f t="shared" ref="AH2" ca="1" si="31">IF(AH1="","",IF(MOD(COLUMN(AI1)-1,2)=0,"Labels","Values"))</f>
        <v>Labels</v>
      </c>
      <c r="AI2" s="14" t="str">
        <f t="shared" ref="AI2" ca="1" si="32">IF(AI1="","",IF(MOD(COLUMN(AJ1)-1,2)=0,"Labels","Values"))</f>
        <v>Values</v>
      </c>
      <c r="AJ2" s="14" t="str">
        <f t="shared" ref="AJ2" ca="1" si="33">IF(AJ1="","",IF(MOD(COLUMN(AK1)-1,2)=0,"Labels","Values"))</f>
        <v>Labels</v>
      </c>
      <c r="AK2" s="14" t="str">
        <f t="shared" ref="AK2:AL2" ca="1" si="34">IF(AK1="","",IF(MOD(COLUMN(AL1)-1,2)=0,"Labels","Values"))</f>
        <v>Values</v>
      </c>
      <c r="AL2" s="14" t="str">
        <f t="shared" ca="1" si="34"/>
        <v>Labels</v>
      </c>
      <c r="AM2" s="14" t="str">
        <f t="shared" ref="AM2" ca="1" si="35">IF(AM1="","",IF(MOD(COLUMN(AN1)-1,2)=0,"Labels","Values"))</f>
        <v>Values</v>
      </c>
      <c r="AN2" s="14" t="str">
        <f t="shared" ref="AN2" ca="1" si="36">IF(AN1="","",IF(MOD(COLUMN(AO1)-1,2)=0,"Labels","Values"))</f>
        <v>Labels</v>
      </c>
      <c r="AO2" s="14" t="str">
        <f t="shared" ref="AO2" ca="1" si="37">IF(AO1="","",IF(MOD(COLUMN(AP1)-1,2)=0,"Labels","Values"))</f>
        <v>Values</v>
      </c>
      <c r="AP2" s="14" t="str">
        <f t="shared" ref="AP2" ca="1" si="38">IF(AP1="","",IF(MOD(COLUMN(AQ1)-1,2)=0,"Labels","Values"))</f>
        <v>Labels</v>
      </c>
      <c r="AQ2" s="14" t="str">
        <f t="shared" ref="AQ2" ca="1" si="39">IF(AQ1="","",IF(MOD(COLUMN(AR1)-1,2)=0,"Labels","Values"))</f>
        <v>Values</v>
      </c>
      <c r="AR2" s="14" t="str">
        <f t="shared" ref="AR2" ca="1" si="40">IF(AR1="","",IF(MOD(COLUMN(AS1)-1,2)=0,"Labels","Values"))</f>
        <v>Labels</v>
      </c>
      <c r="AS2" s="14" t="str">
        <f t="shared" ref="AS2:AT2" ca="1" si="41">IF(AS1="","",IF(MOD(COLUMN(AT1)-1,2)=0,"Labels","Values"))</f>
        <v>Values</v>
      </c>
      <c r="AT2" s="14" t="str">
        <f t="shared" ca="1" si="41"/>
        <v>Labels</v>
      </c>
      <c r="AQS2" s="14" t="str">
        <f t="shared" ref="AQS2" ca="1" si="42">IF(AQS1="","",IF(MOD(COLUMN(AQT1)-1,2)=0,"Labels","Values"))</f>
        <v/>
      </c>
      <c r="AQT2" s="14" t="str">
        <f t="shared" ref="AQT2" ca="1" si="43">IF(AQT1="","",IF(MOD(COLUMN(AQU1)-1,2)=0,"Labels","Values"))</f>
        <v/>
      </c>
      <c r="AQU2" s="14" t="str">
        <f t="shared" ref="AQU2" ca="1" si="44">IF(AQU1="","",IF(MOD(COLUMN(AQV1)-1,2)=0,"Labels","Values"))</f>
        <v/>
      </c>
      <c r="AQV2" s="14" t="str">
        <f t="shared" ref="AQV2" ca="1" si="45">IF(AQV1="","",IF(MOD(COLUMN(AQW1)-1,2)=0,"Labels","Values"))</f>
        <v/>
      </c>
    </row>
    <row r="3" spans="1:46 1137:1140">
      <c r="C3" t="s">
        <v>338</v>
      </c>
      <c r="D3" t="s">
        <v>503</v>
      </c>
      <c r="E3" s="14" t="s">
        <v>338</v>
      </c>
      <c r="F3" s="14" t="s">
        <v>504</v>
      </c>
      <c r="G3" s="14"/>
      <c r="H3" s="14"/>
      <c r="I3" s="14"/>
      <c r="J3" s="14"/>
      <c r="K3" s="14">
        <v>1</v>
      </c>
      <c r="L3" s="14" t="s">
        <v>505</v>
      </c>
      <c r="M3" s="14"/>
      <c r="N3" s="14"/>
      <c r="O3" s="14">
        <v>1</v>
      </c>
      <c r="P3" s="14" t="s">
        <v>505</v>
      </c>
      <c r="Q3" s="14"/>
      <c r="R3" s="14"/>
      <c r="S3" s="14"/>
      <c r="T3" s="14"/>
      <c r="U3" s="14"/>
      <c r="Y3">
        <v>1</v>
      </c>
      <c r="Z3" t="s">
        <v>505</v>
      </c>
      <c r="AG3">
        <v>1</v>
      </c>
      <c r="AH3" t="s">
        <v>410</v>
      </c>
      <c r="AI3">
        <v>0</v>
      </c>
      <c r="AJ3" t="s">
        <v>410</v>
      </c>
      <c r="AK3" s="14"/>
      <c r="AL3" s="14"/>
      <c r="AM3" s="14"/>
      <c r="AN3" s="14"/>
      <c r="AO3" s="14">
        <v>1</v>
      </c>
      <c r="AP3" s="14" t="s">
        <v>28</v>
      </c>
      <c r="AQ3" s="14" t="s">
        <v>338</v>
      </c>
      <c r="AR3" s="14" t="s">
        <v>504</v>
      </c>
      <c r="AS3" s="15" t="s">
        <v>338</v>
      </c>
      <c r="AT3" s="14" t="s">
        <v>338</v>
      </c>
    </row>
    <row r="4" spans="1:46 1137:1140">
      <c r="E4" s="14" t="s">
        <v>341</v>
      </c>
      <c r="F4" s="14" t="s">
        <v>506</v>
      </c>
      <c r="G4" s="14"/>
      <c r="H4" s="14"/>
      <c r="I4" s="14"/>
      <c r="J4" s="14"/>
      <c r="K4" s="14">
        <v>2</v>
      </c>
      <c r="L4" s="14" t="s">
        <v>507</v>
      </c>
      <c r="M4" s="14"/>
      <c r="N4" s="14"/>
      <c r="O4" s="14">
        <v>2</v>
      </c>
      <c r="P4" s="14" t="s">
        <v>507</v>
      </c>
      <c r="Q4" s="14"/>
      <c r="R4" s="14"/>
      <c r="S4" s="14"/>
      <c r="T4" s="14"/>
      <c r="U4" s="14"/>
      <c r="Y4">
        <v>2</v>
      </c>
      <c r="Z4" t="s">
        <v>507</v>
      </c>
      <c r="AG4">
        <v>2</v>
      </c>
      <c r="AH4" t="s">
        <v>411</v>
      </c>
      <c r="AI4">
        <v>1</v>
      </c>
      <c r="AJ4" t="s">
        <v>411</v>
      </c>
      <c r="AK4" s="14"/>
      <c r="AL4" s="14"/>
      <c r="AM4" s="14"/>
      <c r="AN4" s="14"/>
      <c r="AO4" s="14">
        <v>10</v>
      </c>
      <c r="AP4" s="14" t="s">
        <v>29</v>
      </c>
      <c r="AQ4" s="14" t="s">
        <v>341</v>
      </c>
      <c r="AR4" s="14" t="s">
        <v>506</v>
      </c>
      <c r="AS4" s="14"/>
      <c r="AT4" s="14"/>
    </row>
    <row r="5" spans="1:46 1137:1140">
      <c r="E5" s="14"/>
      <c r="F5" s="14"/>
      <c r="G5" s="14"/>
      <c r="H5" s="14"/>
      <c r="I5" s="14"/>
      <c r="J5" s="14"/>
      <c r="K5" s="14">
        <v>3</v>
      </c>
      <c r="L5" s="14" t="s">
        <v>508</v>
      </c>
      <c r="M5" s="14"/>
      <c r="N5" s="14"/>
      <c r="O5" s="15">
        <v>3</v>
      </c>
      <c r="P5" s="15" t="s">
        <v>508</v>
      </c>
      <c r="Q5" s="15"/>
      <c r="R5" s="15"/>
      <c r="S5" s="15"/>
      <c r="T5" s="15"/>
      <c r="U5" s="14"/>
      <c r="Y5">
        <v>3</v>
      </c>
      <c r="Z5" t="s">
        <v>508</v>
      </c>
      <c r="AK5" s="14"/>
      <c r="AL5" s="14"/>
      <c r="AM5" s="14"/>
      <c r="AN5" s="14"/>
      <c r="AO5" s="14"/>
      <c r="AP5" s="14"/>
      <c r="AQ5" s="14"/>
      <c r="AR5" s="14"/>
      <c r="AS5" s="14"/>
      <c r="AT5" s="14"/>
      <c r="AQU5" s="14"/>
      <c r="AQV5" s="14"/>
    </row>
    <row r="6" spans="1:46 1137:1140">
      <c r="E6" s="14"/>
      <c r="F6" s="14"/>
      <c r="G6" s="14"/>
      <c r="H6" s="14"/>
      <c r="I6" s="14"/>
      <c r="J6" s="14"/>
      <c r="K6" s="14">
        <v>4</v>
      </c>
      <c r="L6" s="14" t="s">
        <v>509</v>
      </c>
      <c r="M6" s="14"/>
      <c r="N6" s="14"/>
      <c r="O6" s="14">
        <v>4</v>
      </c>
      <c r="P6" s="14" t="s">
        <v>509</v>
      </c>
      <c r="Q6" s="14"/>
      <c r="R6" s="14"/>
      <c r="S6" s="14"/>
      <c r="T6" s="14"/>
      <c r="U6" s="14"/>
      <c r="Y6">
        <v>4</v>
      </c>
      <c r="Z6" t="s">
        <v>509</v>
      </c>
      <c r="AK6" s="14"/>
      <c r="AL6" s="14"/>
      <c r="AM6" s="14"/>
      <c r="AN6" s="14"/>
      <c r="AO6" s="14"/>
      <c r="AP6" s="14"/>
      <c r="AQ6" s="14"/>
      <c r="AR6" s="14"/>
      <c r="AS6" s="14"/>
      <c r="AT6" s="14"/>
      <c r="AQU6" s="14"/>
      <c r="AQV6" s="14"/>
    </row>
    <row r="7" spans="1:46 1137:1140">
      <c r="E7" s="14"/>
      <c r="F7" s="14"/>
      <c r="G7" s="14"/>
      <c r="H7" s="14"/>
      <c r="I7" s="14"/>
      <c r="J7" s="14"/>
      <c r="K7" s="14" t="s">
        <v>495</v>
      </c>
      <c r="L7" s="14" t="s">
        <v>510</v>
      </c>
      <c r="M7" s="14"/>
      <c r="N7" s="14"/>
      <c r="O7" s="14">
        <v>6</v>
      </c>
      <c r="P7" s="14" t="s">
        <v>511</v>
      </c>
      <c r="Q7" s="14"/>
      <c r="R7" s="14"/>
      <c r="S7" s="14"/>
      <c r="T7" s="14"/>
      <c r="U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QU7" s="14"/>
      <c r="AQV7" s="14"/>
    </row>
    <row r="8" spans="1:46 1137:1140">
      <c r="E8" s="14"/>
      <c r="F8" s="14"/>
      <c r="G8" s="14"/>
      <c r="H8" s="14"/>
      <c r="I8" s="14"/>
      <c r="J8" s="14"/>
      <c r="K8" s="14" t="s">
        <v>341</v>
      </c>
      <c r="L8" s="14" t="s">
        <v>506</v>
      </c>
      <c r="M8" s="14"/>
      <c r="N8" s="14"/>
      <c r="O8" s="14"/>
      <c r="P8" s="14"/>
      <c r="Q8" s="14"/>
      <c r="R8" s="14"/>
      <c r="S8" s="14"/>
      <c r="T8" s="14"/>
      <c r="U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QU8" s="14"/>
      <c r="AQV8" s="14"/>
    </row>
    <row r="9" spans="1:46 1137:1140"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QU9" s="14"/>
      <c r="AQV9" s="14"/>
    </row>
    <row r="10" spans="1:46 1137:1140"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QU10" s="14"/>
      <c r="AQV10" s="14"/>
    </row>
    <row r="11" spans="1:46 1137:1140"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QU11" s="14"/>
      <c r="AQV11" s="14"/>
    </row>
    <row r="12" spans="1:46 1137:1140"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QU12" s="14"/>
      <c r="AQV12" s="14"/>
    </row>
    <row r="13" spans="1:46 1137:1140"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QU13" s="14"/>
      <c r="AQV13" s="14"/>
    </row>
    <row r="14" spans="1:46 1137:1140"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QU14" s="14"/>
      <c r="AQV14" s="14"/>
    </row>
    <row r="15" spans="1:46 1137:1140"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QU15" s="14"/>
      <c r="AQV15" s="14"/>
    </row>
    <row r="16" spans="1:46 1137:1140"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QU16" s="14"/>
      <c r="AQV16" s="14"/>
    </row>
    <row r="17" spans="5:46 1139:1140"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QU17" s="14"/>
      <c r="AQV17" s="14"/>
    </row>
    <row r="18" spans="5:46 1139:1140"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QU18" s="14"/>
      <c r="AQV18" s="14"/>
    </row>
    <row r="19" spans="5:46 1139:1140"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QU19" s="14"/>
      <c r="AQV19" s="14"/>
    </row>
    <row r="20" spans="5:46 1139:1140"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QU20" s="14"/>
      <c r="AQV20" s="14"/>
    </row>
    <row r="21" spans="5:46 1139:1140"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QU21" s="14"/>
      <c r="AQV21" s="14"/>
    </row>
    <row r="22" spans="5:46 1139:1140"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QU22" s="14"/>
      <c r="AQV22" s="14"/>
    </row>
    <row r="23" spans="5:46 1139:1140"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QU23" s="14"/>
      <c r="AQV23" s="14"/>
    </row>
    <row r="24" spans="5:46 1139:1140"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QU24" s="14"/>
      <c r="AQV24" s="14"/>
    </row>
    <row r="25" spans="5:46 1139:1140"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QU25" s="14"/>
      <c r="AQV25" s="14"/>
    </row>
    <row r="26" spans="5:46 1139:1140"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QU26" s="14"/>
      <c r="AQV26" s="14"/>
    </row>
    <row r="27" spans="5:46 1139:1140"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QU27" s="14"/>
      <c r="AQV27" s="14"/>
    </row>
    <row r="28" spans="5:46 1139:1140"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QU28" s="14"/>
      <c r="AQV28" s="14"/>
    </row>
    <row r="29" spans="5:46 1139:1140"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QU29" s="14"/>
      <c r="AQV29" s="14"/>
    </row>
    <row r="30" spans="5:46 1139:1140"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QU30" s="14"/>
      <c r="AQV30" s="14"/>
    </row>
    <row r="31" spans="5:46 1139:1140"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QU31" s="14"/>
      <c r="AQV31" s="14"/>
    </row>
    <row r="32" spans="5:46 1139:1140"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QU32" s="14"/>
      <c r="AQV32" s="14"/>
    </row>
    <row r="33" spans="5:46 1139:1140"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QU33" s="14"/>
      <c r="AQV33" s="14"/>
    </row>
    <row r="34" spans="5:46 1139:1140"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QU34" s="14"/>
      <c r="AQV34" s="14"/>
    </row>
    <row r="35" spans="5:46 1139:1140"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QU35" s="14"/>
      <c r="AQV35" s="14"/>
    </row>
    <row r="36" spans="5:46 1139:1140"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QU36" s="14"/>
      <c r="AQV36" s="14"/>
    </row>
  </sheetData>
  <protectedRanges>
    <protectedRange sqref="BI37:VV41 A37:P83 BI42:AGF53 AAM61:AGF83 Q64:AAL83 WI37:APP41 AGS42:APP53 AAM60:AFT60 AGG60:APH83 AW60:AAL63 S37:AV63 API54:APP83 AGK54:APH59 BA54:AFX59 APQ37:XFD83 GK3:HP31 AU32:AX36 GQ32:HP36 BK3:GJ36 AQQ3:AQR4 AQW3:XFD36 VW3:YB32 HQ3:VR36 VS33:YB36 AQQ5:AQV36 YC3:AQP36 A3:AT36" name="etykiety"/>
  </protectedRanges>
  <customSheetViews>
    <customSheetView guid="{B0700225-2463-44C9-9C4E-A79FCDA233AE}">
      <selection activeCell="A3" sqref="A3:XFD31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C4" sqref="C4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pageMargins left="0.75" right="0.75" top="1" bottom="1" header="0.5" footer="0.5"/>
  <pageSetup paperSize="9" orientation="portrait" horizontalDpi="1200" verticalDpi="1200" r:id="rId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O24"/>
  <sheetViews>
    <sheetView workbookViewId="0">
      <pane xSplit="7" ySplit="1" topLeftCell="H2" activePane="bottomRight" state="frozenSplit"/>
      <selection activeCell="N5" sqref="N5"/>
      <selection pane="topRight"/>
      <selection pane="bottomLeft"/>
      <selection pane="bottomRight" activeCell="C17" sqref="C17"/>
    </sheetView>
  </sheetViews>
  <sheetFormatPr defaultRowHeight="12.75"/>
  <cols>
    <col min="1" max="1" width="6.42578125" customWidth="1"/>
    <col min="2" max="2" width="11.140625" style="14" customWidth="1"/>
    <col min="3" max="3" width="4.85546875" style="14" customWidth="1"/>
    <col min="4" max="4" width="4.7109375" hidden="1" customWidth="1"/>
    <col min="5" max="5" width="6.5703125" customWidth="1"/>
    <col min="6" max="6" width="8.7109375" customWidth="1"/>
    <col min="7" max="7" width="89.42578125" customWidth="1"/>
    <col min="8" max="8" width="12.5703125" style="14" customWidth="1"/>
    <col min="9" max="9" width="14.7109375" customWidth="1"/>
    <col min="10" max="10" width="10.5703125" bestFit="1" customWidth="1"/>
    <col min="11" max="12" width="14.7109375" style="14" customWidth="1"/>
    <col min="13" max="14" width="10.5703125" style="14" customWidth="1"/>
    <col min="15" max="15" width="4" style="14" customWidth="1"/>
    <col min="16" max="16" width="16.28515625" style="14" customWidth="1"/>
    <col min="20" max="20" width="14.7109375" customWidth="1"/>
    <col min="21" max="21" width="14.7109375" style="14" customWidth="1"/>
    <col min="22" max="22" width="17.7109375" bestFit="1" customWidth="1"/>
    <col min="23" max="23" width="6" bestFit="1" customWidth="1"/>
    <col min="24" max="24" width="12" bestFit="1" customWidth="1"/>
    <col min="25" max="25" width="12" style="14" customWidth="1"/>
    <col min="26" max="26" width="21.140625" style="12" bestFit="1" customWidth="1"/>
    <col min="27" max="27" width="15" style="17" customWidth="1"/>
    <col min="28" max="28" width="15.42578125" style="17" customWidth="1"/>
    <col min="29" max="29" width="7.7109375" style="17" customWidth="1"/>
    <col min="30" max="35" width="11.140625" style="17" customWidth="1"/>
    <col min="36" max="38" width="9" style="17" customWidth="1"/>
    <col min="39" max="39" width="7.7109375" style="17" customWidth="1"/>
    <col min="40" max="40" width="7.7109375" style="24" customWidth="1"/>
    <col min="41" max="41" width="7.7109375" style="17" customWidth="1"/>
    <col min="42" max="42" width="17" style="17" customWidth="1"/>
    <col min="43" max="44" width="10.5703125" style="17" customWidth="1"/>
    <col min="45" max="45" width="17" style="17" customWidth="1"/>
    <col min="46" max="46" width="16.28515625" style="17" customWidth="1"/>
    <col min="47" max="47" width="16.5703125" style="17" customWidth="1"/>
    <col min="48" max="48" width="19.140625" style="17" customWidth="1"/>
    <col min="49" max="66" width="10.5703125" style="17" customWidth="1"/>
    <col min="67" max="67" width="9.28515625" customWidth="1"/>
    <col min="68" max="68" width="9.28515625" style="10" customWidth="1"/>
    <col min="69" max="69" width="9.28515625" style="15" customWidth="1"/>
    <col min="70" max="73" width="9.140625" style="14"/>
    <col min="74" max="74" width="13.5703125" customWidth="1"/>
    <col min="75" max="77" width="6.5703125" style="14" customWidth="1"/>
    <col min="78" max="80" width="4" customWidth="1"/>
    <col min="81" max="82" width="4" style="14" customWidth="1"/>
    <col min="98" max="98" width="9.140625" style="14"/>
    <col min="100" max="101" width="9.140625" style="14"/>
    <col min="106" max="107" width="9.140625" style="14"/>
    <col min="108" max="108" width="9.7109375" style="14" bestFit="1" customWidth="1"/>
    <col min="117" max="117" width="9.140625" style="14"/>
    <col min="119" max="121" width="9.140625" style="14"/>
    <col min="129" max="129" width="9.140625" style="14"/>
  </cols>
  <sheetData>
    <row r="1" spans="1:145">
      <c r="A1" s="14" t="s">
        <v>335</v>
      </c>
      <c r="B1" s="15" t="s">
        <v>346</v>
      </c>
      <c r="C1" s="14" t="s">
        <v>0</v>
      </c>
      <c r="D1" s="15" t="s">
        <v>406</v>
      </c>
      <c r="E1" s="16" t="s">
        <v>289</v>
      </c>
      <c r="H1" s="15" t="s">
        <v>344</v>
      </c>
      <c r="I1" s="15" t="s">
        <v>282</v>
      </c>
      <c r="J1" s="15" t="s">
        <v>345</v>
      </c>
      <c r="K1" s="14" t="s">
        <v>232</v>
      </c>
      <c r="L1" s="14" t="s">
        <v>233</v>
      </c>
      <c r="M1" s="15" t="s">
        <v>342</v>
      </c>
      <c r="N1" s="15" t="s">
        <v>280</v>
      </c>
      <c r="O1" s="14" t="s">
        <v>33</v>
      </c>
      <c r="P1" s="15" t="s">
        <v>347</v>
      </c>
      <c r="Q1" s="15" t="s">
        <v>348</v>
      </c>
      <c r="R1" s="15" t="s">
        <v>374</v>
      </c>
      <c r="S1" s="15" t="s">
        <v>350</v>
      </c>
      <c r="T1" s="15" t="s">
        <v>351</v>
      </c>
      <c r="U1" s="15" t="s">
        <v>352</v>
      </c>
      <c r="V1" s="15" t="s">
        <v>290</v>
      </c>
      <c r="W1" s="10" t="s">
        <v>28</v>
      </c>
      <c r="X1" s="10" t="s">
        <v>29</v>
      </c>
      <c r="Y1" s="11" t="s">
        <v>339</v>
      </c>
      <c r="Z1" s="11" t="s">
        <v>291</v>
      </c>
      <c r="AA1" s="13" t="s">
        <v>353</v>
      </c>
      <c r="AB1" s="13" t="s">
        <v>274</v>
      </c>
      <c r="AC1" s="13" t="s">
        <v>275</v>
      </c>
      <c r="AD1" s="13" t="s">
        <v>418</v>
      </c>
      <c r="AE1" s="13" t="s">
        <v>420</v>
      </c>
      <c r="AF1" s="13" t="s">
        <v>422</v>
      </c>
      <c r="AG1" s="13" t="s">
        <v>424</v>
      </c>
      <c r="AH1" s="13" t="s">
        <v>425</v>
      </c>
      <c r="AI1" s="13" t="s">
        <v>426</v>
      </c>
      <c r="AJ1" s="13" t="s">
        <v>397</v>
      </c>
      <c r="AK1" s="13" t="s">
        <v>405</v>
      </c>
      <c r="AL1" s="13" t="s">
        <v>409</v>
      </c>
      <c r="AM1" s="13" t="s">
        <v>278</v>
      </c>
      <c r="AN1" s="23" t="s">
        <v>269</v>
      </c>
      <c r="AO1" s="13" t="s">
        <v>270</v>
      </c>
      <c r="AP1" s="13" t="s">
        <v>271</v>
      </c>
      <c r="AQ1" s="13" t="s">
        <v>361</v>
      </c>
      <c r="AR1" s="13" t="s">
        <v>440</v>
      </c>
      <c r="AS1" s="13" t="s">
        <v>390</v>
      </c>
      <c r="AT1" s="13" t="s">
        <v>391</v>
      </c>
      <c r="AU1" s="13" t="s">
        <v>385</v>
      </c>
      <c r="AV1" s="13" t="s">
        <v>373</v>
      </c>
      <c r="AW1" t="s">
        <v>1</v>
      </c>
      <c r="AX1" s="13" t="s">
        <v>376</v>
      </c>
      <c r="AY1" s="13" t="s">
        <v>375</v>
      </c>
      <c r="AZ1" s="13" t="s">
        <v>393</v>
      </c>
      <c r="BA1" s="13" t="s">
        <v>382</v>
      </c>
      <c r="BB1" s="13" t="s">
        <v>377</v>
      </c>
      <c r="BC1" s="13" t="s">
        <v>378</v>
      </c>
      <c r="BD1" s="13" t="s">
        <v>380</v>
      </c>
      <c r="BE1" s="13" t="s">
        <v>379</v>
      </c>
      <c r="BF1" s="13" t="s">
        <v>381</v>
      </c>
      <c r="BG1" s="13" t="s">
        <v>384</v>
      </c>
      <c r="BH1" s="13" t="s">
        <v>383</v>
      </c>
      <c r="BI1" s="13" t="s">
        <v>265</v>
      </c>
      <c r="BJ1" s="13" t="s">
        <v>395</v>
      </c>
      <c r="BK1" s="13" t="s">
        <v>396</v>
      </c>
      <c r="BL1" s="13" t="s">
        <v>520</v>
      </c>
      <c r="BM1" s="13" t="s">
        <v>403</v>
      </c>
      <c r="BN1" s="13" t="s">
        <v>408</v>
      </c>
      <c r="BO1" t="s">
        <v>5</v>
      </c>
      <c r="BP1" s="15" t="s">
        <v>36</v>
      </c>
      <c r="BQ1" s="15" t="s">
        <v>439</v>
      </c>
      <c r="BR1" s="15" t="s">
        <v>343</v>
      </c>
      <c r="BS1" s="15" t="s">
        <v>386</v>
      </c>
      <c r="BT1" s="15" t="s">
        <v>404</v>
      </c>
      <c r="BU1" s="15" t="s">
        <v>407</v>
      </c>
      <c r="BV1" s="15" t="s">
        <v>292</v>
      </c>
      <c r="BW1" s="15" t="s">
        <v>269</v>
      </c>
      <c r="BX1" s="15" t="s">
        <v>270</v>
      </c>
      <c r="BY1" s="15" t="s">
        <v>444</v>
      </c>
      <c r="BZ1" s="3" t="s">
        <v>6</v>
      </c>
      <c r="CA1" s="3" t="s">
        <v>6</v>
      </c>
      <c r="CB1" s="3" t="s">
        <v>6</v>
      </c>
      <c r="CC1" s="16" t="s">
        <v>6</v>
      </c>
      <c r="CD1" s="16" t="s">
        <v>6</v>
      </c>
      <c r="CL1" s="15" t="s">
        <v>355</v>
      </c>
      <c r="CM1" s="15" t="s">
        <v>354</v>
      </c>
      <c r="CN1" s="15" t="s">
        <v>34</v>
      </c>
      <c r="CO1" s="15" t="s">
        <v>354</v>
      </c>
      <c r="CP1" s="15" t="s">
        <v>356</v>
      </c>
      <c r="CQ1" s="15" t="s">
        <v>357</v>
      </c>
      <c r="CR1" s="15" t="s">
        <v>358</v>
      </c>
      <c r="CS1" s="15" t="s">
        <v>359</v>
      </c>
      <c r="CT1" s="15" t="s">
        <v>441</v>
      </c>
      <c r="CU1" s="15" t="s">
        <v>360</v>
      </c>
      <c r="CV1" s="15" t="s">
        <v>392</v>
      </c>
      <c r="CW1" s="15" t="s">
        <v>427</v>
      </c>
      <c r="CX1" s="15" t="s">
        <v>428</v>
      </c>
      <c r="DA1" s="15" t="s">
        <v>372</v>
      </c>
      <c r="DB1" s="15"/>
      <c r="DC1" s="15"/>
      <c r="DD1" s="15"/>
      <c r="DE1" s="15" t="s">
        <v>362</v>
      </c>
      <c r="DF1" s="15" t="s">
        <v>363</v>
      </c>
      <c r="DG1" s="15" t="s">
        <v>365</v>
      </c>
      <c r="DH1" s="15" t="s">
        <v>366</v>
      </c>
      <c r="DI1" s="15" t="s">
        <v>367</v>
      </c>
      <c r="DJ1" s="15" t="s">
        <v>368</v>
      </c>
      <c r="DK1" s="15" t="s">
        <v>369</v>
      </c>
      <c r="DL1" s="15" t="s">
        <v>370</v>
      </c>
      <c r="DM1" s="15" t="s">
        <v>371</v>
      </c>
      <c r="DN1" s="15" t="s">
        <v>421</v>
      </c>
      <c r="DO1" s="15" t="s">
        <v>429</v>
      </c>
      <c r="DP1" s="15" t="s">
        <v>432</v>
      </c>
      <c r="DQ1" s="15" t="s">
        <v>442</v>
      </c>
      <c r="DW1" s="15"/>
      <c r="DX1" s="15" t="s">
        <v>437</v>
      </c>
      <c r="DY1" s="15" t="s">
        <v>438</v>
      </c>
      <c r="DZ1" s="15"/>
      <c r="EA1" s="15"/>
      <c r="EB1" s="15" t="s">
        <v>434</v>
      </c>
      <c r="EC1" s="15" t="s">
        <v>433</v>
      </c>
      <c r="ED1" s="15" t="s">
        <v>435</v>
      </c>
      <c r="EE1" s="15" t="s">
        <v>436</v>
      </c>
      <c r="EF1" s="15"/>
      <c r="EG1" s="15"/>
      <c r="EH1" s="15"/>
      <c r="EI1" s="15"/>
      <c r="EK1" s="15" t="s">
        <v>5</v>
      </c>
      <c r="EL1" s="15" t="s">
        <v>449</v>
      </c>
      <c r="EM1" s="15" t="s">
        <v>450</v>
      </c>
      <c r="EN1" s="15" t="s">
        <v>451</v>
      </c>
      <c r="EO1" s="15" t="s">
        <v>452</v>
      </c>
    </row>
    <row r="2" spans="1:145" s="14" customFormat="1">
      <c r="B2" s="14" t="str">
        <f ca="1">DD2</f>
        <v/>
      </c>
      <c r="C2" s="14">
        <v>0</v>
      </c>
      <c r="D2" s="14">
        <f>ROW(A2)-2</f>
        <v>0</v>
      </c>
      <c r="E2" s="14" t="str">
        <f t="shared" ref="E2:E12" ca="1" si="0">IF(OR(G2="",ROW(G2)=2),"",IF(Y2&gt;0,"S",IF(AW2,IF(J2=2,"D","N"),"I")))</f>
        <v/>
      </c>
      <c r="F2" s="14" t="str">
        <f ca="1">IF(H2,O2,"")</f>
        <v>lp</v>
      </c>
      <c r="G2" s="14" t="str">
        <f ca="1">IF(H2,P2,"")</f>
        <v>Lp</v>
      </c>
      <c r="H2" s="14" t="b">
        <f t="shared" ref="H2:H12" ca="1" si="1">IF(INDIRECT(ADDRESS(2,D2+1,,,_sheetname_dataframe))="",FALSE,MID(INDIRECT(ADDRESS(2,D2+1,,,_sheetname_dataframe)),1,1)&lt;&gt;".")</f>
        <v>1</v>
      </c>
      <c r="I2" s="14" t="str">
        <f ca="1">IF($H2,ADDRESS(3,(D2+1)*2-1,4,,"["&amp;wew!$G$7&amp;"]"&amp;_sheetname_labels)&amp;":"&amp;ADDRESS(2+ster!$B$20,(D2+1)*2-1,4),"")</f>
        <v>'[dane surowe2d.xlsm]labels'!A3:A36</v>
      </c>
      <c r="J2" s="14">
        <f t="array" aca="1" ref="J2" ca="1">IF(H2,MAX(0,MAX(IF(INDIRECT(I2)&lt;&gt;"",ROW(INDIRECT(I2)),""))-2),"")</f>
        <v>0</v>
      </c>
      <c r="K2" s="14" t="str">
        <f ca="1">IF($H2,IF($J2&gt;0,ADDRESS(3,(D2+1)*2-1,4,,"["&amp;wew!$G$7&amp;"]"&amp;_sheetname_labels)&amp;":"&amp;ADDRESS(2+J2,(D2+1)*2-1,4),""),"")</f>
        <v/>
      </c>
      <c r="L2" s="14" t="str">
        <f ca="1">IF($H2,IF($J2&gt;0,ADDRESS(3,(D2+1)*2,4,,"["&amp;wew!$G$7&amp;"]"&amp;_sheetname_labels)&amp;":"&amp;ADDRESS(2+J2,(D2+1)*2,4),""),"")</f>
        <v/>
      </c>
      <c r="M2" s="14">
        <f ca="1">IF($H2,IF(J2&gt;0,COUNTA(INDIRECT(K2))-COUNT(INDIRECT(K2)),0),"")</f>
        <v>0</v>
      </c>
      <c r="N2" s="14">
        <f ca="1">IF(H2,J2-M2,"")</f>
        <v>0</v>
      </c>
      <c r="O2" s="14" t="str">
        <f t="shared" ref="O2:O12" ca="1" si="2">IF(INDIRECT(ADDRESS(2,D2+1,,,_sheetname_dataframe))="","",INDIRECT(ADDRESS(2,D2+1,,,_sheetname_dataframe)))</f>
        <v>lp</v>
      </c>
      <c r="P2" s="14" t="str">
        <f t="shared" ref="P2:P12" ca="1" si="3">IF(H2,IF(INDIRECT(ADDRESS(1,D2+1,,,_sheetname_dataframe))="","",INDIRECT(ADDRESS(1,D2+1,,,_sheetname_dataframe))),"")</f>
        <v>Lp</v>
      </c>
      <c r="Q2" s="14" t="str">
        <f ca="1">IF($H2,ADDRESS(3,D2+1,4,,"["&amp;wew!$G$7&amp;"]"&amp;_sheetname_dataframe)&amp;":"&amp;ADDRESS(2+ster!$C$14,D2+1,4),"")</f>
        <v>'[dane surowe2d.xlsm]data_frame'!A3:A12</v>
      </c>
      <c r="R2" s="14">
        <f t="array" aca="1" ref="R2" ca="1">IF(H2,SUM(IF((IFERROR(INDIRECT(Q2)&lt;&gt;"",FALSE))*(INDIRECT(ster!$D$14)&lt;&gt;""),1,0)),"")</f>
        <v>9</v>
      </c>
      <c r="S2" s="14">
        <f t="array" aca="1" ref="S2" ca="1">IF(H2,IF(M2&gt;0,SUM(IFERROR(1*(MATCH(INDIRECT(Q2),INDIRECT(K2),0)&gt;0),0)*(INDIRECT(ster!$D$14)&lt;&gt;"")*NOT(ISNUMBER(INDIRECT(Q2)))),0),"")</f>
        <v>0</v>
      </c>
      <c r="T2" s="14">
        <f t="array" aca="1" ref="T2" ca="1">IF(H2,SUM((IFERROR(INDIRECT(Q2)="",FALSE))*(INDIRECT(ster!$D$14)&lt;&gt;"")),"")</f>
        <v>0</v>
      </c>
      <c r="U2" s="14">
        <f t="array" aca="1" ref="U2" ca="1">IF(H2,SUM((IFERROR(INDIRECT(Q2)="#ąś",TRUE))*(INDIRECT(ster!$D$14)&lt;&gt;"")),"")</f>
        <v>0</v>
      </c>
      <c r="V2" s="14">
        <f t="array" aca="1" ref="V2" ca="1">IF(H2,SUM(ISNUMBER(INDIRECT(Q2))*(INDIRECT(ster!$D$14)&lt;&gt;"")),"")</f>
        <v>0</v>
      </c>
      <c r="W2" s="14" t="str">
        <f t="array" aca="1" ref="W2" ca="1">IF(AND(H2,V2&gt;0),IF(wew!$B$3,MIN(IF((INDIRECT(ster!$D$14)&lt;&gt;"")*IFERROR(INDIRECT($Q2)&lt;&gt;"",FALSE),IFERROR(INDIRECT($Q2),"X"),"X")),"&lt;włącz podświetlanie wartości&gt;"),"—")</f>
        <v>—</v>
      </c>
      <c r="X2" s="14" t="str">
        <f t="array" aca="1" ref="X2" ca="1">IF(AND(H2,V2&gt;0),IF(wew!$B$3,MAX(IF((INDIRECT(ster!$D$14)&lt;&gt;"")*IFERROR(INDIRECT($Q2)&lt;&gt;"",FALSE),IFERROR(INDIRECT($Q2),"X"),"X")),"&lt;włącz podświetlanie wartości&gt;"),"—")</f>
        <v>—</v>
      </c>
      <c r="Y2" s="14">
        <f t="shared" ref="Y2:Y12" ca="1" si="4">IF(H2,R2-S2-V2,"")</f>
        <v>9</v>
      </c>
      <c r="Z2" s="12">
        <f t="shared" ref="Z2:Z12" ca="1" si="5">IF(H2,IF(R2&gt;0,V2/(R2),"—"),"")</f>
        <v>0</v>
      </c>
      <c r="AA2" s="17">
        <f t="array" aca="1" ref="AA2" ca="1">IF(H2,IF(V2&gt;0,SUM((INDIRECT(ster!$D$14)&lt;&gt;"")*IFERROR((INDIRECT(Q2)&lt;&gt;"")*(INDIRECT(Q2)=INT(INDIRECT(Q2))),0)),0),"")</f>
        <v>0</v>
      </c>
      <c r="AB2" s="17">
        <f t="array" aca="1" ref="AB2" ca="1">IF(H2,V2-AA2,"")</f>
        <v>0</v>
      </c>
      <c r="AC2" s="17">
        <f ca="1">IF($H2,IF(AB2&lt;&gt;"",IF(AB2=0,1,IF(AB2/V2&lt;0.15,2,3)),0),"")</f>
        <v>1</v>
      </c>
      <c r="AD2" s="17" t="b">
        <f ca="1">IF(H2,OFFSET(O2,1,0)=".validation",FALSE)</f>
        <v>0</v>
      </c>
      <c r="AE2" s="17" t="str">
        <f ca="1">IF(AD2,IF($H2,ADDRESS(3,D2+2,4,,"["&amp;wew!$G$7&amp;"]"&amp;_sheetname_dataframe)&amp;":"&amp;ADDRESS(2+ster!$C$14,D2+2,4),""),"")</f>
        <v/>
      </c>
      <c r="AF2" s="17" t="str">
        <f t="shared" ref="AF2:AF12" ca="1" si="6">IF(AD2,IF($H2,IF(INDIRECT(ADDRESS(1,D2+2,,,_sheetname_dataframe))="","",INDIRECT(ADDRESS(1,D2+2,,,_sheetname_dataframe))),""),"")</f>
        <v/>
      </c>
      <c r="AG2" s="17" t="b">
        <f t="shared" ref="AG2:AG12" ca="1" si="7">IF(H2,AND(AD2,OFFSET(O2,2,0)=".validation"),FALSE)</f>
        <v>0</v>
      </c>
      <c r="AH2" s="17" t="str">
        <f ca="1">IF(AG2,IF($H2,ADDRESS(3,D2+3,4,,"["&amp;wew!$G$7&amp;"]"&amp;_sheetname_dataframe)&amp;":"&amp;ADDRESS(2+ster!$C$14,D2+3,4),""),"")</f>
        <v/>
      </c>
      <c r="AI2" s="17" t="str">
        <f t="shared" ref="AI2:AI12" ca="1" si="8">IF(AG2,IF($H2,IF(INDIRECT(ADDRESS(1,D2+3,,,_sheetname_dataframe))="","",INDIRECT(ADDRESS(1,D2+3,,,_sheetname_dataframe))),""),"")</f>
        <v/>
      </c>
      <c r="AJ2" s="17" t="b">
        <f t="shared" ref="AJ2:AJ12" ca="1" si="9">IF(H2,OR(AP2,AC2=2),"")</f>
        <v>0</v>
      </c>
      <c r="AK2" s="17" t="b">
        <f ca="1">IF($H2,IF(BT2&lt;&gt;"",IF(OR(BL2="F",BL2="L",BL2="I",BL2="D"),BT2&lt;&gt;0)),"")</f>
        <v>0</v>
      </c>
      <c r="AL2" s="17" t="b">
        <f ca="1">IF($H2,AND(NOT(AK2),OR(IF(BU2&lt;&gt;"",IF(OR(BL2="F",BL2="L"),BU2&lt;&gt;0)),BL2="I",BL2="N",BL2="D")),"")</f>
        <v>0</v>
      </c>
      <c r="AM2" s="17">
        <f t="shared" ref="AM2:AM12" ca="1" si="10">IF(COUNTA(INDIRECT(Q2))=0,0, IF(AND(AN2&lt;&gt;"",W2&lt;AN2),1,IF(AND(AO2&lt;&gt;"",X2&gt;AO2),1,IF(AND(AP2,AB2&gt;0),2,0))))</f>
        <v>0</v>
      </c>
      <c r="AN2" s="24" t="str">
        <f t="shared" ref="AN2" ca="1" si="11">IF($H2,IF(BW2&lt;&gt;"",IF(ISNUMBER(BW2),BW2,""),""),"")</f>
        <v/>
      </c>
      <c r="AO2" s="24" t="str">
        <f t="shared" ref="AO2" ca="1" si="12">IF($H2,IF(BX2&lt;&gt;"",IF(ISNUMBER(BX2),BX2,""),""),"")</f>
        <v/>
      </c>
      <c r="AP2" s="17" t="b">
        <f t="shared" ref="AP2:AP12" ca="1" si="13">IF(H2,IF(BY2&lt;&gt;"",BY2&lt;&gt;0,FALSE),"")</f>
        <v>0</v>
      </c>
      <c r="AQ2" s="17" t="b">
        <f t="shared" ref="AQ2:AQ12" ca="1" si="14">IF(H2,IF(N2&gt;0,IF(BP2&lt;&gt;"",BP2&lt;&gt;0,FALSE),FALSE),"")</f>
        <v>0</v>
      </c>
      <c r="AR2" s="17" t="b">
        <f t="shared" ref="AR2:AR12" ca="1" si="15">IF(H2,IF(BQ2&lt;&gt;"",BQ2&lt;&gt;0,FALSE),"")</f>
        <v>0</v>
      </c>
      <c r="AS2" s="17" t="b">
        <f t="shared" ref="AS2:AS12" ca="1" si="16">IF(H2,IF(N2&gt;0,FALSE,IF(BS2&lt;&gt;"",MATCH(BS2,DataType,0)=1,FALSE)),"")</f>
        <v>0</v>
      </c>
      <c r="AT2" s="17" t="b">
        <f t="shared" ref="AT2:AT12" ca="1" si="17">IF(H2,IF(N2&gt;0,TRUE,IF(BS2&lt;&gt;"",MATCH(BS2,DataType,0)=2,FALSE)),"")</f>
        <v>0</v>
      </c>
      <c r="AU2" s="17" t="b">
        <f t="shared" ref="AU2:AU12" ca="1" si="18">IF(H2,IF(N2&gt;0,FALSE,IF(BS2&lt;&gt;"",MATCH(BS2,DataType,0)=3,FALSE)),"")</f>
        <v>0</v>
      </c>
      <c r="AV2" s="17" t="b">
        <f t="shared" ref="AV2:AV12" ca="1" si="19">IF(H2,IF(V2&gt;0,Y2=0,FALSE),"")</f>
        <v>0</v>
      </c>
      <c r="AW2" s="14" t="b">
        <f t="array" aca="1" ref="AW2" ca="1">IF(H2,N2&gt;0,"")</f>
        <v>0</v>
      </c>
      <c r="AX2" s="17" t="str">
        <f t="shared" ref="AX2:AX24" ca="1" si="20">IF(H2,IF(N2&gt;0,ADDRESS(ROW(VariablesOrigin)+1,COLUMN(VariablesOrigin)+1,4) &amp; ":" &amp; ADDRESS(ROW(VariablesOrigin)+N2,COLUMN(VariablesOrigin)+1,4),""),"")</f>
        <v/>
      </c>
      <c r="AY2" s="17" t="str">
        <f t="array" aca="1" ref="AY2" ca="1">IF(AX2&lt;&gt;"",SUM(1*ISERROR(MATCH(INDIRECT(AX2),INDIRECT(K2),0)))=0,"")</f>
        <v/>
      </c>
      <c r="AZ2" s="17" t="b">
        <f t="shared" ref="AZ2:AZ12" ca="1" si="21">IF(H2,BS2="",FALSE)</f>
        <v>1</v>
      </c>
      <c r="BA2" s="17" t="b">
        <f ca="1">IF(AZ2,R2=0,"")</f>
        <v>0</v>
      </c>
      <c r="BB2" s="17" t="b">
        <f t="shared" ref="BB2:BB12" ca="1" si="22">IF(AZ2,IF(N2&gt;0,AND(AY2,Y2=0),FALSE),"")</f>
        <v>0</v>
      </c>
      <c r="BC2" s="17" t="b">
        <f t="shared" ref="BC2:BC12" ca="1" si="23">IF(AZ2,IF(N2&gt;0,AND(NOT(AY2),Y2=0),FALSE),"")</f>
        <v>0</v>
      </c>
      <c r="BD2" s="17" t="b">
        <f ca="1">IF(AZ2,IF(AND(AV2,NOT(BA2),NOT(BB2),NOT(BC2)),AND(Y2=0,AB2=0),FALSE),"")</f>
        <v>0</v>
      </c>
      <c r="BE2" s="17" t="b">
        <f ca="1">IF(AZ2,IF(AND(AV2,NOT(BA2),NOT(BB2),NOT(BC2)),AND(Y2=0,OR(AB2&gt;0)),FALSE),"")</f>
        <v>0</v>
      </c>
      <c r="BF2" s="17" t="b">
        <f ca="1">IF(AZ2,IF(OR(BA2:BE2),FALSE,IF(Y2=0,FALSE,Y2&gt;0)),"")</f>
        <v>1</v>
      </c>
      <c r="BG2" s="17" t="b">
        <f ca="1">IF(AZ2,COUNTIF(BA2:BF2,TRUE)=1,"")</f>
        <v>1</v>
      </c>
      <c r="BH2" s="17">
        <f ca="1">IF(AZ2,IFERROR(MATCH(TRUE,BA2:BF2,0),7),"")</f>
        <v>6</v>
      </c>
      <c r="BI2" s="17" t="b">
        <f ca="1">DD2&lt;&gt;""</f>
        <v>0</v>
      </c>
      <c r="BJ2" s="17" t="str">
        <f t="shared" ref="BJ2:BJ12" ca="1" si="24">IF(H2,IF(AND(NOT(AZ2),AT2),AB2=0,""),"")</f>
        <v/>
      </c>
      <c r="BK2" s="17" t="str">
        <f t="shared" ref="BK2:BK12" ca="1" si="25">IF(H2,IF(AND(NOT(AZ2),AT2),AB2&gt;0,""),"")</f>
        <v/>
      </c>
      <c r="BL2" s="17" t="str">
        <f t="shared" ref="BL2:BL12" ca="1" si="26">IF(H2,IF(AZ2,CHOOSE(BH2,"0","F","L","I","N",IF(Z2&gt;0.5,"N","S"),"0"),CHOOSE(MATCH(BS2,DataType,0),"S",IF(BJ2,"I","N"),"D"  )),"")</f>
        <v>S</v>
      </c>
      <c r="BM2" s="17" t="str">
        <f t="shared" ref="BM2:BM12" ca="1" si="27">IF(H2,IF(BI2,"E",IF(AZ2,CHOOSE(BH2,"0","F","L","I","N","S","0"),CHOOSE(MATCH(BS2,DataType,0),"S",IF(BJ2,"I","N"),"D"  ))),"")</f>
        <v>S</v>
      </c>
      <c r="BN2" s="17" t="str">
        <f t="shared" ref="BN2:BN12" ca="1" si="28">IF($H2,IF(BL2="0","",IF(AND(AQ2,N2=2),"D",IF(BL2="S","N",IF(AK2,"O",IF(AL2,"I","N"))))),"")</f>
        <v>N</v>
      </c>
      <c r="BO2" s="14" t="b">
        <f t="shared" ref="BO2:BO12" ca="1" si="29">INDIRECT(ADDRESS(2,ROW(A2)-1,,,_sheetname_dataframe))&lt;&gt;""</f>
        <v>1</v>
      </c>
      <c r="BP2" s="15">
        <v>0</v>
      </c>
      <c r="BV2" s="16"/>
      <c r="BW2" s="16"/>
      <c r="BX2" s="16"/>
      <c r="BY2" s="16"/>
      <c r="BZ2" s="16"/>
      <c r="CA2" s="16"/>
      <c r="CB2" s="16"/>
      <c r="CC2" s="16"/>
      <c r="CD2" s="16"/>
      <c r="CL2" s="14">
        <f ca="1">IF(H2,IFERROR(IsVariableNameLegal(O2),0),0)</f>
        <v>0</v>
      </c>
      <c r="CM2" s="14" t="str">
        <f t="array" aca="1" ref="CM2" ca="1">IF(H2,IF(COUNTIF(INDIRECT(wew!$C$13),O2)&gt;1,TRIM(SUBSTITUTE(_xll.MCONCAT(IF((INDIRECT(wew!$C$13)=O2)*(COLUMN(INDIRECT(wew!$C$13))&lt;&gt;D2+1),-1+COLUMN(INDIRECT(wew!$C$13)),"")," "),"  "," ")),""),"")</f>
        <v/>
      </c>
      <c r="CN2" s="14" t="str">
        <f t="array" aca="1" ref="CN2" ca="1">IF(P2&lt;&gt;"",IF(LEN(P2)&gt;150,1,""),"")</f>
        <v/>
      </c>
      <c r="CO2" s="14" t="str">
        <f t="array" aca="1" ref="CO2" ca="1">IF(AND(H2,NOT(ster!$J$3)),IF(COUNTIF(INDIRECT(wew!$C$15),P2)&gt;1,TRIM(SUBSTITUTE(_xll.MCONCAT(IF((INDIRECT(wew!$C$15)=P2)*(COLUMN(INDIRECT(wew!$C$15))&lt;&gt;D2+1),-1+COLUMN(INDIRECT(wew!$C$15)),"")," "),"  "," ")),""),"")</f>
        <v/>
      </c>
      <c r="CP2" s="14" t="str">
        <f t="array" aca="1" ref="CP2" ca="1">IF(H2,IF(AND(V2&gt;0,AN2&lt;&gt;""),TRIM(SUBSTITUTE(_xll.MCONCAT(IFERROR(IF(ISNUMBER(INDIRECT(Q2)),IF((INDIRECT(ster!$D$14)&lt;&gt;"")*(INDIRECT(Q2)&lt;AN2),INDIRECT(ster!$D$14) &amp; ": " &amp;  SUBSTITUTE(IF( AU2,IFERROR(TEXT(INDIRECT(Q2),"rrrr-mm-dd") &amp;" (" &amp; INDIRECT(Q2) &amp;")",INDIRECT(Q2)),INDIRECT(Q2))," "," "),""),""),"")," "),"  "," ")),""),"")</f>
        <v/>
      </c>
      <c r="CQ2" s="14" t="str">
        <f t="array" aca="1" ref="CQ2" ca="1">IF(H2,IF(AND(V2&gt;0,AO2&lt;&gt;""),TRIM(SUBSTITUTE(_xll.MCONCAT(IFERROR(IF(ISNUMBER(INDIRECT(Q2)),IF((INDIRECT(ster!$D$14)&lt;&gt;"")*(INDIRECT(Q2)&gt;AO2),INDIRECT(ster!$D$14) &amp; ": " &amp;  SUBSTITUTE(IF( AU2,IFERROR(TEXT(INDIRECT(Q2),"rrrr-mm-dd")&amp;" (" &amp; INDIRECT(Q2) &amp;")",INDIRECT(Q2)),INDIRECT(Q2))," "," "),""),""),"")," "),"  "," ")),""),"")</f>
        <v/>
      </c>
      <c r="CR2" s="14" t="str">
        <f t="array" aca="1" ref="CR2" ca="1">IF(H2,IF(AND(N2&gt;0,AQ2),TRIM(SUBSTITUTE(_xll.MCONCAT(IFERROR(IF(ISNUMBER(INDIRECT(Q2)),IF((INDIRECT(ster!$D$14)&lt;&gt;"")*(IFERROR(0*(MATCH(INDIRECT(Q2),INDIRECT(K2),0)&gt;0),1)),INDIRECT(ster!$D$14) &amp; ": " &amp;  SUBSTITUTE(IF( AU2,IFERROR(TEXT(INDIRECT(Q2),"rrrr-mm-dd")&amp;" (" &amp; INDIRECT(Q2) &amp;")",INDIRECT(Q2)),INDIRECT(Q2))," "," "),""),""),"")," "),"  "," ")),""),"")</f>
        <v/>
      </c>
      <c r="CS2" s="14" t="str">
        <f t="array" aca="1" ref="CS2" ca="1">IF(H2,IF(AND(U2&gt;0),TRIM(SUBSTITUTE(_xll.MCONCAT(IF((INDIRECT(ster!$D$14)&lt;&gt;"")*(IFERROR(0*(INDIRECT(Q2)&lt;&gt;""),1)),INDIRECT(ster!$D$14),"")," "),"  "," ")),""),"")</f>
        <v/>
      </c>
      <c r="CT2" s="14" t="str">
        <f t="array" aca="1" ref="CT2" ca="1">IF(H2,IF(AR2,
TRIM(SUBSTITUTE(_xll.MCONCAT(IF(
   (INDIRECT(ster!$D$14)&lt;&gt;"")*
   ((INDIRECT(Q2)="")+
      NOT(ISNUMBER(INDIRECT(Q2)))*
      NOT(ISERROR(MATCH(INDIRECT(Q2),INDIRECT(K2),0)))
    ),
      INDIRECT(ster!$D$14),
   "")," "),"  "," ")),
""),"")</f>
        <v/>
      </c>
      <c r="CU2" s="14" t="str">
        <f t="array" aca="1" ref="CU2" ca="1">IF(H2,IF(AND(AP2),TRIM(SUBSTITUTE(_xll.MCONCAT(IFERROR(IF(ISNUMBER(INDIRECT(Q2)),IF((INDIRECT(ster!$D$14)&lt;&gt;"")*(INDIRECT(Q2)&lt;&gt;INT(INDIRECT(Q2))),INDIRECT(ster!$D$14) &amp; ": " &amp; INDIRECT(Q2),""),""),"")," "),"  "," ")),""),"")</f>
        <v/>
      </c>
      <c r="CV2" s="14" t="str">
        <f t="array" aca="1" ref="CV2" ca="1">IF(H2,IF(OR(AT2,AU2),TRIM(SUBSTITUTE(_xll.MCONCAT(IF((INDIRECT(ster!$D$14)&lt;&gt;"")*NOT(ISNUMBER(INDIRECT(Q2))),IF(ISERROR(MATCH(INDIRECT(Q2),INDIRECT(K2),0)),IFERROR(IF(INDIRECT(Q2)&lt;&gt;"",INDIRECT(ster!$D$14) &amp; ": " &amp; SUBSTITUTE(INDIRECT(Q2)," "," "),""),""),""),"")," "),"  "," ")),""),"")</f>
        <v/>
      </c>
      <c r="CW2" s="14" t="str">
        <f t="array" aca="1" ref="CW2" ca="1">IF(H2,IF(AD2,TRIM(SUBSTITUTE(_xll.MCONCAT(IF((INDIRECT(ster!$D$14)&lt;&gt;"")*IFERROR(NOT(INDIRECT(AE2)),FALSE),IF(ISERROR(MATCH(INDIRECT(Q2),INDIRECT(K2),0)),IFERROR(IF(INDIRECT(Q2)&lt;&gt;"",INDIRECT(ster!$D$14) &amp; ": " &amp;  SUBSTITUTE(IF( AU2,IFERROR(TEXT(INDIRECT(Q2),"rrrr-mm-dd")&amp;" (" &amp; INDIRECT(Q2) &amp;")",INDIRECT(Q2)),INDIRECT(Q2))," "," "),""),""),""),"")," "),"  "," ")),""),"")</f>
        <v/>
      </c>
      <c r="CX2" s="14" t="str">
        <f t="array" aca="1" ref="CX2" ca="1">IF(H2,IF(AG2,TRIM(SUBSTITUTE(_xll.MCONCAT(IF((INDIRECT(ster!$D$14)&lt;&gt;"")*IFERROR(NOT(INDIRECT(AH2)),FALSE),IF(ISERROR(MATCH(INDIRECT(Q2),INDIRECT(K2),0)),IFERROR(IF(INDIRECT(Q2)&lt;&gt;"",INDIRECT(ster!$D$14) &amp; ": " &amp;  SUBSTITUTE(IF( AU2,IFERROR(TEXT(INDIRECT(Q2),"rrrr-mm-dd")&amp;" (" &amp; INDIRECT(Q2) &amp;")",INDIRECT(Q2)),INDIRECT(Q2))," "," "),""),""),""),"")," "),"  "," ")),""),"")</f>
        <v/>
      </c>
      <c r="DA2" s="14" t="str">
        <f ca="1">SUBSTITUTE(SUBSTITUTE(SUBSTITUTE(SUBSTITUTE(_xll.MCONCAT(DE2:DQ2,"■"),"■■","■"),"■■","■"),"■■","■"),"■■","■")</f>
        <v>■</v>
      </c>
      <c r="DB2" s="14" t="str">
        <f ca="1">IF(MID(DA2,1,1)="■",MID(DA2,2,LEN(DA2)),DA2)</f>
        <v/>
      </c>
      <c r="DC2" s="14" t="str">
        <f ca="1">IF(DB2&lt;&gt;"",IF(MID(DB2,LEN(DB2),1)="■",MID(DB2,1,LEN(DB2)-1),DB2),"")</f>
        <v/>
      </c>
      <c r="DD2" s="14" t="str">
        <f ca="1">IFERROR(IF(DC2&lt;&gt;"",SUBSTITUTE(DC2,"■",". "),""),"##INTERNAL_ERROR")</f>
        <v/>
      </c>
      <c r="DE2" s="14" t="str">
        <f ca="1">IF(CL2&lt;&gt;0,"Variable name don't comply with the naming convention","")</f>
        <v/>
      </c>
      <c r="DF2" s="14" t="str">
        <f ca="1">IF(CM2&lt;&gt;"","Duplicated name. " &amp; IF(ISERROR(FIND(" ",CM2)),"Duplicate have index " &amp; CM2, "Duplicates have indices: "&amp;SUBSTITUTE(CM2," ",", ")),"")</f>
        <v/>
      </c>
      <c r="DG2" s="14" t="str">
        <f ca="1">IF(CN2&lt;&gt;"","Variable label exceed length 150","")</f>
        <v/>
      </c>
      <c r="DH2" s="14" t="str">
        <f ca="1">IF(CO2&lt;&gt;"","Duplicated variable label. " &amp; IF(ISERROR(FIND(" ",CO2)),"Duplicate have index " &amp; CO2, "Duplicates have indices: "&amp;SUBSTITUTE(CO2," ",", ")),"")</f>
        <v/>
      </c>
      <c r="DI2" s="14" t="str">
        <f ca="1">IF(CP2&lt;&gt;"","The following cases have values below declared theorethical min: " &amp;SUBSTITUTE(CP2," ",", "),"")</f>
        <v/>
      </c>
      <c r="DJ2" s="14" t="str">
        <f ca="1">IF(CQ2&lt;&gt;"","The following cases have values above declared theorethical max: " &amp;SUBSTITUTE(CQ2," ",", "),"")</f>
        <v/>
      </c>
      <c r="DK2" s="14" t="str">
        <f ca="1">IF(CR2&lt;&gt;"","There are some cases with values not explicitly declared in the labels dictionary: " &amp;SUBSTITUTE(CR2," ",", "),"")</f>
        <v/>
      </c>
      <c r="DL2" s="14" t="str">
        <f t="array" aca="1" ref="DL2" ca="1">IF(CS2&lt;&gt;"","There are errors in the entered values in the following cases: " &amp;SUBSTITUTE(CS2," ",", "),"")</f>
        <v/>
      </c>
      <c r="DM2" s="14" t="str">
        <f ca="1">IF(CT2&lt;&gt;"","The following records are missing in this required field: " &amp;SUBSTITUTE(CT2," ",", "),"")</f>
        <v/>
      </c>
      <c r="DN2" s="14" t="str">
        <f ca="1">IF(CU2&lt;&gt;"","The following cases have non-integer values: " &amp;SUBSTITUTE(CU2," ",", "),"")</f>
        <v/>
      </c>
      <c r="DO2" s="14" t="str">
        <f ca="1">IF(CV2&lt;&gt;"","The following cases are non-numeric: " &amp;SUBSTITUTE(CV2," ",", "),"")</f>
        <v/>
      </c>
      <c r="DP2" s="14" t="str">
        <f t="shared" ref="DP2:DP12" ca="1" si="30">IF(CW2&lt;&gt;"","In the following cases " &amp; P2 &amp; " " &amp; LOWER(MID(AF2,1,1)) &amp; MID(AF2,2,LEN(AF2)) &amp; ": " &amp;SUBSTITUTE(CW2," ",", "),"")</f>
        <v/>
      </c>
      <c r="DQ2" s="14" t="str">
        <f t="shared" ref="DQ2:DQ12" ca="1" si="31">IF(CX2&lt;&gt;"","In the following cases " &amp; P2 &amp; " " &amp; LOWER(MID(AI2,1,1)) &amp; MID(AI2,2,LEN(AI2)) &amp; ": " &amp;SUBSTITUTE(CX2," ",", "),"")</f>
        <v/>
      </c>
      <c r="DX2" s="14" t="b">
        <f ca="1">OR(EB2&lt;&gt;"",ED2&lt;&gt;"",EE2&lt;&gt;"")</f>
        <v>0</v>
      </c>
      <c r="DY2" s="14" t="str">
        <f t="shared" ref="DY2:DY12" ca="1" si="32">IF(DZ2&lt;&gt;"",G2 &amp; " (" &amp; F2 &amp; ")","")</f>
        <v/>
      </c>
      <c r="DZ2" s="14" t="str">
        <f ca="1">IF(EC2&lt;&gt;"",EC2&amp;IF(EB2&lt;&gt;""," and "&amp;EB2,""),UPPER(MID(EB2,1,1)&amp;MID(EB2,2,LEN(EB2))))&amp; IF(OR(ED2&lt;&gt;"",EE2&lt;&gt;"")," and "&amp;IF(ED2&lt;&gt;"",LOWER(MID(ED2,1,1) &amp; MID(ED2,2,LEN(ED2))),"")&amp; IF(AND(ED2 &lt;&gt;"",EE2&lt;&gt;"")," and ","") &amp; IF(EE2&lt;&gt;"",LOWER(MID(EE2,1,1) &amp; MID(EE2,2,LEN(EE2))),""),"") &amp; IF(OR(EC2&lt;&gt;"",EB2&lt;&gt;"",ED2&lt;&gt;"",EE2&lt;&gt;""), ". ","")</f>
        <v/>
      </c>
      <c r="EA2" s="14" t="str">
        <f t="shared" ref="EA2:EA12" ca="1" si="33">IF(DZ2&lt;&gt;"",G2 &amp; " (" &amp; F2 &amp; "): " &amp; DZ2,"")</f>
        <v/>
      </c>
      <c r="EB2" s="14" t="str">
        <f t="shared" ref="EB2:EB12" ca="1" si="34">IF(H2,IF(V2&gt;0,IF(AND(AN2&lt;&gt;"",AO2&lt;&gt;""),"each value must be between " &amp; IF( AU2,IFERROR(TEXT(AN2,"rrrr-mm-dd") &amp;" (" &amp; AN2 &amp;")",AN2),AN2) &amp; " and " &amp; IF( AU2,IFERROR(TEXT(AO2,"rrrr-mm-dd") &amp;" (" &amp; AO2 &amp;")",AO2),AO2),IF(AN2&lt;&gt;"","each value must be above " &amp; IF( AU2,IFERROR(TEXT(AN2,"rrrr-mm-dd") &amp;" (" &amp; AN2 &amp;")",AN2),AN2), IF(AO2&lt;&gt;"","each value must be below " &amp; IF( AU2,IFERROR(TEXT(AO2,"rrrr-mm-dd") &amp;" (" &amp; AO2 &amp;")",AO2),AO2),""))),""),"")</f>
        <v/>
      </c>
      <c r="EC2" s="14" t="str">
        <f t="shared" ref="EC2:EC12" ca="1" si="35">IF(H2,IF(OR(AP2,AT2,AU2,AR2,AQ2),
   "Values must be" &amp;
   IF(AQ2," limited to predefinied list", IF(AP2, " integers",IF(OR(AT2,AU2)," numeric",""))) &amp;
   IF(AR2,IF(OR(AQ2,AP2,AT2,AU2), " and ","") &amp; "non-missing",""),
""),"")</f>
        <v/>
      </c>
      <c r="ED2" s="14" t="str">
        <f ca="1">IF($H2,AF2,"")</f>
        <v/>
      </c>
      <c r="EE2" s="14" t="str">
        <f ca="1">IF($H2,AI2,"")</f>
        <v/>
      </c>
      <c r="EH2" s="14" t="str">
        <f ca="1">IF(DO2&lt;&gt;"","In the following cases " &amp; AE2 &amp; " " &amp; AZ2 &amp; ": " &amp;SUBSTITUTE(DO2," ",", "),"")</f>
        <v/>
      </c>
      <c r="EI2" s="14" t="str">
        <f ca="1">IF(DP2&lt;&gt;"","In the following cases " &amp; AF2 &amp; " " &amp; BA2 &amp; ": " &amp;SUBSTITUTE(DP2," ",", "),"")</f>
        <v/>
      </c>
      <c r="EK2" s="14" t="b">
        <f ca="1">OR(EA2&lt;&gt;"",DD2&lt;&gt;"")</f>
        <v>0</v>
      </c>
      <c r="EL2" s="14" t="str">
        <f t="shared" ref="EL2:EL12" ca="1" si="36">IF(EK2,C2,"")</f>
        <v/>
      </c>
      <c r="EM2" s="14" t="str">
        <f t="shared" ref="EM2:EM12" ca="1" si="37">IF(EK2,F2,"")</f>
        <v/>
      </c>
      <c r="EN2" s="14" t="str">
        <f ca="1">EA2</f>
        <v/>
      </c>
      <c r="EO2" s="14" t="str">
        <f ca="1">DD2</f>
        <v/>
      </c>
    </row>
    <row r="3" spans="1:145">
      <c r="B3" s="14" t="str">
        <f t="shared" ref="B3:B12" ca="1" si="38">DD3</f>
        <v/>
      </c>
      <c r="C3" s="14">
        <f t="shared" ref="C3:C12" ca="1" si="39">IF(OFFSET(B3,-1,COLUMN(VariableExists)-2),OFFSET(B3,-1,1)+1,OFFSET(B3,-1,1))</f>
        <v>1</v>
      </c>
      <c r="D3" s="14">
        <f t="shared" ref="D3:D12" si="40">ROW(A3)-2</f>
        <v>1</v>
      </c>
      <c r="E3" s="14" t="str">
        <f t="shared" ca="1" si="0"/>
        <v>S</v>
      </c>
      <c r="F3" s="14" t="str">
        <f t="shared" ref="F3:F12" ca="1" si="41">IF(H3,O3,"")</f>
        <v>txt</v>
      </c>
      <c r="G3" s="14" t="str">
        <f t="shared" ref="G3:G12" ca="1" si="42">IF(H3,P3,"")</f>
        <v>Zmienna tekstowa</v>
      </c>
      <c r="H3" s="14" t="b">
        <f t="shared" ca="1" si="1"/>
        <v>1</v>
      </c>
      <c r="I3" s="14" t="str">
        <f ca="1">IF($H3,ADDRESS(3,(D3+1)*2-1,4,,"["&amp;wew!$G$7&amp;"]"&amp;_sheetname_labels)&amp;":"&amp;ADDRESS(2+ster!$B$20,(D3+1)*2-1,4),"")</f>
        <v>'[dane surowe2d.xlsm]labels'!C3:C36</v>
      </c>
      <c r="J3" s="14">
        <f t="array" aca="1" ref="J3" ca="1">IF(H3,MAX(0,MAX(IF(INDIRECT(I3)&lt;&gt;"",ROW(INDIRECT(I3)),""))-2),"")</f>
        <v>1</v>
      </c>
      <c r="K3" s="14" t="str">
        <f ca="1">IF($H3,IF($J3&gt;0,ADDRESS(3,(D3+1)*2-1,4,,"["&amp;wew!$G$7&amp;"]"&amp;_sheetname_labels)&amp;":"&amp;ADDRESS(2+J3,(D3+1)*2-1,4),""),"")</f>
        <v>'[dane surowe2d.xlsm]labels'!C3:C3</v>
      </c>
      <c r="L3" s="14" t="str">
        <f ca="1">IF($H3,IF($J3&gt;0,ADDRESS(3,(D3+1)*2,4,,"["&amp;wew!$G$7&amp;"]"&amp;_sheetname_labels)&amp;":"&amp;ADDRESS(2+J3,(D3+1)*2,4),""),"")</f>
        <v>'[dane surowe2d.xlsm]labels'!D3:D3</v>
      </c>
      <c r="M3" s="14">
        <f t="shared" ref="M3:M12" ca="1" si="43">IF($H3,IF(J3&gt;0,COUNTA(INDIRECT(K3))-COUNT(INDIRECT(K3)),0),"")</f>
        <v>1</v>
      </c>
      <c r="N3" s="14">
        <f t="shared" ref="N3:N12" ca="1" si="44">IF(H3,J3-M3,"")</f>
        <v>0</v>
      </c>
      <c r="O3" s="14" t="str">
        <f t="shared" ca="1" si="2"/>
        <v>txt</v>
      </c>
      <c r="P3" s="14" t="str">
        <f t="shared" ca="1" si="3"/>
        <v>Zmienna tekstowa</v>
      </c>
      <c r="Q3" s="14" t="str">
        <f ca="1">IF($H3,ADDRESS(3,D3+1,4,,"["&amp;wew!$G$7&amp;"]"&amp;_sheetname_dataframe)&amp;":"&amp;ADDRESS(2+ster!$C$14,D3+1,4),"")</f>
        <v>'[dane surowe2d.xlsm]data_frame'!B3:B12</v>
      </c>
      <c r="R3" s="14">
        <f t="array" aca="1" ref="R3" ca="1">IF(H3,SUM(IF((IFERROR(INDIRECT(Q3)&lt;&gt;"",FALSE))*(INDIRECT(ster!$D$14)&lt;&gt;""),1,0)),"")</f>
        <v>7</v>
      </c>
      <c r="S3" s="14">
        <f t="array" aca="1" ref="S3" ca="1">IF(H3,IF(M3&gt;0,SUM(IFERROR(1*(MATCH(INDIRECT(Q3),INDIRECT(K3),0)&gt;0),0)*(INDIRECT(ster!$D$14)&lt;&gt;"")*NOT(ISNUMBER(INDIRECT(Q3)))),0),"")</f>
        <v>1</v>
      </c>
      <c r="T3" s="14">
        <f t="array" aca="1" ref="T3" ca="1">IF(H3,SUM((IFERROR(INDIRECT(Q3)="",FALSE))*(INDIRECT(ster!$D$14)&lt;&gt;"")),"")</f>
        <v>2</v>
      </c>
      <c r="U3" s="14">
        <f t="array" aca="1" ref="U3" ca="1">IF(H3,SUM((IFERROR(INDIRECT(Q3)="#ąś",TRUE))*(INDIRECT(ster!$D$14)&lt;&gt;"")),"")</f>
        <v>0</v>
      </c>
      <c r="V3" s="14">
        <f t="array" aca="1" ref="V3" ca="1">IF(H3,SUM(ISNUMBER(INDIRECT(Q3))*(INDIRECT(ster!$D$14)&lt;&gt;"")),"")</f>
        <v>0</v>
      </c>
      <c r="W3" s="14" t="str">
        <f t="array" aca="1" ref="W3" ca="1">IF(AND(H3,V3&gt;0),IF(wew!$B$3,MIN(IF((INDIRECT(ster!$D$14)&lt;&gt;"")*IFERROR(INDIRECT($Q3)&lt;&gt;"",FALSE),IFERROR(INDIRECT($Q3),"X"),"X")),"&lt;włącz podświetlanie wartości&gt;"),"—")</f>
        <v>—</v>
      </c>
      <c r="X3" s="14" t="str">
        <f t="array" aca="1" ref="X3" ca="1">IF(AND(H3,V3&gt;0),IF(wew!$B$3,MAX(IF((INDIRECT(ster!$D$14)&lt;&gt;"")*IFERROR(INDIRECT($Q3)&lt;&gt;"",FALSE),IFERROR(INDIRECT($Q3),"X"),"X")),"&lt;włącz podświetlanie wartości&gt;"),"—")</f>
        <v>—</v>
      </c>
      <c r="Y3" s="14">
        <f t="shared" ca="1" si="4"/>
        <v>6</v>
      </c>
      <c r="Z3" s="12">
        <f t="shared" ca="1" si="5"/>
        <v>0</v>
      </c>
      <c r="AA3" s="17">
        <f t="array" aca="1" ref="AA3" ca="1">IF(H3,IF(V3&gt;0,SUM((INDIRECT(ster!$D$14)&lt;&gt;"")*IFERROR((INDIRECT(Q3)&lt;&gt;"")*(INDIRECT(Q3)=INT(INDIRECT(Q3))),0)),0),"")</f>
        <v>0</v>
      </c>
      <c r="AB3" s="17">
        <f t="array" aca="1" ref="AB3" ca="1">IF(H3,V3-AA3,"")</f>
        <v>0</v>
      </c>
      <c r="AC3" s="17">
        <f t="shared" ref="AC3:AC12" ca="1" si="45">IF($H3,IF(AB3&lt;&gt;"",IF(AB3=0,1,IF(AB3/V3&lt;0.15,2,3)),0),"")</f>
        <v>1</v>
      </c>
      <c r="AD3" s="17" t="b">
        <f t="shared" ref="AD3:AD12" ca="1" si="46">IF(H3,OFFSET(O3,1,0)=".validation",FALSE)</f>
        <v>0</v>
      </c>
      <c r="AE3" s="17" t="str">
        <f ca="1">IF(AD3,IF($H3,ADDRESS(3,D3+2,4,,"["&amp;wew!$G$7&amp;"]"&amp;_sheetname_dataframe)&amp;":"&amp;ADDRESS(2+ster!$C$14,D3+2,4),""),"")</f>
        <v/>
      </c>
      <c r="AF3" s="17" t="str">
        <f t="shared" ca="1" si="6"/>
        <v/>
      </c>
      <c r="AG3" s="17" t="b">
        <f t="shared" ca="1" si="7"/>
        <v>0</v>
      </c>
      <c r="AH3" s="17" t="str">
        <f ca="1">IF(AG3,IF($H3,ADDRESS(3,D3+3,4,,"["&amp;wew!$G$7&amp;"]"&amp;_sheetname_dataframe)&amp;":"&amp;ADDRESS(2+ster!$C$14,D3+3,4),""),"")</f>
        <v/>
      </c>
      <c r="AI3" s="17" t="str">
        <f t="shared" ca="1" si="8"/>
        <v/>
      </c>
      <c r="AJ3" s="17" t="b">
        <f t="shared" ca="1" si="9"/>
        <v>0</v>
      </c>
      <c r="AK3" s="17" t="b">
        <f t="shared" ref="AK3:AK12" ca="1" si="47">IF($H3,IF(BT3&lt;&gt;"",IF(OR(BL3="F",BL3="L",BL3="I",BL3="D"),BT3&lt;&gt;0)),"")</f>
        <v>0</v>
      </c>
      <c r="AL3" s="17" t="b">
        <f t="shared" ref="AL3:AL12" ca="1" si="48">IF($H3,AND(NOT(AK3),OR(IF(BU3&lt;&gt;"",IF(OR(BL3="F",BL3="L"),BU3&lt;&gt;0)),BL3="I",BL3="N",BL3="D")),"")</f>
        <v>0</v>
      </c>
      <c r="AM3" s="17">
        <f t="shared" ca="1" si="10"/>
        <v>1</v>
      </c>
      <c r="AN3" s="24">
        <f t="shared" ref="AN3:AN12" ca="1" si="49">IF($H3,IF(BW3&lt;&gt;"",IF(ISNUMBER(BW3),BW3,""),""),"")</f>
        <v>-1</v>
      </c>
      <c r="AO3" s="24">
        <f t="shared" ref="AO3:AO12" ca="1" si="50">IF($H3,IF(BX3&lt;&gt;"",IF(ISNUMBER(BX3),BX3,""),""),"")</f>
        <v>1</v>
      </c>
      <c r="AP3" s="17" t="b">
        <f t="shared" ca="1" si="13"/>
        <v>0</v>
      </c>
      <c r="AQ3" s="17" t="b">
        <f t="shared" ca="1" si="14"/>
        <v>0</v>
      </c>
      <c r="AR3" s="17" t="b">
        <f t="shared" ca="1" si="15"/>
        <v>0</v>
      </c>
      <c r="AS3" s="17" t="b">
        <f t="shared" ca="1" si="16"/>
        <v>1</v>
      </c>
      <c r="AT3" s="17" t="b">
        <f t="shared" ca="1" si="17"/>
        <v>0</v>
      </c>
      <c r="AU3" s="17" t="b">
        <f t="shared" ca="1" si="18"/>
        <v>0</v>
      </c>
      <c r="AV3" s="17" t="b">
        <f t="shared" ca="1" si="19"/>
        <v>0</v>
      </c>
      <c r="AW3" s="14" t="b">
        <f t="array" aca="1" ref="AW3" ca="1">IF(H3,N3&gt;0,"")</f>
        <v>0</v>
      </c>
      <c r="AX3" s="17" t="str">
        <f t="shared" ca="1" si="20"/>
        <v/>
      </c>
      <c r="AY3" s="17" t="str">
        <f t="array" aca="1" ref="AY3" ca="1">IF(AX3&lt;&gt;"",SUM(1*ISERROR(MATCH(INDIRECT(AX3),INDIRECT(K3),0)))=0,"")</f>
        <v/>
      </c>
      <c r="AZ3" s="17" t="b">
        <f t="shared" ca="1" si="21"/>
        <v>0</v>
      </c>
      <c r="BA3" s="17" t="str">
        <f t="shared" ref="BA3:BA12" ca="1" si="51">IF(AZ3,R3=0,"")</f>
        <v/>
      </c>
      <c r="BB3" s="17" t="str">
        <f t="shared" ca="1" si="22"/>
        <v/>
      </c>
      <c r="BC3" s="17" t="str">
        <f t="shared" ca="1" si="23"/>
        <v/>
      </c>
      <c r="BD3" s="17" t="str">
        <f t="shared" ref="BD3:BD12" ca="1" si="52">IF(AZ3,IF(AND(AV3,NOT(BA3),NOT(BB3),NOT(BC3)),AND(Y3=0,AB3=0),FALSE),"")</f>
        <v/>
      </c>
      <c r="BE3" s="17" t="str">
        <f t="shared" ref="BE3:BE12" ca="1" si="53">IF(AZ3,IF(AND(AV3,NOT(BA3),NOT(BB3),NOT(BC3)),AND(Y3=0,OR(AB3&gt;0)),FALSE),"")</f>
        <v/>
      </c>
      <c r="BF3" s="17" t="str">
        <f t="shared" ref="BF3:BF12" ca="1" si="54">IF(AZ3,IF(OR(BA3:BE3),FALSE,IF(Y3=0,FALSE,Y3&gt;0)),"")</f>
        <v/>
      </c>
      <c r="BG3" s="17" t="str">
        <f t="shared" ref="BG3:BG12" ca="1" si="55">IF(AZ3,COUNTIF(BA3:BF3,TRUE)=1,"")</f>
        <v/>
      </c>
      <c r="BH3" s="17" t="str">
        <f t="shared" ref="BH3:BH12" ca="1" si="56">IF(AZ3,IFERROR(MATCH(TRUE,BA3:BF3,0),7),"")</f>
        <v/>
      </c>
      <c r="BI3" s="17" t="b">
        <f t="shared" ref="BI3:BI12" ca="1" si="57">DD3&lt;&gt;""</f>
        <v>0</v>
      </c>
      <c r="BJ3" s="17" t="str">
        <f t="shared" ca="1" si="24"/>
        <v/>
      </c>
      <c r="BK3" s="17" t="str">
        <f t="shared" ca="1" si="25"/>
        <v/>
      </c>
      <c r="BL3" s="17" t="str">
        <f t="shared" ca="1" si="26"/>
        <v>S</v>
      </c>
      <c r="BM3" s="17" t="str">
        <f t="shared" ca="1" si="27"/>
        <v>S</v>
      </c>
      <c r="BN3" s="17" t="str">
        <f t="shared" ca="1" si="28"/>
        <v>N</v>
      </c>
      <c r="BO3" s="14" t="b">
        <f t="shared" ca="1" si="29"/>
        <v>1</v>
      </c>
      <c r="BP3" s="15">
        <v>1</v>
      </c>
      <c r="BQ3" s="14"/>
      <c r="BS3" s="14" t="s">
        <v>387</v>
      </c>
      <c r="BV3" s="16"/>
      <c r="BW3" s="16">
        <v>-1</v>
      </c>
      <c r="BX3" s="16">
        <v>1</v>
      </c>
      <c r="BY3" s="16"/>
      <c r="BZ3" s="16"/>
      <c r="CA3" s="16"/>
      <c r="CB3" s="16"/>
      <c r="CC3" s="16"/>
      <c r="CD3" s="16"/>
      <c r="CE3" s="14"/>
      <c r="CF3" s="14"/>
      <c r="CG3" s="14"/>
      <c r="CH3" s="14"/>
      <c r="CI3" s="14"/>
      <c r="CJ3" s="14"/>
      <c r="CK3" s="14"/>
      <c r="CL3" s="14">
        <f ca="1">IF(H3,IFERROR(IsVariableNameLegal(O3),0),0)</f>
        <v>0</v>
      </c>
      <c r="CM3" s="14" t="str">
        <f t="array" aca="1" ref="CM3" ca="1">IF(H3,IF(COUNTIF(INDIRECT(wew!$C$13),O3)&gt;1,TRIM(SUBSTITUTE(_xll.MCONCAT(IF((INDIRECT(wew!$C$13)=O3)*(COLUMN(INDIRECT(wew!$C$13))&lt;&gt;D3+1),-1+COLUMN(INDIRECT(wew!$C$13)),"")," "),"  "," ")),""),"")</f>
        <v/>
      </c>
      <c r="CN3" s="14" t="str">
        <f t="array" aca="1" ref="CN3" ca="1">IF(P3&lt;&gt;"",IF(LEN(P3)&gt;150,1,""),"")</f>
        <v/>
      </c>
      <c r="CO3" s="14" t="str">
        <f t="array" aca="1" ref="CO3" ca="1">IF(AND(H3,NOT(ster!$J$3)),IF(COUNTIF(INDIRECT(wew!$C$15),P3)&gt;1,TRIM(SUBSTITUTE(_xll.MCONCAT(IF((INDIRECT(wew!$C$15)=P3)*(COLUMN(INDIRECT(wew!$C$15))&lt;&gt;D3+1),-1+COLUMN(INDIRECT(wew!$C$15)),"")," "),"  "," ")),""),"")</f>
        <v/>
      </c>
      <c r="CP3" s="14" t="str">
        <f t="array" aca="1" ref="CP3" ca="1">IF(H3,IF(AND(V3&gt;0,AN3&lt;&gt;""),TRIM(SUBSTITUTE(_xll.MCONCAT(IFERROR(IF(ISNUMBER(INDIRECT(Q3)),IF((INDIRECT(ster!$D$14)&lt;&gt;"")*(INDIRECT(Q3)&lt;AN3),INDIRECT(ster!$D$14) &amp; ": " &amp;  SUBSTITUTE(IF( AU3,IFERROR(TEXT(INDIRECT(Q3),"rrrr-mm-dd") &amp;" (" &amp; INDIRECT(Q3) &amp;")",INDIRECT(Q3)),INDIRECT(Q3))," "," "),""),""),"")," "),"  "," ")),""),"")</f>
        <v/>
      </c>
      <c r="CQ3" s="14" t="str">
        <f t="array" aca="1" ref="CQ3" ca="1">IF(H3,IF(AND(V3&gt;0,AO3&lt;&gt;""),TRIM(SUBSTITUTE(_xll.MCONCAT(IFERROR(IF(ISNUMBER(INDIRECT(Q3)),IF((INDIRECT(ster!$D$14)&lt;&gt;"")*(INDIRECT(Q3)&gt;AO3),INDIRECT(ster!$D$14) &amp; ": " &amp;  SUBSTITUTE(IF( AU3,IFERROR(TEXT(INDIRECT(Q3),"rrrr-mm-dd")&amp;" (" &amp; INDIRECT(Q3) &amp;")",INDIRECT(Q3)),INDIRECT(Q3))," "," "),""),""),"")," "),"  "," ")),""),"")</f>
        <v/>
      </c>
      <c r="CR3" s="14" t="str">
        <f t="array" aca="1" ref="CR3" ca="1">IF(H3,IF(AND(N3&gt;0,AQ3),TRIM(SUBSTITUTE(_xll.MCONCAT(IFERROR(IF(ISNUMBER(INDIRECT(Q3)),IF((INDIRECT(ster!$D$14)&lt;&gt;"")*(IFERROR(0*(MATCH(INDIRECT(Q3),INDIRECT(K3),0)&gt;0),1)),INDIRECT(ster!$D$14) &amp; ": " &amp;  SUBSTITUTE(IF( AU3,IFERROR(TEXT(INDIRECT(Q3),"rrrr-mm-dd")&amp;" (" &amp; INDIRECT(Q3) &amp;")",INDIRECT(Q3)),INDIRECT(Q3))," "," "),""),""),"")," "),"  "," ")),""),"")</f>
        <v/>
      </c>
      <c r="CS3" s="14" t="str">
        <f t="array" aca="1" ref="CS3" ca="1">IF(H3,IF(AND(U3&gt;0),TRIM(SUBSTITUTE(_xll.MCONCAT(IF((INDIRECT(ster!$D$14)&lt;&gt;"")*(IFERROR(0*(INDIRECT(Q3)&lt;&gt;""),1)),INDIRECT(ster!$D$14),"")," "),"  "," ")),""),"")</f>
        <v/>
      </c>
      <c r="CT3" s="14" t="str">
        <f t="array" aca="1" ref="CT3" ca="1">IF(H3,IF(AR3,
TRIM(SUBSTITUTE(_xll.MCONCAT(IF(
   (INDIRECT(ster!$D$14)&lt;&gt;"")*
   ((INDIRECT(Q3)="")+
      NOT(ISNUMBER(INDIRECT(Q3)))*
      NOT(ISERROR(MATCH(INDIRECT(Q3),INDIRECT(K3),0)))
    ),
      INDIRECT(ster!$D$14),
   "")," "),"  "," ")),
""),"")</f>
        <v/>
      </c>
      <c r="CU3" s="14" t="str">
        <f t="array" aca="1" ref="CU3" ca="1">IF(H3,IF(AND(AP3),TRIM(SUBSTITUTE(_xll.MCONCAT(IFERROR(IF(ISNUMBER(INDIRECT(Q3)),IF((INDIRECT(ster!$D$14)&lt;&gt;"")*(INDIRECT(Q3)&lt;&gt;INT(INDIRECT(Q3))),INDIRECT(ster!$D$14) &amp; ": " &amp; INDIRECT(Q3),""),""),"")," "),"  "," ")),""),"")</f>
        <v/>
      </c>
      <c r="CV3" s="14" t="str">
        <f t="array" aca="1" ref="CV3" ca="1">IF(H3,IF(OR(AT3,AU3),TRIM(SUBSTITUTE(_xll.MCONCAT(IF((INDIRECT(ster!$D$14)&lt;&gt;"")*NOT(ISNUMBER(INDIRECT(Q3))),IF(ISERROR(MATCH(INDIRECT(Q3),INDIRECT(K3),0)),IFERROR(IF(INDIRECT(Q3)&lt;&gt;"",INDIRECT(ster!$D$14) &amp; ": " &amp; SUBSTITUTE(INDIRECT(Q3)," "," "),""),""),""),"")," "),"  "," ")),""),"")</f>
        <v/>
      </c>
      <c r="CW3" s="14" t="str">
        <f t="array" aca="1" ref="CW3" ca="1">IF(H3,IF(AD3,TRIM(SUBSTITUTE(_xll.MCONCAT(IF((INDIRECT(ster!$D$14)&lt;&gt;"")*IFERROR(NOT(INDIRECT(AE3)),FALSE),IF(ISERROR(MATCH(INDIRECT(Q3),INDIRECT(K3),0)),IFERROR(IF(INDIRECT(Q3)&lt;&gt;"",INDIRECT(ster!$D$14) &amp; ": " &amp;  SUBSTITUTE(IF( AU3,IFERROR(TEXT(INDIRECT(Q3),"rrrr-mm-dd")&amp;" (" &amp; INDIRECT(Q3) &amp;")",INDIRECT(Q3)),INDIRECT(Q3))," "," "),""),""),""),"")," "),"  "," ")),""),"")</f>
        <v/>
      </c>
      <c r="CX3" s="14" t="str">
        <f t="array" aca="1" ref="CX3" ca="1">IF(H3,IF(AG3,TRIM(SUBSTITUTE(_xll.MCONCAT(IF((INDIRECT(ster!$D$14)&lt;&gt;"")*IFERROR(NOT(INDIRECT(AH3)),FALSE),IF(ISERROR(MATCH(INDIRECT(Q3),INDIRECT(K3),0)),IFERROR(IF(INDIRECT(Q3)&lt;&gt;"",INDIRECT(ster!$D$14) &amp; ": " &amp;  SUBSTITUTE(IF( AU3,IFERROR(TEXT(INDIRECT(Q3),"rrrr-mm-dd")&amp;" (" &amp; INDIRECT(Q3) &amp;")",INDIRECT(Q3)),INDIRECT(Q3))," "," "),""),""),""),"")," "),"  "," ")),""),"")</f>
        <v/>
      </c>
      <c r="CY3" s="14"/>
      <c r="CZ3" s="14"/>
      <c r="DA3" s="14" t="str">
        <f ca="1">SUBSTITUTE(SUBSTITUTE(SUBSTITUTE(SUBSTITUTE(_xll.MCONCAT(DE3:DQ3,"■"),"■■","■"),"■■","■"),"■■","■"),"■■","■")</f>
        <v>■</v>
      </c>
      <c r="DB3" s="14" t="str">
        <f t="shared" ref="DB3:DB12" ca="1" si="58">IF(MID(DA3,1,1)="■",MID(DA3,2,LEN(DA3)),DA3)</f>
        <v/>
      </c>
      <c r="DC3" s="14" t="str">
        <f t="shared" ref="DC3:DC12" ca="1" si="59">IF(DB3&lt;&gt;"",IF(MID(DB3,LEN(DB3),1)="■",MID(DB3,1,LEN(DB3)-1),DB3),"")</f>
        <v/>
      </c>
      <c r="DD3" s="14" t="str">
        <f t="shared" ref="DD3:DD12" ca="1" si="60">IFERROR(IF(DC3&lt;&gt;"",SUBSTITUTE(DC3,"■",". "),""),"##INTERNAL_ERROR")</f>
        <v/>
      </c>
      <c r="DE3" s="14" t="str">
        <f t="shared" ref="DE3:DE12" ca="1" si="61">IF(CL3&lt;&gt;0,"Variable name don't comply with the naming convention","")</f>
        <v/>
      </c>
      <c r="DF3" s="14" t="str">
        <f t="shared" ref="DF3:DF12" ca="1" si="62">IF(CM3&lt;&gt;"","Duplicated name. " &amp; IF(ISERROR(FIND(" ",CM3)),"Duplicate have index " &amp; CM3, "Duplicates have indices: "&amp;SUBSTITUTE(CM3," ",", ")),"")</f>
        <v/>
      </c>
      <c r="DG3" s="14" t="str">
        <f t="shared" ref="DG3:DG12" ca="1" si="63">IF(CN3&lt;&gt;"","Variable label exceed length 150","")</f>
        <v/>
      </c>
      <c r="DH3" s="14" t="str">
        <f t="shared" ref="DH3:DH12" ca="1" si="64">IF(CO3&lt;&gt;"","Duplicated variable label. " &amp; IF(ISERROR(FIND(" ",CO3)),"Duplicate have index " &amp; CO3, "Duplicates have indices: "&amp;SUBSTITUTE(CO3," ",", ")),"")</f>
        <v/>
      </c>
      <c r="DI3" s="14" t="str">
        <f t="shared" ref="DI3:DI12" ca="1" si="65">IF(CP3&lt;&gt;"","The following cases have values below declared theorethical min: " &amp;SUBSTITUTE(CP3," ",", "),"")</f>
        <v/>
      </c>
      <c r="DJ3" s="14" t="str">
        <f t="shared" ref="DJ3:DJ12" ca="1" si="66">IF(CQ3&lt;&gt;"","The following cases have values above declared theorethical max: " &amp;SUBSTITUTE(CQ3," ",", "),"")</f>
        <v/>
      </c>
      <c r="DK3" s="14" t="str">
        <f t="shared" ref="DK3:DK12" ca="1" si="67">IF(CR3&lt;&gt;"","There are some cases with values not explicitly declared in the labels dictionary: " &amp;SUBSTITUTE(CR3," ",", "),"")</f>
        <v/>
      </c>
      <c r="DL3" s="14" t="str">
        <f t="array" aca="1" ref="DL3" ca="1">IF(CS3&lt;&gt;"","There are errors in the entered values in the following cases: " &amp;SUBSTITUTE(CS3," ",", "),"")</f>
        <v/>
      </c>
      <c r="DM3" s="14" t="str">
        <f t="shared" ref="DM3:DM12" ca="1" si="68">IF(CT3&lt;&gt;"","The following records are missing in this required field: " &amp;SUBSTITUTE(CT3," ",", "),"")</f>
        <v/>
      </c>
      <c r="DN3" s="14" t="str">
        <f t="shared" ref="DN3:DN12" ca="1" si="69">IF(CU3&lt;&gt;"","The following cases have non-integer values: " &amp;SUBSTITUTE(CU3," ",", "),"")</f>
        <v/>
      </c>
      <c r="DO3" s="14" t="str">
        <f t="shared" ref="DO3:DO12" ca="1" si="70">IF(CV3&lt;&gt;"","The following cases are non-numeric: " &amp;SUBSTITUTE(CV3," ",", "),"")</f>
        <v/>
      </c>
      <c r="DP3" s="14" t="str">
        <f t="shared" ca="1" si="30"/>
        <v/>
      </c>
      <c r="DQ3" s="14" t="str">
        <f t="shared" ca="1" si="31"/>
        <v/>
      </c>
      <c r="DX3" s="14" t="b">
        <f t="shared" ref="DX3:DX12" ca="1" si="71">OR(EB3&lt;&gt;"",ED3&lt;&gt;"",EE3&lt;&gt;"")</f>
        <v>0</v>
      </c>
      <c r="DY3" s="14" t="str">
        <f t="shared" ca="1" si="32"/>
        <v/>
      </c>
      <c r="DZ3" s="14" t="str">
        <f t="shared" ref="DZ3:DZ12" ca="1" si="72">IF(EC3&lt;&gt;"",EC3&amp;IF(EB3&lt;&gt;""," and "&amp;EB3,""),UPPER(MID(EB3,1,1)&amp;MID(EB3,2,LEN(EB3))))&amp; IF(OR(ED3&lt;&gt;"",EE3&lt;&gt;"")," and "&amp;IF(ED3&lt;&gt;"",LOWER(MID(ED3,1,1) &amp; MID(ED3,2,LEN(ED3))),"")&amp; IF(AND(ED3 &lt;&gt;"",EE3&lt;&gt;"")," and ","") &amp; IF(EE3&lt;&gt;"",LOWER(MID(EE3,1,1) &amp; MID(EE3,2,LEN(EE3))),""),"") &amp; IF(OR(EC3&lt;&gt;"",EB3&lt;&gt;"",ED3&lt;&gt;"",EE3&lt;&gt;""), ". ","")</f>
        <v/>
      </c>
      <c r="EA3" s="14" t="str">
        <f t="shared" ca="1" si="33"/>
        <v/>
      </c>
      <c r="EB3" s="14" t="str">
        <f t="shared" ca="1" si="34"/>
        <v/>
      </c>
      <c r="EC3" s="14" t="str">
        <f t="shared" ca="1" si="35"/>
        <v/>
      </c>
      <c r="ED3" s="14" t="str">
        <f t="shared" ref="ED3:ED12" ca="1" si="73">IF($H3,AF3,"")</f>
        <v/>
      </c>
      <c r="EE3" s="14" t="str">
        <f t="shared" ref="EE3:EE12" ca="1" si="74">IF($H3,AI3,"")</f>
        <v/>
      </c>
      <c r="EK3" s="14" t="b">
        <f t="shared" ref="EK3:EK12" ca="1" si="75">OR(EA3&lt;&gt;"",DD3&lt;&gt;"")</f>
        <v>0</v>
      </c>
      <c r="EL3" s="14" t="str">
        <f t="shared" ca="1" si="36"/>
        <v/>
      </c>
      <c r="EM3" s="14" t="str">
        <f t="shared" ca="1" si="37"/>
        <v/>
      </c>
      <c r="EN3" s="14" t="str">
        <f t="shared" ref="EN3:EN12" ca="1" si="76">EA3</f>
        <v/>
      </c>
      <c r="EO3" s="14" t="str">
        <f t="shared" ref="EO3:EO12" ca="1" si="77">DD3</f>
        <v/>
      </c>
    </row>
    <row r="4" spans="1:145">
      <c r="B4" s="14" t="str">
        <f t="shared" ca="1" si="38"/>
        <v>There are errors in the entered values in the following cases: LAB3. The following cases are non-numeric: WAW3: nas</v>
      </c>
      <c r="C4" s="14">
        <f t="shared" ca="1" si="39"/>
        <v>2</v>
      </c>
      <c r="D4" s="14">
        <f t="shared" si="40"/>
        <v>2</v>
      </c>
      <c r="E4" s="14" t="str">
        <f t="shared" ca="1" si="0"/>
        <v>S</v>
      </c>
      <c r="F4" s="14" t="str">
        <f t="shared" ca="1" si="41"/>
        <v>num1</v>
      </c>
      <c r="G4" s="14" t="str">
        <f t="shared" ca="1" si="42"/>
        <v>Zmienna liczbowa z brakami</v>
      </c>
      <c r="H4" s="14" t="b">
        <f t="shared" ca="1" si="1"/>
        <v>1</v>
      </c>
      <c r="I4" s="14" t="str">
        <f ca="1">IF($H4,ADDRESS(3,(D4+1)*2-1,4,,"["&amp;wew!$G$7&amp;"]"&amp;_sheetname_labels)&amp;":"&amp;ADDRESS(2+ster!$B$20,(D4+1)*2-1,4),"")</f>
        <v>'[dane surowe2d.xlsm]labels'!E3:E36</v>
      </c>
      <c r="J4" s="14">
        <f t="array" aca="1" ref="J4" ca="1">IF(H4,MAX(0,MAX(IF(INDIRECT(I4)&lt;&gt;"",ROW(INDIRECT(I4)),""))-2),"")</f>
        <v>2</v>
      </c>
      <c r="K4" s="14" t="str">
        <f ca="1">IF($H4,IF($J4&gt;0,ADDRESS(3,(D4+1)*2-1,4,,"["&amp;wew!$G$7&amp;"]"&amp;_sheetname_labels)&amp;":"&amp;ADDRESS(2+J4,(D4+1)*2-1,4),""),"")</f>
        <v>'[dane surowe2d.xlsm]labels'!E3:E4</v>
      </c>
      <c r="L4" s="14" t="str">
        <f ca="1">IF($H4,IF($J4&gt;0,ADDRESS(3,(D4+1)*2,4,,"["&amp;wew!$G$7&amp;"]"&amp;_sheetname_labels)&amp;":"&amp;ADDRESS(2+J4,(D4+1)*2,4),""),"")</f>
        <v>'[dane surowe2d.xlsm]labels'!F3:F4</v>
      </c>
      <c r="M4" s="14">
        <f t="shared" ca="1" si="43"/>
        <v>2</v>
      </c>
      <c r="N4" s="14">
        <f t="shared" ca="1" si="44"/>
        <v>0</v>
      </c>
      <c r="O4" s="14" t="str">
        <f t="shared" ca="1" si="2"/>
        <v>num1</v>
      </c>
      <c r="P4" s="14" t="str">
        <f t="shared" ca="1" si="3"/>
        <v>Zmienna liczbowa z brakami</v>
      </c>
      <c r="Q4" s="14" t="str">
        <f ca="1">IF($H4,ADDRESS(3,D4+1,4,,"["&amp;wew!$G$7&amp;"]"&amp;_sheetname_dataframe)&amp;":"&amp;ADDRESS(2+ster!$C$14,D4+1,4),"")</f>
        <v>'[dane surowe2d.xlsm]data_frame'!C3:C12</v>
      </c>
      <c r="R4" s="14">
        <f t="array" aca="1" ref="R4" ca="1">IF(H4,SUM(IF((IFERROR(INDIRECT(Q4)&lt;&gt;"",FALSE))*(INDIRECT(ster!$D$14)&lt;&gt;""),1,0)),"")</f>
        <v>7</v>
      </c>
      <c r="S4" s="14">
        <f t="array" aca="1" ref="S4" ca="1">IF(H4,IF(M4&gt;0,SUM(IFERROR(1*(MATCH(INDIRECT(Q4),INDIRECT(K4),0)&gt;0),0)*(INDIRECT(ster!$D$14)&lt;&gt;"")*NOT(ISNUMBER(INDIRECT(Q4)))),0),"")</f>
        <v>1</v>
      </c>
      <c r="T4" s="14">
        <f t="array" aca="1" ref="T4" ca="1">IF(H4,SUM((IFERROR(INDIRECT(Q4)="",FALSE))*(INDIRECT(ster!$D$14)&lt;&gt;"")),"")</f>
        <v>1</v>
      </c>
      <c r="U4" s="14">
        <f t="array" aca="1" ref="U4" ca="1">IF(H4,SUM((IFERROR(INDIRECT(Q4)="#ąś",TRUE))*(INDIRECT(ster!$D$14)&lt;&gt;"")),"")</f>
        <v>1</v>
      </c>
      <c r="V4" s="14">
        <f t="array" aca="1" ref="V4" ca="1">IF(H4,SUM(ISNUMBER(INDIRECT(Q4))*(INDIRECT(ster!$D$14)&lt;&gt;"")),"")</f>
        <v>5</v>
      </c>
      <c r="W4" s="14">
        <f t="array" aca="1" ref="W4" ca="1">IF(AND(H4,V4&gt;0),IF(wew!$B$3,MIN(IF((INDIRECT(ster!$D$14)&lt;&gt;"")*IFERROR(INDIRECT($Q4)&lt;&gt;"",FALSE),IFERROR(INDIRECT($Q4),"X"),"X")),"&lt;włącz podświetlanie wartości&gt;"),"—")</f>
        <v>3</v>
      </c>
      <c r="X4" s="14">
        <f t="array" aca="1" ref="X4" ca="1">IF(AND(H4,V4&gt;0),IF(wew!$B$3,MAX(IF((INDIRECT(ster!$D$14)&lt;&gt;"")*IFERROR(INDIRECT($Q4)&lt;&gt;"",FALSE),IFERROR(INDIRECT($Q4),"X"),"X")),"&lt;włącz podświetlanie wartości&gt;"),"—")</f>
        <v>43</v>
      </c>
      <c r="Y4" s="14">
        <f t="shared" ca="1" si="4"/>
        <v>1</v>
      </c>
      <c r="Z4" s="12">
        <f t="shared" ca="1" si="5"/>
        <v>0.7142857142857143</v>
      </c>
      <c r="AA4" s="17">
        <f t="array" aca="1" ref="AA4" ca="1">IF(H4,IF(V4&gt;0,SUM((INDIRECT(ster!$D$14)&lt;&gt;"")*IFERROR((INDIRECT(Q4)&lt;&gt;"")*(INDIRECT(Q4)=INT(INDIRECT(Q4))),0)),0),"")</f>
        <v>5</v>
      </c>
      <c r="AB4" s="17">
        <f t="array" aca="1" ref="AB4" ca="1">IF(H4,V4-AA4,"")</f>
        <v>0</v>
      </c>
      <c r="AC4" s="17">
        <f t="shared" ca="1" si="45"/>
        <v>1</v>
      </c>
      <c r="AD4" s="17" t="b">
        <f t="shared" ca="1" si="46"/>
        <v>0</v>
      </c>
      <c r="AE4" s="17" t="str">
        <f ca="1">IF(AD4,IF($H4,ADDRESS(3,D4+2,4,,"["&amp;wew!$G$7&amp;"]"&amp;_sheetname_dataframe)&amp;":"&amp;ADDRESS(2+ster!$C$14,D4+2,4),""),"")</f>
        <v/>
      </c>
      <c r="AF4" s="17" t="str">
        <f t="shared" ca="1" si="6"/>
        <v/>
      </c>
      <c r="AG4" s="17" t="b">
        <f t="shared" ca="1" si="7"/>
        <v>0</v>
      </c>
      <c r="AH4" s="17" t="str">
        <f ca="1">IF(AG4,IF($H4,ADDRESS(3,D4+3,4,,"["&amp;wew!$G$7&amp;"]"&amp;_sheetname_dataframe)&amp;":"&amp;ADDRESS(2+ster!$C$14,D4+3,4),""),"")</f>
        <v/>
      </c>
      <c r="AI4" s="17" t="str">
        <f t="shared" ca="1" si="8"/>
        <v/>
      </c>
      <c r="AJ4" s="17" t="b">
        <f t="shared" ca="1" si="9"/>
        <v>0</v>
      </c>
      <c r="AK4" s="17" t="b">
        <f t="shared" ca="1" si="47"/>
        <v>0</v>
      </c>
      <c r="AL4" s="17" t="b">
        <f t="shared" ca="1" si="48"/>
        <v>1</v>
      </c>
      <c r="AM4" s="17">
        <f t="shared" ca="1" si="10"/>
        <v>0</v>
      </c>
      <c r="AN4" s="24" t="str">
        <f t="shared" ca="1" si="49"/>
        <v/>
      </c>
      <c r="AO4" s="24" t="str">
        <f t="shared" ca="1" si="50"/>
        <v/>
      </c>
      <c r="AP4" s="17" t="b">
        <f t="shared" ca="1" si="13"/>
        <v>0</v>
      </c>
      <c r="AQ4" s="17" t="b">
        <f t="shared" ca="1" si="14"/>
        <v>0</v>
      </c>
      <c r="AR4" s="17" t="b">
        <f t="shared" ca="1" si="15"/>
        <v>0</v>
      </c>
      <c r="AS4" s="17" t="b">
        <f t="shared" ca="1" si="16"/>
        <v>0</v>
      </c>
      <c r="AT4" s="17" t="b">
        <f t="shared" ca="1" si="17"/>
        <v>1</v>
      </c>
      <c r="AU4" s="17" t="b">
        <f t="shared" ca="1" si="18"/>
        <v>0</v>
      </c>
      <c r="AV4" s="17" t="b">
        <f t="shared" ca="1" si="19"/>
        <v>0</v>
      </c>
      <c r="AW4" s="14" t="b">
        <f t="array" aca="1" ref="AW4" ca="1">IF(H4,N4&gt;0,"")</f>
        <v>0</v>
      </c>
      <c r="AX4" s="17" t="str">
        <f t="shared" ca="1" si="20"/>
        <v/>
      </c>
      <c r="AY4" s="17" t="str">
        <f t="array" aca="1" ref="AY4" ca="1">IF(AX4&lt;&gt;"",SUM(1*ISERROR(MATCH(INDIRECT(AX4),INDIRECT(K4),0)))=0,"")</f>
        <v/>
      </c>
      <c r="AZ4" s="17" t="b">
        <f t="shared" ca="1" si="21"/>
        <v>0</v>
      </c>
      <c r="BA4" s="17" t="str">
        <f t="shared" ca="1" si="51"/>
        <v/>
      </c>
      <c r="BB4" s="17" t="str">
        <f t="shared" ca="1" si="22"/>
        <v/>
      </c>
      <c r="BC4" s="17" t="str">
        <f t="shared" ca="1" si="23"/>
        <v/>
      </c>
      <c r="BD4" s="17" t="str">
        <f t="shared" ca="1" si="52"/>
        <v/>
      </c>
      <c r="BE4" s="17" t="str">
        <f t="shared" ca="1" si="53"/>
        <v/>
      </c>
      <c r="BF4" s="17" t="str">
        <f t="shared" ca="1" si="54"/>
        <v/>
      </c>
      <c r="BG4" s="17" t="str">
        <f t="shared" ca="1" si="55"/>
        <v/>
      </c>
      <c r="BH4" s="17" t="str">
        <f t="shared" ca="1" si="56"/>
        <v/>
      </c>
      <c r="BI4" s="17" t="b">
        <f t="shared" ca="1" si="57"/>
        <v>1</v>
      </c>
      <c r="BJ4" s="17" t="b">
        <f t="shared" ca="1" si="24"/>
        <v>1</v>
      </c>
      <c r="BK4" s="17" t="b">
        <f t="shared" ca="1" si="25"/>
        <v>0</v>
      </c>
      <c r="BL4" s="17" t="str">
        <f t="shared" ca="1" si="26"/>
        <v>I</v>
      </c>
      <c r="BM4" s="17" t="str">
        <f t="shared" ca="1" si="27"/>
        <v>E</v>
      </c>
      <c r="BN4" s="17" t="str">
        <f t="shared" ca="1" si="28"/>
        <v>I</v>
      </c>
      <c r="BO4" s="14" t="b">
        <f t="shared" ca="1" si="29"/>
        <v>1</v>
      </c>
      <c r="BP4" s="15">
        <v>1</v>
      </c>
      <c r="BQ4" s="14"/>
      <c r="BS4" s="14" t="s">
        <v>388</v>
      </c>
      <c r="BV4" s="16"/>
      <c r="BW4" s="16"/>
      <c r="BX4" s="16"/>
      <c r="BY4" s="16"/>
      <c r="BZ4" s="16"/>
      <c r="CA4" s="16"/>
      <c r="CB4" s="16"/>
      <c r="CC4" s="16"/>
      <c r="CD4" s="16"/>
      <c r="CE4" s="14"/>
      <c r="CF4" s="14"/>
      <c r="CG4" s="14"/>
      <c r="CH4" s="14"/>
      <c r="CI4" s="14"/>
      <c r="CJ4" s="14"/>
      <c r="CK4" s="14"/>
      <c r="CL4" s="14">
        <f ca="1">IF(H4,IFERROR(IsVariableNameLegal(O4),0),0)</f>
        <v>0</v>
      </c>
      <c r="CM4" s="14" t="str">
        <f t="array" aca="1" ref="CM4" ca="1">IF(H4,IF(COUNTIF(INDIRECT(wew!$C$13),O4)&gt;1,TRIM(SUBSTITUTE(_xll.MCONCAT(IF((INDIRECT(wew!$C$13)=O4)*(COLUMN(INDIRECT(wew!$C$13))&lt;&gt;D4+1),-1+COLUMN(INDIRECT(wew!$C$13)),"")," "),"  "," ")),""),"")</f>
        <v/>
      </c>
      <c r="CN4" s="14" t="str">
        <f t="array" aca="1" ref="CN4" ca="1">IF(P4&lt;&gt;"",IF(LEN(P4)&gt;150,1,""),"")</f>
        <v/>
      </c>
      <c r="CO4" s="14" t="str">
        <f t="array" aca="1" ref="CO4" ca="1">IF(AND(H4,NOT(ster!$J$3)),IF(COUNTIF(INDIRECT(wew!$C$15),P4)&gt;1,TRIM(SUBSTITUTE(_xll.MCONCAT(IF((INDIRECT(wew!$C$15)=P4)*(COLUMN(INDIRECT(wew!$C$15))&lt;&gt;D4+1),-1+COLUMN(INDIRECT(wew!$C$15)),"")," "),"  "," ")),""),"")</f>
        <v/>
      </c>
      <c r="CP4" s="14" t="str">
        <f t="array" aca="1" ref="CP4" ca="1">IF(H4,IF(AND(V4&gt;0,AN4&lt;&gt;""),TRIM(SUBSTITUTE(_xll.MCONCAT(IFERROR(IF(ISNUMBER(INDIRECT(Q4)),IF((INDIRECT(ster!$D$14)&lt;&gt;"")*(INDIRECT(Q4)&lt;AN4),INDIRECT(ster!$D$14) &amp; ": " &amp;  SUBSTITUTE(IF( AU4,IFERROR(TEXT(INDIRECT(Q4),"rrrr-mm-dd") &amp;" (" &amp; INDIRECT(Q4) &amp;")",INDIRECT(Q4)),INDIRECT(Q4))," "," "),""),""),"")," "),"  "," ")),""),"")</f>
        <v/>
      </c>
      <c r="CQ4" s="14" t="str">
        <f t="array" aca="1" ref="CQ4" ca="1">IF(H4,IF(AND(V4&gt;0,AO4&lt;&gt;""),TRIM(SUBSTITUTE(_xll.MCONCAT(IFERROR(IF(ISNUMBER(INDIRECT(Q4)),IF((INDIRECT(ster!$D$14)&lt;&gt;"")*(INDIRECT(Q4)&gt;AO4),INDIRECT(ster!$D$14) &amp; ": " &amp;  SUBSTITUTE(IF( AU4,IFERROR(TEXT(INDIRECT(Q4),"rrrr-mm-dd")&amp;" (" &amp; INDIRECT(Q4) &amp;")",INDIRECT(Q4)),INDIRECT(Q4))," "," "),""),""),"")," "),"  "," ")),""),"")</f>
        <v/>
      </c>
      <c r="CR4" s="14" t="str">
        <f t="array" aca="1" ref="CR4" ca="1">IF(H4,IF(AND(N4&gt;0,AQ4),TRIM(SUBSTITUTE(_xll.MCONCAT(IFERROR(IF(ISNUMBER(INDIRECT(Q4)),IF((INDIRECT(ster!$D$14)&lt;&gt;"")*(IFERROR(0*(MATCH(INDIRECT(Q4),INDIRECT(K4),0)&gt;0),1)),INDIRECT(ster!$D$14) &amp; ": " &amp;  SUBSTITUTE(IF( AU4,IFERROR(TEXT(INDIRECT(Q4),"rrrr-mm-dd")&amp;" (" &amp; INDIRECT(Q4) &amp;")",INDIRECT(Q4)),INDIRECT(Q4))," "," "),""),""),"")," "),"  "," ")),""),"")</f>
        <v/>
      </c>
      <c r="CS4" s="14" t="str">
        <f t="array" aca="1" ref="CS4" ca="1">IF(H4,IF(AND(U4&gt;0),TRIM(SUBSTITUTE(_xll.MCONCAT(IF((INDIRECT(ster!$D$14)&lt;&gt;"")*(IFERROR(0*(INDIRECT(Q4)&lt;&gt;""),1)),INDIRECT(ster!$D$14),"")," "),"  "," ")),""),"")</f>
        <v>LAB3</v>
      </c>
      <c r="CT4" s="14" t="str">
        <f t="array" aca="1" ref="CT4" ca="1">IF(H4,IF(AR4,
TRIM(SUBSTITUTE(_xll.MCONCAT(IF(
   (INDIRECT(ster!$D$14)&lt;&gt;"")*
   ((INDIRECT(Q4)="")+
      NOT(ISNUMBER(INDIRECT(Q4)))*
      NOT(ISERROR(MATCH(INDIRECT(Q4),INDIRECT(K4),0)))
    ),
      INDIRECT(ster!$D$14),
   "")," "),"  "," ")),
""),"")</f>
        <v/>
      </c>
      <c r="CU4" s="14" t="str">
        <f t="array" aca="1" ref="CU4" ca="1">IF(H4,IF(AND(AP4),TRIM(SUBSTITUTE(_xll.MCONCAT(IFERROR(IF(ISNUMBER(INDIRECT(Q4)),IF((INDIRECT(ster!$D$14)&lt;&gt;"")*(INDIRECT(Q4)&lt;&gt;INT(INDIRECT(Q4))),INDIRECT(ster!$D$14) &amp; ": " &amp; INDIRECT(Q4),""),""),"")," "),"  "," ")),""),"")</f>
        <v/>
      </c>
      <c r="CV4" s="14" t="str">
        <f t="array" aca="1" ref="CV4" ca="1">IF(H4,IF(OR(AT4,AU4),TRIM(SUBSTITUTE(_xll.MCONCAT(IF((INDIRECT(ster!$D$14)&lt;&gt;"")*NOT(ISNUMBER(INDIRECT(Q4))),IF(ISERROR(MATCH(INDIRECT(Q4),INDIRECT(K4),0)),IFERROR(IF(INDIRECT(Q4)&lt;&gt;"",INDIRECT(ster!$D$14) &amp; ": " &amp; SUBSTITUTE(INDIRECT(Q4)," "," "),""),""),""),"")," "),"  "," ")),""),"")</f>
        <v>WAW3: nas</v>
      </c>
      <c r="CW4" s="14" t="str">
        <f t="array" aca="1" ref="CW4" ca="1">IF(H4,IF(AD4,TRIM(SUBSTITUTE(_xll.MCONCAT(IF((INDIRECT(ster!$D$14)&lt;&gt;"")*IFERROR(NOT(INDIRECT(AE4)),FALSE),IF(ISERROR(MATCH(INDIRECT(Q4),INDIRECT(K4),0)),IFERROR(IF(INDIRECT(Q4)&lt;&gt;"",INDIRECT(ster!$D$14) &amp; ": " &amp;  SUBSTITUTE(IF( AU4,IFERROR(TEXT(INDIRECT(Q4),"rrrr-mm-dd")&amp;" (" &amp; INDIRECT(Q4) &amp;")",INDIRECT(Q4)),INDIRECT(Q4))," "," "),""),""),""),"")," "),"  "," ")),""),"")</f>
        <v/>
      </c>
      <c r="CX4" s="14" t="str">
        <f t="array" aca="1" ref="CX4" ca="1">IF(H4,IF(AG4,TRIM(SUBSTITUTE(_xll.MCONCAT(IF((INDIRECT(ster!$D$14)&lt;&gt;"")*IFERROR(NOT(INDIRECT(AH4)),FALSE),IF(ISERROR(MATCH(INDIRECT(Q4),INDIRECT(K4),0)),IFERROR(IF(INDIRECT(Q4)&lt;&gt;"",INDIRECT(ster!$D$14) &amp; ": " &amp;  SUBSTITUTE(IF( AU4,IFERROR(TEXT(INDIRECT(Q4),"rrrr-mm-dd")&amp;" (" &amp; INDIRECT(Q4) &amp;")",INDIRECT(Q4)),INDIRECT(Q4))," "," "),""),""),""),"")," "),"  "," ")),""),"")</f>
        <v/>
      </c>
      <c r="CY4" s="14"/>
      <c r="CZ4" s="14"/>
      <c r="DA4" s="14" t="str">
        <f ca="1">SUBSTITUTE(SUBSTITUTE(SUBSTITUTE(SUBSTITUTE(_xll.MCONCAT(DE4:DQ4,"■"),"■■","■"),"■■","■"),"■■","■"),"■■","■")</f>
        <v>■There are errors in the entered values in the following cases: LAB3■The following cases are non-numeric: WAW3: nas■</v>
      </c>
      <c r="DB4" s="14" t="str">
        <f t="shared" ca="1" si="58"/>
        <v>There are errors in the entered values in the following cases: LAB3■The following cases are non-numeric: WAW3: nas■</v>
      </c>
      <c r="DC4" s="14" t="str">
        <f t="shared" ca="1" si="59"/>
        <v>There are errors in the entered values in the following cases: LAB3■The following cases are non-numeric: WAW3: nas</v>
      </c>
      <c r="DD4" s="14" t="str">
        <f t="shared" ca="1" si="60"/>
        <v>There are errors in the entered values in the following cases: LAB3. The following cases are non-numeric: WAW3: nas</v>
      </c>
      <c r="DE4" s="14" t="str">
        <f t="shared" ca="1" si="61"/>
        <v/>
      </c>
      <c r="DF4" s="14" t="str">
        <f t="shared" ca="1" si="62"/>
        <v/>
      </c>
      <c r="DG4" s="14" t="str">
        <f t="shared" ca="1" si="63"/>
        <v/>
      </c>
      <c r="DH4" s="14" t="str">
        <f t="shared" ca="1" si="64"/>
        <v/>
      </c>
      <c r="DI4" s="14" t="str">
        <f t="shared" ca="1" si="65"/>
        <v/>
      </c>
      <c r="DJ4" s="14" t="str">
        <f t="shared" ca="1" si="66"/>
        <v/>
      </c>
      <c r="DK4" s="14" t="str">
        <f t="shared" ca="1" si="67"/>
        <v/>
      </c>
      <c r="DL4" s="14" t="str">
        <f t="array" aca="1" ref="DL4" ca="1">IF(CS4&lt;&gt;"","There are errors in the entered values in the following cases: " &amp;SUBSTITUTE(CS4," ",", "),"")</f>
        <v>There are errors in the entered values in the following cases: LAB3</v>
      </c>
      <c r="DM4" s="14" t="str">
        <f t="shared" ca="1" si="68"/>
        <v/>
      </c>
      <c r="DN4" s="14" t="str">
        <f t="shared" ca="1" si="69"/>
        <v/>
      </c>
      <c r="DO4" s="14" t="str">
        <f t="shared" ca="1" si="70"/>
        <v>The following cases are non-numeric: WAW3: nas</v>
      </c>
      <c r="DP4" s="14" t="str">
        <f t="shared" ca="1" si="30"/>
        <v/>
      </c>
      <c r="DQ4" s="14" t="str">
        <f t="shared" ca="1" si="31"/>
        <v/>
      </c>
      <c r="DX4" s="14" t="b">
        <f t="shared" ca="1" si="71"/>
        <v>0</v>
      </c>
      <c r="DY4" s="14" t="str">
        <f t="shared" ca="1" si="32"/>
        <v>Zmienna liczbowa z brakami (num1)</v>
      </c>
      <c r="DZ4" s="14" t="str">
        <f t="shared" ca="1" si="72"/>
        <v xml:space="preserve">Values must be numeric. </v>
      </c>
      <c r="EA4" s="14" t="str">
        <f t="shared" ca="1" si="33"/>
        <v xml:space="preserve">Zmienna liczbowa z brakami (num1): Values must be numeric. </v>
      </c>
      <c r="EB4" s="14" t="str">
        <f t="shared" ca="1" si="34"/>
        <v/>
      </c>
      <c r="EC4" s="14" t="str">
        <f t="shared" ca="1" si="35"/>
        <v>Values must be numeric</v>
      </c>
      <c r="ED4" s="14" t="str">
        <f t="shared" ca="1" si="73"/>
        <v/>
      </c>
      <c r="EE4" s="14" t="str">
        <f t="shared" ca="1" si="74"/>
        <v/>
      </c>
      <c r="EK4" s="14" t="b">
        <f t="shared" ca="1" si="75"/>
        <v>1</v>
      </c>
      <c r="EL4" s="14">
        <f t="shared" ca="1" si="36"/>
        <v>2</v>
      </c>
      <c r="EM4" s="14" t="str">
        <f t="shared" ca="1" si="37"/>
        <v>num1</v>
      </c>
      <c r="EN4" s="14" t="str">
        <f t="shared" ca="1" si="76"/>
        <v xml:space="preserve">Zmienna liczbowa z brakami (num1): Values must be numeric. </v>
      </c>
      <c r="EO4" s="14" t="str">
        <f t="shared" ca="1" si="77"/>
        <v>There are errors in the entered values in the following cases: LAB3. The following cases are non-numeric: WAW3: nas</v>
      </c>
    </row>
    <row r="5" spans="1:145">
      <c r="B5" s="14" t="str">
        <f t="shared" ca="1" si="38"/>
        <v>There are errors in the entered values in the following cases: LAB3</v>
      </c>
      <c r="C5" s="14">
        <f t="shared" ca="1" si="39"/>
        <v>3</v>
      </c>
      <c r="D5" s="14">
        <f t="shared" si="40"/>
        <v>3</v>
      </c>
      <c r="E5" s="14" t="str">
        <f t="shared" ca="1" si="0"/>
        <v>I</v>
      </c>
      <c r="F5" s="14" t="str">
        <f t="shared" ca="1" si="41"/>
        <v>num2</v>
      </c>
      <c r="G5" s="14" t="str">
        <f t="shared" ca="1" si="42"/>
        <v>Zmienna liczbowa bez braków</v>
      </c>
      <c r="H5" s="14" t="b">
        <f t="shared" ca="1" si="1"/>
        <v>1</v>
      </c>
      <c r="I5" s="14" t="str">
        <f ca="1">IF($H5,ADDRESS(3,(D5+1)*2-1,4,,"["&amp;wew!$G$7&amp;"]"&amp;_sheetname_labels)&amp;":"&amp;ADDRESS(2+ster!$B$20,(D5+1)*2-1,4),"")</f>
        <v>'[dane surowe2d.xlsm]labels'!G3:G36</v>
      </c>
      <c r="J5" s="14">
        <f t="array" aca="1" ref="J5" ca="1">IF(H5,MAX(0,MAX(IF(INDIRECT(I5)&lt;&gt;"",ROW(INDIRECT(I5)),""))-2),"")</f>
        <v>0</v>
      </c>
      <c r="K5" s="14" t="str">
        <f ca="1">IF($H5,IF($J5&gt;0,ADDRESS(3,(D5+1)*2-1,4,,"["&amp;wew!$G$7&amp;"]"&amp;_sheetname_labels)&amp;":"&amp;ADDRESS(2+J5,(D5+1)*2-1,4),""),"")</f>
        <v/>
      </c>
      <c r="L5" s="14" t="str">
        <f ca="1">IF($H5,IF($J5&gt;0,ADDRESS(3,(D5+1)*2,4,,"["&amp;wew!$G$7&amp;"]"&amp;_sheetname_labels)&amp;":"&amp;ADDRESS(2+J5,(D5+1)*2,4),""),"")</f>
        <v/>
      </c>
      <c r="M5" s="14">
        <f t="shared" ca="1" si="43"/>
        <v>0</v>
      </c>
      <c r="N5" s="14">
        <f t="shared" ca="1" si="44"/>
        <v>0</v>
      </c>
      <c r="O5" s="14" t="str">
        <f t="shared" ca="1" si="2"/>
        <v>num2</v>
      </c>
      <c r="P5" s="14" t="str">
        <f t="shared" ca="1" si="3"/>
        <v>Zmienna liczbowa bez braków</v>
      </c>
      <c r="Q5" s="14" t="str">
        <f ca="1">IF($H5,ADDRESS(3,D5+1,4,,"["&amp;wew!$G$7&amp;"]"&amp;_sheetname_dataframe)&amp;":"&amp;ADDRESS(2+ster!$C$14,D5+1,4),"")</f>
        <v>'[dane surowe2d.xlsm]data_frame'!D3:D12</v>
      </c>
      <c r="R5" s="14">
        <f t="array" aca="1" ref="R5" ca="1">IF(H5,SUM(IF((IFERROR(INDIRECT(Q5)&lt;&gt;"",FALSE))*(INDIRECT(ster!$D$14)&lt;&gt;""),1,0)),"")</f>
        <v>8</v>
      </c>
      <c r="S5" s="14">
        <f t="array" aca="1" ref="S5" ca="1">IF(H5,IF(M5&gt;0,SUM(IFERROR(1*(MATCH(INDIRECT(Q5),INDIRECT(K5),0)&gt;0),0)*(INDIRECT(ster!$D$14)&lt;&gt;"")*NOT(ISNUMBER(INDIRECT(Q5)))),0),"")</f>
        <v>0</v>
      </c>
      <c r="T5" s="14">
        <f t="array" aca="1" ref="T5" ca="1">IF(H5,SUM((IFERROR(INDIRECT(Q5)="",FALSE))*(INDIRECT(ster!$D$14)&lt;&gt;"")),"")</f>
        <v>0</v>
      </c>
      <c r="U5" s="14">
        <f t="array" aca="1" ref="U5" ca="1">IF(H5,SUM((IFERROR(INDIRECT(Q5)="#ąś",TRUE))*(INDIRECT(ster!$D$14)&lt;&gt;"")),"")</f>
        <v>1</v>
      </c>
      <c r="V5" s="14">
        <f t="array" aca="1" ref="V5" ca="1">IF(H5,SUM(ISNUMBER(INDIRECT(Q5))*(INDIRECT(ster!$D$14)&lt;&gt;"")),"")</f>
        <v>8</v>
      </c>
      <c r="W5" s="14">
        <f t="array" aca="1" ref="W5" ca="1">IF(AND(H5,V5&gt;0),IF(wew!$B$3,MIN(IF((INDIRECT(ster!$D$14)&lt;&gt;"")*IFERROR(INDIRECT($Q5)&lt;&gt;"",FALSE),IFERROR(INDIRECT($Q5),"X"),"X")),"&lt;włącz podświetlanie wartości&gt;"),"—")</f>
        <v>1</v>
      </c>
      <c r="X5" s="14">
        <f t="array" aca="1" ref="X5" ca="1">IF(AND(H5,V5&gt;0),IF(wew!$B$3,MAX(IF((INDIRECT(ster!$D$14)&lt;&gt;"")*IFERROR(INDIRECT($Q5)&lt;&gt;"",FALSE),IFERROR(INDIRECT($Q5),"X"),"X")),"&lt;włącz podświetlanie wartości&gt;"),"—")</f>
        <v>4</v>
      </c>
      <c r="Y5" s="14">
        <f t="shared" ca="1" si="4"/>
        <v>0</v>
      </c>
      <c r="Z5" s="12">
        <f t="shared" ca="1" si="5"/>
        <v>1</v>
      </c>
      <c r="AA5" s="17">
        <f t="array" aca="1" ref="AA5" ca="1">IF(H5,IF(V5&gt;0,SUM((INDIRECT(ster!$D$14)&lt;&gt;"")*IFERROR((INDIRECT(Q5)&lt;&gt;"")*(INDIRECT(Q5)=INT(INDIRECT(Q5))),0)),0),"")</f>
        <v>8</v>
      </c>
      <c r="AB5" s="17">
        <f t="array" aca="1" ref="AB5" ca="1">IF(H5,V5-AA5,"")</f>
        <v>0</v>
      </c>
      <c r="AC5" s="17">
        <f t="shared" ca="1" si="45"/>
        <v>1</v>
      </c>
      <c r="AD5" s="17" t="b">
        <f t="shared" ca="1" si="46"/>
        <v>0</v>
      </c>
      <c r="AE5" s="17" t="str">
        <f ca="1">IF(AD5,IF($H5,ADDRESS(3,D5+2,4,,"["&amp;wew!$G$7&amp;"]"&amp;_sheetname_dataframe)&amp;":"&amp;ADDRESS(2+ster!$C$14,D5+2,4),""),"")</f>
        <v/>
      </c>
      <c r="AF5" s="17" t="str">
        <f t="shared" ca="1" si="6"/>
        <v/>
      </c>
      <c r="AG5" s="17" t="b">
        <f t="shared" ca="1" si="7"/>
        <v>0</v>
      </c>
      <c r="AH5" s="17" t="str">
        <f ca="1">IF(AG5,IF($H5,ADDRESS(3,D5+3,4,,"["&amp;wew!$G$7&amp;"]"&amp;_sheetname_dataframe)&amp;":"&amp;ADDRESS(2+ster!$C$14,D5+3,4),""),"")</f>
        <v/>
      </c>
      <c r="AI5" s="17" t="str">
        <f t="shared" ca="1" si="8"/>
        <v/>
      </c>
      <c r="AJ5" s="17" t="b">
        <f t="shared" ca="1" si="9"/>
        <v>0</v>
      </c>
      <c r="AK5" s="17" t="b">
        <f t="shared" ca="1" si="47"/>
        <v>0</v>
      </c>
      <c r="AL5" s="17" t="b">
        <f t="shared" ca="1" si="48"/>
        <v>1</v>
      </c>
      <c r="AM5" s="17">
        <f t="shared" ca="1" si="10"/>
        <v>0</v>
      </c>
      <c r="AN5" s="24" t="str">
        <f t="shared" ca="1" si="49"/>
        <v/>
      </c>
      <c r="AO5" s="24" t="str">
        <f t="shared" ca="1" si="50"/>
        <v/>
      </c>
      <c r="AP5" s="17" t="b">
        <f t="shared" ca="1" si="13"/>
        <v>0</v>
      </c>
      <c r="AQ5" s="17" t="b">
        <f t="shared" ca="1" si="14"/>
        <v>0</v>
      </c>
      <c r="AR5" s="17" t="b">
        <f t="shared" ca="1" si="15"/>
        <v>0</v>
      </c>
      <c r="AS5" s="17" t="b">
        <f t="shared" ca="1" si="16"/>
        <v>0</v>
      </c>
      <c r="AT5" s="17" t="b">
        <f t="shared" ca="1" si="17"/>
        <v>1</v>
      </c>
      <c r="AU5" s="17" t="b">
        <f t="shared" ca="1" si="18"/>
        <v>0</v>
      </c>
      <c r="AV5" s="17" t="b">
        <f t="shared" ca="1" si="19"/>
        <v>1</v>
      </c>
      <c r="AW5" s="14" t="b">
        <f t="array" aca="1" ref="AW5" ca="1">IF(H5,N5&gt;0,"")</f>
        <v>0</v>
      </c>
      <c r="AX5" s="17" t="str">
        <f t="shared" ca="1" si="20"/>
        <v/>
      </c>
      <c r="AY5" s="17" t="str">
        <f t="array" aca="1" ref="AY5" ca="1">IF(AX5&lt;&gt;"",SUM(1*ISERROR(MATCH(INDIRECT(AX5),INDIRECT(K5),0)))=0,"")</f>
        <v/>
      </c>
      <c r="AZ5" s="17" t="b">
        <f t="shared" ca="1" si="21"/>
        <v>0</v>
      </c>
      <c r="BA5" s="17" t="str">
        <f t="shared" ca="1" si="51"/>
        <v/>
      </c>
      <c r="BB5" s="17" t="str">
        <f t="shared" ca="1" si="22"/>
        <v/>
      </c>
      <c r="BC5" s="17" t="str">
        <f t="shared" ca="1" si="23"/>
        <v/>
      </c>
      <c r="BD5" s="17" t="str">
        <f t="shared" ca="1" si="52"/>
        <v/>
      </c>
      <c r="BE5" s="17" t="str">
        <f t="shared" ca="1" si="53"/>
        <v/>
      </c>
      <c r="BF5" s="17" t="str">
        <f t="shared" ca="1" si="54"/>
        <v/>
      </c>
      <c r="BG5" s="17" t="str">
        <f t="shared" ca="1" si="55"/>
        <v/>
      </c>
      <c r="BH5" s="17" t="str">
        <f t="shared" ca="1" si="56"/>
        <v/>
      </c>
      <c r="BI5" s="17" t="b">
        <f t="shared" ca="1" si="57"/>
        <v>1</v>
      </c>
      <c r="BJ5" s="17" t="b">
        <f t="shared" ca="1" si="24"/>
        <v>1</v>
      </c>
      <c r="BK5" s="17" t="b">
        <f t="shared" ca="1" si="25"/>
        <v>0</v>
      </c>
      <c r="BL5" s="17" t="str">
        <f t="shared" ca="1" si="26"/>
        <v>I</v>
      </c>
      <c r="BM5" s="17" t="str">
        <f t="shared" ca="1" si="27"/>
        <v>E</v>
      </c>
      <c r="BN5" s="17" t="str">
        <f t="shared" ca="1" si="28"/>
        <v>I</v>
      </c>
      <c r="BO5" s="14" t="b">
        <f t="shared" ca="1" si="29"/>
        <v>1</v>
      </c>
      <c r="BP5" s="15">
        <v>1</v>
      </c>
      <c r="BQ5" s="14"/>
      <c r="BS5" s="14" t="s">
        <v>388</v>
      </c>
      <c r="BV5" s="16"/>
      <c r="BW5" s="16"/>
      <c r="BX5" s="16"/>
      <c r="BY5" s="16"/>
      <c r="BZ5" s="16"/>
      <c r="CA5" s="16"/>
      <c r="CB5" s="16"/>
      <c r="CC5" s="16"/>
      <c r="CD5" s="16"/>
      <c r="CE5" s="14"/>
      <c r="CF5" s="14"/>
      <c r="CG5" s="14"/>
      <c r="CH5" s="14"/>
      <c r="CI5" s="14"/>
      <c r="CJ5" s="14"/>
      <c r="CK5" s="14"/>
      <c r="CL5" s="14">
        <f ca="1">IF(H5,IFERROR(IsVariableNameLegal(O5),0),0)</f>
        <v>0</v>
      </c>
      <c r="CM5" s="14" t="str">
        <f t="array" aca="1" ref="CM5" ca="1">IF(H5,IF(COUNTIF(INDIRECT(wew!$C$13),O5)&gt;1,TRIM(SUBSTITUTE(_xll.MCONCAT(IF((INDIRECT(wew!$C$13)=O5)*(COLUMN(INDIRECT(wew!$C$13))&lt;&gt;D5+1),-1+COLUMN(INDIRECT(wew!$C$13)),"")," "),"  "," ")),""),"")</f>
        <v/>
      </c>
      <c r="CN5" s="14" t="str">
        <f t="array" aca="1" ref="CN5" ca="1">IF(P5&lt;&gt;"",IF(LEN(P5)&gt;150,1,""),"")</f>
        <v/>
      </c>
      <c r="CO5" s="14" t="str">
        <f t="array" aca="1" ref="CO5" ca="1">IF(AND(H5,NOT(ster!$J$3)),IF(COUNTIF(INDIRECT(wew!$C$15),P5)&gt;1,TRIM(SUBSTITUTE(_xll.MCONCAT(IF((INDIRECT(wew!$C$15)=P5)*(COLUMN(INDIRECT(wew!$C$15))&lt;&gt;D5+1),-1+COLUMN(INDIRECT(wew!$C$15)),"")," "),"  "," ")),""),"")</f>
        <v/>
      </c>
      <c r="CP5" s="14" t="str">
        <f t="array" aca="1" ref="CP5" ca="1">IF(H5,IF(AND(V5&gt;0,AN5&lt;&gt;""),TRIM(SUBSTITUTE(_xll.MCONCAT(IFERROR(IF(ISNUMBER(INDIRECT(Q5)),IF((INDIRECT(ster!$D$14)&lt;&gt;"")*(INDIRECT(Q5)&lt;AN5),INDIRECT(ster!$D$14) &amp; ": " &amp;  SUBSTITUTE(IF( AU5,IFERROR(TEXT(INDIRECT(Q5),"rrrr-mm-dd") &amp;" (" &amp; INDIRECT(Q5) &amp;")",INDIRECT(Q5)),INDIRECT(Q5))," "," "),""),""),"")," "),"  "," ")),""),"")</f>
        <v/>
      </c>
      <c r="CQ5" s="14" t="str">
        <f t="array" aca="1" ref="CQ5" ca="1">IF(H5,IF(AND(V5&gt;0,AO5&lt;&gt;""),TRIM(SUBSTITUTE(_xll.MCONCAT(IFERROR(IF(ISNUMBER(INDIRECT(Q5)),IF((INDIRECT(ster!$D$14)&lt;&gt;"")*(INDIRECT(Q5)&gt;AO5),INDIRECT(ster!$D$14) &amp; ": " &amp;  SUBSTITUTE(IF( AU5,IFERROR(TEXT(INDIRECT(Q5),"rrrr-mm-dd")&amp;" (" &amp; INDIRECT(Q5) &amp;")",INDIRECT(Q5)),INDIRECT(Q5))," "," "),""),""),"")," "),"  "," ")),""),"")</f>
        <v/>
      </c>
      <c r="CR5" s="14" t="str">
        <f t="array" aca="1" ref="CR5" ca="1">IF(H5,IF(AND(N5&gt;0,AQ5),TRIM(SUBSTITUTE(_xll.MCONCAT(IFERROR(IF(ISNUMBER(INDIRECT(Q5)),IF((INDIRECT(ster!$D$14)&lt;&gt;"")*(IFERROR(0*(MATCH(INDIRECT(Q5),INDIRECT(K5),0)&gt;0),1)),INDIRECT(ster!$D$14) &amp; ": " &amp;  SUBSTITUTE(IF( AU5,IFERROR(TEXT(INDIRECT(Q5),"rrrr-mm-dd")&amp;" (" &amp; INDIRECT(Q5) &amp;")",INDIRECT(Q5)),INDIRECT(Q5))," "," "),""),""),"")," "),"  "," ")),""),"")</f>
        <v/>
      </c>
      <c r="CS5" s="14" t="str">
        <f t="array" aca="1" ref="CS5" ca="1">IF(H5,IF(AND(U5&gt;0),TRIM(SUBSTITUTE(_xll.MCONCAT(IF((INDIRECT(ster!$D$14)&lt;&gt;"")*(IFERROR(0*(INDIRECT(Q5)&lt;&gt;""),1)),INDIRECT(ster!$D$14),"")," "),"  "," ")),""),"")</f>
        <v>LAB3</v>
      </c>
      <c r="CT5" s="14" t="str">
        <f t="array" aca="1" ref="CT5" ca="1">IF(H5,IF(AR5,
TRIM(SUBSTITUTE(_xll.MCONCAT(IF(
   (INDIRECT(ster!$D$14)&lt;&gt;"")*
   ((INDIRECT(Q5)="")+
      NOT(ISNUMBER(INDIRECT(Q5)))*
      NOT(ISERROR(MATCH(INDIRECT(Q5),INDIRECT(K5),0)))
    ),
      INDIRECT(ster!$D$14),
   "")," "),"  "," ")),
""),"")</f>
        <v/>
      </c>
      <c r="CU5" s="14" t="str">
        <f t="array" aca="1" ref="CU5" ca="1">IF(H5,IF(AND(AP5),TRIM(SUBSTITUTE(_xll.MCONCAT(IFERROR(IF(ISNUMBER(INDIRECT(Q5)),IF((INDIRECT(ster!$D$14)&lt;&gt;"")*(INDIRECT(Q5)&lt;&gt;INT(INDIRECT(Q5))),INDIRECT(ster!$D$14) &amp; ": " &amp; INDIRECT(Q5),""),""),"")," "),"  "," ")),""),"")</f>
        <v/>
      </c>
      <c r="CV5" s="14" t="str">
        <f t="array" aca="1" ref="CV5" ca="1">IF(H5,IF(OR(AT5,AU5),TRIM(SUBSTITUTE(_xll.MCONCAT(IF((INDIRECT(ster!$D$14)&lt;&gt;"")*NOT(ISNUMBER(INDIRECT(Q5))),IF(ISERROR(MATCH(INDIRECT(Q5),INDIRECT(K5),0)),IFERROR(IF(INDIRECT(Q5)&lt;&gt;"",INDIRECT(ster!$D$14) &amp; ": " &amp; SUBSTITUTE(INDIRECT(Q5)," "," "),""),""),""),"")," "),"  "," ")),""),"")</f>
        <v/>
      </c>
      <c r="CW5" s="14" t="str">
        <f t="array" aca="1" ref="CW5" ca="1">IF(H5,IF(AD5,TRIM(SUBSTITUTE(_xll.MCONCAT(IF((INDIRECT(ster!$D$14)&lt;&gt;"")*IFERROR(NOT(INDIRECT(AE5)),FALSE),IF(ISERROR(MATCH(INDIRECT(Q5),INDIRECT(K5),0)),IFERROR(IF(INDIRECT(Q5)&lt;&gt;"",INDIRECT(ster!$D$14) &amp; ": " &amp;  SUBSTITUTE(IF( AU5,IFERROR(TEXT(INDIRECT(Q5),"rrrr-mm-dd")&amp;" (" &amp; INDIRECT(Q5) &amp;")",INDIRECT(Q5)),INDIRECT(Q5))," "," "),""),""),""),"")," "),"  "," ")),""),"")</f>
        <v/>
      </c>
      <c r="CX5" s="14" t="str">
        <f t="array" aca="1" ref="CX5" ca="1">IF(H5,IF(AG5,TRIM(SUBSTITUTE(_xll.MCONCAT(IF((INDIRECT(ster!$D$14)&lt;&gt;"")*IFERROR(NOT(INDIRECT(AH5)),FALSE),IF(ISERROR(MATCH(INDIRECT(Q5),INDIRECT(K5),0)),IFERROR(IF(INDIRECT(Q5)&lt;&gt;"",INDIRECT(ster!$D$14) &amp; ": " &amp;  SUBSTITUTE(IF( AU5,IFERROR(TEXT(INDIRECT(Q5),"rrrr-mm-dd")&amp;" (" &amp; INDIRECT(Q5) &amp;")",INDIRECT(Q5)),INDIRECT(Q5))," "," "),""),""),""),"")," "),"  "," ")),""),"")</f>
        <v/>
      </c>
      <c r="CY5" s="14"/>
      <c r="CZ5" s="14"/>
      <c r="DA5" s="14" t="str">
        <f ca="1">SUBSTITUTE(SUBSTITUTE(SUBSTITUTE(SUBSTITUTE(_xll.MCONCAT(DE5:DQ5,"■"),"■■","■"),"■■","■"),"■■","■"),"■■","■")</f>
        <v>■There are errors in the entered values in the following cases: LAB3■</v>
      </c>
      <c r="DB5" s="14" t="str">
        <f t="shared" ca="1" si="58"/>
        <v>There are errors in the entered values in the following cases: LAB3■</v>
      </c>
      <c r="DC5" s="14" t="str">
        <f t="shared" ca="1" si="59"/>
        <v>There are errors in the entered values in the following cases: LAB3</v>
      </c>
      <c r="DD5" s="14" t="str">
        <f t="shared" ca="1" si="60"/>
        <v>There are errors in the entered values in the following cases: LAB3</v>
      </c>
      <c r="DE5" s="14" t="str">
        <f t="shared" ca="1" si="61"/>
        <v/>
      </c>
      <c r="DF5" s="14" t="str">
        <f t="shared" ca="1" si="62"/>
        <v/>
      </c>
      <c r="DG5" s="14" t="str">
        <f t="shared" ca="1" si="63"/>
        <v/>
      </c>
      <c r="DH5" s="14" t="str">
        <f t="shared" ca="1" si="64"/>
        <v/>
      </c>
      <c r="DI5" s="14" t="str">
        <f t="shared" ca="1" si="65"/>
        <v/>
      </c>
      <c r="DJ5" s="14" t="str">
        <f t="shared" ca="1" si="66"/>
        <v/>
      </c>
      <c r="DK5" s="14" t="str">
        <f t="shared" ca="1" si="67"/>
        <v/>
      </c>
      <c r="DL5" s="14" t="str">
        <f t="array" aca="1" ref="DL5" ca="1">IF(CS5&lt;&gt;"","There are errors in the entered values in the following cases: " &amp;SUBSTITUTE(CS5," ",", "),"")</f>
        <v>There are errors in the entered values in the following cases: LAB3</v>
      </c>
      <c r="DM5" s="14" t="str">
        <f t="shared" ca="1" si="68"/>
        <v/>
      </c>
      <c r="DN5" s="14" t="str">
        <f t="shared" ca="1" si="69"/>
        <v/>
      </c>
      <c r="DO5" s="14" t="str">
        <f t="shared" ca="1" si="70"/>
        <v/>
      </c>
      <c r="DP5" s="14" t="str">
        <f t="shared" ca="1" si="30"/>
        <v/>
      </c>
      <c r="DQ5" s="14" t="str">
        <f t="shared" ca="1" si="31"/>
        <v/>
      </c>
      <c r="DX5" s="14" t="b">
        <f t="shared" ca="1" si="71"/>
        <v>0</v>
      </c>
      <c r="DY5" s="14" t="str">
        <f t="shared" ca="1" si="32"/>
        <v>Zmienna liczbowa bez braków (num2)</v>
      </c>
      <c r="DZ5" s="14" t="str">
        <f t="shared" ca="1" si="72"/>
        <v xml:space="preserve">Values must be numeric. </v>
      </c>
      <c r="EA5" s="14" t="str">
        <f t="shared" ca="1" si="33"/>
        <v xml:space="preserve">Zmienna liczbowa bez braków (num2): Values must be numeric. </v>
      </c>
      <c r="EB5" s="14" t="str">
        <f t="shared" ca="1" si="34"/>
        <v/>
      </c>
      <c r="EC5" s="14" t="str">
        <f t="shared" ca="1" si="35"/>
        <v>Values must be numeric</v>
      </c>
      <c r="ED5" s="14" t="str">
        <f t="shared" ca="1" si="73"/>
        <v/>
      </c>
      <c r="EE5" s="14" t="str">
        <f t="shared" ca="1" si="74"/>
        <v/>
      </c>
      <c r="EK5" s="14" t="b">
        <f t="shared" ca="1" si="75"/>
        <v>1</v>
      </c>
      <c r="EL5" s="14">
        <f t="shared" ca="1" si="36"/>
        <v>3</v>
      </c>
      <c r="EM5" s="14" t="str">
        <f t="shared" ca="1" si="37"/>
        <v>num2</v>
      </c>
      <c r="EN5" s="14" t="str">
        <f t="shared" ca="1" si="76"/>
        <v xml:space="preserve">Zmienna liczbowa bez braków (num2): Values must be numeric. </v>
      </c>
      <c r="EO5" s="14" t="str">
        <f t="shared" ca="1" si="77"/>
        <v>There are errors in the entered values in the following cases: LAB3</v>
      </c>
    </row>
    <row r="6" spans="1:145">
      <c r="B6" s="14" t="str">
        <f t="shared" ca="1" si="38"/>
        <v/>
      </c>
      <c r="C6" s="14">
        <f t="shared" ca="1" si="39"/>
        <v>4</v>
      </c>
      <c r="D6" s="14">
        <f t="shared" si="40"/>
        <v>4</v>
      </c>
      <c r="E6" s="14" t="str">
        <f t="shared" ca="1" si="0"/>
        <v/>
      </c>
      <c r="F6" s="14" t="str">
        <f t="shared" ca="1" si="41"/>
        <v/>
      </c>
      <c r="G6" s="14" t="str">
        <f t="shared" ca="1" si="42"/>
        <v/>
      </c>
      <c r="H6" s="14" t="b">
        <f t="shared" ca="1" si="1"/>
        <v>0</v>
      </c>
      <c r="I6" s="14" t="str">
        <f ca="1">IF($H6,ADDRESS(3,(D6+1)*2-1,4,,"["&amp;wew!$G$7&amp;"]"&amp;_sheetname_labels)&amp;":"&amp;ADDRESS(2+ster!$B$20,(D6+1)*2-1,4),"")</f>
        <v/>
      </c>
      <c r="J6" s="14" t="str">
        <f t="array" aca="1" ref="J6" ca="1">IF(H6,MAX(0,MAX(IF(INDIRECT(I6)&lt;&gt;"",ROW(INDIRECT(I6)),""))-2),"")</f>
        <v/>
      </c>
      <c r="K6" s="14" t="str">
        <f ca="1">IF($H6,IF($J6&gt;0,ADDRESS(3,(D6+1)*2-1,4,,"["&amp;wew!$G$7&amp;"]"&amp;_sheetname_labels)&amp;":"&amp;ADDRESS(2+J6,(D6+1)*2-1,4),""),"")</f>
        <v/>
      </c>
      <c r="L6" s="14" t="str">
        <f ca="1">IF($H6,IF($J6&gt;0,ADDRESS(3,(D6+1)*2,4,,"["&amp;wew!$G$7&amp;"]"&amp;_sheetname_labels)&amp;":"&amp;ADDRESS(2+J6,(D6+1)*2,4),""),"")</f>
        <v/>
      </c>
      <c r="M6" s="14" t="str">
        <f t="shared" ca="1" si="43"/>
        <v/>
      </c>
      <c r="N6" s="14" t="str">
        <f t="shared" ca="1" si="44"/>
        <v/>
      </c>
      <c r="O6" s="14" t="str">
        <f t="shared" ca="1" si="2"/>
        <v/>
      </c>
      <c r="P6" s="14" t="str">
        <f t="shared" ca="1" si="3"/>
        <v/>
      </c>
      <c r="Q6" s="14" t="str">
        <f ca="1">IF($H6,ADDRESS(3,D6+1,4,,"["&amp;wew!$G$7&amp;"]"&amp;_sheetname_dataframe)&amp;":"&amp;ADDRESS(2+ster!$C$14,D6+1,4),"")</f>
        <v/>
      </c>
      <c r="R6" s="14" t="str">
        <f t="array" aca="1" ref="R6" ca="1">IF(H6,SUM(IF((IFERROR(INDIRECT(Q6)&lt;&gt;"",FALSE))*(INDIRECT(ster!$D$14)&lt;&gt;""),1,0)),"")</f>
        <v/>
      </c>
      <c r="S6" s="14" t="str">
        <f t="array" aca="1" ref="S6" ca="1">IF(H6,IF(M6&gt;0,SUM(IFERROR(1*(MATCH(INDIRECT(Q6),INDIRECT(K6),0)&gt;0),0)*(INDIRECT(ster!$D$14)&lt;&gt;"")*NOT(ISNUMBER(INDIRECT(Q6)))),0),"")</f>
        <v/>
      </c>
      <c r="T6" s="14" t="str">
        <f t="array" aca="1" ref="T6" ca="1">IF(H6,SUM((IFERROR(INDIRECT(Q6)="",FALSE))*(INDIRECT(ster!$D$14)&lt;&gt;"")),"")</f>
        <v/>
      </c>
      <c r="U6" s="14" t="str">
        <f t="array" aca="1" ref="U6" ca="1">IF(H6,SUM((IFERROR(INDIRECT(Q6)="#ąś",TRUE))*(INDIRECT(ster!$D$14)&lt;&gt;"")),"")</f>
        <v/>
      </c>
      <c r="V6" s="14" t="str">
        <f t="array" aca="1" ref="V6" ca="1">IF(H6,SUM(ISNUMBER(INDIRECT(Q6))*(INDIRECT(ster!$D$14)&lt;&gt;"")),"")</f>
        <v/>
      </c>
      <c r="W6" s="14" t="str">
        <f t="array" aca="1" ref="W6" ca="1">IF(AND(H6,V6&gt;0),IF(wew!$B$3,MIN(IF((INDIRECT(ster!$D$14)&lt;&gt;"")*IFERROR(INDIRECT($Q6)&lt;&gt;"",FALSE),IFERROR(INDIRECT($Q6),"X"),"X")),"&lt;włącz podświetlanie wartości&gt;"),"—")</f>
        <v>—</v>
      </c>
      <c r="X6" s="14" t="str">
        <f t="array" aca="1" ref="X6" ca="1">IF(AND(H6,V6&gt;0),IF(wew!$B$3,MAX(IF((INDIRECT(ster!$D$14)&lt;&gt;"")*IFERROR(INDIRECT($Q6)&lt;&gt;"",FALSE),IFERROR(INDIRECT($Q6),"X"),"X")),"&lt;włącz podświetlanie wartości&gt;"),"—")</f>
        <v>—</v>
      </c>
      <c r="Y6" s="14" t="str">
        <f t="shared" ca="1" si="4"/>
        <v/>
      </c>
      <c r="Z6" s="12" t="str">
        <f t="shared" ca="1" si="5"/>
        <v/>
      </c>
      <c r="AA6" s="17" t="str">
        <f t="array" aca="1" ref="AA6" ca="1">IF(H6,IF(V6&gt;0,SUM((INDIRECT(ster!$D$14)&lt;&gt;"")*IFERROR((INDIRECT(Q6)&lt;&gt;"")*(INDIRECT(Q6)=INT(INDIRECT(Q6))),0)),0),"")</f>
        <v/>
      </c>
      <c r="AB6" s="17" t="str">
        <f t="array" aca="1" ref="AB6" ca="1">IF(H6,V6-AA6,"")</f>
        <v/>
      </c>
      <c r="AC6" s="17" t="str">
        <f t="shared" ca="1" si="45"/>
        <v/>
      </c>
      <c r="AD6" s="17" t="b">
        <f t="shared" ca="1" si="46"/>
        <v>0</v>
      </c>
      <c r="AE6" s="17" t="str">
        <f ca="1">IF(AD6,IF($H6,ADDRESS(3,D6+2,4,,"["&amp;wew!$G$7&amp;"]"&amp;_sheetname_dataframe)&amp;":"&amp;ADDRESS(2+ster!$C$14,D6+2,4),""),"")</f>
        <v/>
      </c>
      <c r="AF6" s="17" t="str">
        <f t="shared" ca="1" si="6"/>
        <v/>
      </c>
      <c r="AG6" s="17" t="b">
        <f t="shared" ca="1" si="7"/>
        <v>0</v>
      </c>
      <c r="AH6" s="17" t="str">
        <f ca="1">IF(AG6,IF($H6,ADDRESS(3,D6+3,4,,"["&amp;wew!$G$7&amp;"]"&amp;_sheetname_dataframe)&amp;":"&amp;ADDRESS(2+ster!$C$14,D6+3,4),""),"")</f>
        <v/>
      </c>
      <c r="AI6" s="17" t="str">
        <f t="shared" ca="1" si="8"/>
        <v/>
      </c>
      <c r="AJ6" s="17" t="str">
        <f t="shared" ca="1" si="9"/>
        <v/>
      </c>
      <c r="AK6" s="17" t="str">
        <f t="shared" ca="1" si="47"/>
        <v/>
      </c>
      <c r="AL6" s="17" t="str">
        <f t="shared" ca="1" si="48"/>
        <v/>
      </c>
      <c r="AM6" s="17">
        <f t="shared" ca="1" si="10"/>
        <v>2</v>
      </c>
      <c r="AN6" s="24" t="str">
        <f t="shared" ca="1" si="49"/>
        <v/>
      </c>
      <c r="AO6" s="24" t="str">
        <f t="shared" ca="1" si="50"/>
        <v/>
      </c>
      <c r="AP6" s="17" t="str">
        <f t="shared" ca="1" si="13"/>
        <v/>
      </c>
      <c r="AQ6" s="17" t="str">
        <f t="shared" ca="1" si="14"/>
        <v/>
      </c>
      <c r="AR6" s="17" t="str">
        <f t="shared" ca="1" si="15"/>
        <v/>
      </c>
      <c r="AS6" s="17" t="str">
        <f t="shared" ca="1" si="16"/>
        <v/>
      </c>
      <c r="AT6" s="17" t="str">
        <f t="shared" ca="1" si="17"/>
        <v/>
      </c>
      <c r="AU6" s="17" t="str">
        <f t="shared" ca="1" si="18"/>
        <v/>
      </c>
      <c r="AV6" s="17" t="str">
        <f t="shared" ca="1" si="19"/>
        <v/>
      </c>
      <c r="AW6" s="14" t="str">
        <f t="array" aca="1" ref="AW6" ca="1">IF(H6,N6&gt;0,"")</f>
        <v/>
      </c>
      <c r="AX6" s="17" t="str">
        <f t="shared" ca="1" si="20"/>
        <v/>
      </c>
      <c r="AY6" s="17" t="str">
        <f t="array" aca="1" ref="AY6" ca="1">IF(AX6&lt;&gt;"",SUM(1*ISERROR(MATCH(INDIRECT(AX6),INDIRECT(K6),0)))=0,"")</f>
        <v/>
      </c>
      <c r="AZ6" s="17" t="b">
        <f t="shared" ca="1" si="21"/>
        <v>0</v>
      </c>
      <c r="BA6" s="17" t="str">
        <f t="shared" ca="1" si="51"/>
        <v/>
      </c>
      <c r="BB6" s="17" t="str">
        <f t="shared" ca="1" si="22"/>
        <v/>
      </c>
      <c r="BC6" s="17" t="str">
        <f t="shared" ca="1" si="23"/>
        <v/>
      </c>
      <c r="BD6" s="17" t="str">
        <f t="shared" ca="1" si="52"/>
        <v/>
      </c>
      <c r="BE6" s="17" t="str">
        <f t="shared" ca="1" si="53"/>
        <v/>
      </c>
      <c r="BF6" s="17" t="str">
        <f t="shared" ca="1" si="54"/>
        <v/>
      </c>
      <c r="BG6" s="17" t="str">
        <f t="shared" ca="1" si="55"/>
        <v/>
      </c>
      <c r="BH6" s="17" t="str">
        <f t="shared" ca="1" si="56"/>
        <v/>
      </c>
      <c r="BI6" s="17" t="b">
        <f t="shared" ca="1" si="57"/>
        <v>0</v>
      </c>
      <c r="BJ6" s="17" t="str">
        <f t="shared" ca="1" si="24"/>
        <v/>
      </c>
      <c r="BK6" s="17" t="str">
        <f t="shared" ca="1" si="25"/>
        <v/>
      </c>
      <c r="BL6" s="17" t="str">
        <f t="shared" ca="1" si="26"/>
        <v/>
      </c>
      <c r="BM6" s="17" t="str">
        <f t="shared" ca="1" si="27"/>
        <v/>
      </c>
      <c r="BN6" s="17" t="str">
        <f t="shared" ca="1" si="28"/>
        <v/>
      </c>
      <c r="BO6" s="14" t="b">
        <f t="shared" ca="1" si="29"/>
        <v>0</v>
      </c>
      <c r="BP6" s="15" t="s">
        <v>512</v>
      </c>
      <c r="BQ6" s="14"/>
      <c r="BV6" s="16"/>
      <c r="BW6" s="16"/>
      <c r="BX6" s="16"/>
      <c r="BY6" s="16"/>
      <c r="BZ6" s="16"/>
      <c r="CA6" s="16"/>
      <c r="CB6" s="16"/>
      <c r="CC6" s="16"/>
      <c r="CD6" s="16"/>
      <c r="CE6" s="14"/>
      <c r="CF6" s="14"/>
      <c r="CG6" s="14"/>
      <c r="CH6" s="14"/>
      <c r="CI6" s="14"/>
      <c r="CJ6" s="14"/>
      <c r="CK6" s="14"/>
      <c r="CL6" s="14">
        <f ca="1">IF(H6,IFERROR(IsVariableNameLegal(O6),0),0)</f>
        <v>0</v>
      </c>
      <c r="CM6" s="14" t="str">
        <f t="array" aca="1" ref="CM6" ca="1">IF(H6,IF(COUNTIF(INDIRECT(wew!$C$13),O6)&gt;1,TRIM(SUBSTITUTE(_xll.MCONCAT(IF((INDIRECT(wew!$C$13)=O6)*(COLUMN(INDIRECT(wew!$C$13))&lt;&gt;D6+1),-1+COLUMN(INDIRECT(wew!$C$13)),"")," "),"  "," ")),""),"")</f>
        <v/>
      </c>
      <c r="CN6" s="14" t="str">
        <f t="array" aca="1" ref="CN6" ca="1">IF(P6&lt;&gt;"",IF(LEN(P6)&gt;150,1,""),"")</f>
        <v/>
      </c>
      <c r="CO6" s="14" t="str">
        <f t="array" aca="1" ref="CO6" ca="1">IF(AND(H6,NOT(ster!$J$3)),IF(COUNTIF(INDIRECT(wew!$C$15),P6)&gt;1,TRIM(SUBSTITUTE(_xll.MCONCAT(IF((INDIRECT(wew!$C$15)=P6)*(COLUMN(INDIRECT(wew!$C$15))&lt;&gt;D6+1),-1+COLUMN(INDIRECT(wew!$C$15)),"")," "),"  "," ")),""),"")</f>
        <v/>
      </c>
      <c r="CP6" s="14" t="str">
        <f t="array" aca="1" ref="CP6" ca="1">IF(H6,IF(AND(V6&gt;0,AN6&lt;&gt;""),TRIM(SUBSTITUTE(_xll.MCONCAT(IFERROR(IF(ISNUMBER(INDIRECT(Q6)),IF((INDIRECT(ster!$D$14)&lt;&gt;"")*(INDIRECT(Q6)&lt;AN6),INDIRECT(ster!$D$14) &amp; ": " &amp;  SUBSTITUTE(IF( AU6,IFERROR(TEXT(INDIRECT(Q6),"rrrr-mm-dd") &amp;" (" &amp; INDIRECT(Q6) &amp;")",INDIRECT(Q6)),INDIRECT(Q6))," "," "),""),""),"")," "),"  "," ")),""),"")</f>
        <v/>
      </c>
      <c r="CQ6" s="14" t="str">
        <f t="array" aca="1" ref="CQ6" ca="1">IF(H6,IF(AND(V6&gt;0,AO6&lt;&gt;""),TRIM(SUBSTITUTE(_xll.MCONCAT(IFERROR(IF(ISNUMBER(INDIRECT(Q6)),IF((INDIRECT(ster!$D$14)&lt;&gt;"")*(INDIRECT(Q6)&gt;AO6),INDIRECT(ster!$D$14) &amp; ": " &amp;  SUBSTITUTE(IF( AU6,IFERROR(TEXT(INDIRECT(Q6),"rrrr-mm-dd")&amp;" (" &amp; INDIRECT(Q6) &amp;")",INDIRECT(Q6)),INDIRECT(Q6))," "," "),""),""),"")," "),"  "," ")),""),"")</f>
        <v/>
      </c>
      <c r="CR6" s="14" t="str">
        <f t="array" aca="1" ref="CR6" ca="1">IF(H6,IF(AND(N6&gt;0,AQ6),TRIM(SUBSTITUTE(_xll.MCONCAT(IFERROR(IF(ISNUMBER(INDIRECT(Q6)),IF((INDIRECT(ster!$D$14)&lt;&gt;"")*(IFERROR(0*(MATCH(INDIRECT(Q6),INDIRECT(K6),0)&gt;0),1)),INDIRECT(ster!$D$14) &amp; ": " &amp;  SUBSTITUTE(IF( AU6,IFERROR(TEXT(INDIRECT(Q6),"rrrr-mm-dd")&amp;" (" &amp; INDIRECT(Q6) &amp;")",INDIRECT(Q6)),INDIRECT(Q6))," "," "),""),""),"")," "),"  "," ")),""),"")</f>
        <v/>
      </c>
      <c r="CS6" s="14" t="str">
        <f t="array" aca="1" ref="CS6" ca="1">IF(H6,IF(AND(U6&gt;0),TRIM(SUBSTITUTE(_xll.MCONCAT(IF((INDIRECT(ster!$D$14)&lt;&gt;"")*(IFERROR(0*(INDIRECT(Q6)&lt;&gt;""),1)),INDIRECT(ster!$D$14),"")," "),"  "," ")),""),"")</f>
        <v/>
      </c>
      <c r="CT6" s="14" t="str">
        <f t="array" aca="1" ref="CT6" ca="1">IF(H6,IF(AR6,
TRIM(SUBSTITUTE(_xll.MCONCAT(IF(
   (INDIRECT(ster!$D$14)&lt;&gt;"")*
   ((INDIRECT(Q6)="")+
      NOT(ISNUMBER(INDIRECT(Q6)))*
      NOT(ISERROR(MATCH(INDIRECT(Q6),INDIRECT(K6),0)))
    ),
      INDIRECT(ster!$D$14),
   "")," "),"  "," ")),
""),"")</f>
        <v/>
      </c>
      <c r="CU6" s="14" t="str">
        <f t="array" aca="1" ref="CU6" ca="1">IF(H6,IF(AND(AP6),TRIM(SUBSTITUTE(_xll.MCONCAT(IFERROR(IF(ISNUMBER(INDIRECT(Q6)),IF((INDIRECT(ster!$D$14)&lt;&gt;"")*(INDIRECT(Q6)&lt;&gt;INT(INDIRECT(Q6))),INDIRECT(ster!$D$14) &amp; ": " &amp; INDIRECT(Q6),""),""),"")," "),"  "," ")),""),"")</f>
        <v/>
      </c>
      <c r="CV6" s="14" t="str">
        <f t="array" aca="1" ref="CV6" ca="1">IF(H6,IF(OR(AT6,AU6),TRIM(SUBSTITUTE(_xll.MCONCAT(IF((INDIRECT(ster!$D$14)&lt;&gt;"")*NOT(ISNUMBER(INDIRECT(Q6))),IF(ISERROR(MATCH(INDIRECT(Q6),INDIRECT(K6),0)),IFERROR(IF(INDIRECT(Q6)&lt;&gt;"",INDIRECT(ster!$D$14) &amp; ": " &amp; SUBSTITUTE(INDIRECT(Q6)," "," "),""),""),""),"")," "),"  "," ")),""),"")</f>
        <v/>
      </c>
      <c r="CW6" s="14" t="str">
        <f t="array" aca="1" ref="CW6" ca="1">IF(H6,IF(AD6,TRIM(SUBSTITUTE(_xll.MCONCAT(IF((INDIRECT(ster!$D$14)&lt;&gt;"")*IFERROR(NOT(INDIRECT(AE6)),FALSE),IF(ISERROR(MATCH(INDIRECT(Q6),INDIRECT(K6),0)),IFERROR(IF(INDIRECT(Q6)&lt;&gt;"",INDIRECT(ster!$D$14) &amp; ": " &amp;  SUBSTITUTE(IF( AU6,IFERROR(TEXT(INDIRECT(Q6),"rrrr-mm-dd")&amp;" (" &amp; INDIRECT(Q6) &amp;")",INDIRECT(Q6)),INDIRECT(Q6))," "," "),""),""),""),"")," "),"  "," ")),""),"")</f>
        <v/>
      </c>
      <c r="CX6" s="14" t="str">
        <f t="array" aca="1" ref="CX6" ca="1">IF(H6,IF(AG6,TRIM(SUBSTITUTE(_xll.MCONCAT(IF((INDIRECT(ster!$D$14)&lt;&gt;"")*IFERROR(NOT(INDIRECT(AH6)),FALSE),IF(ISERROR(MATCH(INDIRECT(Q6),INDIRECT(K6),0)),IFERROR(IF(INDIRECT(Q6)&lt;&gt;"",INDIRECT(ster!$D$14) &amp; ": " &amp;  SUBSTITUTE(IF( AU6,IFERROR(TEXT(INDIRECT(Q6),"rrrr-mm-dd")&amp;" (" &amp; INDIRECT(Q6) &amp;")",INDIRECT(Q6)),INDIRECT(Q6))," "," "),""),""),""),"")," "),"  "," ")),""),"")</f>
        <v/>
      </c>
      <c r="CY6" s="14"/>
      <c r="CZ6" s="14"/>
      <c r="DA6" s="14" t="str">
        <f ca="1">SUBSTITUTE(SUBSTITUTE(SUBSTITUTE(SUBSTITUTE(_xll.MCONCAT(DE6:DQ6,"■"),"■■","■"),"■■","■"),"■■","■"),"■■","■")</f>
        <v>■</v>
      </c>
      <c r="DB6" s="14" t="str">
        <f t="shared" ca="1" si="58"/>
        <v/>
      </c>
      <c r="DC6" s="14" t="str">
        <f t="shared" ca="1" si="59"/>
        <v/>
      </c>
      <c r="DD6" s="14" t="str">
        <f t="shared" ca="1" si="60"/>
        <v/>
      </c>
      <c r="DE6" s="14" t="str">
        <f t="shared" ca="1" si="61"/>
        <v/>
      </c>
      <c r="DF6" s="14" t="str">
        <f t="shared" ca="1" si="62"/>
        <v/>
      </c>
      <c r="DG6" s="14" t="str">
        <f t="shared" ca="1" si="63"/>
        <v/>
      </c>
      <c r="DH6" s="14" t="str">
        <f t="shared" ca="1" si="64"/>
        <v/>
      </c>
      <c r="DI6" s="14" t="str">
        <f t="shared" ca="1" si="65"/>
        <v/>
      </c>
      <c r="DJ6" s="14" t="str">
        <f t="shared" ca="1" si="66"/>
        <v/>
      </c>
      <c r="DK6" s="14" t="str">
        <f t="shared" ca="1" si="67"/>
        <v/>
      </c>
      <c r="DL6" s="14" t="str">
        <f t="array" aca="1" ref="DL6" ca="1">IF(CS6&lt;&gt;"","There are errors in the entered values in the following cases: " &amp;SUBSTITUTE(CS6," ",", "),"")</f>
        <v/>
      </c>
      <c r="DM6" s="14" t="str">
        <f t="shared" ca="1" si="68"/>
        <v/>
      </c>
      <c r="DN6" s="14" t="str">
        <f t="shared" ca="1" si="69"/>
        <v/>
      </c>
      <c r="DO6" s="14" t="str">
        <f t="shared" ca="1" si="70"/>
        <v/>
      </c>
      <c r="DP6" s="14" t="str">
        <f t="shared" ca="1" si="30"/>
        <v/>
      </c>
      <c r="DQ6" s="14" t="str">
        <f t="shared" ca="1" si="31"/>
        <v/>
      </c>
      <c r="DX6" s="14" t="b">
        <f t="shared" ca="1" si="71"/>
        <v>0</v>
      </c>
      <c r="DY6" s="14" t="str">
        <f t="shared" ca="1" si="32"/>
        <v/>
      </c>
      <c r="DZ6" s="14" t="str">
        <f t="shared" ca="1" si="72"/>
        <v/>
      </c>
      <c r="EA6" s="14" t="str">
        <f t="shared" ca="1" si="33"/>
        <v/>
      </c>
      <c r="EB6" s="14" t="str">
        <f t="shared" ca="1" si="34"/>
        <v/>
      </c>
      <c r="EC6" s="14" t="str">
        <f t="shared" ca="1" si="35"/>
        <v/>
      </c>
      <c r="ED6" s="14" t="str">
        <f t="shared" ca="1" si="73"/>
        <v/>
      </c>
      <c r="EE6" s="14" t="str">
        <f t="shared" ca="1" si="74"/>
        <v/>
      </c>
      <c r="EK6" s="14" t="b">
        <f t="shared" ca="1" si="75"/>
        <v>0</v>
      </c>
      <c r="EL6" s="14" t="str">
        <f t="shared" ca="1" si="36"/>
        <v/>
      </c>
      <c r="EM6" s="14" t="str">
        <f t="shared" ca="1" si="37"/>
        <v/>
      </c>
      <c r="EN6" s="14" t="str">
        <f t="shared" ca="1" si="76"/>
        <v/>
      </c>
      <c r="EO6" s="14" t="str">
        <f t="shared" ca="1" si="77"/>
        <v/>
      </c>
    </row>
    <row r="7" spans="1:145">
      <c r="B7" s="14" t="str">
        <f t="shared" ca="1" si="38"/>
        <v>There are errors in the entered values in the following cases: LAB3</v>
      </c>
      <c r="C7" s="14">
        <f t="shared" ca="1" si="39"/>
        <v>4</v>
      </c>
      <c r="D7" s="14">
        <f t="shared" si="40"/>
        <v>5</v>
      </c>
      <c r="E7" s="14" t="str">
        <f t="shared" ca="1" si="0"/>
        <v>N</v>
      </c>
      <c r="F7" s="14" t="str">
        <f t="shared" ca="1" si="41"/>
        <v>fac1</v>
      </c>
      <c r="G7" s="14" t="str">
        <f t="shared" ca="1" si="42"/>
        <v>Faktor z brakami</v>
      </c>
      <c r="H7" s="14" t="b">
        <f t="shared" ca="1" si="1"/>
        <v>1</v>
      </c>
      <c r="I7" s="14" t="str">
        <f ca="1">IF($H7,ADDRESS(3,(D7+1)*2-1,4,,"["&amp;wew!$G$7&amp;"]"&amp;_sheetname_labels)&amp;":"&amp;ADDRESS(2+ster!$B$20,(D7+1)*2-1,4),"")</f>
        <v>'[dane surowe2d.xlsm]labels'!K3:K36</v>
      </c>
      <c r="J7" s="14">
        <f t="array" aca="1" ref="J7" ca="1">IF(H7,MAX(0,MAX(IF(INDIRECT(I7)&lt;&gt;"",ROW(INDIRECT(I7)),""))-2),"")</f>
        <v>6</v>
      </c>
      <c r="K7" s="14" t="str">
        <f ca="1">IF($H7,IF($J7&gt;0,ADDRESS(3,(D7+1)*2-1,4,,"["&amp;wew!$G$7&amp;"]"&amp;_sheetname_labels)&amp;":"&amp;ADDRESS(2+J7,(D7+1)*2-1,4),""),"")</f>
        <v>'[dane surowe2d.xlsm]labels'!K3:K8</v>
      </c>
      <c r="L7" s="14" t="str">
        <f ca="1">IF($H7,IF($J7&gt;0,ADDRESS(3,(D7+1)*2,4,,"["&amp;wew!$G$7&amp;"]"&amp;_sheetname_labels)&amp;":"&amp;ADDRESS(2+J7,(D7+1)*2,4),""),"")</f>
        <v>'[dane surowe2d.xlsm]labels'!L3:L8</v>
      </c>
      <c r="M7" s="14">
        <f t="shared" ca="1" si="43"/>
        <v>2</v>
      </c>
      <c r="N7" s="14">
        <f t="shared" ca="1" si="44"/>
        <v>4</v>
      </c>
      <c r="O7" s="14" t="str">
        <f t="shared" ca="1" si="2"/>
        <v>fac1</v>
      </c>
      <c r="P7" s="14" t="str">
        <f t="shared" ca="1" si="3"/>
        <v>Faktor z brakami</v>
      </c>
      <c r="Q7" s="14" t="str">
        <f ca="1">IF($H7,ADDRESS(3,D7+1,4,,"["&amp;wew!$G$7&amp;"]"&amp;_sheetname_dataframe)&amp;":"&amp;ADDRESS(2+ster!$C$14,D7+1,4),"")</f>
        <v>'[dane surowe2d.xlsm]data_frame'!F3:F12</v>
      </c>
      <c r="R7" s="14">
        <f t="array" aca="1" ref="R7" ca="1">IF(H7,SUM(IF((IFERROR(INDIRECT(Q7)&lt;&gt;"",FALSE))*(INDIRECT(ster!$D$14)&lt;&gt;""),1,0)),"")</f>
        <v>7</v>
      </c>
      <c r="S7" s="14">
        <f t="array" aca="1" ref="S7" ca="1">IF(H7,IF(M7&gt;0,SUM(IFERROR(1*(MATCH(INDIRECT(Q7),INDIRECT(K7),0)&gt;0),0)*(INDIRECT(ster!$D$14)&lt;&gt;"")*NOT(ISNUMBER(INDIRECT(Q7)))),0),"")</f>
        <v>1</v>
      </c>
      <c r="T7" s="14">
        <f t="array" aca="1" ref="T7" ca="1">IF(H7,SUM((IFERROR(INDIRECT(Q7)="",FALSE))*(INDIRECT(ster!$D$14)&lt;&gt;"")),"")</f>
        <v>1</v>
      </c>
      <c r="U7" s="14">
        <f t="array" aca="1" ref="U7" ca="1">IF(H7,SUM((IFERROR(INDIRECT(Q7)="#ąś",TRUE))*(INDIRECT(ster!$D$14)&lt;&gt;"")),"")</f>
        <v>1</v>
      </c>
      <c r="V7" s="14">
        <f t="array" aca="1" ref="V7" ca="1">IF(H7,SUM(ISNUMBER(INDIRECT(Q7))*(INDIRECT(ster!$D$14)&lt;&gt;"")),"")</f>
        <v>6</v>
      </c>
      <c r="W7" s="14">
        <f t="array" aca="1" ref="W7" ca="1">IF(AND(H7,V7&gt;0),IF(wew!$B$3,MIN(IF((INDIRECT(ster!$D$14)&lt;&gt;"")*IFERROR(INDIRECT($Q7)&lt;&gt;"",FALSE),IFERROR(INDIRECT($Q7),"X"),"X")),"&lt;włącz podświetlanie wartości&gt;"),"—")</f>
        <v>1</v>
      </c>
      <c r="X7" s="14">
        <f t="array" aca="1" ref="X7" ca="1">IF(AND(H7,V7&gt;0),IF(wew!$B$3,MAX(IF((INDIRECT(ster!$D$14)&lt;&gt;"")*IFERROR(INDIRECT($Q7)&lt;&gt;"",FALSE),IFERROR(INDIRECT($Q7),"X"),"X")),"&lt;włącz podświetlanie wartości&gt;"),"—")</f>
        <v>4</v>
      </c>
      <c r="Y7" s="14">
        <f t="shared" ca="1" si="4"/>
        <v>0</v>
      </c>
      <c r="Z7" s="12">
        <f t="shared" ca="1" si="5"/>
        <v>0.8571428571428571</v>
      </c>
      <c r="AA7" s="17">
        <f t="array" aca="1" ref="AA7" ca="1">IF(H7,IF(V7&gt;0,SUM((INDIRECT(ster!$D$14)&lt;&gt;"")*IFERROR((INDIRECT(Q7)&lt;&gt;"")*(INDIRECT(Q7)=INT(INDIRECT(Q7))),0)),0),"")</f>
        <v>6</v>
      </c>
      <c r="AB7" s="17">
        <f t="array" aca="1" ref="AB7" ca="1">IF(H7,V7-AA7,"")</f>
        <v>0</v>
      </c>
      <c r="AC7" s="17">
        <f t="shared" ca="1" si="45"/>
        <v>1</v>
      </c>
      <c r="AD7" s="17" t="b">
        <f t="shared" ca="1" si="46"/>
        <v>0</v>
      </c>
      <c r="AE7" s="17" t="str">
        <f ca="1">IF(AD7,IF($H7,ADDRESS(3,D7+2,4,,"["&amp;wew!$G$7&amp;"]"&amp;_sheetname_dataframe)&amp;":"&amp;ADDRESS(2+ster!$C$14,D7+2,4),""),"")</f>
        <v/>
      </c>
      <c r="AF7" s="17" t="str">
        <f t="shared" ca="1" si="6"/>
        <v/>
      </c>
      <c r="AG7" s="17" t="b">
        <f t="shared" ca="1" si="7"/>
        <v>0</v>
      </c>
      <c r="AH7" s="17" t="str">
        <f ca="1">IF(AG7,IF($H7,ADDRESS(3,D7+3,4,,"["&amp;wew!$G$7&amp;"]"&amp;_sheetname_dataframe)&amp;":"&amp;ADDRESS(2+ster!$C$14,D7+3,4),""),"")</f>
        <v/>
      </c>
      <c r="AI7" s="17" t="str">
        <f t="shared" ca="1" si="8"/>
        <v/>
      </c>
      <c r="AJ7" s="17" t="b">
        <f t="shared" ca="1" si="9"/>
        <v>0</v>
      </c>
      <c r="AK7" s="17" t="b">
        <f t="shared" ca="1" si="47"/>
        <v>1</v>
      </c>
      <c r="AL7" s="17" t="b">
        <f t="shared" ca="1" si="48"/>
        <v>0</v>
      </c>
      <c r="AM7" s="17">
        <f t="shared" ca="1" si="10"/>
        <v>0</v>
      </c>
      <c r="AN7" s="24" t="str">
        <f t="shared" ca="1" si="49"/>
        <v/>
      </c>
      <c r="AO7" s="24" t="str">
        <f t="shared" ca="1" si="50"/>
        <v/>
      </c>
      <c r="AP7" s="17" t="b">
        <f t="shared" ca="1" si="13"/>
        <v>0</v>
      </c>
      <c r="AQ7" s="17" t="b">
        <f t="shared" ca="1" si="14"/>
        <v>1</v>
      </c>
      <c r="AR7" s="17" t="b">
        <f t="shared" ca="1" si="15"/>
        <v>0</v>
      </c>
      <c r="AS7" s="17" t="b">
        <f t="shared" ca="1" si="16"/>
        <v>0</v>
      </c>
      <c r="AT7" s="17" t="b">
        <f t="shared" ca="1" si="17"/>
        <v>1</v>
      </c>
      <c r="AU7" s="17" t="b">
        <f t="shared" ca="1" si="18"/>
        <v>0</v>
      </c>
      <c r="AV7" s="17" t="b">
        <f t="shared" ca="1" si="19"/>
        <v>1</v>
      </c>
      <c r="AW7" s="14" t="b">
        <f t="array" aca="1" ref="AW7" ca="1">IF(H7,N7&gt;0,"")</f>
        <v>1</v>
      </c>
      <c r="AX7" s="17" t="str">
        <f t="shared" ca="1" si="20"/>
        <v>C3:C6</v>
      </c>
      <c r="AY7" s="17" t="b">
        <f t="array" aca="1" ref="AY7" ca="1">IF(AX7&lt;&gt;"",SUM(1*ISERROR(MATCH(INDIRECT(AX7),INDIRECT(K7),0)))=0,"")</f>
        <v>1</v>
      </c>
      <c r="AZ7" s="17" t="b">
        <f t="shared" ca="1" si="21"/>
        <v>1</v>
      </c>
      <c r="BA7" s="17" t="b">
        <f t="shared" ca="1" si="51"/>
        <v>0</v>
      </c>
      <c r="BB7" s="17" t="b">
        <f t="shared" ca="1" si="22"/>
        <v>1</v>
      </c>
      <c r="BC7" s="17" t="b">
        <f t="shared" ca="1" si="23"/>
        <v>0</v>
      </c>
      <c r="BD7" s="17" t="b">
        <f t="shared" ca="1" si="52"/>
        <v>0</v>
      </c>
      <c r="BE7" s="17" t="b">
        <f t="shared" ca="1" si="53"/>
        <v>0</v>
      </c>
      <c r="BF7" s="17" t="b">
        <f t="shared" ca="1" si="54"/>
        <v>0</v>
      </c>
      <c r="BG7" s="17" t="b">
        <f t="shared" ca="1" si="55"/>
        <v>1</v>
      </c>
      <c r="BH7" s="17">
        <f t="shared" ca="1" si="56"/>
        <v>2</v>
      </c>
      <c r="BI7" s="17" t="b">
        <f t="shared" ca="1" si="57"/>
        <v>1</v>
      </c>
      <c r="BJ7" s="17" t="str">
        <f t="shared" ca="1" si="24"/>
        <v/>
      </c>
      <c r="BK7" s="17" t="str">
        <f t="shared" ca="1" si="25"/>
        <v/>
      </c>
      <c r="BL7" s="17" t="str">
        <f t="shared" ca="1" si="26"/>
        <v>F</v>
      </c>
      <c r="BM7" s="17" t="str">
        <f t="shared" ca="1" si="27"/>
        <v>E</v>
      </c>
      <c r="BN7" s="17" t="str">
        <f t="shared" ca="1" si="28"/>
        <v>O</v>
      </c>
      <c r="BO7" s="14" t="b">
        <f t="shared" ca="1" si="29"/>
        <v>1</v>
      </c>
      <c r="BP7" s="15">
        <v>1</v>
      </c>
      <c r="BQ7" s="14"/>
      <c r="BT7" s="14">
        <v>1</v>
      </c>
      <c r="BV7" s="16"/>
      <c r="BW7" s="34"/>
      <c r="BX7" s="34"/>
      <c r="BY7" s="16"/>
      <c r="BZ7" s="16"/>
      <c r="CA7" s="16"/>
      <c r="CB7" s="16"/>
      <c r="CC7" s="16"/>
      <c r="CD7" s="16"/>
      <c r="CE7" s="14"/>
      <c r="CF7" s="14"/>
      <c r="CG7" s="14"/>
      <c r="CH7" s="14"/>
      <c r="CI7" s="14"/>
      <c r="CJ7" s="14"/>
      <c r="CK7" s="14"/>
      <c r="CL7" s="14">
        <f ca="1">IF(H7,IFERROR(IsVariableNameLegal(O7),0),0)</f>
        <v>0</v>
      </c>
      <c r="CM7" s="14" t="str">
        <f t="array" aca="1" ref="CM7" ca="1">IF(H7,IF(COUNTIF(INDIRECT(wew!$C$13),O7)&gt;1,TRIM(SUBSTITUTE(_xll.MCONCAT(IF((INDIRECT(wew!$C$13)=O7)*(COLUMN(INDIRECT(wew!$C$13))&lt;&gt;D7+1),-1+COLUMN(INDIRECT(wew!$C$13)),"")," "),"  "," ")),""),"")</f>
        <v/>
      </c>
      <c r="CN7" s="14" t="str">
        <f t="array" aca="1" ref="CN7" ca="1">IF(P7&lt;&gt;"",IF(LEN(P7)&gt;150,1,""),"")</f>
        <v/>
      </c>
      <c r="CO7" s="14" t="str">
        <f t="array" aca="1" ref="CO7" ca="1">IF(AND(H7,NOT(ster!$J$3)),IF(COUNTIF(INDIRECT(wew!$C$15),P7)&gt;1,TRIM(SUBSTITUTE(_xll.MCONCAT(IF((INDIRECT(wew!$C$15)=P7)*(COLUMN(INDIRECT(wew!$C$15))&lt;&gt;D7+1),-1+COLUMN(INDIRECT(wew!$C$15)),"")," "),"  "," ")),""),"")</f>
        <v/>
      </c>
      <c r="CP7" s="14" t="str">
        <f t="array" aca="1" ref="CP7" ca="1">IF(H7,IF(AND(V7&gt;0,AN7&lt;&gt;""),TRIM(SUBSTITUTE(_xll.MCONCAT(IFERROR(IF(ISNUMBER(INDIRECT(Q7)),IF((INDIRECT(ster!$D$14)&lt;&gt;"")*(INDIRECT(Q7)&lt;AN7),INDIRECT(ster!$D$14) &amp; ": " &amp;  SUBSTITUTE(IF( AU7,IFERROR(TEXT(INDIRECT(Q7),"rrrr-mm-dd") &amp;" (" &amp; INDIRECT(Q7) &amp;")",INDIRECT(Q7)),INDIRECT(Q7))," "," "),""),""),"")," "),"  "," ")),""),"")</f>
        <v/>
      </c>
      <c r="CQ7" s="14" t="str">
        <f t="array" aca="1" ref="CQ7" ca="1">IF(H7,IF(AND(V7&gt;0,AO7&lt;&gt;""),TRIM(SUBSTITUTE(_xll.MCONCAT(IFERROR(IF(ISNUMBER(INDIRECT(Q7)),IF((INDIRECT(ster!$D$14)&lt;&gt;"")*(INDIRECT(Q7)&gt;AO7),INDIRECT(ster!$D$14) &amp; ": " &amp;  SUBSTITUTE(IF( AU7,IFERROR(TEXT(INDIRECT(Q7),"rrrr-mm-dd")&amp;" (" &amp; INDIRECT(Q7) &amp;")",INDIRECT(Q7)),INDIRECT(Q7))," "," "),""),""),"")," "),"  "," ")),""),"")</f>
        <v/>
      </c>
      <c r="CR7" s="14" t="str">
        <f t="array" aca="1" ref="CR7" ca="1">IF(H7,IF(AND(N7&gt;0,AQ7),TRIM(SUBSTITUTE(_xll.MCONCAT(IFERROR(IF(ISNUMBER(INDIRECT(Q7)),IF((INDIRECT(ster!$D$14)&lt;&gt;"")*(IFERROR(0*(MATCH(INDIRECT(Q7),INDIRECT(K7),0)&gt;0),1)),INDIRECT(ster!$D$14) &amp; ": " &amp;  SUBSTITUTE(IF( AU7,IFERROR(TEXT(INDIRECT(Q7),"rrrr-mm-dd")&amp;" (" &amp; INDIRECT(Q7) &amp;")",INDIRECT(Q7)),INDIRECT(Q7))," "," "),""),""),"")," "),"  "," ")),""),"")</f>
        <v/>
      </c>
      <c r="CS7" s="14" t="str">
        <f t="array" aca="1" ref="CS7" ca="1">IF(H7,IF(AND(U7&gt;0),TRIM(SUBSTITUTE(_xll.MCONCAT(IF((INDIRECT(ster!$D$14)&lt;&gt;"")*(IFERROR(0*(INDIRECT(Q7)&lt;&gt;""),1)),INDIRECT(ster!$D$14),"")," "),"  "," ")),""),"")</f>
        <v>LAB3</v>
      </c>
      <c r="CT7" s="14" t="str">
        <f t="array" aca="1" ref="CT7" ca="1">IF(H7,IF(AR7,
TRIM(SUBSTITUTE(_xll.MCONCAT(IF(
   (INDIRECT(ster!$D$14)&lt;&gt;"")*
   ((INDIRECT(Q7)="")+
      NOT(ISNUMBER(INDIRECT(Q7)))*
      NOT(ISERROR(MATCH(INDIRECT(Q7),INDIRECT(K7),0)))
    ),
      INDIRECT(ster!$D$14),
   "")," "),"  "," ")),
""),"")</f>
        <v/>
      </c>
      <c r="CU7" s="14" t="str">
        <f t="array" aca="1" ref="CU7" ca="1">IF(H7,IF(AND(AP7),TRIM(SUBSTITUTE(_xll.MCONCAT(IFERROR(IF(ISNUMBER(INDIRECT(Q7)),IF((INDIRECT(ster!$D$14)&lt;&gt;"")*(INDIRECT(Q7)&lt;&gt;INT(INDIRECT(Q7))),INDIRECT(ster!$D$14) &amp; ": " &amp; INDIRECT(Q7),""),""),"")," "),"  "," ")),""),"")</f>
        <v/>
      </c>
      <c r="CV7" s="14" t="str">
        <f t="array" aca="1" ref="CV7" ca="1">IF(H7,IF(OR(AT7,AU7),TRIM(SUBSTITUTE(_xll.MCONCAT(IF((INDIRECT(ster!$D$14)&lt;&gt;"")*NOT(ISNUMBER(INDIRECT(Q7))),IF(ISERROR(MATCH(INDIRECT(Q7),INDIRECT(K7),0)),IFERROR(IF(INDIRECT(Q7)&lt;&gt;"",INDIRECT(ster!$D$14) &amp; ": " &amp; SUBSTITUTE(INDIRECT(Q7)," "," "),""),""),""),"")," "),"  "," ")),""),"")</f>
        <v/>
      </c>
      <c r="CW7" s="14" t="str">
        <f t="array" aca="1" ref="CW7" ca="1">IF(H7,IF(AD7,TRIM(SUBSTITUTE(_xll.MCONCAT(IF((INDIRECT(ster!$D$14)&lt;&gt;"")*IFERROR(NOT(INDIRECT(AE7)),FALSE),IF(ISERROR(MATCH(INDIRECT(Q7),INDIRECT(K7),0)),IFERROR(IF(INDIRECT(Q7)&lt;&gt;"",INDIRECT(ster!$D$14) &amp; ": " &amp;  SUBSTITUTE(IF( AU7,IFERROR(TEXT(INDIRECT(Q7),"rrrr-mm-dd")&amp;" (" &amp; INDIRECT(Q7) &amp;")",INDIRECT(Q7)),INDIRECT(Q7))," "," "),""),""),""),"")," "),"  "," ")),""),"")</f>
        <v/>
      </c>
      <c r="CX7" s="14" t="str">
        <f t="array" aca="1" ref="CX7" ca="1">IF(H7,IF(AG7,TRIM(SUBSTITUTE(_xll.MCONCAT(IF((INDIRECT(ster!$D$14)&lt;&gt;"")*IFERROR(NOT(INDIRECT(AH7)),FALSE),IF(ISERROR(MATCH(INDIRECT(Q7),INDIRECT(K7),0)),IFERROR(IF(INDIRECT(Q7)&lt;&gt;"",INDIRECT(ster!$D$14) &amp; ": " &amp;  SUBSTITUTE(IF( AU7,IFERROR(TEXT(INDIRECT(Q7),"rrrr-mm-dd")&amp;" (" &amp; INDIRECT(Q7) &amp;")",INDIRECT(Q7)),INDIRECT(Q7))," "," "),""),""),""),"")," "),"  "," ")),""),"")</f>
        <v/>
      </c>
      <c r="CY7" s="14"/>
      <c r="CZ7" s="14"/>
      <c r="DA7" s="14" t="str">
        <f ca="1">SUBSTITUTE(SUBSTITUTE(SUBSTITUTE(SUBSTITUTE(_xll.MCONCAT(DE7:DQ7,"■"),"■■","■"),"■■","■"),"■■","■"),"■■","■")</f>
        <v>■There are errors in the entered values in the following cases: LAB3■</v>
      </c>
      <c r="DB7" s="14" t="str">
        <f t="shared" ca="1" si="58"/>
        <v>There are errors in the entered values in the following cases: LAB3■</v>
      </c>
      <c r="DC7" s="14" t="str">
        <f t="shared" ca="1" si="59"/>
        <v>There are errors in the entered values in the following cases: LAB3</v>
      </c>
      <c r="DD7" s="14" t="str">
        <f t="shared" ca="1" si="60"/>
        <v>There are errors in the entered values in the following cases: LAB3</v>
      </c>
      <c r="DE7" s="14" t="str">
        <f t="shared" ca="1" si="61"/>
        <v/>
      </c>
      <c r="DF7" s="14" t="str">
        <f t="shared" ca="1" si="62"/>
        <v/>
      </c>
      <c r="DG7" s="14" t="str">
        <f t="shared" ca="1" si="63"/>
        <v/>
      </c>
      <c r="DH7" s="14" t="str">
        <f t="shared" ca="1" si="64"/>
        <v/>
      </c>
      <c r="DI7" s="14" t="str">
        <f t="shared" ca="1" si="65"/>
        <v/>
      </c>
      <c r="DJ7" s="14" t="str">
        <f t="shared" ca="1" si="66"/>
        <v/>
      </c>
      <c r="DK7" s="14" t="str">
        <f t="shared" ca="1" si="67"/>
        <v/>
      </c>
      <c r="DL7" s="14" t="str">
        <f t="array" aca="1" ref="DL7" ca="1">IF(CS7&lt;&gt;"","There are errors in the entered values in the following cases: " &amp;SUBSTITUTE(CS7," ",", "),"")</f>
        <v>There are errors in the entered values in the following cases: LAB3</v>
      </c>
      <c r="DM7" s="14" t="str">
        <f t="shared" ca="1" si="68"/>
        <v/>
      </c>
      <c r="DN7" s="14" t="str">
        <f t="shared" ca="1" si="69"/>
        <v/>
      </c>
      <c r="DO7" s="14" t="str">
        <f t="shared" ca="1" si="70"/>
        <v/>
      </c>
      <c r="DP7" s="14" t="str">
        <f t="shared" ca="1" si="30"/>
        <v/>
      </c>
      <c r="DQ7" s="14" t="str">
        <f t="shared" ca="1" si="31"/>
        <v/>
      </c>
      <c r="DX7" s="14" t="b">
        <f t="shared" ca="1" si="71"/>
        <v>0</v>
      </c>
      <c r="DY7" s="14" t="str">
        <f t="shared" ca="1" si="32"/>
        <v>Faktor z brakami (fac1)</v>
      </c>
      <c r="DZ7" s="14" t="str">
        <f t="shared" ca="1" si="72"/>
        <v xml:space="preserve">Values must be limited to predefinied list. </v>
      </c>
      <c r="EA7" s="14" t="str">
        <f t="shared" ca="1" si="33"/>
        <v xml:space="preserve">Faktor z brakami (fac1): Values must be limited to predefinied list. </v>
      </c>
      <c r="EB7" s="14" t="str">
        <f t="shared" ca="1" si="34"/>
        <v/>
      </c>
      <c r="EC7" s="14" t="str">
        <f t="shared" ca="1" si="35"/>
        <v>Values must be limited to predefinied list</v>
      </c>
      <c r="ED7" s="14" t="str">
        <f t="shared" ca="1" si="73"/>
        <v/>
      </c>
      <c r="EE7" s="14" t="str">
        <f t="shared" ca="1" si="74"/>
        <v/>
      </c>
      <c r="EK7" s="14" t="b">
        <f t="shared" ca="1" si="75"/>
        <v>1</v>
      </c>
      <c r="EL7" s="14">
        <f t="shared" ca="1" si="36"/>
        <v>4</v>
      </c>
      <c r="EM7" s="14" t="str">
        <f t="shared" ca="1" si="37"/>
        <v>fac1</v>
      </c>
      <c r="EN7" s="14" t="str">
        <f t="shared" ca="1" si="76"/>
        <v xml:space="preserve">Faktor z brakami (fac1): Values must be limited to predefinied list. </v>
      </c>
      <c r="EO7" s="14" t="str">
        <f t="shared" ca="1" si="77"/>
        <v>There are errors in the entered values in the following cases: LAB3</v>
      </c>
    </row>
    <row r="8" spans="1:145">
      <c r="B8" s="14" t="str">
        <f t="shared" ca="1" si="38"/>
        <v>There are errors in the entered values in the following cases: LAB3. The following cases are non-numeric: VIE1: NF</v>
      </c>
      <c r="C8" s="14">
        <f t="shared" ca="1" si="39"/>
        <v>5</v>
      </c>
      <c r="D8" s="14">
        <f t="shared" si="40"/>
        <v>6</v>
      </c>
      <c r="E8" s="14" t="str">
        <f t="shared" ca="1" si="0"/>
        <v>S</v>
      </c>
      <c r="F8" s="14" t="str">
        <f t="shared" ca="1" si="41"/>
        <v>fac2</v>
      </c>
      <c r="G8" s="14" t="str">
        <f t="shared" ca="1" si="42"/>
        <v>Zmienna chyba numeric</v>
      </c>
      <c r="H8" s="14" t="b">
        <f t="shared" ca="1" si="1"/>
        <v>1</v>
      </c>
      <c r="I8" s="14" t="str">
        <f ca="1">IF($H8,ADDRESS(3,(D8+1)*2-1,4,,"["&amp;wew!$G$7&amp;"]"&amp;_sheetname_labels)&amp;":"&amp;ADDRESS(2+ster!$B$20,(D8+1)*2-1,4),"")</f>
        <v>'[dane surowe2d.xlsm]labels'!M3:M36</v>
      </c>
      <c r="J8" s="14">
        <f t="array" aca="1" ref="J8" ca="1">IF(H8,MAX(0,MAX(IF(INDIRECT(I8)&lt;&gt;"",ROW(INDIRECT(I8)),""))-2),"")</f>
        <v>0</v>
      </c>
      <c r="K8" s="14" t="str">
        <f ca="1">IF($H8,IF($J8&gt;0,ADDRESS(3,(D8+1)*2-1,4,,"["&amp;wew!$G$7&amp;"]"&amp;_sheetname_labels)&amp;":"&amp;ADDRESS(2+J8,(D8+1)*2-1,4),""),"")</f>
        <v/>
      </c>
      <c r="L8" s="14" t="str">
        <f ca="1">IF($H8,IF($J8&gt;0,ADDRESS(3,(D8+1)*2,4,,"["&amp;wew!$G$7&amp;"]"&amp;_sheetname_labels)&amp;":"&amp;ADDRESS(2+J8,(D8+1)*2,4),""),"")</f>
        <v/>
      </c>
      <c r="M8" s="14">
        <f t="shared" ca="1" si="43"/>
        <v>0</v>
      </c>
      <c r="N8" s="14">
        <f t="shared" ca="1" si="44"/>
        <v>0</v>
      </c>
      <c r="O8" s="14" t="str">
        <f t="shared" ca="1" si="2"/>
        <v>fac2</v>
      </c>
      <c r="P8" s="14" t="str">
        <f t="shared" ca="1" si="3"/>
        <v>Zmienna chyba numeric</v>
      </c>
      <c r="Q8" s="14" t="str">
        <f ca="1">IF($H8,ADDRESS(3,D8+1,4,,"["&amp;wew!$G$7&amp;"]"&amp;_sheetname_dataframe)&amp;":"&amp;ADDRESS(2+ster!$C$14,D8+1,4),"")</f>
        <v>'[dane surowe2d.xlsm]data_frame'!G3:G12</v>
      </c>
      <c r="R8" s="14">
        <f t="array" aca="1" ref="R8" ca="1">IF(H8,SUM(IF((IFERROR(INDIRECT(Q8)&lt;&gt;"",FALSE))*(INDIRECT(ster!$D$14)&lt;&gt;""),1,0)),"")</f>
        <v>7</v>
      </c>
      <c r="S8" s="14">
        <f t="array" aca="1" ref="S8" ca="1">IF(H8,IF(M8&gt;0,SUM(IFERROR(1*(MATCH(INDIRECT(Q8),INDIRECT(K8),0)&gt;0),0)*(INDIRECT(ster!$D$14)&lt;&gt;"")*NOT(ISNUMBER(INDIRECT(Q8)))),0),"")</f>
        <v>0</v>
      </c>
      <c r="T8" s="14">
        <f t="array" aca="1" ref="T8" ca="1">IF(H8,SUM((IFERROR(INDIRECT(Q8)="",FALSE))*(INDIRECT(ster!$D$14)&lt;&gt;"")),"")</f>
        <v>1</v>
      </c>
      <c r="U8" s="14">
        <f t="array" aca="1" ref="U8" ca="1">IF(H8,SUM((IFERROR(INDIRECT(Q8)="#ąś",TRUE))*(INDIRECT(ster!$D$14)&lt;&gt;"")),"")</f>
        <v>1</v>
      </c>
      <c r="V8" s="14">
        <f t="array" aca="1" ref="V8" ca="1">IF(H8,SUM(ISNUMBER(INDIRECT(Q8))*(INDIRECT(ster!$D$14)&lt;&gt;"")),"")</f>
        <v>6</v>
      </c>
      <c r="W8" s="14">
        <f t="array" aca="1" ref="W8" ca="1">IF(AND(H8,V8&gt;0),IF(wew!$B$3,MIN(IF((INDIRECT(ster!$D$14)&lt;&gt;"")*IFERROR(INDIRECT($Q8)&lt;&gt;"",FALSE),IFERROR(INDIRECT($Q8),"X"),"X")),"&lt;włącz podświetlanie wartości&gt;"),"—")</f>
        <v>1</v>
      </c>
      <c r="X8" s="14">
        <f t="array" aca="1" ref="X8" ca="1">IF(AND(H8,V8&gt;0),IF(wew!$B$3,MAX(IF((INDIRECT(ster!$D$14)&lt;&gt;"")*IFERROR(INDIRECT($Q8)&lt;&gt;"",FALSE),IFERROR(INDIRECT($Q8),"X"),"X")),"&lt;włącz podświetlanie wartości&gt;"),"—")</f>
        <v>4</v>
      </c>
      <c r="Y8" s="14">
        <f t="shared" ca="1" si="4"/>
        <v>1</v>
      </c>
      <c r="Z8" s="12">
        <f t="shared" ca="1" si="5"/>
        <v>0.8571428571428571</v>
      </c>
      <c r="AA8" s="17">
        <f t="array" aca="1" ref="AA8" ca="1">IF(H8,IF(V8&gt;0,SUM((INDIRECT(ster!$D$14)&lt;&gt;"")*IFERROR((INDIRECT(Q8)&lt;&gt;"")*(INDIRECT(Q8)=INT(INDIRECT(Q8))),0)),0),"")</f>
        <v>6</v>
      </c>
      <c r="AB8" s="17">
        <f t="array" aca="1" ref="AB8" ca="1">IF(H8,V8-AA8,"")</f>
        <v>0</v>
      </c>
      <c r="AC8" s="17">
        <f t="shared" ca="1" si="45"/>
        <v>1</v>
      </c>
      <c r="AD8" s="17" t="b">
        <f t="shared" ca="1" si="46"/>
        <v>0</v>
      </c>
      <c r="AE8" s="17" t="str">
        <f ca="1">IF(AD8,IF($H8,ADDRESS(3,D8+2,4,,"["&amp;wew!$G$7&amp;"]"&amp;_sheetname_dataframe)&amp;":"&amp;ADDRESS(2+ster!$C$14,D8+2,4),""),"")</f>
        <v/>
      </c>
      <c r="AF8" s="17" t="str">
        <f t="shared" ca="1" si="6"/>
        <v/>
      </c>
      <c r="AG8" s="17" t="b">
        <f t="shared" ca="1" si="7"/>
        <v>0</v>
      </c>
      <c r="AH8" s="17" t="str">
        <f ca="1">IF(AG8,IF($H8,ADDRESS(3,D8+3,4,,"["&amp;wew!$G$7&amp;"]"&amp;_sheetname_dataframe)&amp;":"&amp;ADDRESS(2+ster!$C$14,D8+3,4),""),"")</f>
        <v/>
      </c>
      <c r="AI8" s="17" t="str">
        <f t="shared" ca="1" si="8"/>
        <v/>
      </c>
      <c r="AJ8" s="17" t="b">
        <f t="shared" ca="1" si="9"/>
        <v>0</v>
      </c>
      <c r="AK8" s="17" t="b">
        <f t="shared" ca="1" si="47"/>
        <v>0</v>
      </c>
      <c r="AL8" s="17" t="b">
        <f t="shared" ca="1" si="48"/>
        <v>1</v>
      </c>
      <c r="AM8" s="17">
        <f t="shared" ca="1" si="10"/>
        <v>0</v>
      </c>
      <c r="AN8" s="24" t="str">
        <f t="shared" ca="1" si="49"/>
        <v/>
      </c>
      <c r="AO8" s="24" t="str">
        <f t="shared" ca="1" si="50"/>
        <v/>
      </c>
      <c r="AP8" s="17" t="b">
        <f t="shared" ca="1" si="13"/>
        <v>0</v>
      </c>
      <c r="AQ8" s="17" t="b">
        <f t="shared" ca="1" si="14"/>
        <v>0</v>
      </c>
      <c r="AR8" s="17" t="b">
        <f t="shared" ca="1" si="15"/>
        <v>0</v>
      </c>
      <c r="AS8" s="17" t="b">
        <f t="shared" ca="1" si="16"/>
        <v>0</v>
      </c>
      <c r="AT8" s="17" t="b">
        <f t="shared" ca="1" si="17"/>
        <v>1</v>
      </c>
      <c r="AU8" s="17" t="b">
        <f t="shared" ca="1" si="18"/>
        <v>0</v>
      </c>
      <c r="AV8" s="17" t="b">
        <f t="shared" ca="1" si="19"/>
        <v>0</v>
      </c>
      <c r="AW8" s="14" t="b">
        <f t="array" aca="1" ref="AW8" ca="1">IF(H8,N8&gt;0,"")</f>
        <v>0</v>
      </c>
      <c r="AX8" s="17" t="str">
        <f t="shared" ca="1" si="20"/>
        <v/>
      </c>
      <c r="AY8" s="17" t="str">
        <f t="array" aca="1" ref="AY8" ca="1">IF(AX8&lt;&gt;"",SUM(1*ISERROR(MATCH(INDIRECT(AX8),INDIRECT(K8),0)))=0,"")</f>
        <v/>
      </c>
      <c r="AZ8" s="17" t="b">
        <f t="shared" ca="1" si="21"/>
        <v>0</v>
      </c>
      <c r="BA8" s="17" t="str">
        <f t="shared" ca="1" si="51"/>
        <v/>
      </c>
      <c r="BB8" s="17" t="str">
        <f t="shared" ca="1" si="22"/>
        <v/>
      </c>
      <c r="BC8" s="17" t="str">
        <f t="shared" ca="1" si="23"/>
        <v/>
      </c>
      <c r="BD8" s="17" t="str">
        <f t="shared" ca="1" si="52"/>
        <v/>
      </c>
      <c r="BE8" s="17" t="str">
        <f t="shared" ca="1" si="53"/>
        <v/>
      </c>
      <c r="BF8" s="17" t="str">
        <f t="shared" ca="1" si="54"/>
        <v/>
      </c>
      <c r="BG8" s="17" t="str">
        <f t="shared" ca="1" si="55"/>
        <v/>
      </c>
      <c r="BH8" s="17" t="str">
        <f t="shared" ca="1" si="56"/>
        <v/>
      </c>
      <c r="BI8" s="17" t="b">
        <f t="shared" ca="1" si="57"/>
        <v>1</v>
      </c>
      <c r="BJ8" s="17" t="b">
        <f t="shared" ca="1" si="24"/>
        <v>1</v>
      </c>
      <c r="BK8" s="17" t="b">
        <f t="shared" ca="1" si="25"/>
        <v>0</v>
      </c>
      <c r="BL8" s="17" t="str">
        <f t="shared" ca="1" si="26"/>
        <v>I</v>
      </c>
      <c r="BM8" s="17" t="str">
        <f t="shared" ca="1" si="27"/>
        <v>E</v>
      </c>
      <c r="BN8" s="17" t="str">
        <f t="shared" ca="1" si="28"/>
        <v>I</v>
      </c>
      <c r="BO8" s="14" t="b">
        <f t="shared" ca="1" si="29"/>
        <v>1</v>
      </c>
      <c r="BP8" s="15">
        <v>1</v>
      </c>
      <c r="BQ8" s="14"/>
      <c r="BS8" s="14" t="s">
        <v>388</v>
      </c>
      <c r="BV8" s="16"/>
      <c r="BW8" s="34"/>
      <c r="BX8" s="34"/>
      <c r="BY8" s="16"/>
      <c r="BZ8" s="16"/>
      <c r="CA8" s="16"/>
      <c r="CB8" s="16"/>
      <c r="CC8" s="16"/>
      <c r="CD8" s="16"/>
      <c r="CE8" s="14"/>
      <c r="CF8" s="14"/>
      <c r="CG8" s="14"/>
      <c r="CH8" s="14"/>
      <c r="CI8" s="14"/>
      <c r="CJ8" s="14"/>
      <c r="CK8" s="14"/>
      <c r="CL8" s="14">
        <f ca="1">IF(H8,IFERROR(IsVariableNameLegal(O8),0),0)</f>
        <v>0</v>
      </c>
      <c r="CM8" s="14" t="str">
        <f t="array" aca="1" ref="CM8" ca="1">IF(H8,IF(COUNTIF(INDIRECT(wew!$C$13),O8)&gt;1,TRIM(SUBSTITUTE(_xll.MCONCAT(IF((INDIRECT(wew!$C$13)=O8)*(COLUMN(INDIRECT(wew!$C$13))&lt;&gt;D8+1),-1+COLUMN(INDIRECT(wew!$C$13)),"")," "),"  "," ")),""),"")</f>
        <v/>
      </c>
      <c r="CN8" s="14" t="str">
        <f t="array" aca="1" ref="CN8" ca="1">IF(P8&lt;&gt;"",IF(LEN(P8)&gt;150,1,""),"")</f>
        <v/>
      </c>
      <c r="CO8" s="14" t="str">
        <f t="array" aca="1" ref="CO8" ca="1">IF(AND(H8,NOT(ster!$J$3)),IF(COUNTIF(INDIRECT(wew!$C$15),P8)&gt;1,TRIM(SUBSTITUTE(_xll.MCONCAT(IF((INDIRECT(wew!$C$15)=P8)*(COLUMN(INDIRECT(wew!$C$15))&lt;&gt;D8+1),-1+COLUMN(INDIRECT(wew!$C$15)),"")," "),"  "," ")),""),"")</f>
        <v/>
      </c>
      <c r="CP8" s="14" t="str">
        <f t="array" aca="1" ref="CP8" ca="1">IF(H8,IF(AND(V8&gt;0,AN8&lt;&gt;""),TRIM(SUBSTITUTE(_xll.MCONCAT(IFERROR(IF(ISNUMBER(INDIRECT(Q8)),IF((INDIRECT(ster!$D$14)&lt;&gt;"")*(INDIRECT(Q8)&lt;AN8),INDIRECT(ster!$D$14) &amp; ": " &amp;  SUBSTITUTE(IF( AU8,IFERROR(TEXT(INDIRECT(Q8),"rrrr-mm-dd") &amp;" (" &amp; INDIRECT(Q8) &amp;")",INDIRECT(Q8)),INDIRECT(Q8))," "," "),""),""),"")," "),"  "," ")),""),"")</f>
        <v/>
      </c>
      <c r="CQ8" s="14" t="str">
        <f t="array" aca="1" ref="CQ8" ca="1">IF(H8,IF(AND(V8&gt;0,AO8&lt;&gt;""),TRIM(SUBSTITUTE(_xll.MCONCAT(IFERROR(IF(ISNUMBER(INDIRECT(Q8)),IF((INDIRECT(ster!$D$14)&lt;&gt;"")*(INDIRECT(Q8)&gt;AO8),INDIRECT(ster!$D$14) &amp; ": " &amp;  SUBSTITUTE(IF( AU8,IFERROR(TEXT(INDIRECT(Q8),"rrrr-mm-dd")&amp;" (" &amp; INDIRECT(Q8) &amp;")",INDIRECT(Q8)),INDIRECT(Q8))," "," "),""),""),"")," "),"  "," ")),""),"")</f>
        <v/>
      </c>
      <c r="CR8" s="14" t="str">
        <f t="array" aca="1" ref="CR8" ca="1">IF(H8,IF(AND(N8&gt;0,AQ8),TRIM(SUBSTITUTE(_xll.MCONCAT(IFERROR(IF(ISNUMBER(INDIRECT(Q8)),IF((INDIRECT(ster!$D$14)&lt;&gt;"")*(IFERROR(0*(MATCH(INDIRECT(Q8),INDIRECT(K8),0)&gt;0),1)),INDIRECT(ster!$D$14) &amp; ": " &amp;  SUBSTITUTE(IF( AU8,IFERROR(TEXT(INDIRECT(Q8),"rrrr-mm-dd")&amp;" (" &amp; INDIRECT(Q8) &amp;")",INDIRECT(Q8)),INDIRECT(Q8))," "," "),""),""),"")," "),"  "," ")),""),"")</f>
        <v/>
      </c>
      <c r="CS8" s="14" t="str">
        <f t="array" aca="1" ref="CS8" ca="1">IF(H8,IF(AND(U8&gt;0),TRIM(SUBSTITUTE(_xll.MCONCAT(IF((INDIRECT(ster!$D$14)&lt;&gt;"")*(IFERROR(0*(INDIRECT(Q8)&lt;&gt;""),1)),INDIRECT(ster!$D$14),"")," "),"  "," ")),""),"")</f>
        <v>LAB3</v>
      </c>
      <c r="CT8" s="14" t="str">
        <f t="array" aca="1" ref="CT8" ca="1">IF(H8,IF(AR8,
TRIM(SUBSTITUTE(_xll.MCONCAT(IF(
   (INDIRECT(ster!$D$14)&lt;&gt;"")*
   ((INDIRECT(Q8)="")+
      NOT(ISNUMBER(INDIRECT(Q8)))*
      NOT(ISERROR(MATCH(INDIRECT(Q8),INDIRECT(K8),0)))
    ),
      INDIRECT(ster!$D$14),
   "")," "),"  "," ")),
""),"")</f>
        <v/>
      </c>
      <c r="CU8" s="14" t="str">
        <f t="array" aca="1" ref="CU8" ca="1">IF(H8,IF(AND(AP8),TRIM(SUBSTITUTE(_xll.MCONCAT(IFERROR(IF(ISNUMBER(INDIRECT(Q8)),IF((INDIRECT(ster!$D$14)&lt;&gt;"")*(INDIRECT(Q8)&lt;&gt;INT(INDIRECT(Q8))),INDIRECT(ster!$D$14) &amp; ": " &amp; INDIRECT(Q8),""),""),"")," "),"  "," ")),""),"")</f>
        <v/>
      </c>
      <c r="CV8" s="14" t="str">
        <f t="array" aca="1" ref="CV8" ca="1">IF(H8,IF(OR(AT8,AU8),TRIM(SUBSTITUTE(_xll.MCONCAT(IF((INDIRECT(ster!$D$14)&lt;&gt;"")*NOT(ISNUMBER(INDIRECT(Q8))),IF(ISERROR(MATCH(INDIRECT(Q8),INDIRECT(K8),0)),IFERROR(IF(INDIRECT(Q8)&lt;&gt;"",INDIRECT(ster!$D$14) &amp; ": " &amp; SUBSTITUTE(INDIRECT(Q8)," "," "),""),""),""),"")," "),"  "," ")),""),"")</f>
        <v>VIE1: NF</v>
      </c>
      <c r="CW8" s="14" t="str">
        <f t="array" aca="1" ref="CW8" ca="1">IF(H8,IF(AD8,TRIM(SUBSTITUTE(_xll.MCONCAT(IF((INDIRECT(ster!$D$14)&lt;&gt;"")*IFERROR(NOT(INDIRECT(AE8)),FALSE),IF(ISERROR(MATCH(INDIRECT(Q8),INDIRECT(K8),0)),IFERROR(IF(INDIRECT(Q8)&lt;&gt;"",INDIRECT(ster!$D$14) &amp; ": " &amp;  SUBSTITUTE(IF( AU8,IFERROR(TEXT(INDIRECT(Q8),"rrrr-mm-dd")&amp;" (" &amp; INDIRECT(Q8) &amp;")",INDIRECT(Q8)),INDIRECT(Q8))," "," "),""),""),""),"")," "),"  "," ")),""),"")</f>
        <v/>
      </c>
      <c r="CX8" s="14" t="str">
        <f t="array" aca="1" ref="CX8" ca="1">IF(H8,IF(AG8,TRIM(SUBSTITUTE(_xll.MCONCAT(IF((INDIRECT(ster!$D$14)&lt;&gt;"")*IFERROR(NOT(INDIRECT(AH8)),FALSE),IF(ISERROR(MATCH(INDIRECT(Q8),INDIRECT(K8),0)),IFERROR(IF(INDIRECT(Q8)&lt;&gt;"",INDIRECT(ster!$D$14) &amp; ": " &amp;  SUBSTITUTE(IF( AU8,IFERROR(TEXT(INDIRECT(Q8),"rrrr-mm-dd")&amp;" (" &amp; INDIRECT(Q8) &amp;")",INDIRECT(Q8)),INDIRECT(Q8))," "," "),""),""),""),"")," "),"  "," ")),""),"")</f>
        <v/>
      </c>
      <c r="CY8" s="14"/>
      <c r="CZ8" s="14"/>
      <c r="DA8" s="14" t="str">
        <f ca="1">SUBSTITUTE(SUBSTITUTE(SUBSTITUTE(SUBSTITUTE(_xll.MCONCAT(DE8:DQ8,"■"),"■■","■"),"■■","■"),"■■","■"),"■■","■")</f>
        <v>■There are errors in the entered values in the following cases: LAB3■The following cases are non-numeric: VIE1: NF■</v>
      </c>
      <c r="DB8" s="14" t="str">
        <f t="shared" ca="1" si="58"/>
        <v>There are errors in the entered values in the following cases: LAB3■The following cases are non-numeric: VIE1: NF■</v>
      </c>
      <c r="DC8" s="14" t="str">
        <f t="shared" ca="1" si="59"/>
        <v>There are errors in the entered values in the following cases: LAB3■The following cases are non-numeric: VIE1: NF</v>
      </c>
      <c r="DD8" s="14" t="str">
        <f t="shared" ca="1" si="60"/>
        <v>There are errors in the entered values in the following cases: LAB3. The following cases are non-numeric: VIE1: NF</v>
      </c>
      <c r="DE8" s="14" t="str">
        <f t="shared" ca="1" si="61"/>
        <v/>
      </c>
      <c r="DF8" s="14" t="str">
        <f t="shared" ca="1" si="62"/>
        <v/>
      </c>
      <c r="DG8" s="14" t="str">
        <f t="shared" ca="1" si="63"/>
        <v/>
      </c>
      <c r="DH8" s="14" t="str">
        <f t="shared" ca="1" si="64"/>
        <v/>
      </c>
      <c r="DI8" s="14" t="str">
        <f t="shared" ca="1" si="65"/>
        <v/>
      </c>
      <c r="DJ8" s="14" t="str">
        <f t="shared" ca="1" si="66"/>
        <v/>
      </c>
      <c r="DK8" s="14" t="str">
        <f t="shared" ca="1" si="67"/>
        <v/>
      </c>
      <c r="DL8" s="14" t="str">
        <f t="array" aca="1" ref="DL8" ca="1">IF(CS8&lt;&gt;"","There are errors in the entered values in the following cases: " &amp;SUBSTITUTE(CS8," ",", "),"")</f>
        <v>There are errors in the entered values in the following cases: LAB3</v>
      </c>
      <c r="DM8" s="14" t="str">
        <f t="shared" ca="1" si="68"/>
        <v/>
      </c>
      <c r="DN8" s="14" t="str">
        <f t="shared" ca="1" si="69"/>
        <v/>
      </c>
      <c r="DO8" s="14" t="str">
        <f t="shared" ca="1" si="70"/>
        <v>The following cases are non-numeric: VIE1: NF</v>
      </c>
      <c r="DP8" s="14" t="str">
        <f t="shared" ca="1" si="30"/>
        <v/>
      </c>
      <c r="DQ8" s="14" t="str">
        <f t="shared" ca="1" si="31"/>
        <v/>
      </c>
      <c r="DX8" s="14" t="b">
        <f t="shared" ca="1" si="71"/>
        <v>0</v>
      </c>
      <c r="DY8" s="14" t="str">
        <f t="shared" ca="1" si="32"/>
        <v>Zmienna chyba numeric (fac2)</v>
      </c>
      <c r="DZ8" s="14" t="str">
        <f t="shared" ca="1" si="72"/>
        <v xml:space="preserve">Values must be numeric. </v>
      </c>
      <c r="EA8" s="14" t="str">
        <f t="shared" ca="1" si="33"/>
        <v xml:space="preserve">Zmienna chyba numeric (fac2): Values must be numeric. </v>
      </c>
      <c r="EB8" s="14" t="str">
        <f t="shared" ca="1" si="34"/>
        <v/>
      </c>
      <c r="EC8" s="14" t="str">
        <f t="shared" ca="1" si="35"/>
        <v>Values must be numeric</v>
      </c>
      <c r="ED8" s="14" t="str">
        <f t="shared" ca="1" si="73"/>
        <v/>
      </c>
      <c r="EE8" s="14" t="str">
        <f t="shared" ca="1" si="74"/>
        <v/>
      </c>
      <c r="EK8" s="14" t="b">
        <f t="shared" ca="1" si="75"/>
        <v>1</v>
      </c>
      <c r="EL8" s="14">
        <f t="shared" ca="1" si="36"/>
        <v>5</v>
      </c>
      <c r="EM8" s="14" t="str">
        <f t="shared" ca="1" si="37"/>
        <v>fac2</v>
      </c>
      <c r="EN8" s="14" t="str">
        <f t="shared" ca="1" si="76"/>
        <v xml:space="preserve">Zmienna chyba numeric (fac2): Values must be numeric. </v>
      </c>
      <c r="EO8" s="14" t="str">
        <f t="shared" ca="1" si="77"/>
        <v>There are errors in the entered values in the following cases: LAB3. The following cases are non-numeric: VIE1: NF</v>
      </c>
    </row>
    <row r="9" spans="1:145">
      <c r="B9" s="14" t="str">
        <f t="shared" ca="1" si="38"/>
        <v>There are errors in the entered values in the following cases: LAB3</v>
      </c>
      <c r="C9" s="14">
        <f t="shared" ca="1" si="39"/>
        <v>6</v>
      </c>
      <c r="D9" s="14">
        <f t="shared" si="40"/>
        <v>7</v>
      </c>
      <c r="E9" s="14" t="str">
        <f t="shared" ca="1" si="0"/>
        <v>N</v>
      </c>
      <c r="F9" s="14" t="str">
        <f t="shared" ca="1" si="41"/>
        <v>fac3</v>
      </c>
      <c r="G9" s="14" t="str">
        <f t="shared" ca="1" si="42"/>
        <v>Faktor bez braków</v>
      </c>
      <c r="H9" s="14" t="b">
        <f t="shared" ca="1" si="1"/>
        <v>1</v>
      </c>
      <c r="I9" s="14" t="str">
        <f ca="1">IF($H9,ADDRESS(3,(D9+1)*2-1,4,,"["&amp;wew!$G$7&amp;"]"&amp;_sheetname_labels)&amp;":"&amp;ADDRESS(2+ster!$B$20,(D9+1)*2-1,4),"")</f>
        <v>'[dane surowe2d.xlsm]labels'!O3:O36</v>
      </c>
      <c r="J9" s="14">
        <f t="array" aca="1" ref="J9" ca="1">IF(H9,MAX(0,MAX(IF(INDIRECT(I9)&lt;&gt;"",ROW(INDIRECT(I9)),""))-2),"")</f>
        <v>5</v>
      </c>
      <c r="K9" s="14" t="str">
        <f ca="1">IF($H9,IF($J9&gt;0,ADDRESS(3,(D9+1)*2-1,4,,"["&amp;wew!$G$7&amp;"]"&amp;_sheetname_labels)&amp;":"&amp;ADDRESS(2+J9,(D9+1)*2-1,4),""),"")</f>
        <v>'[dane surowe2d.xlsm]labels'!O3:O7</v>
      </c>
      <c r="L9" s="14" t="str">
        <f ca="1">IF($H9,IF($J9&gt;0,ADDRESS(3,(D9+1)*2,4,,"["&amp;wew!$G$7&amp;"]"&amp;_sheetname_labels)&amp;":"&amp;ADDRESS(2+J9,(D9+1)*2,4),""),"")</f>
        <v>'[dane surowe2d.xlsm]labels'!P3:P7</v>
      </c>
      <c r="M9" s="14">
        <f t="shared" ca="1" si="43"/>
        <v>0</v>
      </c>
      <c r="N9" s="14">
        <f t="shared" ca="1" si="44"/>
        <v>5</v>
      </c>
      <c r="O9" s="14" t="str">
        <f t="shared" ca="1" si="2"/>
        <v>fac3</v>
      </c>
      <c r="P9" s="14" t="str">
        <f t="shared" ca="1" si="3"/>
        <v>Faktor bez braków</v>
      </c>
      <c r="Q9" s="14" t="str">
        <f ca="1">IF($H9,ADDRESS(3,D9+1,4,,"["&amp;wew!$G$7&amp;"]"&amp;_sheetname_dataframe)&amp;":"&amp;ADDRESS(2+ster!$C$14,D9+1,4),"")</f>
        <v>'[dane surowe2d.xlsm]data_frame'!H3:H12</v>
      </c>
      <c r="R9" s="14">
        <f t="array" aca="1" ref="R9" ca="1">IF(H9,SUM(IF((IFERROR(INDIRECT(Q9)&lt;&gt;"",FALSE))*(INDIRECT(ster!$D$14)&lt;&gt;""),1,0)),"")</f>
        <v>6</v>
      </c>
      <c r="S9" s="14">
        <f t="array" aca="1" ref="S9" ca="1">IF(H9,IF(M9&gt;0,SUM(IFERROR(1*(MATCH(INDIRECT(Q9),INDIRECT(K9),0)&gt;0),0)*(INDIRECT(ster!$D$14)&lt;&gt;"")*NOT(ISNUMBER(INDIRECT(Q9)))),0),"")</f>
        <v>0</v>
      </c>
      <c r="T9" s="14">
        <f t="array" aca="1" ref="T9" ca="1">IF(H9,SUM((IFERROR(INDIRECT(Q9)="",FALSE))*(INDIRECT(ster!$D$14)&lt;&gt;"")),"")</f>
        <v>2</v>
      </c>
      <c r="U9" s="14">
        <f t="array" aca="1" ref="U9" ca="1">IF(H9,SUM((IFERROR(INDIRECT(Q9)="#ąś",TRUE))*(INDIRECT(ster!$D$14)&lt;&gt;"")),"")</f>
        <v>1</v>
      </c>
      <c r="V9" s="14">
        <f t="array" aca="1" ref="V9" ca="1">IF(H9,SUM(ISNUMBER(INDIRECT(Q9))*(INDIRECT(ster!$D$14)&lt;&gt;"")),"")</f>
        <v>6</v>
      </c>
      <c r="W9" s="14">
        <f t="array" aca="1" ref="W9" ca="1">IF(AND(H9,V9&gt;0),IF(wew!$B$3,MIN(IF((INDIRECT(ster!$D$14)&lt;&gt;"")*IFERROR(INDIRECT($Q9)&lt;&gt;"",FALSE),IFERROR(INDIRECT($Q9),"X"),"X")),"&lt;włącz podświetlanie wartości&gt;"),"—")</f>
        <v>1</v>
      </c>
      <c r="X9" s="14">
        <f t="array" aca="1" ref="X9" ca="1">IF(AND(H9,V9&gt;0),IF(wew!$B$3,MAX(IF((INDIRECT(ster!$D$14)&lt;&gt;"")*IFERROR(INDIRECT($Q9)&lt;&gt;"",FALSE),IFERROR(INDIRECT($Q9),"X"),"X")),"&lt;włącz podświetlanie wartości&gt;"),"—")</f>
        <v>4</v>
      </c>
      <c r="Y9" s="14">
        <f t="shared" ca="1" si="4"/>
        <v>0</v>
      </c>
      <c r="Z9" s="12">
        <f t="shared" ca="1" si="5"/>
        <v>1</v>
      </c>
      <c r="AA9" s="17">
        <f t="array" aca="1" ref="AA9" ca="1">IF(H9,IF(V9&gt;0,SUM((INDIRECT(ster!$D$14)&lt;&gt;"")*IFERROR((INDIRECT(Q9)&lt;&gt;"")*(INDIRECT(Q9)=INT(INDIRECT(Q9))),0)),0),"")</f>
        <v>6</v>
      </c>
      <c r="AB9" s="17">
        <f t="array" aca="1" ref="AB9" ca="1">IF(H9,V9-AA9,"")</f>
        <v>0</v>
      </c>
      <c r="AC9" s="17">
        <f t="shared" ca="1" si="45"/>
        <v>1</v>
      </c>
      <c r="AD9" s="17" t="b">
        <f t="shared" ca="1" si="46"/>
        <v>0</v>
      </c>
      <c r="AE9" s="17" t="str">
        <f ca="1">IF(AD9,IF($H9,ADDRESS(3,D9+2,4,,"["&amp;wew!$G$7&amp;"]"&amp;_sheetname_dataframe)&amp;":"&amp;ADDRESS(2+ster!$C$14,D9+2,4),""),"")</f>
        <v/>
      </c>
      <c r="AF9" s="17" t="str">
        <f t="shared" ca="1" si="6"/>
        <v/>
      </c>
      <c r="AG9" s="17" t="b">
        <f t="shared" ca="1" si="7"/>
        <v>0</v>
      </c>
      <c r="AH9" s="17" t="str">
        <f ca="1">IF(AG9,IF($H9,ADDRESS(3,D9+3,4,,"["&amp;wew!$G$7&amp;"]"&amp;_sheetname_dataframe)&amp;":"&amp;ADDRESS(2+ster!$C$14,D9+3,4),""),"")</f>
        <v/>
      </c>
      <c r="AI9" s="17" t="str">
        <f t="shared" ca="1" si="8"/>
        <v/>
      </c>
      <c r="AJ9" s="17" t="b">
        <f t="shared" ca="1" si="9"/>
        <v>0</v>
      </c>
      <c r="AK9" s="17" t="b">
        <f t="shared" ca="1" si="47"/>
        <v>1</v>
      </c>
      <c r="AL9" s="17" t="b">
        <f t="shared" ca="1" si="48"/>
        <v>0</v>
      </c>
      <c r="AM9" s="17">
        <f t="shared" ca="1" si="10"/>
        <v>0</v>
      </c>
      <c r="AN9" s="24" t="str">
        <f t="shared" ca="1" si="49"/>
        <v/>
      </c>
      <c r="AO9" s="24" t="str">
        <f t="shared" ca="1" si="50"/>
        <v/>
      </c>
      <c r="AP9" s="17" t="b">
        <f t="shared" ca="1" si="13"/>
        <v>0</v>
      </c>
      <c r="AQ9" s="17" t="b">
        <f t="shared" ca="1" si="14"/>
        <v>1</v>
      </c>
      <c r="AR9" s="17" t="b">
        <f t="shared" ca="1" si="15"/>
        <v>0</v>
      </c>
      <c r="AS9" s="17" t="b">
        <f t="shared" ca="1" si="16"/>
        <v>0</v>
      </c>
      <c r="AT9" s="17" t="b">
        <f t="shared" ca="1" si="17"/>
        <v>1</v>
      </c>
      <c r="AU9" s="17" t="b">
        <f t="shared" ca="1" si="18"/>
        <v>0</v>
      </c>
      <c r="AV9" s="17" t="b">
        <f t="shared" ca="1" si="19"/>
        <v>1</v>
      </c>
      <c r="AW9" s="14" t="b">
        <f t="array" aca="1" ref="AW9" ca="1">IF(H9,N9&gt;0,"")</f>
        <v>1</v>
      </c>
      <c r="AX9" s="17" t="str">
        <f t="shared" ca="1" si="20"/>
        <v>C3:C7</v>
      </c>
      <c r="AY9" s="17" t="b">
        <f t="array" aca="1" ref="AY9" ca="1">IF(AX9&lt;&gt;"",SUM(1*ISERROR(MATCH(INDIRECT(AX9),INDIRECT(K9),0)))=0,"")</f>
        <v>1</v>
      </c>
      <c r="AZ9" s="17" t="b">
        <f t="shared" ca="1" si="21"/>
        <v>1</v>
      </c>
      <c r="BA9" s="17" t="b">
        <f t="shared" ca="1" si="51"/>
        <v>0</v>
      </c>
      <c r="BB9" s="17" t="b">
        <f t="shared" ca="1" si="22"/>
        <v>1</v>
      </c>
      <c r="BC9" s="17" t="b">
        <f t="shared" ca="1" si="23"/>
        <v>0</v>
      </c>
      <c r="BD9" s="17" t="b">
        <f t="shared" ca="1" si="52"/>
        <v>0</v>
      </c>
      <c r="BE9" s="17" t="b">
        <f t="shared" ca="1" si="53"/>
        <v>0</v>
      </c>
      <c r="BF9" s="17" t="b">
        <f t="shared" ca="1" si="54"/>
        <v>0</v>
      </c>
      <c r="BG9" s="17" t="b">
        <f t="shared" ca="1" si="55"/>
        <v>1</v>
      </c>
      <c r="BH9" s="17">
        <f t="shared" ca="1" si="56"/>
        <v>2</v>
      </c>
      <c r="BI9" s="17" t="b">
        <f t="shared" ca="1" si="57"/>
        <v>1</v>
      </c>
      <c r="BJ9" s="17" t="str">
        <f t="shared" ca="1" si="24"/>
        <v/>
      </c>
      <c r="BK9" s="17" t="str">
        <f t="shared" ca="1" si="25"/>
        <v/>
      </c>
      <c r="BL9" s="17" t="str">
        <f t="shared" ca="1" si="26"/>
        <v>F</v>
      </c>
      <c r="BM9" s="17" t="str">
        <f t="shared" ca="1" si="27"/>
        <v>E</v>
      </c>
      <c r="BN9" s="17" t="str">
        <f t="shared" ca="1" si="28"/>
        <v>O</v>
      </c>
      <c r="BO9" s="14" t="b">
        <f t="shared" ca="1" si="29"/>
        <v>1</v>
      </c>
      <c r="BP9" s="15">
        <v>1</v>
      </c>
      <c r="BQ9" s="14"/>
      <c r="BT9" s="14">
        <v>1</v>
      </c>
      <c r="BV9" s="16"/>
      <c r="BW9" s="16"/>
      <c r="BX9" s="16"/>
      <c r="BY9" s="16"/>
      <c r="BZ9" s="16"/>
      <c r="CA9" s="16"/>
      <c r="CB9" s="16"/>
      <c r="CC9" s="16"/>
      <c r="CD9" s="16"/>
      <c r="CE9" s="14"/>
      <c r="CF9" s="14"/>
      <c r="CG9" s="14"/>
      <c r="CH9" s="14"/>
      <c r="CI9" s="14"/>
      <c r="CJ9" s="14"/>
      <c r="CK9" s="14"/>
      <c r="CL9" s="14">
        <f ca="1">IF(H9,IFERROR(IsVariableNameLegal(O9),0),0)</f>
        <v>0</v>
      </c>
      <c r="CM9" s="14" t="str">
        <f t="array" aca="1" ref="CM9" ca="1">IF(H9,IF(COUNTIF(INDIRECT(wew!$C$13),O9)&gt;1,TRIM(SUBSTITUTE(_xll.MCONCAT(IF((INDIRECT(wew!$C$13)=O9)*(COLUMN(INDIRECT(wew!$C$13))&lt;&gt;D9+1),-1+COLUMN(INDIRECT(wew!$C$13)),"")," "),"  "," ")),""),"")</f>
        <v/>
      </c>
      <c r="CN9" s="14" t="str">
        <f t="array" aca="1" ref="CN9" ca="1">IF(P9&lt;&gt;"",IF(LEN(P9)&gt;150,1,""),"")</f>
        <v/>
      </c>
      <c r="CO9" s="14" t="str">
        <f t="array" aca="1" ref="CO9" ca="1">IF(AND(H9,NOT(ster!$J$3)),IF(COUNTIF(INDIRECT(wew!$C$15),P9)&gt;1,TRIM(SUBSTITUTE(_xll.MCONCAT(IF((INDIRECT(wew!$C$15)=P9)*(COLUMN(INDIRECT(wew!$C$15))&lt;&gt;D9+1),-1+COLUMN(INDIRECT(wew!$C$15)),"")," "),"  "," ")),""),"")</f>
        <v/>
      </c>
      <c r="CP9" s="14" t="str">
        <f t="array" aca="1" ref="CP9" ca="1">IF(H9,IF(AND(V9&gt;0,AN9&lt;&gt;""),TRIM(SUBSTITUTE(_xll.MCONCAT(IFERROR(IF(ISNUMBER(INDIRECT(Q9)),IF((INDIRECT(ster!$D$14)&lt;&gt;"")*(INDIRECT(Q9)&lt;AN9),INDIRECT(ster!$D$14) &amp; ": " &amp;  SUBSTITUTE(IF( AU9,IFERROR(TEXT(INDIRECT(Q9),"rrrr-mm-dd") &amp;" (" &amp; INDIRECT(Q9) &amp;")",INDIRECT(Q9)),INDIRECT(Q9))," "," "),""),""),"")," "),"  "," ")),""),"")</f>
        <v/>
      </c>
      <c r="CQ9" s="14" t="str">
        <f t="array" aca="1" ref="CQ9" ca="1">IF(H9,IF(AND(V9&gt;0,AO9&lt;&gt;""),TRIM(SUBSTITUTE(_xll.MCONCAT(IFERROR(IF(ISNUMBER(INDIRECT(Q9)),IF((INDIRECT(ster!$D$14)&lt;&gt;"")*(INDIRECT(Q9)&gt;AO9),INDIRECT(ster!$D$14) &amp; ": " &amp;  SUBSTITUTE(IF( AU9,IFERROR(TEXT(INDIRECT(Q9),"rrrr-mm-dd")&amp;" (" &amp; INDIRECT(Q9) &amp;")",INDIRECT(Q9)),INDIRECT(Q9))," "," "),""),""),"")," "),"  "," ")),""),"")</f>
        <v/>
      </c>
      <c r="CR9" s="14" t="str">
        <f t="array" aca="1" ref="CR9" ca="1">IF(H9,IF(AND(N9&gt;0,AQ9),TRIM(SUBSTITUTE(_xll.MCONCAT(IFERROR(IF(ISNUMBER(INDIRECT(Q9)),IF((INDIRECT(ster!$D$14)&lt;&gt;"")*(IFERROR(0*(MATCH(INDIRECT(Q9),INDIRECT(K9),0)&gt;0),1)),INDIRECT(ster!$D$14) &amp; ": " &amp;  SUBSTITUTE(IF( AU9,IFERROR(TEXT(INDIRECT(Q9),"rrrr-mm-dd")&amp;" (" &amp; INDIRECT(Q9) &amp;")",INDIRECT(Q9)),INDIRECT(Q9))," "," "),""),""),"")," "),"  "," ")),""),"")</f>
        <v/>
      </c>
      <c r="CS9" s="14" t="str">
        <f t="array" aca="1" ref="CS9" ca="1">IF(H9,IF(AND(U9&gt;0),TRIM(SUBSTITUTE(_xll.MCONCAT(IF((INDIRECT(ster!$D$14)&lt;&gt;"")*(IFERROR(0*(INDIRECT(Q9)&lt;&gt;""),1)),INDIRECT(ster!$D$14),"")," "),"  "," ")),""),"")</f>
        <v>LAB3</v>
      </c>
      <c r="CT9" s="14" t="str">
        <f t="array" aca="1" ref="CT9" ca="1">IF(H9,IF(AR9,
TRIM(SUBSTITUTE(_xll.MCONCAT(IF(
   (INDIRECT(ster!$D$14)&lt;&gt;"")*
   ((INDIRECT(Q9)="")+
      NOT(ISNUMBER(INDIRECT(Q9)))*
      NOT(ISERROR(MATCH(INDIRECT(Q9),INDIRECT(K9),0)))
    ),
      INDIRECT(ster!$D$14),
   "")," "),"  "," ")),
""),"")</f>
        <v/>
      </c>
      <c r="CU9" s="14" t="str">
        <f t="array" aca="1" ref="CU9" ca="1">IF(H9,IF(AND(AP9),TRIM(SUBSTITUTE(_xll.MCONCAT(IFERROR(IF(ISNUMBER(INDIRECT(Q9)),IF((INDIRECT(ster!$D$14)&lt;&gt;"")*(INDIRECT(Q9)&lt;&gt;INT(INDIRECT(Q9))),INDIRECT(ster!$D$14) &amp; ": " &amp; INDIRECT(Q9),""),""),"")," "),"  "," ")),""),"")</f>
        <v/>
      </c>
      <c r="CV9" s="14" t="str">
        <f t="array" aca="1" ref="CV9" ca="1">IF(H9,IF(OR(AT9,AU9),TRIM(SUBSTITUTE(_xll.MCONCAT(IF((INDIRECT(ster!$D$14)&lt;&gt;"")*NOT(ISNUMBER(INDIRECT(Q9))),IF(ISERROR(MATCH(INDIRECT(Q9),INDIRECT(K9),0)),IFERROR(IF(INDIRECT(Q9)&lt;&gt;"",INDIRECT(ster!$D$14) &amp; ": " &amp; SUBSTITUTE(INDIRECT(Q9)," "," "),""),""),""),"")," "),"  "," ")),""),"")</f>
        <v/>
      </c>
      <c r="CW9" s="14" t="str">
        <f t="array" aca="1" ref="CW9" ca="1">IF(H9,IF(AD9,TRIM(SUBSTITUTE(_xll.MCONCAT(IF((INDIRECT(ster!$D$14)&lt;&gt;"")*IFERROR(NOT(INDIRECT(AE9)),FALSE),IF(ISERROR(MATCH(INDIRECT(Q9),INDIRECT(K9),0)),IFERROR(IF(INDIRECT(Q9)&lt;&gt;"",INDIRECT(ster!$D$14) &amp; ": " &amp;  SUBSTITUTE(IF( AU9,IFERROR(TEXT(INDIRECT(Q9),"rrrr-mm-dd")&amp;" (" &amp; INDIRECT(Q9) &amp;")",INDIRECT(Q9)),INDIRECT(Q9))," "," "),""),""),""),"")," "),"  "," ")),""),"")</f>
        <v/>
      </c>
      <c r="CX9" s="14" t="str">
        <f t="array" aca="1" ref="CX9" ca="1">IF(H9,IF(AG9,TRIM(SUBSTITUTE(_xll.MCONCAT(IF((INDIRECT(ster!$D$14)&lt;&gt;"")*IFERROR(NOT(INDIRECT(AH9)),FALSE),IF(ISERROR(MATCH(INDIRECT(Q9),INDIRECT(K9),0)),IFERROR(IF(INDIRECT(Q9)&lt;&gt;"",INDIRECT(ster!$D$14) &amp; ": " &amp;  SUBSTITUTE(IF( AU9,IFERROR(TEXT(INDIRECT(Q9),"rrrr-mm-dd")&amp;" (" &amp; INDIRECT(Q9) &amp;")",INDIRECT(Q9)),INDIRECT(Q9))," "," "),""),""),""),"")," "),"  "," ")),""),"")</f>
        <v/>
      </c>
      <c r="CY9" s="14"/>
      <c r="CZ9" s="14"/>
      <c r="DA9" s="14" t="str">
        <f ca="1">SUBSTITUTE(SUBSTITUTE(SUBSTITUTE(SUBSTITUTE(_xll.MCONCAT(DE9:DQ9,"■"),"■■","■"),"■■","■"),"■■","■"),"■■","■")</f>
        <v>■There are errors in the entered values in the following cases: LAB3■</v>
      </c>
      <c r="DB9" s="14" t="str">
        <f t="shared" ca="1" si="58"/>
        <v>There are errors in the entered values in the following cases: LAB3■</v>
      </c>
      <c r="DC9" s="14" t="str">
        <f t="shared" ca="1" si="59"/>
        <v>There are errors in the entered values in the following cases: LAB3</v>
      </c>
      <c r="DD9" s="14" t="str">
        <f t="shared" ca="1" si="60"/>
        <v>There are errors in the entered values in the following cases: LAB3</v>
      </c>
      <c r="DE9" s="14" t="str">
        <f t="shared" ca="1" si="61"/>
        <v/>
      </c>
      <c r="DF9" s="14" t="str">
        <f t="shared" ca="1" si="62"/>
        <v/>
      </c>
      <c r="DG9" s="14" t="str">
        <f t="shared" ca="1" si="63"/>
        <v/>
      </c>
      <c r="DH9" s="14" t="str">
        <f t="shared" ca="1" si="64"/>
        <v/>
      </c>
      <c r="DI9" s="14" t="str">
        <f t="shared" ca="1" si="65"/>
        <v/>
      </c>
      <c r="DJ9" s="14" t="str">
        <f t="shared" ca="1" si="66"/>
        <v/>
      </c>
      <c r="DK9" s="14" t="str">
        <f t="shared" ca="1" si="67"/>
        <v/>
      </c>
      <c r="DL9" s="14" t="str">
        <f t="array" aca="1" ref="DL9" ca="1">IF(CS9&lt;&gt;"","There are errors in the entered values in the following cases: " &amp;SUBSTITUTE(CS9," ",", "),"")</f>
        <v>There are errors in the entered values in the following cases: LAB3</v>
      </c>
      <c r="DM9" s="14" t="str">
        <f t="shared" ca="1" si="68"/>
        <v/>
      </c>
      <c r="DN9" s="14" t="str">
        <f t="shared" ca="1" si="69"/>
        <v/>
      </c>
      <c r="DO9" s="14" t="str">
        <f t="shared" ca="1" si="70"/>
        <v/>
      </c>
      <c r="DP9" s="14" t="str">
        <f t="shared" ca="1" si="30"/>
        <v/>
      </c>
      <c r="DQ9" s="14" t="str">
        <f t="shared" ca="1" si="31"/>
        <v/>
      </c>
      <c r="DX9" s="14" t="b">
        <f t="shared" ca="1" si="71"/>
        <v>0</v>
      </c>
      <c r="DY9" s="14" t="str">
        <f t="shared" ca="1" si="32"/>
        <v>Faktor bez braków (fac3)</v>
      </c>
      <c r="DZ9" s="14" t="str">
        <f t="shared" ca="1" si="72"/>
        <v xml:space="preserve">Values must be limited to predefinied list. </v>
      </c>
      <c r="EA9" s="14" t="str">
        <f t="shared" ca="1" si="33"/>
        <v xml:space="preserve">Faktor bez braków (fac3): Values must be limited to predefinied list. </v>
      </c>
      <c r="EB9" s="14" t="str">
        <f t="shared" ca="1" si="34"/>
        <v/>
      </c>
      <c r="EC9" s="14" t="str">
        <f t="shared" ca="1" si="35"/>
        <v>Values must be limited to predefinied list</v>
      </c>
      <c r="ED9" s="14" t="str">
        <f t="shared" ca="1" si="73"/>
        <v/>
      </c>
      <c r="EE9" s="14" t="str">
        <f t="shared" ca="1" si="74"/>
        <v/>
      </c>
      <c r="EK9" s="14" t="b">
        <f t="shared" ca="1" si="75"/>
        <v>1</v>
      </c>
      <c r="EL9" s="14">
        <f t="shared" ca="1" si="36"/>
        <v>6</v>
      </c>
      <c r="EM9" s="14" t="str">
        <f t="shared" ca="1" si="37"/>
        <v>fac3</v>
      </c>
      <c r="EN9" s="14" t="str">
        <f t="shared" ca="1" si="76"/>
        <v xml:space="preserve">Faktor bez braków (fac3): Values must be limited to predefinied list. </v>
      </c>
      <c r="EO9" s="14" t="str">
        <f t="shared" ca="1" si="77"/>
        <v>There are errors in the entered values in the following cases: LAB3</v>
      </c>
    </row>
    <row r="10" spans="1:145">
      <c r="B10" s="14" t="str">
        <f t="shared" ca="1" si="38"/>
        <v/>
      </c>
      <c r="C10" s="14">
        <f t="shared" ca="1" si="39"/>
        <v>7</v>
      </c>
      <c r="D10" s="14">
        <f t="shared" si="40"/>
        <v>8</v>
      </c>
      <c r="E10" s="14" t="str">
        <f t="shared" ca="1" si="0"/>
        <v>I</v>
      </c>
      <c r="F10" s="14" t="str">
        <f t="shared" ca="1" si="41"/>
        <v>fac1</v>
      </c>
      <c r="G10" s="14" t="str">
        <f t="shared" ca="1" si="42"/>
        <v>powtórzona nazwa</v>
      </c>
      <c r="H10" s="14" t="b">
        <f t="shared" ca="1" si="1"/>
        <v>1</v>
      </c>
      <c r="I10" s="14" t="str">
        <f ca="1">IF($H10,ADDRESS(3,(D10+1)*2-1,4,,"["&amp;wew!$G$7&amp;"]"&amp;_sheetname_labels)&amp;":"&amp;ADDRESS(2+ster!$B$20,(D10+1)*2-1,4),"")</f>
        <v>'[dane surowe2d.xlsm]labels'!Q3:Q36</v>
      </c>
      <c r="J10" s="14">
        <f t="array" aca="1" ref="J10" ca="1">IF(H10,MAX(0,MAX(IF(INDIRECT(I10)&lt;&gt;"",ROW(INDIRECT(I10)),""))-2),"")</f>
        <v>0</v>
      </c>
      <c r="K10" s="14" t="str">
        <f ca="1">IF($H10,IF($J10&gt;0,ADDRESS(3,(D10+1)*2-1,4,,"["&amp;wew!$G$7&amp;"]"&amp;_sheetname_labels)&amp;":"&amp;ADDRESS(2+J10,(D10+1)*2-1,4),""),"")</f>
        <v/>
      </c>
      <c r="L10" s="14" t="str">
        <f ca="1">IF($H10,IF($J10&gt;0,ADDRESS(3,(D10+1)*2,4,,"["&amp;wew!$G$7&amp;"]"&amp;_sheetname_labels)&amp;":"&amp;ADDRESS(2+J10,(D10+1)*2,4),""),"")</f>
        <v/>
      </c>
      <c r="M10" s="14">
        <f t="shared" ca="1" si="43"/>
        <v>0</v>
      </c>
      <c r="N10" s="14">
        <f t="shared" ca="1" si="44"/>
        <v>0</v>
      </c>
      <c r="O10" s="14" t="str">
        <f t="shared" ca="1" si="2"/>
        <v>fac1</v>
      </c>
      <c r="P10" s="14" t="str">
        <f t="shared" ca="1" si="3"/>
        <v>powtórzona nazwa</v>
      </c>
      <c r="Q10" s="14" t="str">
        <f ca="1">IF($H10,ADDRESS(3,D10+1,4,,"["&amp;wew!$G$7&amp;"]"&amp;_sheetname_dataframe)&amp;":"&amp;ADDRESS(2+ster!$C$14,D10+1,4),"")</f>
        <v>'[dane surowe2d.xlsm]data_frame'!I3:I12</v>
      </c>
      <c r="R10" s="14">
        <f t="array" aca="1" ref="R10" ca="1">IF(H10,SUM(IF((IFERROR(INDIRECT(Q10)&lt;&gt;"",FALSE))*(INDIRECT(ster!$D$14)&lt;&gt;""),1,0)),"")</f>
        <v>0</v>
      </c>
      <c r="S10" s="14">
        <f t="array" aca="1" ref="S10" ca="1">IF(H10,IF(M10&gt;0,SUM(IFERROR(1*(MATCH(INDIRECT(Q10),INDIRECT(K10),0)&gt;0),0)*(INDIRECT(ster!$D$14)&lt;&gt;"")*NOT(ISNUMBER(INDIRECT(Q10)))),0),"")</f>
        <v>0</v>
      </c>
      <c r="T10" s="14">
        <f t="array" aca="1" ref="T10" ca="1">IF(H10,SUM((IFERROR(INDIRECT(Q10)="",FALSE))*(INDIRECT(ster!$D$14)&lt;&gt;"")),"")</f>
        <v>9</v>
      </c>
      <c r="U10" s="14">
        <f t="array" aca="1" ref="U10" ca="1">IF(H10,SUM((IFERROR(INDIRECT(Q10)="#ąś",TRUE))*(INDIRECT(ster!$D$14)&lt;&gt;"")),"")</f>
        <v>0</v>
      </c>
      <c r="V10" s="14">
        <f t="array" aca="1" ref="V10" ca="1">IF(H10,SUM(ISNUMBER(INDIRECT(Q10))*(INDIRECT(ster!$D$14)&lt;&gt;"")),"")</f>
        <v>0</v>
      </c>
      <c r="W10" s="14" t="str">
        <f t="array" aca="1" ref="W10" ca="1">IF(AND(H10,V10&gt;0),IF(wew!$B$3,MIN(IF((INDIRECT(ster!$D$14)&lt;&gt;"")*IFERROR(INDIRECT($Q10)&lt;&gt;"",FALSE),IFERROR(INDIRECT($Q10),"X"),"X")),"&lt;włącz podświetlanie wartości&gt;"),"—")</f>
        <v>—</v>
      </c>
      <c r="X10" s="14" t="str">
        <f t="array" aca="1" ref="X10" ca="1">IF(AND(H10,V10&gt;0),IF(wew!$B$3,MAX(IF((INDIRECT(ster!$D$14)&lt;&gt;"")*IFERROR(INDIRECT($Q10)&lt;&gt;"",FALSE),IFERROR(INDIRECT($Q10),"X"),"X")),"&lt;włącz podświetlanie wartości&gt;"),"—")</f>
        <v>—</v>
      </c>
      <c r="Y10" s="14">
        <f t="shared" ca="1" si="4"/>
        <v>0</v>
      </c>
      <c r="Z10" s="12" t="str">
        <f t="shared" ca="1" si="5"/>
        <v>—</v>
      </c>
      <c r="AA10" s="17">
        <f t="array" aca="1" ref="AA10" ca="1">IF(H10,IF(V10&gt;0,SUM((INDIRECT(ster!$D$14)&lt;&gt;"")*IFERROR((INDIRECT(Q10)&lt;&gt;"")*(INDIRECT(Q10)=INT(INDIRECT(Q10))),0)),0),"")</f>
        <v>0</v>
      </c>
      <c r="AB10" s="17">
        <f t="array" aca="1" ref="AB10" ca="1">IF(H10,V10-AA10,"")</f>
        <v>0</v>
      </c>
      <c r="AC10" s="17">
        <f t="shared" ca="1" si="45"/>
        <v>1</v>
      </c>
      <c r="AD10" s="17" t="b">
        <f t="shared" ca="1" si="46"/>
        <v>0</v>
      </c>
      <c r="AE10" s="17" t="str">
        <f ca="1">IF(AD10,IF($H10,ADDRESS(3,D10+2,4,,"["&amp;wew!$G$7&amp;"]"&amp;_sheetname_dataframe)&amp;":"&amp;ADDRESS(2+ster!$C$14,D10+2,4),""),"")</f>
        <v/>
      </c>
      <c r="AF10" s="17" t="str">
        <f t="shared" ca="1" si="6"/>
        <v/>
      </c>
      <c r="AG10" s="17" t="b">
        <f t="shared" ca="1" si="7"/>
        <v>0</v>
      </c>
      <c r="AH10" s="17" t="str">
        <f ca="1">IF(AG10,IF($H10,ADDRESS(3,D10+3,4,,"["&amp;wew!$G$7&amp;"]"&amp;_sheetname_dataframe)&amp;":"&amp;ADDRESS(2+ster!$C$14,D10+3,4),""),"")</f>
        <v/>
      </c>
      <c r="AI10" s="17" t="str">
        <f t="shared" ca="1" si="8"/>
        <v/>
      </c>
      <c r="AJ10" s="17" t="b">
        <f t="shared" ca="1" si="9"/>
        <v>0</v>
      </c>
      <c r="AK10" s="17" t="b">
        <f t="shared" ca="1" si="47"/>
        <v>0</v>
      </c>
      <c r="AL10" s="17" t="b">
        <f t="shared" ca="1" si="48"/>
        <v>0</v>
      </c>
      <c r="AM10" s="17">
        <f t="shared" ca="1" si="10"/>
        <v>0</v>
      </c>
      <c r="AN10" s="24" t="str">
        <f t="shared" ca="1" si="49"/>
        <v/>
      </c>
      <c r="AO10" s="24" t="str">
        <f t="shared" ca="1" si="50"/>
        <v/>
      </c>
      <c r="AP10" s="17" t="b">
        <f t="shared" ca="1" si="13"/>
        <v>0</v>
      </c>
      <c r="AQ10" s="17" t="b">
        <f t="shared" ca="1" si="14"/>
        <v>0</v>
      </c>
      <c r="AR10" s="17" t="b">
        <f t="shared" ca="1" si="15"/>
        <v>0</v>
      </c>
      <c r="AS10" s="17" t="b">
        <f t="shared" ca="1" si="16"/>
        <v>0</v>
      </c>
      <c r="AT10" s="17" t="b">
        <f t="shared" ca="1" si="17"/>
        <v>0</v>
      </c>
      <c r="AU10" s="17" t="b">
        <f t="shared" ca="1" si="18"/>
        <v>0</v>
      </c>
      <c r="AV10" s="17" t="b">
        <f t="shared" ca="1" si="19"/>
        <v>0</v>
      </c>
      <c r="AW10" s="14" t="b">
        <f t="array" aca="1" ref="AW10" ca="1">IF(H10,N10&gt;0,"")</f>
        <v>0</v>
      </c>
      <c r="AX10" s="17" t="str">
        <f t="shared" ca="1" si="20"/>
        <v/>
      </c>
      <c r="AY10" s="17" t="str">
        <f t="array" aca="1" ref="AY10" ca="1">IF(AX10&lt;&gt;"",SUM(1*ISERROR(MATCH(INDIRECT(AX10),INDIRECT(K10),0)))=0,"")</f>
        <v/>
      </c>
      <c r="AZ10" s="17" t="b">
        <f t="shared" ca="1" si="21"/>
        <v>1</v>
      </c>
      <c r="BA10" s="17" t="b">
        <f t="shared" ca="1" si="51"/>
        <v>1</v>
      </c>
      <c r="BB10" s="17" t="b">
        <f t="shared" ca="1" si="22"/>
        <v>0</v>
      </c>
      <c r="BC10" s="17" t="b">
        <f t="shared" ca="1" si="23"/>
        <v>0</v>
      </c>
      <c r="BD10" s="17" t="b">
        <f t="shared" ca="1" si="52"/>
        <v>0</v>
      </c>
      <c r="BE10" s="17" t="b">
        <f t="shared" ca="1" si="53"/>
        <v>0</v>
      </c>
      <c r="BF10" s="17" t="b">
        <f t="shared" ca="1" si="54"/>
        <v>0</v>
      </c>
      <c r="BG10" s="17" t="b">
        <f t="shared" ca="1" si="55"/>
        <v>1</v>
      </c>
      <c r="BH10" s="17">
        <f t="shared" ca="1" si="56"/>
        <v>1</v>
      </c>
      <c r="BI10" s="17" t="b">
        <f t="shared" ca="1" si="57"/>
        <v>0</v>
      </c>
      <c r="BJ10" s="17" t="str">
        <f t="shared" ca="1" si="24"/>
        <v/>
      </c>
      <c r="BK10" s="17" t="str">
        <f t="shared" ca="1" si="25"/>
        <v/>
      </c>
      <c r="BL10" s="17" t="str">
        <f t="shared" ca="1" si="26"/>
        <v>0</v>
      </c>
      <c r="BM10" s="17" t="str">
        <f t="shared" ca="1" si="27"/>
        <v>0</v>
      </c>
      <c r="BN10" s="17" t="str">
        <f t="shared" ca="1" si="28"/>
        <v/>
      </c>
      <c r="BO10" s="14" t="b">
        <f t="shared" ca="1" si="29"/>
        <v>1</v>
      </c>
      <c r="BP10" s="15">
        <v>1</v>
      </c>
      <c r="BQ10" s="14"/>
      <c r="BV10" s="16"/>
      <c r="BW10" s="16"/>
      <c r="BX10" s="16"/>
      <c r="BY10" s="16"/>
      <c r="BZ10" s="16"/>
      <c r="CA10" s="16"/>
      <c r="CB10" s="16"/>
      <c r="CC10" s="16"/>
      <c r="CD10" s="16"/>
      <c r="CE10" s="14"/>
      <c r="CF10" s="14"/>
      <c r="CG10" s="14"/>
      <c r="CH10" s="14"/>
      <c r="CI10" s="14"/>
      <c r="CJ10" s="14"/>
      <c r="CK10" s="14"/>
      <c r="CL10" s="14">
        <f ca="1">IF(H10,IFERROR(IsVariableNameLegal(O10),0),0)</f>
        <v>0</v>
      </c>
      <c r="CM10" s="14" t="str">
        <f t="array" aca="1" ref="CM10" ca="1">IF(H10,IF(COUNTIF(INDIRECT(wew!$C$13),O10)&gt;1,TRIM(SUBSTITUTE(_xll.MCONCAT(IF((INDIRECT(wew!$C$13)=O10)*(COLUMN(INDIRECT(wew!$C$13))&lt;&gt;D10+1),-1+COLUMN(INDIRECT(wew!$C$13)),"")," "),"  "," ")),""),"")</f>
        <v/>
      </c>
      <c r="CN10" s="14" t="str">
        <f t="array" aca="1" ref="CN10" ca="1">IF(P10&lt;&gt;"",IF(LEN(P10)&gt;150,1,""),"")</f>
        <v/>
      </c>
      <c r="CO10" s="14" t="str">
        <f t="array" aca="1" ref="CO10" ca="1">IF(AND(H10,NOT(ster!$J$3)),IF(COUNTIF(INDIRECT(wew!$C$15),P10)&gt;1,TRIM(SUBSTITUTE(_xll.MCONCAT(IF((INDIRECT(wew!$C$15)=P10)*(COLUMN(INDIRECT(wew!$C$15))&lt;&gt;D10+1),-1+COLUMN(INDIRECT(wew!$C$15)),"")," "),"  "," ")),""),"")</f>
        <v/>
      </c>
      <c r="CP10" s="14" t="str">
        <f t="array" aca="1" ref="CP10" ca="1">IF(H10,IF(AND(V10&gt;0,AN10&lt;&gt;""),TRIM(SUBSTITUTE(_xll.MCONCAT(IFERROR(IF(ISNUMBER(INDIRECT(Q10)),IF((INDIRECT(ster!$D$14)&lt;&gt;"")*(INDIRECT(Q10)&lt;AN10),INDIRECT(ster!$D$14) &amp; ": " &amp;  SUBSTITUTE(IF( AU10,IFERROR(TEXT(INDIRECT(Q10),"rrrr-mm-dd") &amp;" (" &amp; INDIRECT(Q10) &amp;")",INDIRECT(Q10)),INDIRECT(Q10))," "," "),""),""),"")," "),"  "," ")),""),"")</f>
        <v/>
      </c>
      <c r="CQ10" s="14" t="str">
        <f t="array" aca="1" ref="CQ10" ca="1">IF(H10,IF(AND(V10&gt;0,AO10&lt;&gt;""),TRIM(SUBSTITUTE(_xll.MCONCAT(IFERROR(IF(ISNUMBER(INDIRECT(Q10)),IF((INDIRECT(ster!$D$14)&lt;&gt;"")*(INDIRECT(Q10)&gt;AO10),INDIRECT(ster!$D$14) &amp; ": " &amp;  SUBSTITUTE(IF( AU10,IFERROR(TEXT(INDIRECT(Q10),"rrrr-mm-dd")&amp;" (" &amp; INDIRECT(Q10) &amp;")",INDIRECT(Q10)),INDIRECT(Q10))," "," "),""),""),"")," "),"  "," ")),""),"")</f>
        <v/>
      </c>
      <c r="CR10" s="14" t="str">
        <f t="array" aca="1" ref="CR10" ca="1">IF(H10,IF(AND(N10&gt;0,AQ10),TRIM(SUBSTITUTE(_xll.MCONCAT(IFERROR(IF(ISNUMBER(INDIRECT(Q10)),IF((INDIRECT(ster!$D$14)&lt;&gt;"")*(IFERROR(0*(MATCH(INDIRECT(Q10),INDIRECT(K10),0)&gt;0),1)),INDIRECT(ster!$D$14) &amp; ": " &amp;  SUBSTITUTE(IF( AU10,IFERROR(TEXT(INDIRECT(Q10),"rrrr-mm-dd")&amp;" (" &amp; INDIRECT(Q10) &amp;")",INDIRECT(Q10)),INDIRECT(Q10))," "," "),""),""),"")," "),"  "," ")),""),"")</f>
        <v/>
      </c>
      <c r="CS10" s="14" t="str">
        <f t="array" aca="1" ref="CS10" ca="1">IF(H10,IF(AND(U10&gt;0),TRIM(SUBSTITUTE(_xll.MCONCAT(IF((INDIRECT(ster!$D$14)&lt;&gt;"")*(IFERROR(0*(INDIRECT(Q10)&lt;&gt;""),1)),INDIRECT(ster!$D$14),"")," "),"  "," ")),""),"")</f>
        <v/>
      </c>
      <c r="CT10" s="14" t="str">
        <f t="array" aca="1" ref="CT10" ca="1">IF(H10,IF(AR10,
TRIM(SUBSTITUTE(_xll.MCONCAT(IF(
   (INDIRECT(ster!$D$14)&lt;&gt;"")*
   ((INDIRECT(Q10)="")+
      NOT(ISNUMBER(INDIRECT(Q10)))*
      NOT(ISERROR(MATCH(INDIRECT(Q10),INDIRECT(K10),0)))
    ),
      INDIRECT(ster!$D$14),
   "")," "),"  "," ")),
""),"")</f>
        <v/>
      </c>
      <c r="CU10" s="14" t="str">
        <f t="array" aca="1" ref="CU10" ca="1">IF(H10,IF(AND(AP10),TRIM(SUBSTITUTE(_xll.MCONCAT(IFERROR(IF(ISNUMBER(INDIRECT(Q10)),IF((INDIRECT(ster!$D$14)&lt;&gt;"")*(INDIRECT(Q10)&lt;&gt;INT(INDIRECT(Q10))),INDIRECT(ster!$D$14) &amp; ": " &amp; INDIRECT(Q10),""),""),"")," "),"  "," ")),""),"")</f>
        <v/>
      </c>
      <c r="CV10" s="14" t="str">
        <f t="array" aca="1" ref="CV10" ca="1">IF(H10,IF(OR(AT10,AU10),TRIM(SUBSTITUTE(_xll.MCONCAT(IF((INDIRECT(ster!$D$14)&lt;&gt;"")*NOT(ISNUMBER(INDIRECT(Q10))),IF(ISERROR(MATCH(INDIRECT(Q10),INDIRECT(K10),0)),IFERROR(IF(INDIRECT(Q10)&lt;&gt;"",INDIRECT(ster!$D$14) &amp; ": " &amp; SUBSTITUTE(INDIRECT(Q10)," "," "),""),""),""),"")," "),"  "," ")),""),"")</f>
        <v/>
      </c>
      <c r="CW10" s="14" t="str">
        <f t="array" aca="1" ref="CW10" ca="1">IF(H10,IF(AD10,TRIM(SUBSTITUTE(_xll.MCONCAT(IF((INDIRECT(ster!$D$14)&lt;&gt;"")*IFERROR(NOT(INDIRECT(AE10)),FALSE),IF(ISERROR(MATCH(INDIRECT(Q10),INDIRECT(K10),0)),IFERROR(IF(INDIRECT(Q10)&lt;&gt;"",INDIRECT(ster!$D$14) &amp; ": " &amp;  SUBSTITUTE(IF( AU10,IFERROR(TEXT(INDIRECT(Q10),"rrrr-mm-dd")&amp;" (" &amp; INDIRECT(Q10) &amp;")",INDIRECT(Q10)),INDIRECT(Q10))," "," "),""),""),""),"")," "),"  "," ")),""),"")</f>
        <v/>
      </c>
      <c r="CX10" s="14" t="str">
        <f t="array" aca="1" ref="CX10" ca="1">IF(H10,IF(AG10,TRIM(SUBSTITUTE(_xll.MCONCAT(IF((INDIRECT(ster!$D$14)&lt;&gt;"")*IFERROR(NOT(INDIRECT(AH10)),FALSE),IF(ISERROR(MATCH(INDIRECT(Q10),INDIRECT(K10),0)),IFERROR(IF(INDIRECT(Q10)&lt;&gt;"",INDIRECT(ster!$D$14) &amp; ": " &amp;  SUBSTITUTE(IF( AU10,IFERROR(TEXT(INDIRECT(Q10),"rrrr-mm-dd")&amp;" (" &amp; INDIRECT(Q10) &amp;")",INDIRECT(Q10)),INDIRECT(Q10))," "," "),""),""),""),"")," "),"  "," ")),""),"")</f>
        <v/>
      </c>
      <c r="CY10" s="14"/>
      <c r="CZ10" s="14"/>
      <c r="DA10" s="14" t="str">
        <f ca="1">SUBSTITUTE(SUBSTITUTE(SUBSTITUTE(SUBSTITUTE(_xll.MCONCAT(DE10:DQ10,"■"),"■■","■"),"■■","■"),"■■","■"),"■■","■")</f>
        <v>■</v>
      </c>
      <c r="DB10" s="14" t="str">
        <f t="shared" ca="1" si="58"/>
        <v/>
      </c>
      <c r="DC10" s="14" t="str">
        <f t="shared" ca="1" si="59"/>
        <v/>
      </c>
      <c r="DD10" s="14" t="str">
        <f t="shared" ca="1" si="60"/>
        <v/>
      </c>
      <c r="DE10" s="14" t="str">
        <f t="shared" ca="1" si="61"/>
        <v/>
      </c>
      <c r="DF10" s="14" t="str">
        <f t="shared" ca="1" si="62"/>
        <v/>
      </c>
      <c r="DG10" s="14" t="str">
        <f t="shared" ca="1" si="63"/>
        <v/>
      </c>
      <c r="DH10" s="14" t="str">
        <f t="shared" ca="1" si="64"/>
        <v/>
      </c>
      <c r="DI10" s="14" t="str">
        <f t="shared" ca="1" si="65"/>
        <v/>
      </c>
      <c r="DJ10" s="14" t="str">
        <f t="shared" ca="1" si="66"/>
        <v/>
      </c>
      <c r="DK10" s="14" t="str">
        <f t="shared" ca="1" si="67"/>
        <v/>
      </c>
      <c r="DL10" s="14" t="str">
        <f t="array" aca="1" ref="DL10" ca="1">IF(CS10&lt;&gt;"","There are errors in the entered values in the following cases: " &amp;SUBSTITUTE(CS10," ",", "),"")</f>
        <v/>
      </c>
      <c r="DM10" s="14" t="str">
        <f t="shared" ca="1" si="68"/>
        <v/>
      </c>
      <c r="DN10" s="14" t="str">
        <f t="shared" ca="1" si="69"/>
        <v/>
      </c>
      <c r="DO10" s="14" t="str">
        <f t="shared" ca="1" si="70"/>
        <v/>
      </c>
      <c r="DP10" s="14" t="str">
        <f t="shared" ca="1" si="30"/>
        <v/>
      </c>
      <c r="DQ10" s="14" t="str">
        <f t="shared" ca="1" si="31"/>
        <v/>
      </c>
      <c r="DX10" s="14" t="b">
        <f t="shared" ca="1" si="71"/>
        <v>0</v>
      </c>
      <c r="DY10" s="14" t="str">
        <f t="shared" ca="1" si="32"/>
        <v/>
      </c>
      <c r="DZ10" s="14" t="str">
        <f t="shared" ca="1" si="72"/>
        <v/>
      </c>
      <c r="EA10" s="14" t="str">
        <f t="shared" ca="1" si="33"/>
        <v/>
      </c>
      <c r="EB10" s="14" t="str">
        <f t="shared" ca="1" si="34"/>
        <v/>
      </c>
      <c r="EC10" s="14" t="str">
        <f t="shared" ca="1" si="35"/>
        <v/>
      </c>
      <c r="ED10" s="14" t="str">
        <f t="shared" ca="1" si="73"/>
        <v/>
      </c>
      <c r="EE10" s="14" t="str">
        <f t="shared" ca="1" si="74"/>
        <v/>
      </c>
      <c r="EK10" s="14" t="b">
        <f t="shared" ca="1" si="75"/>
        <v>0</v>
      </c>
      <c r="EL10" s="14" t="str">
        <f t="shared" ca="1" si="36"/>
        <v/>
      </c>
      <c r="EM10" s="14" t="str">
        <f t="shared" ca="1" si="37"/>
        <v/>
      </c>
      <c r="EN10" s="14" t="str">
        <f t="shared" ca="1" si="76"/>
        <v/>
      </c>
      <c r="EO10" s="14" t="str">
        <f t="shared" ca="1" si="77"/>
        <v/>
      </c>
    </row>
    <row r="11" spans="1:145">
      <c r="B11" s="14" t="str">
        <f t="shared" ca="1" si="38"/>
        <v>The following cases are non-numeric: VIE1: 4</v>
      </c>
      <c r="C11" s="14">
        <f t="shared" ca="1" si="39"/>
        <v>8</v>
      </c>
      <c r="D11" s="14">
        <f t="shared" si="40"/>
        <v>9</v>
      </c>
      <c r="E11" s="14" t="str">
        <f t="shared" ca="1" si="0"/>
        <v>S</v>
      </c>
      <c r="F11" s="14" t="str">
        <f t="shared" ca="1" si="41"/>
        <v>num1_fix</v>
      </c>
      <c r="G11" s="14" t="str">
        <f t="shared" ca="1" si="42"/>
        <v>Zmienna liczbowa z brakami</v>
      </c>
      <c r="H11" s="14" t="b">
        <f t="shared" ca="1" si="1"/>
        <v>1</v>
      </c>
      <c r="I11" s="14" t="str">
        <f ca="1">IF($H11,ADDRESS(3,(D11+1)*2-1,4,,"["&amp;wew!$G$7&amp;"]"&amp;_sheetname_labels)&amp;":"&amp;ADDRESS(2+ster!$B$20,(D11+1)*2-1,4),"")</f>
        <v>'[dane surowe2d.xlsm]labels'!S3:S36</v>
      </c>
      <c r="J11" s="14">
        <f t="array" aca="1" ref="J11" ca="1">IF(H11,MAX(0,MAX(IF(INDIRECT(I11)&lt;&gt;"",ROW(INDIRECT(I11)),""))-2),"")</f>
        <v>0</v>
      </c>
      <c r="K11" s="14" t="str">
        <f ca="1">IF($H11,IF($J11&gt;0,ADDRESS(3,(D11+1)*2-1,4,,"["&amp;wew!$G$7&amp;"]"&amp;_sheetname_labels)&amp;":"&amp;ADDRESS(2+J11,(D11+1)*2-1,4),""),"")</f>
        <v/>
      </c>
      <c r="L11" s="14" t="str">
        <f ca="1">IF($H11,IF($J11&gt;0,ADDRESS(3,(D11+1)*2,4,,"["&amp;wew!$G$7&amp;"]"&amp;_sheetname_labels)&amp;":"&amp;ADDRESS(2+J11,(D11+1)*2,4),""),"")</f>
        <v/>
      </c>
      <c r="M11" s="14">
        <f t="shared" ca="1" si="43"/>
        <v>0</v>
      </c>
      <c r="N11" s="14">
        <f t="shared" ca="1" si="44"/>
        <v>0</v>
      </c>
      <c r="O11" s="14" t="str">
        <f t="shared" ca="1" si="2"/>
        <v>num1_fix</v>
      </c>
      <c r="P11" s="14" t="str">
        <f t="shared" ca="1" si="3"/>
        <v>Zmienna liczbowa z brakami</v>
      </c>
      <c r="Q11" s="14" t="str">
        <f ca="1">IF($H11,ADDRESS(3,D11+1,4,,"["&amp;wew!$G$7&amp;"]"&amp;_sheetname_dataframe)&amp;":"&amp;ADDRESS(2+ster!$C$14,D11+1,4),"")</f>
        <v>'[dane surowe2d.xlsm]data_frame'!J3:J12</v>
      </c>
      <c r="R11" s="14">
        <f t="array" aca="1" ref="R11" ca="1">IF(H11,SUM(IF((IFERROR(INDIRECT(Q11)&lt;&gt;"",FALSE))*(INDIRECT(ster!$D$14)&lt;&gt;""),1,0)),"")</f>
        <v>9</v>
      </c>
      <c r="S11" s="14">
        <f t="array" aca="1" ref="S11" ca="1">IF(H11,IF(M11&gt;0,SUM(IFERROR(1*(MATCH(INDIRECT(Q11),INDIRECT(K11),0)&gt;0),0)*(INDIRECT(ster!$D$14)&lt;&gt;"")*NOT(ISNUMBER(INDIRECT(Q11)))),0),"")</f>
        <v>0</v>
      </c>
      <c r="T11" s="14">
        <f t="array" aca="1" ref="T11" ca="1">IF(H11,SUM((IFERROR(INDIRECT(Q11)="",FALSE))*(INDIRECT(ster!$D$14)&lt;&gt;"")),"")</f>
        <v>0</v>
      </c>
      <c r="U11" s="14">
        <f t="array" aca="1" ref="U11" ca="1">IF(H11,SUM((IFERROR(INDIRECT(Q11)="#ąś",TRUE))*(INDIRECT(ster!$D$14)&lt;&gt;"")),"")</f>
        <v>0</v>
      </c>
      <c r="V11" s="14">
        <f t="array" aca="1" ref="V11" ca="1">IF(H11,SUM(ISNUMBER(INDIRECT(Q11))*(INDIRECT(ster!$D$14)&lt;&gt;"")),"")</f>
        <v>8</v>
      </c>
      <c r="W11" s="14">
        <f t="array" aca="1" ref="W11" ca="1">IF(AND(H11,V11&gt;0),IF(wew!$B$3,MIN(IF((INDIRECT(ster!$D$14)&lt;&gt;"")*IFERROR(INDIRECT($Q11)&lt;&gt;"",FALSE),IFERROR(INDIRECT($Q11),"X"),"X")),"&lt;włącz podświetlanie wartości&gt;"),"—")</f>
        <v>1</v>
      </c>
      <c r="X11" s="14">
        <f t="array" aca="1" ref="X11" ca="1">IF(AND(H11,V11&gt;0),IF(wew!$B$3,MAX(IF((INDIRECT(ster!$D$14)&lt;&gt;"")*IFERROR(INDIRECT($Q11)&lt;&gt;"",FALSE),IFERROR(INDIRECT($Q11),"X"),"X")),"&lt;włącz podświetlanie wartości&gt;"),"—")</f>
        <v>9.1</v>
      </c>
      <c r="Y11" s="14">
        <f t="shared" ca="1" si="4"/>
        <v>1</v>
      </c>
      <c r="Z11" s="12">
        <f t="shared" ca="1" si="5"/>
        <v>0.88888888888888884</v>
      </c>
      <c r="AA11" s="17">
        <f t="array" aca="1" ref="AA11" ca="1">IF(H11,IF(V11&gt;0,SUM((INDIRECT(ster!$D$14)&lt;&gt;"")*IFERROR((INDIRECT(Q11)&lt;&gt;"")*(INDIRECT(Q11)=INT(INDIRECT(Q11))),0)),0),"")</f>
        <v>7</v>
      </c>
      <c r="AB11" s="17">
        <f t="array" aca="1" ref="AB11" ca="1">IF(H11,V11-AA11,"")</f>
        <v>1</v>
      </c>
      <c r="AC11" s="17">
        <f t="shared" ca="1" si="45"/>
        <v>2</v>
      </c>
      <c r="AD11" s="17" t="b">
        <f t="shared" ca="1" si="46"/>
        <v>0</v>
      </c>
      <c r="AE11" s="17" t="str">
        <f ca="1">IF(AD11,IF($H11,ADDRESS(3,D11+2,4,,"["&amp;wew!$G$7&amp;"]"&amp;_sheetname_dataframe)&amp;":"&amp;ADDRESS(2+ster!$C$14,D11+2,4),""),"")</f>
        <v/>
      </c>
      <c r="AF11" s="17" t="str">
        <f t="shared" ca="1" si="6"/>
        <v/>
      </c>
      <c r="AG11" s="17" t="b">
        <f t="shared" ca="1" si="7"/>
        <v>0</v>
      </c>
      <c r="AH11" s="17" t="str">
        <f ca="1">IF(AG11,IF($H11,ADDRESS(3,D11+3,4,,"["&amp;wew!$G$7&amp;"]"&amp;_sheetname_dataframe)&amp;":"&amp;ADDRESS(2+ster!$C$14,D11+3,4),""),"")</f>
        <v/>
      </c>
      <c r="AI11" s="17" t="str">
        <f t="shared" ca="1" si="8"/>
        <v/>
      </c>
      <c r="AJ11" s="17" t="b">
        <f t="shared" ca="1" si="9"/>
        <v>1</v>
      </c>
      <c r="AK11" s="17" t="b">
        <f t="shared" ca="1" si="47"/>
        <v>0</v>
      </c>
      <c r="AL11" s="17" t="b">
        <f t="shared" ca="1" si="48"/>
        <v>1</v>
      </c>
      <c r="AM11" s="17">
        <f t="shared" ca="1" si="10"/>
        <v>0</v>
      </c>
      <c r="AN11" s="24" t="str">
        <f t="shared" ca="1" si="49"/>
        <v/>
      </c>
      <c r="AO11" s="24" t="str">
        <f t="shared" ca="1" si="50"/>
        <v/>
      </c>
      <c r="AP11" s="17" t="b">
        <f t="shared" ca="1" si="13"/>
        <v>0</v>
      </c>
      <c r="AQ11" s="17" t="b">
        <f t="shared" ca="1" si="14"/>
        <v>0</v>
      </c>
      <c r="AR11" s="17" t="b">
        <f t="shared" ca="1" si="15"/>
        <v>0</v>
      </c>
      <c r="AS11" s="17" t="b">
        <f t="shared" ca="1" si="16"/>
        <v>0</v>
      </c>
      <c r="AT11" s="17" t="b">
        <f t="shared" ca="1" si="17"/>
        <v>1</v>
      </c>
      <c r="AU11" s="17" t="b">
        <f t="shared" ca="1" si="18"/>
        <v>0</v>
      </c>
      <c r="AV11" s="17" t="b">
        <f t="shared" ca="1" si="19"/>
        <v>0</v>
      </c>
      <c r="AW11" s="14" t="b">
        <f t="array" aca="1" ref="AW11" ca="1">IF(H11,N11&gt;0,"")</f>
        <v>0</v>
      </c>
      <c r="AX11" s="17" t="str">
        <f t="shared" ca="1" si="20"/>
        <v/>
      </c>
      <c r="AY11" s="17" t="str">
        <f t="array" aca="1" ref="AY11" ca="1">IF(AX11&lt;&gt;"",SUM(1*ISERROR(MATCH(INDIRECT(AX11),INDIRECT(K11),0)))=0,"")</f>
        <v/>
      </c>
      <c r="AZ11" s="17" t="b">
        <f t="shared" ca="1" si="21"/>
        <v>0</v>
      </c>
      <c r="BA11" s="17" t="str">
        <f t="shared" ca="1" si="51"/>
        <v/>
      </c>
      <c r="BB11" s="17" t="str">
        <f t="shared" ca="1" si="22"/>
        <v/>
      </c>
      <c r="BC11" s="17" t="str">
        <f t="shared" ca="1" si="23"/>
        <v/>
      </c>
      <c r="BD11" s="17" t="str">
        <f t="shared" ca="1" si="52"/>
        <v/>
      </c>
      <c r="BE11" s="17" t="str">
        <f t="shared" ca="1" si="53"/>
        <v/>
      </c>
      <c r="BF11" s="17" t="str">
        <f t="shared" ca="1" si="54"/>
        <v/>
      </c>
      <c r="BG11" s="17" t="str">
        <f t="shared" ca="1" si="55"/>
        <v/>
      </c>
      <c r="BH11" s="17" t="str">
        <f t="shared" ca="1" si="56"/>
        <v/>
      </c>
      <c r="BI11" s="17" t="b">
        <f t="shared" ca="1" si="57"/>
        <v>1</v>
      </c>
      <c r="BJ11" s="17" t="b">
        <f t="shared" ca="1" si="24"/>
        <v>0</v>
      </c>
      <c r="BK11" s="17" t="b">
        <f t="shared" ca="1" si="25"/>
        <v>1</v>
      </c>
      <c r="BL11" s="17" t="str">
        <f t="shared" ca="1" si="26"/>
        <v>N</v>
      </c>
      <c r="BM11" s="17" t="str">
        <f t="shared" ca="1" si="27"/>
        <v>E</v>
      </c>
      <c r="BN11" s="17" t="str">
        <f t="shared" ca="1" si="28"/>
        <v>I</v>
      </c>
      <c r="BO11" s="14" t="b">
        <f t="shared" ca="1" si="29"/>
        <v>1</v>
      </c>
      <c r="BP11" s="15">
        <v>1</v>
      </c>
      <c r="BQ11" s="14"/>
      <c r="BS11" s="14" t="s">
        <v>388</v>
      </c>
      <c r="BV11" s="16"/>
      <c r="BW11" s="16"/>
      <c r="BX11" s="16"/>
      <c r="BY11" s="16"/>
      <c r="BZ11" s="16"/>
      <c r="CA11" s="16"/>
      <c r="CB11" s="16"/>
      <c r="CC11" s="16"/>
      <c r="CD11" s="16"/>
      <c r="CE11" s="14"/>
      <c r="CF11" s="14"/>
      <c r="CG11" s="14"/>
      <c r="CH11" s="14"/>
      <c r="CI11" s="14"/>
      <c r="CJ11" s="14"/>
      <c r="CK11" s="14"/>
      <c r="CL11" s="14">
        <f ca="1">IF(H11,IFERROR(IsVariableNameLegal(O11),0),0)</f>
        <v>0</v>
      </c>
      <c r="CM11" s="14" t="str">
        <f t="array" aca="1" ref="CM11" ca="1">IF(H11,IF(COUNTIF(INDIRECT(wew!$C$13),O11)&gt;1,TRIM(SUBSTITUTE(_xll.MCONCAT(IF((INDIRECT(wew!$C$13)=O11)*(COLUMN(INDIRECT(wew!$C$13))&lt;&gt;D11+1),-1+COLUMN(INDIRECT(wew!$C$13)),"")," "),"  "," ")),""),"")</f>
        <v/>
      </c>
      <c r="CN11" s="14" t="str">
        <f t="array" aca="1" ref="CN11" ca="1">IF(P11&lt;&gt;"",IF(LEN(P11)&gt;150,1,""),"")</f>
        <v/>
      </c>
      <c r="CO11" s="14" t="str">
        <f t="array" aca="1" ref="CO11" ca="1">IF(AND(H11,NOT(ster!$J$3)),IF(COUNTIF(INDIRECT(wew!$C$15),P11)&gt;1,TRIM(SUBSTITUTE(_xll.MCONCAT(IF((INDIRECT(wew!$C$15)=P11)*(COLUMN(INDIRECT(wew!$C$15))&lt;&gt;D11+1),-1+COLUMN(INDIRECT(wew!$C$15)),"")," "),"  "," ")),""),"")</f>
        <v/>
      </c>
      <c r="CP11" s="14" t="str">
        <f t="array" aca="1" ref="CP11" ca="1">IF(H11,IF(AND(V11&gt;0,AN11&lt;&gt;""),TRIM(SUBSTITUTE(_xll.MCONCAT(IFERROR(IF(ISNUMBER(INDIRECT(Q11)),IF((INDIRECT(ster!$D$14)&lt;&gt;"")*(INDIRECT(Q11)&lt;AN11),INDIRECT(ster!$D$14) &amp; ": " &amp;  SUBSTITUTE(IF( AU11,IFERROR(TEXT(INDIRECT(Q11),"rrrr-mm-dd") &amp;" (" &amp; INDIRECT(Q11) &amp;")",INDIRECT(Q11)),INDIRECT(Q11))," "," "),""),""),"")," "),"  "," ")),""),"")</f>
        <v/>
      </c>
      <c r="CQ11" s="14" t="str">
        <f t="array" aca="1" ref="CQ11" ca="1">IF(H11,IF(AND(V11&gt;0,AO11&lt;&gt;""),TRIM(SUBSTITUTE(_xll.MCONCAT(IFERROR(IF(ISNUMBER(INDIRECT(Q11)),IF((INDIRECT(ster!$D$14)&lt;&gt;"")*(INDIRECT(Q11)&gt;AO11),INDIRECT(ster!$D$14) &amp; ": " &amp;  SUBSTITUTE(IF( AU11,IFERROR(TEXT(INDIRECT(Q11),"rrrr-mm-dd")&amp;" (" &amp; INDIRECT(Q11) &amp;")",INDIRECT(Q11)),INDIRECT(Q11))," "," "),""),""),"")," "),"  "," ")),""),"")</f>
        <v/>
      </c>
      <c r="CR11" s="14" t="str">
        <f t="array" aca="1" ref="CR11" ca="1">IF(H11,IF(AND(N11&gt;0,AQ11),TRIM(SUBSTITUTE(_xll.MCONCAT(IFERROR(IF(ISNUMBER(INDIRECT(Q11)),IF((INDIRECT(ster!$D$14)&lt;&gt;"")*(IFERROR(0*(MATCH(INDIRECT(Q11),INDIRECT(K11),0)&gt;0),1)),INDIRECT(ster!$D$14) &amp; ": " &amp;  SUBSTITUTE(IF( AU11,IFERROR(TEXT(INDIRECT(Q11),"rrrr-mm-dd")&amp;" (" &amp; INDIRECT(Q11) &amp;")",INDIRECT(Q11)),INDIRECT(Q11))," "," "),""),""),"")," "),"  "," ")),""),"")</f>
        <v/>
      </c>
      <c r="CS11" s="14" t="str">
        <f t="array" aca="1" ref="CS11" ca="1">IF(H11,IF(AND(U11&gt;0),TRIM(SUBSTITUTE(_xll.MCONCAT(IF((INDIRECT(ster!$D$14)&lt;&gt;"")*(IFERROR(0*(INDIRECT(Q11)&lt;&gt;""),1)),INDIRECT(ster!$D$14),"")," "),"  "," ")),""),"")</f>
        <v/>
      </c>
      <c r="CT11" s="14" t="str">
        <f t="array" aca="1" ref="CT11" ca="1">IF(H11,IF(AR11,
TRIM(SUBSTITUTE(_xll.MCONCAT(IF(
   (INDIRECT(ster!$D$14)&lt;&gt;"")*
   ((INDIRECT(Q11)="")+
      NOT(ISNUMBER(INDIRECT(Q11)))*
      NOT(ISERROR(MATCH(INDIRECT(Q11),INDIRECT(K11),0)))
    ),
      INDIRECT(ster!$D$14),
   "")," "),"  "," ")),
""),"")</f>
        <v/>
      </c>
      <c r="CU11" s="14" t="str">
        <f t="array" aca="1" ref="CU11" ca="1">IF(H11,IF(AND(AP11),TRIM(SUBSTITUTE(_xll.MCONCAT(IFERROR(IF(ISNUMBER(INDIRECT(Q11)),IF((INDIRECT(ster!$D$14)&lt;&gt;"")*(INDIRECT(Q11)&lt;&gt;INT(INDIRECT(Q11))),INDIRECT(ster!$D$14) &amp; ": " &amp; INDIRECT(Q11),""),""),"")," "),"  "," ")),""),"")</f>
        <v/>
      </c>
      <c r="CV11" s="14" t="str">
        <f t="array" aca="1" ref="CV11" ca="1">IF(H11,IF(OR(AT11,AU11),TRIM(SUBSTITUTE(_xll.MCONCAT(IF((INDIRECT(ster!$D$14)&lt;&gt;"")*NOT(ISNUMBER(INDIRECT(Q11))),IF(ISERROR(MATCH(INDIRECT(Q11),INDIRECT(K11),0)),IFERROR(IF(INDIRECT(Q11)&lt;&gt;"",INDIRECT(ster!$D$14) &amp; ": " &amp; SUBSTITUTE(INDIRECT(Q11)," "," "),""),""),""),"")," "),"  "," ")),""),"")</f>
        <v>VIE1: 4</v>
      </c>
      <c r="CW11" s="14" t="str">
        <f t="array" aca="1" ref="CW11" ca="1">IF(H11,IF(AD11,TRIM(SUBSTITUTE(_xll.MCONCAT(IF((INDIRECT(ster!$D$14)&lt;&gt;"")*IFERROR(NOT(INDIRECT(AE11)),FALSE),IF(ISERROR(MATCH(INDIRECT(Q11),INDIRECT(K11),0)),IFERROR(IF(INDIRECT(Q11)&lt;&gt;"",INDIRECT(ster!$D$14) &amp; ": " &amp;  SUBSTITUTE(IF( AU11,IFERROR(TEXT(INDIRECT(Q11),"rrrr-mm-dd")&amp;" (" &amp; INDIRECT(Q11) &amp;")",INDIRECT(Q11)),INDIRECT(Q11))," "," "),""),""),""),"")," "),"  "," ")),""),"")</f>
        <v/>
      </c>
      <c r="CX11" s="14" t="str">
        <f t="array" aca="1" ref="CX11" ca="1">IF(H11,IF(AG11,TRIM(SUBSTITUTE(_xll.MCONCAT(IF((INDIRECT(ster!$D$14)&lt;&gt;"")*IFERROR(NOT(INDIRECT(AH11)),FALSE),IF(ISERROR(MATCH(INDIRECT(Q11),INDIRECT(K11),0)),IFERROR(IF(INDIRECT(Q11)&lt;&gt;"",INDIRECT(ster!$D$14) &amp; ": " &amp;  SUBSTITUTE(IF( AU11,IFERROR(TEXT(INDIRECT(Q11),"rrrr-mm-dd")&amp;" (" &amp; INDIRECT(Q11) &amp;")",INDIRECT(Q11)),INDIRECT(Q11))," "," "),""),""),""),"")," "),"  "," ")),""),"")</f>
        <v/>
      </c>
      <c r="CY11" s="14"/>
      <c r="CZ11" s="14"/>
      <c r="DA11" s="14" t="str">
        <f ca="1">SUBSTITUTE(SUBSTITUTE(SUBSTITUTE(SUBSTITUTE(_xll.MCONCAT(DE11:DQ11,"■"),"■■","■"),"■■","■"),"■■","■"),"■■","■")</f>
        <v>■The following cases are non-numeric: VIE1: 4■</v>
      </c>
      <c r="DB11" s="14" t="str">
        <f t="shared" ca="1" si="58"/>
        <v>The following cases are non-numeric: VIE1: 4■</v>
      </c>
      <c r="DC11" s="14" t="str">
        <f t="shared" ca="1" si="59"/>
        <v>The following cases are non-numeric: VIE1: 4</v>
      </c>
      <c r="DD11" s="14" t="str">
        <f t="shared" ca="1" si="60"/>
        <v>The following cases are non-numeric: VIE1: 4</v>
      </c>
      <c r="DE11" s="14" t="str">
        <f t="shared" ca="1" si="61"/>
        <v/>
      </c>
      <c r="DF11" s="14" t="str">
        <f t="shared" ca="1" si="62"/>
        <v/>
      </c>
      <c r="DG11" s="14" t="str">
        <f t="shared" ca="1" si="63"/>
        <v/>
      </c>
      <c r="DH11" s="14" t="str">
        <f t="shared" ca="1" si="64"/>
        <v/>
      </c>
      <c r="DI11" s="14" t="str">
        <f t="shared" ca="1" si="65"/>
        <v/>
      </c>
      <c r="DJ11" s="14" t="str">
        <f t="shared" ca="1" si="66"/>
        <v/>
      </c>
      <c r="DK11" s="14" t="str">
        <f t="shared" ca="1" si="67"/>
        <v/>
      </c>
      <c r="DL11" s="14" t="str">
        <f t="array" aca="1" ref="DL11" ca="1">IF(CS11&lt;&gt;"","There are errors in the entered values in the following cases: " &amp;SUBSTITUTE(CS11," ",", "),"")</f>
        <v/>
      </c>
      <c r="DM11" s="14" t="str">
        <f t="shared" ca="1" si="68"/>
        <v/>
      </c>
      <c r="DN11" s="14" t="str">
        <f t="shared" ca="1" si="69"/>
        <v/>
      </c>
      <c r="DO11" s="14" t="str">
        <f t="shared" ca="1" si="70"/>
        <v>The following cases are non-numeric: VIE1: 4</v>
      </c>
      <c r="DP11" s="14" t="str">
        <f t="shared" ca="1" si="30"/>
        <v/>
      </c>
      <c r="DQ11" s="14" t="str">
        <f t="shared" ca="1" si="31"/>
        <v/>
      </c>
      <c r="DX11" s="14" t="b">
        <f t="shared" ca="1" si="71"/>
        <v>0</v>
      </c>
      <c r="DY11" s="14" t="str">
        <f t="shared" ca="1" si="32"/>
        <v>Zmienna liczbowa z brakami (num1_fix)</v>
      </c>
      <c r="DZ11" s="14" t="str">
        <f t="shared" ca="1" si="72"/>
        <v xml:space="preserve">Values must be numeric. </v>
      </c>
      <c r="EA11" s="14" t="str">
        <f t="shared" ca="1" si="33"/>
        <v xml:space="preserve">Zmienna liczbowa z brakami (num1_fix): Values must be numeric. </v>
      </c>
      <c r="EB11" s="14" t="str">
        <f t="shared" ca="1" si="34"/>
        <v/>
      </c>
      <c r="EC11" s="14" t="str">
        <f t="shared" ca="1" si="35"/>
        <v>Values must be numeric</v>
      </c>
      <c r="ED11" s="14" t="str">
        <f t="shared" ca="1" si="73"/>
        <v/>
      </c>
      <c r="EE11" s="14" t="str">
        <f t="shared" ca="1" si="74"/>
        <v/>
      </c>
      <c r="EK11" s="14" t="b">
        <f t="shared" ca="1" si="75"/>
        <v>1</v>
      </c>
      <c r="EL11" s="14">
        <f t="shared" ca="1" si="36"/>
        <v>8</v>
      </c>
      <c r="EM11" s="14" t="str">
        <f t="shared" ca="1" si="37"/>
        <v>num1_fix</v>
      </c>
      <c r="EN11" s="14" t="str">
        <f t="shared" ca="1" si="76"/>
        <v xml:space="preserve">Zmienna liczbowa z brakami (num1_fix): Values must be numeric. </v>
      </c>
      <c r="EO11" s="14" t="str">
        <f t="shared" ca="1" si="77"/>
        <v>The following cases are non-numeric: VIE1: 4</v>
      </c>
    </row>
    <row r="12" spans="1:145">
      <c r="B12" s="14" t="str">
        <f t="shared" ca="1" si="38"/>
        <v/>
      </c>
      <c r="C12" s="14">
        <f t="shared" ca="1" si="39"/>
        <v>9</v>
      </c>
      <c r="D12" s="14">
        <f t="shared" si="40"/>
        <v>10</v>
      </c>
      <c r="E12" s="14" t="str">
        <f t="shared" ca="1" si="0"/>
        <v>I</v>
      </c>
      <c r="F12" s="14" t="str">
        <f t="shared" ca="1" si="41"/>
        <v>num1_fix2</v>
      </c>
      <c r="G12" s="14" t="str">
        <f t="shared" ca="1" si="42"/>
        <v>Zmienna liczbowa z brakami</v>
      </c>
      <c r="H12" s="14" t="b">
        <f t="shared" ca="1" si="1"/>
        <v>1</v>
      </c>
      <c r="I12" s="14" t="str">
        <f ca="1">IF($H12,ADDRESS(3,(D12+1)*2-1,4,,"["&amp;wew!$G$7&amp;"]"&amp;_sheetname_labels)&amp;":"&amp;ADDRESS(2+ster!$B$20,(D12+1)*2-1,4),"")</f>
        <v>'[dane surowe2d.xlsm]labels'!U3:U36</v>
      </c>
      <c r="J12" s="14">
        <f t="array" aca="1" ref="J12" ca="1">IF(H12,MAX(0,MAX(IF(INDIRECT(I12)&lt;&gt;"",ROW(INDIRECT(I12)),""))-2),"")</f>
        <v>0</v>
      </c>
      <c r="K12" s="14" t="str">
        <f ca="1">IF($H12,IF($J12&gt;0,ADDRESS(3,(D12+1)*2-1,4,,"["&amp;wew!$G$7&amp;"]"&amp;_sheetname_labels)&amp;":"&amp;ADDRESS(2+J12,(D12+1)*2-1,4),""),"")</f>
        <v/>
      </c>
      <c r="L12" s="14" t="str">
        <f ca="1">IF($H12,IF($J12&gt;0,ADDRESS(3,(D12+1)*2,4,,"["&amp;wew!$G$7&amp;"]"&amp;_sheetname_labels)&amp;":"&amp;ADDRESS(2+J12,(D12+1)*2,4),""),"")</f>
        <v/>
      </c>
      <c r="M12" s="14">
        <f t="shared" ca="1" si="43"/>
        <v>0</v>
      </c>
      <c r="N12" s="14">
        <f t="shared" ca="1" si="44"/>
        <v>0</v>
      </c>
      <c r="O12" s="14" t="str">
        <f t="shared" ca="1" si="2"/>
        <v>num1_fix2</v>
      </c>
      <c r="P12" s="14" t="str">
        <f t="shared" ca="1" si="3"/>
        <v>Zmienna liczbowa z brakami</v>
      </c>
      <c r="Q12" s="14" t="str">
        <f ca="1">IF($H12,ADDRESS(3,D12+1,4,,"["&amp;wew!$G$7&amp;"]"&amp;_sheetname_dataframe)&amp;":"&amp;ADDRESS(2+ster!$C$14,D12+1,4),"")</f>
        <v>'[dane surowe2d.xlsm]data_frame'!K3:K12</v>
      </c>
      <c r="R12" s="14">
        <f t="array" aca="1" ref="R12" ca="1">IF(H12,SUM(IF((IFERROR(INDIRECT(Q12)&lt;&gt;"",FALSE))*(INDIRECT(ster!$D$14)&lt;&gt;""),1,0)),"")</f>
        <v>1</v>
      </c>
      <c r="S12" s="14">
        <f t="array" aca="1" ref="S12" ca="1">IF(H12,IF(M12&gt;0,SUM(IFERROR(1*(MATCH(INDIRECT(Q12),INDIRECT(K12),0)&gt;0),0)*(INDIRECT(ster!$D$14)&lt;&gt;"")*NOT(ISNUMBER(INDIRECT(Q12)))),0),"")</f>
        <v>0</v>
      </c>
      <c r="T12" s="14">
        <f t="array" aca="1" ref="T12" ca="1">IF(H12,SUM((IFERROR(INDIRECT(Q12)="",FALSE))*(INDIRECT(ster!$D$14)&lt;&gt;"")),"")</f>
        <v>8</v>
      </c>
      <c r="U12" s="14">
        <f t="array" aca="1" ref="U12" ca="1">IF(H12,SUM((IFERROR(INDIRECT(Q12)="#ąś",TRUE))*(INDIRECT(ster!$D$14)&lt;&gt;"")),"")</f>
        <v>0</v>
      </c>
      <c r="V12" s="14">
        <f t="array" aca="1" ref="V12" ca="1">IF(H12,SUM(ISNUMBER(INDIRECT(Q12))*(INDIRECT(ster!$D$14)&lt;&gt;"")),"")</f>
        <v>1</v>
      </c>
      <c r="W12" s="14">
        <f t="array" aca="1" ref="W12" ca="1">IF(AND(H12,V12&gt;0),IF(wew!$B$3,MIN(IF((INDIRECT(ster!$D$14)&lt;&gt;"")*IFERROR(INDIRECT($Q12)&lt;&gt;"",FALSE),IFERROR(INDIRECT($Q12),"X"),"X")),"&lt;włącz podświetlanie wartości&gt;"),"—")</f>
        <v>4</v>
      </c>
      <c r="X12" s="14">
        <f t="array" aca="1" ref="X12" ca="1">IF(AND(H12,V12&gt;0),IF(wew!$B$3,MAX(IF((INDIRECT(ster!$D$14)&lt;&gt;"")*IFERROR(INDIRECT($Q12)&lt;&gt;"",FALSE),IFERROR(INDIRECT($Q12),"X"),"X")),"&lt;włącz podświetlanie wartości&gt;"),"—")</f>
        <v>4</v>
      </c>
      <c r="Y12" s="14">
        <f t="shared" ca="1" si="4"/>
        <v>0</v>
      </c>
      <c r="Z12" s="12">
        <f t="shared" ca="1" si="5"/>
        <v>1</v>
      </c>
      <c r="AA12" s="17">
        <f t="array" aca="1" ref="AA12" ca="1">IF(H12,IF(V12&gt;0,SUM((INDIRECT(ster!$D$14)&lt;&gt;"")*IFERROR((INDIRECT(Q12)&lt;&gt;"")*(INDIRECT(Q12)=INT(INDIRECT(Q12))),0)),0),"")</f>
        <v>1</v>
      </c>
      <c r="AB12" s="17">
        <f t="array" aca="1" ref="AB12" ca="1">IF(H12,V12-AA12,"")</f>
        <v>0</v>
      </c>
      <c r="AC12" s="17">
        <f t="shared" ca="1" si="45"/>
        <v>1</v>
      </c>
      <c r="AD12" s="17" t="b">
        <f t="shared" ca="1" si="46"/>
        <v>0</v>
      </c>
      <c r="AE12" s="17" t="str">
        <f ca="1">IF(AD12,IF($H12,ADDRESS(3,D12+2,4,,"["&amp;wew!$G$7&amp;"]"&amp;_sheetname_dataframe)&amp;":"&amp;ADDRESS(2+ster!$C$14,D12+2,4),""),"")</f>
        <v/>
      </c>
      <c r="AF12" s="17" t="str">
        <f t="shared" ca="1" si="6"/>
        <v/>
      </c>
      <c r="AG12" s="17" t="b">
        <f t="shared" ca="1" si="7"/>
        <v>0</v>
      </c>
      <c r="AH12" s="17" t="str">
        <f ca="1">IF(AG12,IF($H12,ADDRESS(3,D12+3,4,,"["&amp;wew!$G$7&amp;"]"&amp;_sheetname_dataframe)&amp;":"&amp;ADDRESS(2+ster!$C$14,D12+3,4),""),"")</f>
        <v/>
      </c>
      <c r="AI12" s="17" t="str">
        <f t="shared" ca="1" si="8"/>
        <v/>
      </c>
      <c r="AJ12" s="17" t="b">
        <f t="shared" ca="1" si="9"/>
        <v>0</v>
      </c>
      <c r="AK12" s="17" t="b">
        <f t="shared" ca="1" si="47"/>
        <v>0</v>
      </c>
      <c r="AL12" s="17" t="b">
        <f t="shared" ca="1" si="48"/>
        <v>1</v>
      </c>
      <c r="AM12" s="17">
        <f t="shared" ca="1" si="10"/>
        <v>0</v>
      </c>
      <c r="AN12" s="24" t="str">
        <f t="shared" ca="1" si="49"/>
        <v/>
      </c>
      <c r="AO12" s="24" t="str">
        <f t="shared" ca="1" si="50"/>
        <v/>
      </c>
      <c r="AP12" s="17" t="b">
        <f t="shared" ca="1" si="13"/>
        <v>0</v>
      </c>
      <c r="AQ12" s="17" t="b">
        <f t="shared" ca="1" si="14"/>
        <v>0</v>
      </c>
      <c r="AR12" s="17" t="b">
        <f t="shared" ca="1" si="15"/>
        <v>0</v>
      </c>
      <c r="AS12" s="17" t="b">
        <f t="shared" ca="1" si="16"/>
        <v>0</v>
      </c>
      <c r="AT12" s="17" t="b">
        <f t="shared" ca="1" si="17"/>
        <v>1</v>
      </c>
      <c r="AU12" s="17" t="b">
        <f t="shared" ca="1" si="18"/>
        <v>0</v>
      </c>
      <c r="AV12" s="17" t="b">
        <f t="shared" ca="1" si="19"/>
        <v>1</v>
      </c>
      <c r="AW12" s="14" t="b">
        <f t="array" aca="1" ref="AW12" ca="1">IF(H12,N12&gt;0,"")</f>
        <v>0</v>
      </c>
      <c r="AX12" s="17" t="str">
        <f t="shared" ca="1" si="20"/>
        <v/>
      </c>
      <c r="AY12" s="17" t="str">
        <f t="array" aca="1" ref="AY12" ca="1">IF(AX12&lt;&gt;"",SUM(1*ISERROR(MATCH(INDIRECT(AX12),INDIRECT(K12),0)))=0,"")</f>
        <v/>
      </c>
      <c r="AZ12" s="17" t="b">
        <f t="shared" ca="1" si="21"/>
        <v>0</v>
      </c>
      <c r="BA12" s="17" t="str">
        <f t="shared" ca="1" si="51"/>
        <v/>
      </c>
      <c r="BB12" s="17" t="str">
        <f t="shared" ca="1" si="22"/>
        <v/>
      </c>
      <c r="BC12" s="17" t="str">
        <f t="shared" ca="1" si="23"/>
        <v/>
      </c>
      <c r="BD12" s="17" t="str">
        <f t="shared" ca="1" si="52"/>
        <v/>
      </c>
      <c r="BE12" s="17" t="str">
        <f t="shared" ca="1" si="53"/>
        <v/>
      </c>
      <c r="BF12" s="17" t="str">
        <f t="shared" ca="1" si="54"/>
        <v/>
      </c>
      <c r="BG12" s="17" t="str">
        <f t="shared" ca="1" si="55"/>
        <v/>
      </c>
      <c r="BH12" s="17" t="str">
        <f t="shared" ca="1" si="56"/>
        <v/>
      </c>
      <c r="BI12" s="17" t="b">
        <f t="shared" ca="1" si="57"/>
        <v>0</v>
      </c>
      <c r="BJ12" s="17" t="b">
        <f t="shared" ca="1" si="24"/>
        <v>1</v>
      </c>
      <c r="BK12" s="17" t="b">
        <f t="shared" ca="1" si="25"/>
        <v>0</v>
      </c>
      <c r="BL12" s="17" t="str">
        <f t="shared" ca="1" si="26"/>
        <v>I</v>
      </c>
      <c r="BM12" s="17" t="str">
        <f t="shared" ca="1" si="27"/>
        <v>I</v>
      </c>
      <c r="BN12" s="17" t="str">
        <f t="shared" ca="1" si="28"/>
        <v>I</v>
      </c>
      <c r="BO12" s="14" t="b">
        <f t="shared" ca="1" si="29"/>
        <v>1</v>
      </c>
      <c r="BP12" s="15">
        <v>1</v>
      </c>
      <c r="BQ12" s="14"/>
      <c r="BS12" s="14" t="s">
        <v>388</v>
      </c>
      <c r="BV12" s="16"/>
      <c r="BW12" s="16"/>
      <c r="BX12" s="16"/>
      <c r="BY12" s="16"/>
      <c r="BZ12" s="16"/>
      <c r="CA12" s="16"/>
      <c r="CB12" s="16"/>
      <c r="CC12" s="16"/>
      <c r="CD12" s="16"/>
      <c r="CE12" s="14"/>
      <c r="CF12" s="14"/>
      <c r="CG12" s="14"/>
      <c r="CH12" s="14"/>
      <c r="CI12" s="14"/>
      <c r="CJ12" s="14"/>
      <c r="CK12" s="14"/>
      <c r="CL12" s="14">
        <f ca="1">IF(H12,IFERROR(IsVariableNameLegal(O12),0),0)</f>
        <v>0</v>
      </c>
      <c r="CM12" s="14" t="str">
        <f t="array" aca="1" ref="CM12" ca="1">IF(H12,IF(COUNTIF(INDIRECT(wew!$C$13),O12)&gt;1,TRIM(SUBSTITUTE(_xll.MCONCAT(IF((INDIRECT(wew!$C$13)=O12)*(COLUMN(INDIRECT(wew!$C$13))&lt;&gt;D12+1),-1+COLUMN(INDIRECT(wew!$C$13)),"")," "),"  "," ")),""),"")</f>
        <v/>
      </c>
      <c r="CN12" s="14" t="str">
        <f t="array" aca="1" ref="CN12" ca="1">IF(P12&lt;&gt;"",IF(LEN(P12)&gt;150,1,""),"")</f>
        <v/>
      </c>
      <c r="CO12" s="14" t="str">
        <f t="array" aca="1" ref="CO12" ca="1">IF(AND(H12,NOT(ster!$J$3)),IF(COUNTIF(INDIRECT(wew!$C$15),P12)&gt;1,TRIM(SUBSTITUTE(_xll.MCONCAT(IF((INDIRECT(wew!$C$15)=P12)*(COLUMN(INDIRECT(wew!$C$15))&lt;&gt;D12+1),-1+COLUMN(INDIRECT(wew!$C$15)),"")," "),"  "," ")),""),"")</f>
        <v/>
      </c>
      <c r="CP12" s="14" t="str">
        <f t="array" aca="1" ref="CP12" ca="1">IF(H12,IF(AND(V12&gt;0,AN12&lt;&gt;""),TRIM(SUBSTITUTE(_xll.MCONCAT(IFERROR(IF(ISNUMBER(INDIRECT(Q12)),IF((INDIRECT(ster!$D$14)&lt;&gt;"")*(INDIRECT(Q12)&lt;AN12),INDIRECT(ster!$D$14) &amp; ": " &amp;  SUBSTITUTE(IF( AU12,IFERROR(TEXT(INDIRECT(Q12),"rrrr-mm-dd") &amp;" (" &amp; INDIRECT(Q12) &amp;")",INDIRECT(Q12)),INDIRECT(Q12))," "," "),""),""),"")," "),"  "," ")),""),"")</f>
        <v/>
      </c>
      <c r="CQ12" s="14" t="str">
        <f t="array" aca="1" ref="CQ12" ca="1">IF(H12,IF(AND(V12&gt;0,AO12&lt;&gt;""),TRIM(SUBSTITUTE(_xll.MCONCAT(IFERROR(IF(ISNUMBER(INDIRECT(Q12)),IF((INDIRECT(ster!$D$14)&lt;&gt;"")*(INDIRECT(Q12)&gt;AO12),INDIRECT(ster!$D$14) &amp; ": " &amp;  SUBSTITUTE(IF( AU12,IFERROR(TEXT(INDIRECT(Q12),"rrrr-mm-dd")&amp;" (" &amp; INDIRECT(Q12) &amp;")",INDIRECT(Q12)),INDIRECT(Q12))," "," "),""),""),"")," "),"  "," ")),""),"")</f>
        <v/>
      </c>
      <c r="CR12" s="14" t="str">
        <f t="array" aca="1" ref="CR12" ca="1">IF(H12,IF(AND(N12&gt;0,AQ12),TRIM(SUBSTITUTE(_xll.MCONCAT(IFERROR(IF(ISNUMBER(INDIRECT(Q12)),IF((INDIRECT(ster!$D$14)&lt;&gt;"")*(IFERROR(0*(MATCH(INDIRECT(Q12),INDIRECT(K12),0)&gt;0),1)),INDIRECT(ster!$D$14) &amp; ": " &amp;  SUBSTITUTE(IF( AU12,IFERROR(TEXT(INDIRECT(Q12),"rrrr-mm-dd")&amp;" (" &amp; INDIRECT(Q12) &amp;")",INDIRECT(Q12)),INDIRECT(Q12))," "," "),""),""),"")," "),"  "," ")),""),"")</f>
        <v/>
      </c>
      <c r="CS12" s="14" t="str">
        <f t="array" aca="1" ref="CS12" ca="1">IF(H12,IF(AND(U12&gt;0),TRIM(SUBSTITUTE(_xll.MCONCAT(IF((INDIRECT(ster!$D$14)&lt;&gt;"")*(IFERROR(0*(INDIRECT(Q12)&lt;&gt;""),1)),INDIRECT(ster!$D$14),"")," "),"  "," ")),""),"")</f>
        <v/>
      </c>
      <c r="CT12" s="14" t="str">
        <f t="array" aca="1" ref="CT12" ca="1">IF(H12,IF(AR12,
TRIM(SUBSTITUTE(_xll.MCONCAT(IF(
   (INDIRECT(ster!$D$14)&lt;&gt;"")*
   ((INDIRECT(Q12)="")+
      NOT(ISNUMBER(INDIRECT(Q12)))*
      NOT(ISERROR(MATCH(INDIRECT(Q12),INDIRECT(K12),0)))
    ),
      INDIRECT(ster!$D$14),
   "")," "),"  "," ")),
""),"")</f>
        <v/>
      </c>
      <c r="CU12" s="14" t="str">
        <f t="array" aca="1" ref="CU12" ca="1">IF(H12,IF(AND(AP12),TRIM(SUBSTITUTE(_xll.MCONCAT(IFERROR(IF(ISNUMBER(INDIRECT(Q12)),IF((INDIRECT(ster!$D$14)&lt;&gt;"")*(INDIRECT(Q12)&lt;&gt;INT(INDIRECT(Q12))),INDIRECT(ster!$D$14) &amp; ": " &amp; INDIRECT(Q12),""),""),"")," "),"  "," ")),""),"")</f>
        <v/>
      </c>
      <c r="CV12" s="14" t="str">
        <f t="array" aca="1" ref="CV12" ca="1">IF(H12,IF(OR(AT12,AU12),TRIM(SUBSTITUTE(_xll.MCONCAT(IF((INDIRECT(ster!$D$14)&lt;&gt;"")*NOT(ISNUMBER(INDIRECT(Q12))),IF(ISERROR(MATCH(INDIRECT(Q12),INDIRECT(K12),0)),IFERROR(IF(INDIRECT(Q12)&lt;&gt;"",INDIRECT(ster!$D$14) &amp; ": " &amp; SUBSTITUTE(INDIRECT(Q12)," "," "),""),""),""),"")," "),"  "," ")),""),"")</f>
        <v/>
      </c>
      <c r="CW12" s="14" t="str">
        <f t="array" aca="1" ref="CW12" ca="1">IF(H12,IF(AD12,TRIM(SUBSTITUTE(_xll.MCONCAT(IF((INDIRECT(ster!$D$14)&lt;&gt;"")*IFERROR(NOT(INDIRECT(AE12)),FALSE),IF(ISERROR(MATCH(INDIRECT(Q12),INDIRECT(K12),0)),IFERROR(IF(INDIRECT(Q12)&lt;&gt;"",INDIRECT(ster!$D$14) &amp; ": " &amp;  SUBSTITUTE(IF( AU12,IFERROR(TEXT(INDIRECT(Q12),"rrrr-mm-dd")&amp;" (" &amp; INDIRECT(Q12) &amp;")",INDIRECT(Q12)),INDIRECT(Q12))," "," "),""),""),""),"")," "),"  "," ")),""),"")</f>
        <v/>
      </c>
      <c r="CX12" s="14" t="str">
        <f t="array" aca="1" ref="CX12" ca="1">IF(H12,IF(AG12,TRIM(SUBSTITUTE(_xll.MCONCAT(IF((INDIRECT(ster!$D$14)&lt;&gt;"")*IFERROR(NOT(INDIRECT(AH12)),FALSE),IF(ISERROR(MATCH(INDIRECT(Q12),INDIRECT(K12),0)),IFERROR(IF(INDIRECT(Q12)&lt;&gt;"",INDIRECT(ster!$D$14) &amp; ": " &amp;  SUBSTITUTE(IF( AU12,IFERROR(TEXT(INDIRECT(Q12),"rrrr-mm-dd")&amp;" (" &amp; INDIRECT(Q12) &amp;")",INDIRECT(Q12)),INDIRECT(Q12))," "," "),""),""),""),"")," "),"  "," ")),""),"")</f>
        <v/>
      </c>
      <c r="CY12" s="14"/>
      <c r="CZ12" s="14"/>
      <c r="DA12" s="14" t="str">
        <f ca="1">SUBSTITUTE(SUBSTITUTE(SUBSTITUTE(SUBSTITUTE(_xll.MCONCAT(DE12:DQ12,"■"),"■■","■"),"■■","■"),"■■","■"),"■■","■")</f>
        <v>■</v>
      </c>
      <c r="DB12" s="14" t="str">
        <f t="shared" ca="1" si="58"/>
        <v/>
      </c>
      <c r="DC12" s="14" t="str">
        <f t="shared" ca="1" si="59"/>
        <v/>
      </c>
      <c r="DD12" s="14" t="str">
        <f t="shared" ca="1" si="60"/>
        <v/>
      </c>
      <c r="DE12" s="14" t="str">
        <f t="shared" ca="1" si="61"/>
        <v/>
      </c>
      <c r="DF12" s="14" t="str">
        <f t="shared" ca="1" si="62"/>
        <v/>
      </c>
      <c r="DG12" s="14" t="str">
        <f t="shared" ca="1" si="63"/>
        <v/>
      </c>
      <c r="DH12" s="14" t="str">
        <f t="shared" ca="1" si="64"/>
        <v/>
      </c>
      <c r="DI12" s="14" t="str">
        <f t="shared" ca="1" si="65"/>
        <v/>
      </c>
      <c r="DJ12" s="14" t="str">
        <f t="shared" ca="1" si="66"/>
        <v/>
      </c>
      <c r="DK12" s="14" t="str">
        <f t="shared" ca="1" si="67"/>
        <v/>
      </c>
      <c r="DL12" s="14" t="str">
        <f t="array" aca="1" ref="DL12" ca="1">IF(CS12&lt;&gt;"","There are errors in the entered values in the following cases: " &amp;SUBSTITUTE(CS12," ",", "),"")</f>
        <v/>
      </c>
      <c r="DM12" s="14" t="str">
        <f t="shared" ca="1" si="68"/>
        <v/>
      </c>
      <c r="DN12" s="14" t="str">
        <f t="shared" ca="1" si="69"/>
        <v/>
      </c>
      <c r="DO12" s="14" t="str">
        <f t="shared" ca="1" si="70"/>
        <v/>
      </c>
      <c r="DP12" s="14" t="str">
        <f t="shared" ca="1" si="30"/>
        <v/>
      </c>
      <c r="DQ12" s="14" t="str">
        <f t="shared" ca="1" si="31"/>
        <v/>
      </c>
      <c r="DX12" s="14" t="b">
        <f t="shared" ca="1" si="71"/>
        <v>0</v>
      </c>
      <c r="DY12" s="14" t="str">
        <f t="shared" ca="1" si="32"/>
        <v>Zmienna liczbowa z brakami (num1_fix2)</v>
      </c>
      <c r="DZ12" s="14" t="str">
        <f t="shared" ca="1" si="72"/>
        <v xml:space="preserve">Values must be numeric. </v>
      </c>
      <c r="EA12" s="14" t="str">
        <f t="shared" ca="1" si="33"/>
        <v xml:space="preserve">Zmienna liczbowa z brakami (num1_fix2): Values must be numeric. </v>
      </c>
      <c r="EB12" s="14" t="str">
        <f t="shared" ca="1" si="34"/>
        <v/>
      </c>
      <c r="EC12" s="14" t="str">
        <f t="shared" ca="1" si="35"/>
        <v>Values must be numeric</v>
      </c>
      <c r="ED12" s="14" t="str">
        <f t="shared" ca="1" si="73"/>
        <v/>
      </c>
      <c r="EE12" s="14" t="str">
        <f t="shared" ca="1" si="74"/>
        <v/>
      </c>
      <c r="EK12" s="14" t="b">
        <f t="shared" ca="1" si="75"/>
        <v>1</v>
      </c>
      <c r="EL12" s="14">
        <f t="shared" ca="1" si="36"/>
        <v>9</v>
      </c>
      <c r="EM12" s="14" t="str">
        <f t="shared" ca="1" si="37"/>
        <v>num1_fix2</v>
      </c>
      <c r="EN12" s="14" t="str">
        <f t="shared" ca="1" si="76"/>
        <v xml:space="preserve">Zmienna liczbowa z brakami (num1_fix2): Values must be numeric. </v>
      </c>
      <c r="EO12" s="14" t="str">
        <f t="shared" ca="1" si="77"/>
        <v/>
      </c>
    </row>
    <row r="13" spans="1:145" s="14" customFormat="1">
      <c r="B13" s="14" t="str">
        <f t="shared" ref="B13:B24" ca="1" si="78">DD13</f>
        <v>The following cases have values below declared theorethical min: VIE1: -32, LAB3: -10. The following cases have values above declared theorethical max: WAW1: 43, WAW2: 52, JAN2: 10</v>
      </c>
      <c r="C13" s="14">
        <f t="shared" ref="C13:C24" ca="1" si="79">IF(OFFSET(B13,-1,COLUMN(VariableExists)-2),OFFSET(B13,-1,1)+1,OFFSET(B13,-1,1))</f>
        <v>10</v>
      </c>
      <c r="D13" s="14">
        <f t="shared" ref="D13:D24" si="80">ROW(A13)-2</f>
        <v>11</v>
      </c>
      <c r="E13" s="14" t="str">
        <f t="shared" ref="E13:E24" ca="1" si="81">IF(OR(G13="",ROW(G13)=2),"",IF(Y13&gt;0,"S",IF(AW13,IF(J13=2,"D","N"),"I")))</f>
        <v>I</v>
      </c>
      <c r="F13" s="14" t="str">
        <f t="shared" ref="F13:F24" ca="1" si="82">IF(H13,O13,"")</f>
        <v>num_maxmin</v>
      </c>
      <c r="G13" s="14" t="str">
        <f t="shared" ref="G13:G24" ca="1" si="83">IF(H13,P13,"")</f>
        <v>Zmienna z max i min teor</v>
      </c>
      <c r="H13" s="14" t="b">
        <f t="shared" ref="H13:H24" ca="1" si="84">IF(INDIRECT(ADDRESS(2,D13+1,,,_sheetname_dataframe))="",FALSE,MID(INDIRECT(ADDRESS(2,D13+1,,,_sheetname_dataframe)),1,1)&lt;&gt;".")</f>
        <v>1</v>
      </c>
      <c r="I13" s="14" t="str">
        <f ca="1">IF($H13,ADDRESS(3,(D13+1)*2-1,4,,"["&amp;wew!$G$7&amp;"]"&amp;_sheetname_labels)&amp;":"&amp;ADDRESS(2+ster!$B$20,(D13+1)*2-1,4),"")</f>
        <v>'[dane surowe2d.xlsm]labels'!W3:W36</v>
      </c>
      <c r="J13" s="14">
        <f t="array" aca="1" ref="J13" ca="1">IF(H13,MAX(0,MAX(IF(INDIRECT(I13)&lt;&gt;"",ROW(INDIRECT(I13)),""))-2),"")</f>
        <v>0</v>
      </c>
      <c r="K13" s="14" t="str">
        <f ca="1">IF($H13,IF($J13&gt;0,ADDRESS(3,(D13+1)*2-1,4,,"["&amp;wew!$G$7&amp;"]"&amp;_sheetname_labels)&amp;":"&amp;ADDRESS(2+J13,(D13+1)*2-1,4),""),"")</f>
        <v/>
      </c>
      <c r="L13" s="14" t="str">
        <f ca="1">IF($H13,IF($J13&gt;0,ADDRESS(3,(D13+1)*2,4,,"["&amp;wew!$G$7&amp;"]"&amp;_sheetname_labels)&amp;":"&amp;ADDRESS(2+J13,(D13+1)*2,4),""),"")</f>
        <v/>
      </c>
      <c r="M13" s="14">
        <f t="shared" ref="M13:M24" ca="1" si="85">IF($H13,IF(J13&gt;0,COUNTA(INDIRECT(K13))-COUNT(INDIRECT(K13)),0),"")</f>
        <v>0</v>
      </c>
      <c r="N13" s="14">
        <f t="shared" ref="N13:N24" ca="1" si="86">IF(H13,J13-M13,"")</f>
        <v>0</v>
      </c>
      <c r="O13" s="14" t="str">
        <f t="shared" ref="O13:O24" ca="1" si="87">IF(INDIRECT(ADDRESS(2,D13+1,,,_sheetname_dataframe))="","",INDIRECT(ADDRESS(2,D13+1,,,_sheetname_dataframe)))</f>
        <v>num_maxmin</v>
      </c>
      <c r="P13" s="14" t="str">
        <f t="shared" ref="P13:P24" ca="1" si="88">IF(H13,IF(INDIRECT(ADDRESS(1,D13+1,,,_sheetname_dataframe))="","",INDIRECT(ADDRESS(1,D13+1,,,_sheetname_dataframe))),"")</f>
        <v>Zmienna z max i min teor</v>
      </c>
      <c r="Q13" s="14" t="str">
        <f ca="1">IF($H13,ADDRESS(3,D13+1,4,,"["&amp;wew!$G$7&amp;"]"&amp;_sheetname_dataframe)&amp;":"&amp;ADDRESS(2+ster!$C$14,D13+1,4),"")</f>
        <v>'[dane surowe2d.xlsm]data_frame'!L3:L12</v>
      </c>
      <c r="R13" s="14">
        <f t="array" aca="1" ref="R13" ca="1">IF(H13,SUM(IF((IFERROR(INDIRECT(Q13)&lt;&gt;"",FALSE))*(INDIRECT(ster!$D$14)&lt;&gt;""),1,0)),"")</f>
        <v>9</v>
      </c>
      <c r="S13" s="14">
        <f t="array" aca="1" ref="S13" ca="1">IF(H13,IF(M13&gt;0,SUM(IFERROR(1*(MATCH(INDIRECT(Q13),INDIRECT(K13),0)&gt;0),0)*(INDIRECT(ster!$D$14)&lt;&gt;"")*NOT(ISNUMBER(INDIRECT(Q13)))),0),"")</f>
        <v>0</v>
      </c>
      <c r="T13" s="14">
        <f t="array" aca="1" ref="T13" ca="1">IF(H13,SUM((IFERROR(INDIRECT(Q13)="",FALSE))*(INDIRECT(ster!$D$14)&lt;&gt;"")),"")</f>
        <v>0</v>
      </c>
      <c r="U13" s="14">
        <f t="array" aca="1" ref="U13" ca="1">IF(H13,SUM((IFERROR(INDIRECT(Q13)="#ąś",TRUE))*(INDIRECT(ster!$D$14)&lt;&gt;"")),"")</f>
        <v>0</v>
      </c>
      <c r="V13" s="14">
        <f t="array" aca="1" ref="V13" ca="1">IF(H13,SUM(ISNUMBER(INDIRECT(Q13))*(INDIRECT(ster!$D$14)&lt;&gt;"")),"")</f>
        <v>9</v>
      </c>
      <c r="W13" s="14">
        <f t="array" aca="1" ref="W13" ca="1">IF(AND(H13,V13&gt;0),IF(wew!$B$3,MIN(IF((INDIRECT(ster!$D$14)&lt;&gt;"")*IFERROR(INDIRECT($Q13)&lt;&gt;"",FALSE),IFERROR(INDIRECT($Q13),"X"),"X")),"&lt;włącz podświetlanie wartości&gt;"),"—")</f>
        <v>-32</v>
      </c>
      <c r="X13" s="14">
        <f t="array" aca="1" ref="X13" ca="1">IF(AND(H13,V13&gt;0),IF(wew!$B$3,MAX(IF((INDIRECT(ster!$D$14)&lt;&gt;"")*IFERROR(INDIRECT($Q13)&lt;&gt;"",FALSE),IFERROR(INDIRECT($Q13),"X"),"X")),"&lt;włącz podświetlanie wartości&gt;"),"—")</f>
        <v>52</v>
      </c>
      <c r="Y13" s="14">
        <f t="shared" ref="Y13:Y24" ca="1" si="89">IF(H13,R13-S13-V13,"")</f>
        <v>0</v>
      </c>
      <c r="Z13" s="12">
        <f t="shared" ref="Z13:Z24" ca="1" si="90">IF(H13,IF(R13&gt;0,V13/(R13),"—"),"")</f>
        <v>1</v>
      </c>
      <c r="AA13" s="17">
        <f t="array" aca="1" ref="AA13" ca="1">IF(H13,IF(V13&gt;0,SUM((INDIRECT(ster!$D$14)&lt;&gt;"")*IFERROR((INDIRECT(Q13)&lt;&gt;"")*(INDIRECT(Q13)=INT(INDIRECT(Q13))),0)),0),"")</f>
        <v>9</v>
      </c>
      <c r="AB13" s="17">
        <f t="array" aca="1" ref="AB13" ca="1">IF(H13,V13-AA13,"")</f>
        <v>0</v>
      </c>
      <c r="AC13" s="17">
        <f t="shared" ref="AC13:AC24" ca="1" si="91">IF($H13,IF(AB13&lt;&gt;"",IF(AB13=0,1,IF(AB13/V13&lt;0.15,2,3)),0),"")</f>
        <v>1</v>
      </c>
      <c r="AD13" s="17" t="b">
        <f t="shared" ref="AD13:AD24" ca="1" si="92">IF(H13,OFFSET(O13,1,0)=".validation",FALSE)</f>
        <v>0</v>
      </c>
      <c r="AE13" s="17" t="str">
        <f ca="1">IF(AD13,IF($H13,ADDRESS(3,D13+2,4,,"["&amp;wew!$G$7&amp;"]"&amp;_sheetname_dataframe)&amp;":"&amp;ADDRESS(2+ster!$C$14,D13+2,4),""),"")</f>
        <v/>
      </c>
      <c r="AF13" s="17" t="str">
        <f t="shared" ref="AF13:AF24" ca="1" si="93">IF(AD13,IF($H13,IF(INDIRECT(ADDRESS(1,D13+2,,,_sheetname_dataframe))="","",INDIRECT(ADDRESS(1,D13+2,,,_sheetname_dataframe))),""),"")</f>
        <v/>
      </c>
      <c r="AG13" s="17" t="b">
        <f t="shared" ref="AG13:AG24" ca="1" si="94">IF(H13,AND(AD13,OFFSET(O13,2,0)=".validation"),FALSE)</f>
        <v>0</v>
      </c>
      <c r="AH13" s="17" t="str">
        <f ca="1">IF(AG13,IF($H13,ADDRESS(3,D13+3,4,,"["&amp;wew!$G$7&amp;"]"&amp;_sheetname_dataframe)&amp;":"&amp;ADDRESS(2+ster!$C$14,D13+3,4),""),"")</f>
        <v/>
      </c>
      <c r="AI13" s="17" t="str">
        <f t="shared" ref="AI13:AI24" ca="1" si="95">IF(AG13,IF($H13,IF(INDIRECT(ADDRESS(1,D13+3,,,_sheetname_dataframe))="","",INDIRECT(ADDRESS(1,D13+3,,,_sheetname_dataframe))),""),"")</f>
        <v/>
      </c>
      <c r="AJ13" s="17" t="b">
        <f t="shared" ref="AJ13:AJ24" ca="1" si="96">IF(H13,OR(AP13,AC13=2),"")</f>
        <v>0</v>
      </c>
      <c r="AK13" s="17" t="b">
        <f t="shared" ref="AK13:AK24" ca="1" si="97">IF($H13,IF(BT13&lt;&gt;"",IF(OR(BL13="F",BL13="L",BL13="I",BL13="D"),BT13&lt;&gt;0)),"")</f>
        <v>0</v>
      </c>
      <c r="AL13" s="17" t="b">
        <f t="shared" ref="AL13:AL24" ca="1" si="98">IF($H13,AND(NOT(AK13),OR(IF(BU13&lt;&gt;"",IF(OR(BL13="F",BL13="L"),BU13&lt;&gt;0)),BL13="I",BL13="N",BL13="D")),"")</f>
        <v>1</v>
      </c>
      <c r="AM13" s="17">
        <f t="shared" ref="AM13:AM24" ca="1" si="99">IF(COUNTA(INDIRECT(Q13))=0,0, IF(AND(AN13&lt;&gt;"",W13&lt;AN13),1,IF(AND(AO13&lt;&gt;"",X13&gt;AO13),1,IF(AND(AP13,AB13&gt;0),2,0))))</f>
        <v>1</v>
      </c>
      <c r="AN13" s="24">
        <f t="shared" ref="AN13:AN24" ca="1" si="100">IF($H13,IF(BW13&lt;&gt;"",IF(ISNUMBER(BW13),BW13,""),""),"")</f>
        <v>1</v>
      </c>
      <c r="AO13" s="24">
        <f t="shared" ref="AO13:AO24" ca="1" si="101">IF($H13,IF(BX13&lt;&gt;"",IF(ISNUMBER(BX13),BX13,""),""),"")</f>
        <v>6</v>
      </c>
      <c r="AP13" s="17" t="b">
        <f t="shared" ref="AP13:AP24" ca="1" si="102">IF(H13,IF(BY13&lt;&gt;"",BY13&lt;&gt;0,FALSE),"")</f>
        <v>0</v>
      </c>
      <c r="AQ13" s="17" t="b">
        <f t="shared" ref="AQ13:AQ24" ca="1" si="103">IF(H13,IF(N13&gt;0,IF(BP13&lt;&gt;"",BP13&lt;&gt;0,FALSE),FALSE),"")</f>
        <v>0</v>
      </c>
      <c r="AR13" s="17" t="b">
        <f t="shared" ref="AR13:AR24" ca="1" si="104">IF(H13,IF(BQ13&lt;&gt;"",BQ13&lt;&gt;0,FALSE),"")</f>
        <v>0</v>
      </c>
      <c r="AS13" s="17" t="b">
        <f t="shared" ref="AS13:AS24" ca="1" si="105">IF(H13,IF(N13&gt;0,FALSE,IF(BS13&lt;&gt;"",MATCH(BS13,DataType,0)=1,FALSE)),"")</f>
        <v>0</v>
      </c>
      <c r="AT13" s="17" t="b">
        <f t="shared" ref="AT13:AT24" ca="1" si="106">IF(H13,IF(N13&gt;0,TRUE,IF(BS13&lt;&gt;"",MATCH(BS13,DataType,0)=2,FALSE)),"")</f>
        <v>1</v>
      </c>
      <c r="AU13" s="17" t="b">
        <f t="shared" ref="AU13:AU24" ca="1" si="107">IF(H13,IF(N13&gt;0,FALSE,IF(BS13&lt;&gt;"",MATCH(BS13,DataType,0)=3,FALSE)),"")</f>
        <v>0</v>
      </c>
      <c r="AV13" s="17" t="b">
        <f t="shared" ref="AV13:AV24" ca="1" si="108">IF(H13,IF(V13&gt;0,Y13=0,FALSE),"")</f>
        <v>1</v>
      </c>
      <c r="AW13" s="14" t="b">
        <f t="array" aca="1" ref="AW13" ca="1">IF(H13,N13&gt;0,"")</f>
        <v>0</v>
      </c>
      <c r="AX13" s="17" t="str">
        <f t="shared" ca="1" si="20"/>
        <v/>
      </c>
      <c r="AY13" s="17" t="str">
        <f t="array" aca="1" ref="AY13" ca="1">IF(AX13&lt;&gt;"",SUM(1*ISERROR(MATCH(INDIRECT(AX13),INDIRECT(K13),0)))=0,"")</f>
        <v/>
      </c>
      <c r="AZ13" s="17" t="b">
        <f t="shared" ref="AZ13:AZ24" ca="1" si="109">IF(H13,BS13="",FALSE)</f>
        <v>0</v>
      </c>
      <c r="BA13" s="17" t="str">
        <f t="shared" ref="BA13:BA24" ca="1" si="110">IF(AZ13,R13=0,"")</f>
        <v/>
      </c>
      <c r="BB13" s="17" t="str">
        <f t="shared" ref="BB13:BB24" ca="1" si="111">IF(AZ13,IF(N13&gt;0,AND(AY13,Y13=0),FALSE),"")</f>
        <v/>
      </c>
      <c r="BC13" s="17" t="str">
        <f t="shared" ref="BC13:BC24" ca="1" si="112">IF(AZ13,IF(N13&gt;0,AND(NOT(AY13),Y13=0),FALSE),"")</f>
        <v/>
      </c>
      <c r="BD13" s="17" t="str">
        <f t="shared" ref="BD13:BD24" ca="1" si="113">IF(AZ13,IF(AND(AV13,NOT(BA13),NOT(BB13),NOT(BC13)),AND(Y13=0,AB13=0),FALSE),"")</f>
        <v/>
      </c>
      <c r="BE13" s="17" t="str">
        <f t="shared" ref="BE13:BE24" ca="1" si="114">IF(AZ13,IF(AND(AV13,NOT(BA13),NOT(BB13),NOT(BC13)),AND(Y13=0,OR(AB13&gt;0)),FALSE),"")</f>
        <v/>
      </c>
      <c r="BF13" s="17" t="str">
        <f t="shared" ref="BF13:BF24" ca="1" si="115">IF(AZ13,IF(OR(BA13:BE13),FALSE,IF(Y13=0,FALSE,Y13&gt;0)),"")</f>
        <v/>
      </c>
      <c r="BG13" s="17" t="str">
        <f t="shared" ref="BG13:BG24" ca="1" si="116">IF(AZ13,COUNTIF(BA13:BF13,TRUE)=1,"")</f>
        <v/>
      </c>
      <c r="BH13" s="17" t="str">
        <f t="shared" ref="BH13:BH19" ca="1" si="117">IF(AZ13,IFERROR(MATCH(TRUE,BA13:BF13,0),7),"")</f>
        <v/>
      </c>
      <c r="BI13" s="17" t="b">
        <f t="shared" ref="BI13:BI24" ca="1" si="118">DD13&lt;&gt;""</f>
        <v>1</v>
      </c>
      <c r="BJ13" s="17" t="b">
        <f t="shared" ref="BJ13:BJ24" ca="1" si="119">IF(H13,IF(AND(NOT(AZ13),AT13),AB13=0,""),"")</f>
        <v>1</v>
      </c>
      <c r="BK13" s="17" t="b">
        <f t="shared" ref="BK13:BK24" ca="1" si="120">IF(H13,IF(AND(NOT(AZ13),AT13),AB13&gt;0,""),"")</f>
        <v>0</v>
      </c>
      <c r="BL13" s="17" t="str">
        <f t="shared" ref="BL13:BL24" ca="1" si="121">IF(H13,IF(AZ13,CHOOSE(BH13,"0","F","L","I","N",IF(Z13&gt;0.5,"N","S"),"0"),CHOOSE(MATCH(BS13,DataType,0),"S",IF(BJ13,"I","N"),"D"  )),"")</f>
        <v>I</v>
      </c>
      <c r="BM13" s="17" t="str">
        <f t="shared" ref="BM13:BM24" ca="1" si="122">IF(H13,IF(BI13,"E",IF(AZ13,CHOOSE(BH13,"0","F","L","I","N","S","0"),CHOOSE(MATCH(BS13,DataType,0),"S",IF(BJ13,"I","N"),"D"  ))),"")</f>
        <v>E</v>
      </c>
      <c r="BN13" s="17" t="str">
        <f t="shared" ref="BN13:BN24" ca="1" si="123">IF($H13,IF(BL13="0","",IF(AND(AQ13,N13=2),"D",IF(BL13="S","N",IF(AK13,"O",IF(AL13,"I","N"))))),"")</f>
        <v>I</v>
      </c>
      <c r="BO13" s="14" t="b">
        <f t="shared" ref="BO13:BO24" ca="1" si="124">INDIRECT(ADDRESS(2,ROW(A13)-1,,,_sheetname_dataframe))&lt;&gt;""</f>
        <v>1</v>
      </c>
      <c r="BP13" s="15">
        <v>1</v>
      </c>
      <c r="BS13" s="14" t="s">
        <v>388</v>
      </c>
      <c r="BV13" s="16"/>
      <c r="BW13" s="16">
        <v>1</v>
      </c>
      <c r="BX13" s="16">
        <v>6</v>
      </c>
      <c r="BY13" s="16"/>
      <c r="BZ13" s="16"/>
      <c r="CA13" s="16"/>
      <c r="CB13" s="16"/>
      <c r="CC13" s="16"/>
      <c r="CD13" s="16"/>
      <c r="CL13" s="14">
        <f ca="1">IF(H13,IFERROR(IsVariableNameLegal(O13),0),0)</f>
        <v>0</v>
      </c>
      <c r="CM13" s="14" t="str">
        <f t="array" aca="1" ref="CM13" ca="1">IF(H13,IF(COUNTIF(INDIRECT(wew!$C$13),O13)&gt;1,TRIM(SUBSTITUTE(_xll.MCONCAT(IF((INDIRECT(wew!$C$13)=O13)*(COLUMN(INDIRECT(wew!$C$13))&lt;&gt;D13+1),-1+COLUMN(INDIRECT(wew!$C$13)),"")," "),"  "," ")),""),"")</f>
        <v/>
      </c>
      <c r="CN13" s="14" t="str">
        <f t="array" aca="1" ref="CN13" ca="1">IF(P13&lt;&gt;"",IF(LEN(P13)&gt;150,1,""),"")</f>
        <v/>
      </c>
      <c r="CO13" s="14" t="str">
        <f t="array" aca="1" ref="CO13" ca="1">IF(AND(H13,NOT(ster!$J$3)),IF(COUNTIF(INDIRECT(wew!$C$15),P13)&gt;1,TRIM(SUBSTITUTE(_xll.MCONCAT(IF((INDIRECT(wew!$C$15)=P13)*(COLUMN(INDIRECT(wew!$C$15))&lt;&gt;D13+1),-1+COLUMN(INDIRECT(wew!$C$15)),"")," "),"  "," ")),""),"")</f>
        <v/>
      </c>
      <c r="CP13" s="14" t="str">
        <f t="array" aca="1" ref="CP13" ca="1">IF(H13,IF(AND(V13&gt;0,AN13&lt;&gt;""),TRIM(SUBSTITUTE(_xll.MCONCAT(IFERROR(IF(ISNUMBER(INDIRECT(Q13)),IF((INDIRECT(ster!$D$14)&lt;&gt;"")*(INDIRECT(Q13)&lt;AN13),INDIRECT(ster!$D$14) &amp; ": " &amp;  SUBSTITUTE(IF( AU13,IFERROR(TEXT(INDIRECT(Q13),"rrrr-mm-dd") &amp;" (" &amp; INDIRECT(Q13) &amp;")",INDIRECT(Q13)),INDIRECT(Q13))," "," "),""),""),"")," "),"  "," ")),""),"")</f>
        <v>VIE1: -32 LAB3: -10</v>
      </c>
      <c r="CQ13" s="14" t="str">
        <f t="array" aca="1" ref="CQ13" ca="1">IF(H13,IF(AND(V13&gt;0,AO13&lt;&gt;""),TRIM(SUBSTITUTE(_xll.MCONCAT(IFERROR(IF(ISNUMBER(INDIRECT(Q13)),IF((INDIRECT(ster!$D$14)&lt;&gt;"")*(INDIRECT(Q13)&gt;AO13),INDIRECT(ster!$D$14) &amp; ": " &amp;  SUBSTITUTE(IF( AU13,IFERROR(TEXT(INDIRECT(Q13),"rrrr-mm-dd")&amp;" (" &amp; INDIRECT(Q13) &amp;")",INDIRECT(Q13)),INDIRECT(Q13))," "," "),""),""),"")," "),"  "," ")),""),"")</f>
        <v>WAW1: 43 WAW2: 52 JAN2: 10</v>
      </c>
      <c r="CR13" s="14" t="str">
        <f t="array" aca="1" ref="CR13" ca="1">IF(H13,IF(AND(N13&gt;0,AQ13),TRIM(SUBSTITUTE(_xll.MCONCAT(IFERROR(IF(ISNUMBER(INDIRECT(Q13)),IF((INDIRECT(ster!$D$14)&lt;&gt;"")*(IFERROR(0*(MATCH(INDIRECT(Q13),INDIRECT(K13),0)&gt;0),1)),INDIRECT(ster!$D$14) &amp; ": " &amp;  SUBSTITUTE(IF( AU13,IFERROR(TEXT(INDIRECT(Q13),"rrrr-mm-dd")&amp;" (" &amp; INDIRECT(Q13) &amp;")",INDIRECT(Q13)),INDIRECT(Q13))," "," "),""),""),"")," "),"  "," ")),""),"")</f>
        <v/>
      </c>
      <c r="CS13" s="14" t="str">
        <f t="array" aca="1" ref="CS13" ca="1">IF(H13,IF(AND(U13&gt;0),TRIM(SUBSTITUTE(_xll.MCONCAT(IF((INDIRECT(ster!$D$14)&lt;&gt;"")*(IFERROR(0*(INDIRECT(Q13)&lt;&gt;""),1)),INDIRECT(ster!$D$14),"")," "),"  "," ")),""),"")</f>
        <v/>
      </c>
      <c r="CT13" s="14" t="str">
        <f t="array" aca="1" ref="CT13" ca="1">IF(H13,IF(AR13,
TRIM(SUBSTITUTE(_xll.MCONCAT(IF(
   (INDIRECT(ster!$D$14)&lt;&gt;"")*
   ((INDIRECT(Q13)="")+
      NOT(ISNUMBER(INDIRECT(Q13)))*
      NOT(ISERROR(MATCH(INDIRECT(Q13),INDIRECT(K13),0)))
    ),
      INDIRECT(ster!$D$14),
   "")," "),"  "," ")),
""),"")</f>
        <v/>
      </c>
      <c r="CU13" s="14" t="str">
        <f t="array" aca="1" ref="CU13" ca="1">IF(H13,IF(AND(AP13),TRIM(SUBSTITUTE(_xll.MCONCAT(IFERROR(IF(ISNUMBER(INDIRECT(Q13)),IF((INDIRECT(ster!$D$14)&lt;&gt;"")*(INDIRECT(Q13)&lt;&gt;INT(INDIRECT(Q13))),INDIRECT(ster!$D$14) &amp; ": " &amp; INDIRECT(Q13),""),""),"")," "),"  "," ")),""),"")</f>
        <v/>
      </c>
      <c r="CV13" s="14" t="str">
        <f t="array" aca="1" ref="CV13" ca="1">IF(H13,IF(OR(AT13,AU13),TRIM(SUBSTITUTE(_xll.MCONCAT(IF((INDIRECT(ster!$D$14)&lt;&gt;"")*NOT(ISNUMBER(INDIRECT(Q13))),IF(ISERROR(MATCH(INDIRECT(Q13),INDIRECT(K13),0)),IFERROR(IF(INDIRECT(Q13)&lt;&gt;"",INDIRECT(ster!$D$14) &amp; ": " &amp; SUBSTITUTE(INDIRECT(Q13)," "," "),""),""),""),"")," "),"  "," ")),""),"")</f>
        <v/>
      </c>
      <c r="CW13" s="14" t="str">
        <f t="array" aca="1" ref="CW13" ca="1">IF(H13,IF(AD13,TRIM(SUBSTITUTE(_xll.MCONCAT(IF((INDIRECT(ster!$D$14)&lt;&gt;"")*IFERROR(NOT(INDIRECT(AE13)),FALSE),IF(ISERROR(MATCH(INDIRECT(Q13),INDIRECT(K13),0)),IFERROR(IF(INDIRECT(Q13)&lt;&gt;"",INDIRECT(ster!$D$14) &amp; ": " &amp;  SUBSTITUTE(IF( AU13,IFERROR(TEXT(INDIRECT(Q13),"rrrr-mm-dd")&amp;" (" &amp; INDIRECT(Q13) &amp;")",INDIRECT(Q13)),INDIRECT(Q13))," "," "),""),""),""),"")," "),"  "," ")),""),"")</f>
        <v/>
      </c>
      <c r="CX13" s="14" t="str">
        <f t="array" aca="1" ref="CX13" ca="1">IF(H13,IF(AG13,TRIM(SUBSTITUTE(_xll.MCONCAT(IF((INDIRECT(ster!$D$14)&lt;&gt;"")*IFERROR(NOT(INDIRECT(AH13)),FALSE),IF(ISERROR(MATCH(INDIRECT(Q13),INDIRECT(K13),0)),IFERROR(IF(INDIRECT(Q13)&lt;&gt;"",INDIRECT(ster!$D$14) &amp; ": " &amp;  SUBSTITUTE(IF( AU13,IFERROR(TEXT(INDIRECT(Q13),"rrrr-mm-dd")&amp;" (" &amp; INDIRECT(Q13) &amp;")",INDIRECT(Q13)),INDIRECT(Q13))," "," "),""),""),""),"")," "),"  "," ")),""),"")</f>
        <v/>
      </c>
      <c r="DA13" s="14" t="str">
        <f ca="1">SUBSTITUTE(SUBSTITUTE(SUBSTITUTE(SUBSTITUTE(_xll.MCONCAT(DE13:DQ13,"■"),"■■","■"),"■■","■"),"■■","■"),"■■","■")</f>
        <v>■The following cases have values below declared theorethical min: VIE1: -32, LAB3: -10■The following cases have values above declared theorethical max: WAW1: 43, WAW2: 52, JAN2: 10■</v>
      </c>
      <c r="DB13" s="14" t="str">
        <f t="shared" ref="DB13:DB24" ca="1" si="125">IF(MID(DA13,1,1)="■",MID(DA13,2,LEN(DA13)),DA13)</f>
        <v>The following cases have values below declared theorethical min: VIE1: -32, LAB3: -10■The following cases have values above declared theorethical max: WAW1: 43, WAW2: 52, JAN2: 10■</v>
      </c>
      <c r="DC13" s="14" t="str">
        <f t="shared" ref="DC13:DC24" ca="1" si="126">IF(DB13&lt;&gt;"",IF(MID(DB13,LEN(DB13),1)="■",MID(DB13,1,LEN(DB13)-1),DB13),"")</f>
        <v>The following cases have values below declared theorethical min: VIE1: -32, LAB3: -10■The following cases have values above declared theorethical max: WAW1: 43, WAW2: 52, JAN2: 10</v>
      </c>
      <c r="DD13" s="14" t="str">
        <f t="shared" ref="DD13:DD24" ca="1" si="127">IFERROR(IF(DC13&lt;&gt;"",SUBSTITUTE(DC13,"■",". "),""),"##INTERNAL_ERROR")</f>
        <v>The following cases have values below declared theorethical min: VIE1: -32, LAB3: -10. The following cases have values above declared theorethical max: WAW1: 43, WAW2: 52, JAN2: 10</v>
      </c>
      <c r="DE13" s="14" t="str">
        <f t="shared" ref="DE13:DE24" ca="1" si="128">IF(CL13&lt;&gt;0,"Variable name don't comply with the naming convention","")</f>
        <v/>
      </c>
      <c r="DF13" s="14" t="str">
        <f t="shared" ref="DF13:DF24" ca="1" si="129">IF(CM13&lt;&gt;"","Duplicated name. " &amp; IF(ISERROR(FIND(" ",CM13)),"Duplicate have index " &amp; CM13, "Duplicates have indices: "&amp;SUBSTITUTE(CM13," ",", ")),"")</f>
        <v/>
      </c>
      <c r="DG13" s="14" t="str">
        <f t="shared" ref="DG13:DG24" ca="1" si="130">IF(CN13&lt;&gt;"","Variable label exceed length 150","")</f>
        <v/>
      </c>
      <c r="DH13" s="14" t="str">
        <f t="shared" ref="DH13:DH24" ca="1" si="131">IF(CO13&lt;&gt;"","Duplicated variable label. " &amp; IF(ISERROR(FIND(" ",CO13)),"Duplicate have index " &amp; CO13, "Duplicates have indices: "&amp;SUBSTITUTE(CO13," ",", ")),"")</f>
        <v/>
      </c>
      <c r="DI13" s="14" t="str">
        <f t="shared" ref="DI13:DI24" ca="1" si="132">IF(CP13&lt;&gt;"","The following cases have values below declared theorethical min: " &amp;SUBSTITUTE(CP13," ",", "),"")</f>
        <v>The following cases have values below declared theorethical min: VIE1: -32, LAB3: -10</v>
      </c>
      <c r="DJ13" s="14" t="str">
        <f t="shared" ref="DJ13:DJ24" ca="1" si="133">IF(CQ13&lt;&gt;"","The following cases have values above declared theorethical max: " &amp;SUBSTITUTE(CQ13," ",", "),"")</f>
        <v>The following cases have values above declared theorethical max: WAW1: 43, WAW2: 52, JAN2: 10</v>
      </c>
      <c r="DK13" s="14" t="str">
        <f t="shared" ref="DK13:DK24" ca="1" si="134">IF(CR13&lt;&gt;"","There are some cases with values not explicitly declared in the labels dictionary: " &amp;SUBSTITUTE(CR13," ",", "),"")</f>
        <v/>
      </c>
      <c r="DL13" s="14" t="str">
        <f t="array" aca="1" ref="DL13" ca="1">IF(CS13&lt;&gt;"","There are errors in the entered values in the following cases: " &amp;SUBSTITUTE(CS13," ",", "),"")</f>
        <v/>
      </c>
      <c r="DM13" s="14" t="str">
        <f t="shared" ref="DM13:DM24" ca="1" si="135">IF(CT13&lt;&gt;"","The following records are missing in this required field: " &amp;SUBSTITUTE(CT13," ",", "),"")</f>
        <v/>
      </c>
      <c r="DN13" s="14" t="str">
        <f t="shared" ref="DN13:DN24" ca="1" si="136">IF(CU13&lt;&gt;"","The following cases have non-integer values: " &amp;SUBSTITUTE(CU13," ",", "),"")</f>
        <v/>
      </c>
      <c r="DO13" s="14" t="str">
        <f t="shared" ref="DO13:DO24" ca="1" si="137">IF(CV13&lt;&gt;"","The following cases are non-numeric: " &amp;SUBSTITUTE(CV13," ",", "),"")</f>
        <v/>
      </c>
      <c r="DP13" s="14" t="str">
        <f t="shared" ref="DP13:DP24" ca="1" si="138">IF(CW13&lt;&gt;"","In the following cases " &amp; P13 &amp; " " &amp; LOWER(MID(AF13,1,1)) &amp; MID(AF13,2,LEN(AF13)) &amp; ": " &amp;SUBSTITUTE(CW13," ",", "),"")</f>
        <v/>
      </c>
      <c r="DQ13" s="14" t="str">
        <f t="shared" ref="DQ13:DQ24" ca="1" si="139">IF(CX13&lt;&gt;"","In the following cases " &amp; P13 &amp; " " &amp; LOWER(MID(AI13,1,1)) &amp; MID(AI13,2,LEN(AI13)) &amp; ": " &amp;SUBSTITUTE(CX13," ",", "),"")</f>
        <v/>
      </c>
      <c r="DX13" s="14" t="b">
        <f t="shared" ref="DX13:DX24" ca="1" si="140">OR(EB13&lt;&gt;"",ED13&lt;&gt;"",EE13&lt;&gt;"")</f>
        <v>1</v>
      </c>
      <c r="DY13" s="14" t="str">
        <f t="shared" ref="DY13:DY18" ca="1" si="141">IF(DZ13&lt;&gt;"",G13 &amp; " (" &amp; F13 &amp; ")","")</f>
        <v>Zmienna z max i min teor (num_maxmin)</v>
      </c>
      <c r="DZ13" s="14" t="str">
        <f t="shared" ref="DZ13:DZ24" ca="1" si="142">IF(EC13&lt;&gt;"",EC13&amp;IF(EB13&lt;&gt;""," and "&amp;EB13,""),UPPER(MID(EB13,1,1)&amp;MID(EB13,2,LEN(EB13))))&amp; IF(OR(ED13&lt;&gt;"",EE13&lt;&gt;"")," and "&amp;IF(ED13&lt;&gt;"",LOWER(MID(ED13,1,1) &amp; MID(ED13,2,LEN(ED13))),"")&amp; IF(AND(ED13 &lt;&gt;"",EE13&lt;&gt;"")," and ","") &amp; IF(EE13&lt;&gt;"",LOWER(MID(EE13,1,1) &amp; MID(EE13,2,LEN(EE13))),""),"") &amp; IF(OR(EC13&lt;&gt;"",EB13&lt;&gt;"",ED13&lt;&gt;"",EE13&lt;&gt;""), ". ","")</f>
        <v xml:space="preserve">Values must be numeric and each value must be between 1 and 6. </v>
      </c>
      <c r="EA13" s="14" t="str">
        <f t="shared" ref="EA13:EA18" ca="1" si="143">IF(DZ13&lt;&gt;"",G13 &amp; " (" &amp; F13 &amp; "): " &amp; DZ13,"")</f>
        <v xml:space="preserve">Zmienna z max i min teor (num_maxmin): Values must be numeric and each value must be between 1 and 6. </v>
      </c>
      <c r="EB13" s="14" t="str">
        <f t="shared" ref="EB13:EB24" ca="1" si="144">IF(H13,IF(V13&gt;0,IF(AND(AN13&lt;&gt;"",AO13&lt;&gt;""),"each value must be between " &amp; IF( AU13,IFERROR(TEXT(AN13,"rrrr-mm-dd") &amp;" (" &amp; AN13 &amp;")",AN13),AN13) &amp; " and " &amp; IF( AU13,IFERROR(TEXT(AO13,"rrrr-mm-dd") &amp;" (" &amp; AO13 &amp;")",AO13),AO13),IF(AN13&lt;&gt;"","each value must be above " &amp; IF( AU13,IFERROR(TEXT(AN13,"rrrr-mm-dd") &amp;" (" &amp; AN13 &amp;")",AN13),AN13), IF(AO13&lt;&gt;"","each value must be below " &amp; IF( AU13,IFERROR(TEXT(AO13,"rrrr-mm-dd") &amp;" (" &amp; AO13 &amp;")",AO13),AO13),""))),""),"")</f>
        <v>each value must be between 1 and 6</v>
      </c>
      <c r="EC13" s="14" t="str">
        <f t="shared" ref="EC13:EC24" ca="1" si="145">IF(H13,IF(OR(AP13,AT13,AU13,AR13,AQ13),
   "Values must be" &amp;
   IF(AQ13," limited to predefinied list", IF(AP13, " integers",IF(OR(AT13,AU13)," numeric",""))) &amp;
   IF(AR13,IF(OR(AQ13,AP13,AT13,AU13), " and ","") &amp; "non-missing",""),
""),"")</f>
        <v>Values must be numeric</v>
      </c>
      <c r="ED13" s="14" t="str">
        <f t="shared" ref="ED13:ED24" ca="1" si="146">IF($H13,AF13,"")</f>
        <v/>
      </c>
      <c r="EE13" s="14" t="str">
        <f t="shared" ref="EE13:EE24" ca="1" si="147">IF($H13,AI13,"")</f>
        <v/>
      </c>
      <c r="EK13" s="14" t="b">
        <f t="shared" ref="EK13:EK24" ca="1" si="148">OR(EA13&lt;&gt;"",DD13&lt;&gt;"")</f>
        <v>1</v>
      </c>
      <c r="EL13" s="14">
        <f t="shared" ref="EL13:EL18" ca="1" si="149">IF(EK13,C13,"")</f>
        <v>10</v>
      </c>
      <c r="EM13" s="14" t="str">
        <f t="shared" ref="EM13:EM24" ca="1" si="150">IF(EK13,F13,"")</f>
        <v>num_maxmin</v>
      </c>
      <c r="EN13" s="14" t="str">
        <f t="shared" ref="EN13:EN24" ca="1" si="151">EA13</f>
        <v xml:space="preserve">Zmienna z max i min teor (num_maxmin): Values must be numeric and each value must be between 1 and 6. </v>
      </c>
      <c r="EO13" s="14" t="str">
        <f t="shared" ref="EO13:EO24" ca="1" si="152">DD13</f>
        <v>The following cases have values below declared theorethical min: VIE1: -32, LAB3: -10. The following cases have values above declared theorethical max: WAW1: 43, WAW2: 52, JAN2: 10</v>
      </c>
    </row>
    <row r="14" spans="1:145" s="14" customFormat="1">
      <c r="B14" s="14" t="str">
        <f t="shared" ca="1" si="78"/>
        <v>There are some cases with values not explicitly declared in the labels dictionary: WAW1: 9, JAN1: 6, LAB2: -2. There are errors in the entered values in the following cases: LAB3</v>
      </c>
      <c r="C14" s="14">
        <f t="shared" ca="1" si="79"/>
        <v>11</v>
      </c>
      <c r="D14" s="14">
        <f t="shared" si="80"/>
        <v>12</v>
      </c>
      <c r="E14" s="14" t="str">
        <f t="shared" ca="1" si="81"/>
        <v>N</v>
      </c>
      <c r="F14" s="14" t="str">
        <f t="shared" ca="1" si="82"/>
        <v>fac3</v>
      </c>
      <c r="G14" s="14" t="str">
        <f t="shared" ca="1" si="83"/>
        <v>Faktor bez braków, ale z wartościami spoza zakresu</v>
      </c>
      <c r="H14" s="14" t="b">
        <f t="shared" ca="1" si="84"/>
        <v>1</v>
      </c>
      <c r="I14" s="14" t="str">
        <f ca="1">IF($H14,ADDRESS(3,(D14+1)*2-1,4,,"["&amp;wew!$G$7&amp;"]"&amp;_sheetname_labels)&amp;":"&amp;ADDRESS(2+ster!$B$20,(D14+1)*2-1,4),"")</f>
        <v>'[dane surowe2d.xlsm]labels'!Y3:Y36</v>
      </c>
      <c r="J14" s="14">
        <f t="array" aca="1" ref="J14" ca="1">IF(H14,MAX(0,MAX(IF(INDIRECT(I14)&lt;&gt;"",ROW(INDIRECT(I14)),""))-2),"")</f>
        <v>4</v>
      </c>
      <c r="K14" s="14" t="str">
        <f ca="1">IF($H14,IF($J14&gt;0,ADDRESS(3,(D14+1)*2-1,4,,"["&amp;wew!$G$7&amp;"]"&amp;_sheetname_labels)&amp;":"&amp;ADDRESS(2+J14,(D14+1)*2-1,4),""),"")</f>
        <v>'[dane surowe2d.xlsm]labels'!Y3:Y6</v>
      </c>
      <c r="L14" s="14" t="str">
        <f ca="1">IF($H14,IF($J14&gt;0,ADDRESS(3,(D14+1)*2,4,,"["&amp;wew!$G$7&amp;"]"&amp;_sheetname_labels)&amp;":"&amp;ADDRESS(2+J14,(D14+1)*2,4),""),"")</f>
        <v>'[dane surowe2d.xlsm]labels'!Z3:Z6</v>
      </c>
      <c r="M14" s="14">
        <f t="shared" ca="1" si="85"/>
        <v>0</v>
      </c>
      <c r="N14" s="14">
        <f t="shared" ca="1" si="86"/>
        <v>4</v>
      </c>
      <c r="O14" s="14" t="str">
        <f t="shared" ca="1" si="87"/>
        <v>fac3</v>
      </c>
      <c r="P14" s="14" t="str">
        <f t="shared" ca="1" si="88"/>
        <v>Faktor bez braków, ale z wartościami spoza zakresu</v>
      </c>
      <c r="Q14" s="14" t="str">
        <f ca="1">IF($H14,ADDRESS(3,D14+1,4,,"["&amp;wew!$G$7&amp;"]"&amp;_sheetname_dataframe)&amp;":"&amp;ADDRESS(2+ster!$C$14,D14+1,4),"")</f>
        <v>'[dane surowe2d.xlsm]data_frame'!M3:M12</v>
      </c>
      <c r="R14" s="14">
        <f t="array" aca="1" ref="R14" ca="1">IF(H14,SUM(IF((IFERROR(INDIRECT(Q14)&lt;&gt;"",FALSE))*(INDIRECT(ster!$D$14)&lt;&gt;""),1,0)),"")</f>
        <v>6</v>
      </c>
      <c r="S14" s="14">
        <f t="array" aca="1" ref="S14" ca="1">IF(H14,IF(M14&gt;0,SUM(IFERROR(1*(MATCH(INDIRECT(Q14),INDIRECT(K14),0)&gt;0),0)*(INDIRECT(ster!$D$14)&lt;&gt;"")*NOT(ISNUMBER(INDIRECT(Q14)))),0),"")</f>
        <v>0</v>
      </c>
      <c r="T14" s="14">
        <f t="array" aca="1" ref="T14" ca="1">IF(H14,SUM((IFERROR(INDIRECT(Q14)="",FALSE))*(INDIRECT(ster!$D$14)&lt;&gt;"")),"")</f>
        <v>2</v>
      </c>
      <c r="U14" s="14">
        <f t="array" aca="1" ref="U14" ca="1">IF(H14,SUM((IFERROR(INDIRECT(Q14)="#ąś",TRUE))*(INDIRECT(ster!$D$14)&lt;&gt;"")),"")</f>
        <v>1</v>
      </c>
      <c r="V14" s="14">
        <f t="array" aca="1" ref="V14" ca="1">IF(H14,SUM(ISNUMBER(INDIRECT(Q14))*(INDIRECT(ster!$D$14)&lt;&gt;"")),"")</f>
        <v>6</v>
      </c>
      <c r="W14" s="14">
        <f t="array" aca="1" ref="W14" ca="1">IF(AND(H14,V14&gt;0),IF(wew!$B$3,MIN(IF((INDIRECT(ster!$D$14)&lt;&gt;"")*IFERROR(INDIRECT($Q14)&lt;&gt;"",FALSE),IFERROR(INDIRECT($Q14),"X"),"X")),"&lt;włącz podświetlanie wartości&gt;"),"—")</f>
        <v>-2</v>
      </c>
      <c r="X14" s="14">
        <f t="array" aca="1" ref="X14" ca="1">IF(AND(H14,V14&gt;0),IF(wew!$B$3,MAX(IF((INDIRECT(ster!$D$14)&lt;&gt;"")*IFERROR(INDIRECT($Q14)&lt;&gt;"",FALSE),IFERROR(INDIRECT($Q14),"X"),"X")),"&lt;włącz podświetlanie wartości&gt;"),"—")</f>
        <v>9</v>
      </c>
      <c r="Y14" s="14">
        <f t="shared" ca="1" si="89"/>
        <v>0</v>
      </c>
      <c r="Z14" s="12">
        <f t="shared" ca="1" si="90"/>
        <v>1</v>
      </c>
      <c r="AA14" s="17">
        <f t="array" aca="1" ref="AA14" ca="1">IF(H14,IF(V14&gt;0,SUM((INDIRECT(ster!$D$14)&lt;&gt;"")*IFERROR((INDIRECT(Q14)&lt;&gt;"")*(INDIRECT(Q14)=INT(INDIRECT(Q14))),0)),0),"")</f>
        <v>6</v>
      </c>
      <c r="AB14" s="17">
        <f t="array" aca="1" ref="AB14" ca="1">IF(H14,V14-AA14,"")</f>
        <v>0</v>
      </c>
      <c r="AC14" s="17">
        <f t="shared" ca="1" si="91"/>
        <v>1</v>
      </c>
      <c r="AD14" s="17" t="b">
        <f t="shared" ca="1" si="92"/>
        <v>0</v>
      </c>
      <c r="AE14" s="17" t="str">
        <f ca="1">IF(AD14,IF($H14,ADDRESS(3,D14+2,4,,"["&amp;wew!$G$7&amp;"]"&amp;_sheetname_dataframe)&amp;":"&amp;ADDRESS(2+ster!$C$14,D14+2,4),""),"")</f>
        <v/>
      </c>
      <c r="AF14" s="17" t="str">
        <f t="shared" ca="1" si="93"/>
        <v/>
      </c>
      <c r="AG14" s="17" t="b">
        <f t="shared" ca="1" si="94"/>
        <v>0</v>
      </c>
      <c r="AH14" s="17" t="str">
        <f ca="1">IF(AG14,IF($H14,ADDRESS(3,D14+3,4,,"["&amp;wew!$G$7&amp;"]"&amp;_sheetname_dataframe)&amp;":"&amp;ADDRESS(2+ster!$C$14,D14+3,4),""),"")</f>
        <v/>
      </c>
      <c r="AI14" s="17" t="str">
        <f t="shared" ca="1" si="95"/>
        <v/>
      </c>
      <c r="AJ14" s="17" t="b">
        <f t="shared" ca="1" si="96"/>
        <v>0</v>
      </c>
      <c r="AK14" s="17" t="b">
        <f t="shared" ca="1" si="97"/>
        <v>1</v>
      </c>
      <c r="AL14" s="17" t="b">
        <f t="shared" ca="1" si="98"/>
        <v>0</v>
      </c>
      <c r="AM14" s="17">
        <f t="shared" ca="1" si="99"/>
        <v>0</v>
      </c>
      <c r="AN14" s="24" t="str">
        <f t="shared" ca="1" si="100"/>
        <v/>
      </c>
      <c r="AO14" s="24" t="str">
        <f t="shared" ca="1" si="101"/>
        <v/>
      </c>
      <c r="AP14" s="17" t="b">
        <f t="shared" ca="1" si="102"/>
        <v>0</v>
      </c>
      <c r="AQ14" s="17" t="b">
        <f t="shared" ca="1" si="103"/>
        <v>1</v>
      </c>
      <c r="AR14" s="17" t="b">
        <f t="shared" ca="1" si="104"/>
        <v>0</v>
      </c>
      <c r="AS14" s="17" t="b">
        <f t="shared" ca="1" si="105"/>
        <v>0</v>
      </c>
      <c r="AT14" s="17" t="b">
        <f t="shared" ca="1" si="106"/>
        <v>1</v>
      </c>
      <c r="AU14" s="17" t="b">
        <f t="shared" ca="1" si="107"/>
        <v>0</v>
      </c>
      <c r="AV14" s="17" t="b">
        <f t="shared" ca="1" si="108"/>
        <v>1</v>
      </c>
      <c r="AW14" s="14" t="b">
        <f t="array" aca="1" ref="AW14" ca="1">IF(H14,N14&gt;0,"")</f>
        <v>1</v>
      </c>
      <c r="AX14" s="17" t="str">
        <f t="shared" ca="1" si="20"/>
        <v>C3:C6</v>
      </c>
      <c r="AY14" s="17" t="b">
        <f t="array" aca="1" ref="AY14" ca="1">IF(AX14&lt;&gt;"",SUM(1*ISERROR(MATCH(INDIRECT(AX14),INDIRECT(K14),0)))=0,"")</f>
        <v>1</v>
      </c>
      <c r="AZ14" s="17" t="b">
        <f t="shared" ca="1" si="109"/>
        <v>1</v>
      </c>
      <c r="BA14" s="17" t="b">
        <f t="shared" ca="1" si="110"/>
        <v>0</v>
      </c>
      <c r="BB14" s="17" t="b">
        <f t="shared" ca="1" si="111"/>
        <v>1</v>
      </c>
      <c r="BC14" s="17" t="b">
        <f t="shared" ca="1" si="112"/>
        <v>0</v>
      </c>
      <c r="BD14" s="17" t="b">
        <f t="shared" ca="1" si="113"/>
        <v>0</v>
      </c>
      <c r="BE14" s="17" t="b">
        <f t="shared" ca="1" si="114"/>
        <v>0</v>
      </c>
      <c r="BF14" s="17" t="b">
        <f t="shared" ca="1" si="115"/>
        <v>0</v>
      </c>
      <c r="BG14" s="17" t="b">
        <f t="shared" ca="1" si="116"/>
        <v>1</v>
      </c>
      <c r="BH14" s="17">
        <f t="shared" ca="1" si="117"/>
        <v>2</v>
      </c>
      <c r="BI14" s="17" t="b">
        <f t="shared" ca="1" si="118"/>
        <v>1</v>
      </c>
      <c r="BJ14" s="17" t="str">
        <f t="shared" ca="1" si="119"/>
        <v/>
      </c>
      <c r="BK14" s="17" t="str">
        <f t="shared" ca="1" si="120"/>
        <v/>
      </c>
      <c r="BL14" s="17" t="str">
        <f t="shared" ca="1" si="121"/>
        <v>F</v>
      </c>
      <c r="BM14" s="17" t="str">
        <f t="shared" ca="1" si="122"/>
        <v>E</v>
      </c>
      <c r="BN14" s="17" t="str">
        <f t="shared" ca="1" si="123"/>
        <v>O</v>
      </c>
      <c r="BO14" s="14" t="b">
        <f t="shared" ca="1" si="124"/>
        <v>1</v>
      </c>
      <c r="BP14" s="15">
        <v>1</v>
      </c>
      <c r="BT14" s="14">
        <v>1</v>
      </c>
      <c r="BV14" s="16"/>
      <c r="BW14" s="16"/>
      <c r="BX14" s="16"/>
      <c r="BY14" s="16"/>
      <c r="BZ14" s="16"/>
      <c r="CA14" s="16"/>
      <c r="CB14" s="16"/>
      <c r="CC14" s="16"/>
      <c r="CD14" s="16"/>
      <c r="CL14" s="14">
        <f ca="1">IF(H14,IFERROR(IsVariableNameLegal(O14),0),0)</f>
        <v>0</v>
      </c>
      <c r="CM14" s="14" t="str">
        <f t="array" aca="1" ref="CM14" ca="1">IF(H14,IF(COUNTIF(INDIRECT(wew!$C$13),O14)&gt;1,TRIM(SUBSTITUTE(_xll.MCONCAT(IF((INDIRECT(wew!$C$13)=O14)*(COLUMN(INDIRECT(wew!$C$13))&lt;&gt;D14+1),-1+COLUMN(INDIRECT(wew!$C$13)),"")," "),"  "," ")),""),"")</f>
        <v/>
      </c>
      <c r="CN14" s="14" t="str">
        <f t="array" aca="1" ref="CN14" ca="1">IF(P14&lt;&gt;"",IF(LEN(P14)&gt;150,1,""),"")</f>
        <v/>
      </c>
      <c r="CO14" s="14" t="str">
        <f t="array" aca="1" ref="CO14" ca="1">IF(AND(H14,NOT(ster!$J$3)),IF(COUNTIF(INDIRECT(wew!$C$15),P14)&gt;1,TRIM(SUBSTITUTE(_xll.MCONCAT(IF((INDIRECT(wew!$C$15)=P14)*(COLUMN(INDIRECT(wew!$C$15))&lt;&gt;D14+1),-1+COLUMN(INDIRECT(wew!$C$15)),"")," "),"  "," ")),""),"")</f>
        <v/>
      </c>
      <c r="CP14" s="14" t="str">
        <f t="array" aca="1" ref="CP14" ca="1">IF(H14,IF(AND(V14&gt;0,AN14&lt;&gt;""),TRIM(SUBSTITUTE(_xll.MCONCAT(IFERROR(IF(ISNUMBER(INDIRECT(Q14)),IF((INDIRECT(ster!$D$14)&lt;&gt;"")*(INDIRECT(Q14)&lt;AN14),INDIRECT(ster!$D$14) &amp; ": " &amp;  SUBSTITUTE(IF( AU14,IFERROR(TEXT(INDIRECT(Q14),"rrrr-mm-dd") &amp;" (" &amp; INDIRECT(Q14) &amp;")",INDIRECT(Q14)),INDIRECT(Q14))," "," "),""),""),"")," "),"  "," ")),""),"")</f>
        <v/>
      </c>
      <c r="CQ14" s="14" t="str">
        <f t="array" aca="1" ref="CQ14" ca="1">IF(H14,IF(AND(V14&gt;0,AO14&lt;&gt;""),TRIM(SUBSTITUTE(_xll.MCONCAT(IFERROR(IF(ISNUMBER(INDIRECT(Q14)),IF((INDIRECT(ster!$D$14)&lt;&gt;"")*(INDIRECT(Q14)&gt;AO14),INDIRECT(ster!$D$14) &amp; ": " &amp;  SUBSTITUTE(IF( AU14,IFERROR(TEXT(INDIRECT(Q14),"rrrr-mm-dd")&amp;" (" &amp; INDIRECT(Q14) &amp;")",INDIRECT(Q14)),INDIRECT(Q14))," "," "),""),""),"")," "),"  "," ")),""),"")</f>
        <v/>
      </c>
      <c r="CR14" s="14" t="str">
        <f t="array" aca="1" ref="CR14" ca="1">IF(H14,IF(AND(N14&gt;0,AQ14),TRIM(SUBSTITUTE(_xll.MCONCAT(IFERROR(IF(ISNUMBER(INDIRECT(Q14)),IF((INDIRECT(ster!$D$14)&lt;&gt;"")*(IFERROR(0*(MATCH(INDIRECT(Q14),INDIRECT(K14),0)&gt;0),1)),INDIRECT(ster!$D$14) &amp; ": " &amp;  SUBSTITUTE(IF( AU14,IFERROR(TEXT(INDIRECT(Q14),"rrrr-mm-dd")&amp;" (" &amp; INDIRECT(Q14) &amp;")",INDIRECT(Q14)),INDIRECT(Q14))," "," "),""),""),"")," "),"  "," ")),""),"")</f>
        <v>WAW1: 9 JAN1: 6 LAB2: -2</v>
      </c>
      <c r="CS14" s="14" t="str">
        <f t="array" aca="1" ref="CS14" ca="1">IF(H14,IF(AND(U14&gt;0),TRIM(SUBSTITUTE(_xll.MCONCAT(IF((INDIRECT(ster!$D$14)&lt;&gt;"")*(IFERROR(0*(INDIRECT(Q14)&lt;&gt;""),1)),INDIRECT(ster!$D$14),"")," "),"  "," ")),""),"")</f>
        <v>LAB3</v>
      </c>
      <c r="CT14" s="14" t="str">
        <f t="array" aca="1" ref="CT14" ca="1">IF(H14,IF(AR14,
TRIM(SUBSTITUTE(_xll.MCONCAT(IF(
   (INDIRECT(ster!$D$14)&lt;&gt;"")*
   ((INDIRECT(Q14)="")+
      NOT(ISNUMBER(INDIRECT(Q14)))*
      NOT(ISERROR(MATCH(INDIRECT(Q14),INDIRECT(K14),0)))
    ),
      INDIRECT(ster!$D$14),
   "")," "),"  "," ")),
""),"")</f>
        <v/>
      </c>
      <c r="CU14" s="14" t="str">
        <f t="array" aca="1" ref="CU14" ca="1">IF(H14,IF(AND(AP14),TRIM(SUBSTITUTE(_xll.MCONCAT(IFERROR(IF(ISNUMBER(INDIRECT(Q14)),IF((INDIRECT(ster!$D$14)&lt;&gt;"")*(INDIRECT(Q14)&lt;&gt;INT(INDIRECT(Q14))),INDIRECT(ster!$D$14) &amp; ": " &amp; INDIRECT(Q14),""),""),"")," "),"  "," ")),""),"")</f>
        <v/>
      </c>
      <c r="CV14" s="14" t="str">
        <f t="array" aca="1" ref="CV14" ca="1">IF(H14,IF(OR(AT14,AU14),TRIM(SUBSTITUTE(_xll.MCONCAT(IF((INDIRECT(ster!$D$14)&lt;&gt;"")*NOT(ISNUMBER(INDIRECT(Q14))),IF(ISERROR(MATCH(INDIRECT(Q14),INDIRECT(K14),0)),IFERROR(IF(INDIRECT(Q14)&lt;&gt;"",INDIRECT(ster!$D$14) &amp; ": " &amp; SUBSTITUTE(INDIRECT(Q14)," "," "),""),""),""),"")," "),"  "," ")),""),"")</f>
        <v/>
      </c>
      <c r="CW14" s="14" t="str">
        <f t="array" aca="1" ref="CW14" ca="1">IF(H14,IF(AD14,TRIM(SUBSTITUTE(_xll.MCONCAT(IF((INDIRECT(ster!$D$14)&lt;&gt;"")*IFERROR(NOT(INDIRECT(AE14)),FALSE),IF(ISERROR(MATCH(INDIRECT(Q14),INDIRECT(K14),0)),IFERROR(IF(INDIRECT(Q14)&lt;&gt;"",INDIRECT(ster!$D$14) &amp; ": " &amp;  SUBSTITUTE(IF( AU14,IFERROR(TEXT(INDIRECT(Q14),"rrrr-mm-dd")&amp;" (" &amp; INDIRECT(Q14) &amp;")",INDIRECT(Q14)),INDIRECT(Q14))," "," "),""),""),""),"")," "),"  "," ")),""),"")</f>
        <v/>
      </c>
      <c r="CX14" s="14" t="str">
        <f t="array" aca="1" ref="CX14" ca="1">IF(H14,IF(AG14,TRIM(SUBSTITUTE(_xll.MCONCAT(IF((INDIRECT(ster!$D$14)&lt;&gt;"")*IFERROR(NOT(INDIRECT(AH14)),FALSE),IF(ISERROR(MATCH(INDIRECT(Q14),INDIRECT(K14),0)),IFERROR(IF(INDIRECT(Q14)&lt;&gt;"",INDIRECT(ster!$D$14) &amp; ": " &amp;  SUBSTITUTE(IF( AU14,IFERROR(TEXT(INDIRECT(Q14),"rrrr-mm-dd")&amp;" (" &amp; INDIRECT(Q14) &amp;")",INDIRECT(Q14)),INDIRECT(Q14))," "," "),""),""),""),"")," "),"  "," ")),""),"")</f>
        <v/>
      </c>
      <c r="DA14" s="14" t="str">
        <f ca="1">SUBSTITUTE(SUBSTITUTE(SUBSTITUTE(SUBSTITUTE(_xll.MCONCAT(DE14:DQ14,"■"),"■■","■"),"■■","■"),"■■","■"),"■■","■")</f>
        <v>■There are some cases with values not explicitly declared in the labels dictionary: WAW1: 9, JAN1: 6, LAB2: -2■There are errors in the entered values in the following cases: LAB3■</v>
      </c>
      <c r="DB14" s="14" t="str">
        <f t="shared" ca="1" si="125"/>
        <v>There are some cases with values not explicitly declared in the labels dictionary: WAW1: 9, JAN1: 6, LAB2: -2■There are errors in the entered values in the following cases: LAB3■</v>
      </c>
      <c r="DC14" s="14" t="str">
        <f t="shared" ca="1" si="126"/>
        <v>There are some cases with values not explicitly declared in the labels dictionary: WAW1: 9, JAN1: 6, LAB2: -2■There are errors in the entered values in the following cases: LAB3</v>
      </c>
      <c r="DD14" s="14" t="str">
        <f t="shared" ca="1" si="127"/>
        <v>There are some cases with values not explicitly declared in the labels dictionary: WAW1: 9, JAN1: 6, LAB2: -2. There are errors in the entered values in the following cases: LAB3</v>
      </c>
      <c r="DE14" s="14" t="str">
        <f t="shared" ca="1" si="128"/>
        <v/>
      </c>
      <c r="DF14" s="14" t="str">
        <f t="shared" ca="1" si="129"/>
        <v/>
      </c>
      <c r="DG14" s="14" t="str">
        <f t="shared" ca="1" si="130"/>
        <v/>
      </c>
      <c r="DH14" s="14" t="str">
        <f t="shared" ca="1" si="131"/>
        <v/>
      </c>
      <c r="DI14" s="14" t="str">
        <f t="shared" ca="1" si="132"/>
        <v/>
      </c>
      <c r="DJ14" s="14" t="str">
        <f t="shared" ca="1" si="133"/>
        <v/>
      </c>
      <c r="DK14" s="14" t="str">
        <f t="shared" ca="1" si="134"/>
        <v>There are some cases with values not explicitly declared in the labels dictionary: WAW1: 9, JAN1: 6, LAB2: -2</v>
      </c>
      <c r="DL14" s="14" t="str">
        <f t="array" aca="1" ref="DL14" ca="1">IF(CS14&lt;&gt;"","There are errors in the entered values in the following cases: " &amp;SUBSTITUTE(CS14," ",", "),"")</f>
        <v>There are errors in the entered values in the following cases: LAB3</v>
      </c>
      <c r="DM14" s="14" t="str">
        <f t="shared" ca="1" si="135"/>
        <v/>
      </c>
      <c r="DN14" s="14" t="str">
        <f t="shared" ca="1" si="136"/>
        <v/>
      </c>
      <c r="DO14" s="14" t="str">
        <f t="shared" ca="1" si="137"/>
        <v/>
      </c>
      <c r="DP14" s="14" t="str">
        <f t="shared" ca="1" si="138"/>
        <v/>
      </c>
      <c r="DQ14" s="14" t="str">
        <f t="shared" ca="1" si="139"/>
        <v/>
      </c>
      <c r="DX14" s="14" t="b">
        <f t="shared" ca="1" si="140"/>
        <v>0</v>
      </c>
      <c r="DY14" s="14" t="str">
        <f t="shared" ca="1" si="141"/>
        <v>Faktor bez braków, ale z wartościami spoza zakresu (fac3)</v>
      </c>
      <c r="DZ14" s="14" t="str">
        <f t="shared" ca="1" si="142"/>
        <v xml:space="preserve">Values must be limited to predefinied list. </v>
      </c>
      <c r="EA14" s="14" t="str">
        <f t="shared" ca="1" si="143"/>
        <v xml:space="preserve">Faktor bez braków, ale z wartościami spoza zakresu (fac3): Values must be limited to predefinied list. </v>
      </c>
      <c r="EB14" s="14" t="str">
        <f t="shared" ca="1" si="144"/>
        <v/>
      </c>
      <c r="EC14" s="14" t="str">
        <f t="shared" ca="1" si="145"/>
        <v>Values must be limited to predefinied list</v>
      </c>
      <c r="ED14" s="14" t="str">
        <f t="shared" ca="1" si="146"/>
        <v/>
      </c>
      <c r="EE14" s="14" t="str">
        <f t="shared" ca="1" si="147"/>
        <v/>
      </c>
      <c r="EK14" s="14" t="b">
        <f t="shared" ca="1" si="148"/>
        <v>1</v>
      </c>
      <c r="EL14" s="14">
        <f t="shared" ca="1" si="149"/>
        <v>11</v>
      </c>
      <c r="EM14" s="14" t="str">
        <f t="shared" ca="1" si="150"/>
        <v>fac3</v>
      </c>
      <c r="EN14" s="14" t="str">
        <f t="shared" ca="1" si="151"/>
        <v xml:space="preserve">Faktor bez braków, ale z wartościami spoza zakresu (fac3): Values must be limited to predefinied list. </v>
      </c>
      <c r="EO14" s="14" t="str">
        <f t="shared" ca="1" si="152"/>
        <v>There are some cases with values not explicitly declared in the labels dictionary: WAW1: 9, JAN1: 6, LAB2: -2. There are errors in the entered values in the following cases: LAB3</v>
      </c>
    </row>
    <row r="15" spans="1:145" s="14" customFormat="1">
      <c r="B15" s="14" t="str">
        <f t="shared" ca="1" si="78"/>
        <v>The following cases have non-integer values: WAW1: 0,14, LAB3: 0,98</v>
      </c>
      <c r="C15" s="14">
        <f t="shared" ca="1" si="79"/>
        <v>12</v>
      </c>
      <c r="D15" s="14">
        <f t="shared" si="80"/>
        <v>13</v>
      </c>
      <c r="E15" s="14" t="str">
        <f t="shared" ca="1" si="81"/>
        <v>I</v>
      </c>
      <c r="F15" s="14" t="str">
        <f t="shared" ca="1" si="82"/>
        <v>numdiscr</v>
      </c>
      <c r="G15" s="14" t="str">
        <f t="shared" ca="1" si="83"/>
        <v>Zmienna ciągła, ale dyskretna</v>
      </c>
      <c r="H15" s="14" t="b">
        <f t="shared" ca="1" si="84"/>
        <v>1</v>
      </c>
      <c r="I15" s="14" t="str">
        <f ca="1">IF($H15,ADDRESS(3,(D15+1)*2-1,4,,"["&amp;wew!$G$7&amp;"]"&amp;_sheetname_labels)&amp;":"&amp;ADDRESS(2+ster!$B$20,(D15+1)*2-1,4),"")</f>
        <v>'[dane surowe2d.xlsm]labels'!AA3:AA36</v>
      </c>
      <c r="J15" s="14">
        <f t="array" aca="1" ref="J15" ca="1">IF(H15,MAX(0,MAX(IF(INDIRECT(I15)&lt;&gt;"",ROW(INDIRECT(I15)),""))-2),"")</f>
        <v>0</v>
      </c>
      <c r="K15" s="14" t="str">
        <f ca="1">IF($H15,IF($J15&gt;0,ADDRESS(3,(D15+1)*2-1,4,,"["&amp;wew!$G$7&amp;"]"&amp;_sheetname_labels)&amp;":"&amp;ADDRESS(2+J15,(D15+1)*2-1,4),""),"")</f>
        <v/>
      </c>
      <c r="L15" s="14" t="str">
        <f ca="1">IF($H15,IF($J15&gt;0,ADDRESS(3,(D15+1)*2,4,,"["&amp;wew!$G$7&amp;"]"&amp;_sheetname_labels)&amp;":"&amp;ADDRESS(2+J15,(D15+1)*2,4),""),"")</f>
        <v/>
      </c>
      <c r="M15" s="14">
        <f t="shared" ca="1" si="85"/>
        <v>0</v>
      </c>
      <c r="N15" s="14">
        <f t="shared" ca="1" si="86"/>
        <v>0</v>
      </c>
      <c r="O15" s="14" t="str">
        <f t="shared" ca="1" si="87"/>
        <v>numdiscr</v>
      </c>
      <c r="P15" s="14" t="str">
        <f t="shared" ca="1" si="88"/>
        <v>Zmienna ciągła, ale dyskretna</v>
      </c>
      <c r="Q15" s="14" t="str">
        <f ca="1">IF($H15,ADDRESS(3,D15+1,4,,"["&amp;wew!$G$7&amp;"]"&amp;_sheetname_dataframe)&amp;":"&amp;ADDRESS(2+ster!$C$14,D15+1,4),"")</f>
        <v>'[dane surowe2d.xlsm]data_frame'!N3:N12</v>
      </c>
      <c r="R15" s="14">
        <f t="array" aca="1" ref="R15" ca="1">IF(H15,SUM(IF((IFERROR(INDIRECT(Q15)&lt;&gt;"",FALSE))*(INDIRECT(ster!$D$14)&lt;&gt;""),1,0)),"")</f>
        <v>9</v>
      </c>
      <c r="S15" s="14">
        <f t="array" aca="1" ref="S15" ca="1">IF(H15,IF(M15&gt;0,SUM(IFERROR(1*(MATCH(INDIRECT(Q15),INDIRECT(K15),0)&gt;0),0)*(INDIRECT(ster!$D$14)&lt;&gt;"")*NOT(ISNUMBER(INDIRECT(Q15)))),0),"")</f>
        <v>0</v>
      </c>
      <c r="T15" s="14">
        <f t="array" aca="1" ref="T15" ca="1">IF(H15,SUM((IFERROR(INDIRECT(Q15)="",FALSE))*(INDIRECT(ster!$D$14)&lt;&gt;"")),"")</f>
        <v>0</v>
      </c>
      <c r="U15" s="14">
        <f t="array" aca="1" ref="U15" ca="1">IF(H15,SUM((IFERROR(INDIRECT(Q15)="#ąś",TRUE))*(INDIRECT(ster!$D$14)&lt;&gt;"")),"")</f>
        <v>0</v>
      </c>
      <c r="V15" s="14">
        <f t="array" aca="1" ref="V15" ca="1">IF(H15,SUM(ISNUMBER(INDIRECT(Q15))*(INDIRECT(ster!$D$14)&lt;&gt;"")),"")</f>
        <v>9</v>
      </c>
      <c r="W15" s="14">
        <f t="array" aca="1" ref="W15" ca="1">IF(AND(H15,V15&gt;0),IF(wew!$B$3,MIN(IF((INDIRECT(ster!$D$14)&lt;&gt;"")*IFERROR(INDIRECT($Q15)&lt;&gt;"",FALSE),IFERROR(INDIRECT($Q15),"X"),"X")),"&lt;włącz podświetlanie wartości&gt;"),"—")</f>
        <v>0.14000000000000001</v>
      </c>
      <c r="X15" s="14">
        <f t="array" aca="1" ref="X15" ca="1">IF(AND(H15,V15&gt;0),IF(wew!$B$3,MAX(IF((INDIRECT(ster!$D$14)&lt;&gt;"")*IFERROR(INDIRECT($Q15)&lt;&gt;"",FALSE),IFERROR(INDIRECT($Q15),"X"),"X")),"&lt;włącz podświetlanie wartości&gt;"),"—")</f>
        <v>6</v>
      </c>
      <c r="Y15" s="14">
        <f t="shared" ca="1" si="89"/>
        <v>0</v>
      </c>
      <c r="Z15" s="12">
        <f t="shared" ca="1" si="90"/>
        <v>1</v>
      </c>
      <c r="AA15" s="17">
        <f t="array" aca="1" ref="AA15" ca="1">IF(H15,IF(V15&gt;0,SUM((INDIRECT(ster!$D$14)&lt;&gt;"")*IFERROR((INDIRECT(Q15)&lt;&gt;"")*(INDIRECT(Q15)=INT(INDIRECT(Q15))),0)),0),"")</f>
        <v>7</v>
      </c>
      <c r="AB15" s="17">
        <f t="array" aca="1" ref="AB15" ca="1">IF(H15,V15-AA15,"")</f>
        <v>2</v>
      </c>
      <c r="AC15" s="17">
        <f t="shared" ca="1" si="91"/>
        <v>3</v>
      </c>
      <c r="AD15" s="17" t="b">
        <f t="shared" ca="1" si="92"/>
        <v>0</v>
      </c>
      <c r="AE15" s="17" t="str">
        <f ca="1">IF(AD15,IF($H15,ADDRESS(3,D15+2,4,,"["&amp;wew!$G$7&amp;"]"&amp;_sheetname_dataframe)&amp;":"&amp;ADDRESS(2+ster!$C$14,D15+2,4),""),"")</f>
        <v/>
      </c>
      <c r="AF15" s="17" t="str">
        <f t="shared" ca="1" si="93"/>
        <v/>
      </c>
      <c r="AG15" s="17" t="b">
        <f t="shared" ca="1" si="94"/>
        <v>0</v>
      </c>
      <c r="AH15" s="17" t="str">
        <f ca="1">IF(AG15,IF($H15,ADDRESS(3,D15+3,4,,"["&amp;wew!$G$7&amp;"]"&amp;_sheetname_dataframe)&amp;":"&amp;ADDRESS(2+ster!$C$14,D15+3,4),""),"")</f>
        <v/>
      </c>
      <c r="AI15" s="17" t="str">
        <f t="shared" ca="1" si="95"/>
        <v/>
      </c>
      <c r="AJ15" s="17" t="b">
        <f t="shared" ca="1" si="96"/>
        <v>1</v>
      </c>
      <c r="AK15" s="17" t="b">
        <f t="shared" ca="1" si="97"/>
        <v>0</v>
      </c>
      <c r="AL15" s="17" t="b">
        <f t="shared" ca="1" si="98"/>
        <v>1</v>
      </c>
      <c r="AM15" s="17">
        <f t="shared" ca="1" si="99"/>
        <v>2</v>
      </c>
      <c r="AN15" s="24" t="str">
        <f t="shared" ca="1" si="100"/>
        <v/>
      </c>
      <c r="AO15" s="24" t="str">
        <f t="shared" ca="1" si="101"/>
        <v/>
      </c>
      <c r="AP15" s="17" t="b">
        <f t="shared" ca="1" si="102"/>
        <v>1</v>
      </c>
      <c r="AQ15" s="17" t="b">
        <f t="shared" ca="1" si="103"/>
        <v>0</v>
      </c>
      <c r="AR15" s="17" t="b">
        <f t="shared" ca="1" si="104"/>
        <v>0</v>
      </c>
      <c r="AS15" s="17" t="b">
        <f t="shared" ca="1" si="105"/>
        <v>0</v>
      </c>
      <c r="AT15" s="17" t="b">
        <f t="shared" ca="1" si="106"/>
        <v>1</v>
      </c>
      <c r="AU15" s="17" t="b">
        <f t="shared" ca="1" si="107"/>
        <v>0</v>
      </c>
      <c r="AV15" s="17" t="b">
        <f t="shared" ca="1" si="108"/>
        <v>1</v>
      </c>
      <c r="AW15" s="14" t="b">
        <f t="array" aca="1" ref="AW15" ca="1">IF(H15,N15&gt;0,"")</f>
        <v>0</v>
      </c>
      <c r="AX15" s="17" t="str">
        <f t="shared" ca="1" si="20"/>
        <v/>
      </c>
      <c r="AY15" s="17" t="str">
        <f t="array" aca="1" ref="AY15" ca="1">IF(AX15&lt;&gt;"",SUM(1*ISERROR(MATCH(INDIRECT(AX15),INDIRECT(K15),0)))=0,"")</f>
        <v/>
      </c>
      <c r="AZ15" s="17" t="b">
        <f t="shared" ca="1" si="109"/>
        <v>0</v>
      </c>
      <c r="BA15" s="17" t="str">
        <f t="shared" ca="1" si="110"/>
        <v/>
      </c>
      <c r="BB15" s="17" t="str">
        <f t="shared" ca="1" si="111"/>
        <v/>
      </c>
      <c r="BC15" s="17" t="str">
        <f t="shared" ca="1" si="112"/>
        <v/>
      </c>
      <c r="BD15" s="17" t="str">
        <f t="shared" ca="1" si="113"/>
        <v/>
      </c>
      <c r="BE15" s="17" t="str">
        <f t="shared" ca="1" si="114"/>
        <v/>
      </c>
      <c r="BF15" s="17" t="str">
        <f t="shared" ca="1" si="115"/>
        <v/>
      </c>
      <c r="BG15" s="17" t="str">
        <f t="shared" ca="1" si="116"/>
        <v/>
      </c>
      <c r="BH15" s="17" t="str">
        <f t="shared" ca="1" si="117"/>
        <v/>
      </c>
      <c r="BI15" s="17" t="b">
        <f t="shared" ca="1" si="118"/>
        <v>1</v>
      </c>
      <c r="BJ15" s="17" t="b">
        <f t="shared" ca="1" si="119"/>
        <v>0</v>
      </c>
      <c r="BK15" s="17" t="b">
        <f t="shared" ca="1" si="120"/>
        <v>1</v>
      </c>
      <c r="BL15" s="17" t="str">
        <f t="shared" ca="1" si="121"/>
        <v>N</v>
      </c>
      <c r="BM15" s="17" t="str">
        <f t="shared" ca="1" si="122"/>
        <v>E</v>
      </c>
      <c r="BN15" s="17" t="str">
        <f t="shared" ca="1" si="123"/>
        <v>I</v>
      </c>
      <c r="BO15" s="14" t="b">
        <f t="shared" ca="1" si="124"/>
        <v>1</v>
      </c>
      <c r="BP15" s="15">
        <v>1</v>
      </c>
      <c r="BS15" s="14" t="s">
        <v>388</v>
      </c>
      <c r="BV15" s="16"/>
      <c r="BW15" s="16"/>
      <c r="BX15" s="16"/>
      <c r="BY15" s="16">
        <v>1</v>
      </c>
      <c r="BZ15" s="16"/>
      <c r="CA15" s="16"/>
      <c r="CB15" s="16"/>
      <c r="CC15" s="16"/>
      <c r="CD15" s="16"/>
      <c r="CL15" s="14">
        <f ca="1">IF(H15,IFERROR(IsVariableNameLegal(O15),0),0)</f>
        <v>0</v>
      </c>
      <c r="CM15" s="14" t="str">
        <f t="array" aca="1" ref="CM15" ca="1">IF(H15,IF(COUNTIF(INDIRECT(wew!$C$13),O15)&gt;1,TRIM(SUBSTITUTE(_xll.MCONCAT(IF((INDIRECT(wew!$C$13)=O15)*(COLUMN(INDIRECT(wew!$C$13))&lt;&gt;D15+1),-1+COLUMN(INDIRECT(wew!$C$13)),"")," "),"  "," ")),""),"")</f>
        <v/>
      </c>
      <c r="CN15" s="14" t="str">
        <f t="array" aca="1" ref="CN15" ca="1">IF(P15&lt;&gt;"",IF(LEN(P15)&gt;150,1,""),"")</f>
        <v/>
      </c>
      <c r="CO15" s="14" t="str">
        <f t="array" aca="1" ref="CO15" ca="1">IF(AND(H15,NOT(ster!$J$3)),IF(COUNTIF(INDIRECT(wew!$C$15),P15)&gt;1,TRIM(SUBSTITUTE(_xll.MCONCAT(IF((INDIRECT(wew!$C$15)=P15)*(COLUMN(INDIRECT(wew!$C$15))&lt;&gt;D15+1),-1+COLUMN(INDIRECT(wew!$C$15)),"")," "),"  "," ")),""),"")</f>
        <v/>
      </c>
      <c r="CP15" s="14" t="str">
        <f t="array" aca="1" ref="CP15" ca="1">IF(H15,IF(AND(V15&gt;0,AN15&lt;&gt;""),TRIM(SUBSTITUTE(_xll.MCONCAT(IFERROR(IF(ISNUMBER(INDIRECT(Q15)),IF((INDIRECT(ster!$D$14)&lt;&gt;"")*(INDIRECT(Q15)&lt;AN15),INDIRECT(ster!$D$14) &amp; ": " &amp;  SUBSTITUTE(IF( AU15,IFERROR(TEXT(INDIRECT(Q15),"rrrr-mm-dd") &amp;" (" &amp; INDIRECT(Q15) &amp;")",INDIRECT(Q15)),INDIRECT(Q15))," "," "),""),""),"")," "),"  "," ")),""),"")</f>
        <v/>
      </c>
      <c r="CQ15" s="14" t="str">
        <f t="array" aca="1" ref="CQ15" ca="1">IF(H15,IF(AND(V15&gt;0,AO15&lt;&gt;""),TRIM(SUBSTITUTE(_xll.MCONCAT(IFERROR(IF(ISNUMBER(INDIRECT(Q15)),IF((INDIRECT(ster!$D$14)&lt;&gt;"")*(INDIRECT(Q15)&gt;AO15),INDIRECT(ster!$D$14) &amp; ": " &amp;  SUBSTITUTE(IF( AU15,IFERROR(TEXT(INDIRECT(Q15),"rrrr-mm-dd")&amp;" (" &amp; INDIRECT(Q15) &amp;")",INDIRECT(Q15)),INDIRECT(Q15))," "," "),""),""),"")," "),"  "," ")),""),"")</f>
        <v/>
      </c>
      <c r="CR15" s="14" t="str">
        <f t="array" aca="1" ref="CR15" ca="1">IF(H15,IF(AND(N15&gt;0,AQ15),TRIM(SUBSTITUTE(_xll.MCONCAT(IFERROR(IF(ISNUMBER(INDIRECT(Q15)),IF((INDIRECT(ster!$D$14)&lt;&gt;"")*(IFERROR(0*(MATCH(INDIRECT(Q15),INDIRECT(K15),0)&gt;0),1)),INDIRECT(ster!$D$14) &amp; ": " &amp;  SUBSTITUTE(IF( AU15,IFERROR(TEXT(INDIRECT(Q15),"rrrr-mm-dd")&amp;" (" &amp; INDIRECT(Q15) &amp;")",INDIRECT(Q15)),INDIRECT(Q15))," "," "),""),""),"")," "),"  "," ")),""),"")</f>
        <v/>
      </c>
      <c r="CS15" s="14" t="str">
        <f t="array" aca="1" ref="CS15" ca="1">IF(H15,IF(AND(U15&gt;0),TRIM(SUBSTITUTE(_xll.MCONCAT(IF((INDIRECT(ster!$D$14)&lt;&gt;"")*(IFERROR(0*(INDIRECT(Q15)&lt;&gt;""),1)),INDIRECT(ster!$D$14),"")," "),"  "," ")),""),"")</f>
        <v/>
      </c>
      <c r="CT15" s="14" t="str">
        <f t="array" aca="1" ref="CT15" ca="1">IF(H15,IF(AR15,
TRIM(SUBSTITUTE(_xll.MCONCAT(IF(
   (INDIRECT(ster!$D$14)&lt;&gt;"")*
   ((INDIRECT(Q15)="")+
      NOT(ISNUMBER(INDIRECT(Q15)))*
      NOT(ISERROR(MATCH(INDIRECT(Q15),INDIRECT(K15),0)))
    ),
      INDIRECT(ster!$D$14),
   "")," "),"  "," ")),
""),"")</f>
        <v/>
      </c>
      <c r="CU15" s="14" t="str">
        <f t="array" aca="1" ref="CU15" ca="1">IF(H15,IF(AND(AP15),TRIM(SUBSTITUTE(_xll.MCONCAT(IFERROR(IF(ISNUMBER(INDIRECT(Q15)),IF((INDIRECT(ster!$D$14)&lt;&gt;"")*(INDIRECT(Q15)&lt;&gt;INT(INDIRECT(Q15))),INDIRECT(ster!$D$14) &amp; ": " &amp; INDIRECT(Q15),""),""),"")," "),"  "," ")),""),"")</f>
        <v>WAW1: 0,14 LAB3: 0,98</v>
      </c>
      <c r="CV15" s="14" t="str">
        <f t="array" aca="1" ref="CV15" ca="1">IF(H15,IF(OR(AT15,AU15),TRIM(SUBSTITUTE(_xll.MCONCAT(IF((INDIRECT(ster!$D$14)&lt;&gt;"")*NOT(ISNUMBER(INDIRECT(Q15))),IF(ISERROR(MATCH(INDIRECT(Q15),INDIRECT(K15),0)),IFERROR(IF(INDIRECT(Q15)&lt;&gt;"",INDIRECT(ster!$D$14) &amp; ": " &amp; SUBSTITUTE(INDIRECT(Q15)," "," "),""),""),""),"")," "),"  "," ")),""),"")</f>
        <v/>
      </c>
      <c r="CW15" s="14" t="str">
        <f t="array" aca="1" ref="CW15" ca="1">IF(H15,IF(AD15,TRIM(SUBSTITUTE(_xll.MCONCAT(IF((INDIRECT(ster!$D$14)&lt;&gt;"")*IFERROR(NOT(INDIRECT(AE15)),FALSE),IF(ISERROR(MATCH(INDIRECT(Q15),INDIRECT(K15),0)),IFERROR(IF(INDIRECT(Q15)&lt;&gt;"",INDIRECT(ster!$D$14) &amp; ": " &amp;  SUBSTITUTE(IF( AU15,IFERROR(TEXT(INDIRECT(Q15),"rrrr-mm-dd")&amp;" (" &amp; INDIRECT(Q15) &amp;")",INDIRECT(Q15)),INDIRECT(Q15))," "," "),""),""),""),"")," "),"  "," ")),""),"")</f>
        <v/>
      </c>
      <c r="CX15" s="14" t="str">
        <f t="array" aca="1" ref="CX15" ca="1">IF(H15,IF(AG15,TRIM(SUBSTITUTE(_xll.MCONCAT(IF((INDIRECT(ster!$D$14)&lt;&gt;"")*IFERROR(NOT(INDIRECT(AH15)),FALSE),IF(ISERROR(MATCH(INDIRECT(Q15),INDIRECT(K15),0)),IFERROR(IF(INDIRECT(Q15)&lt;&gt;"",INDIRECT(ster!$D$14) &amp; ": " &amp;  SUBSTITUTE(IF( AU15,IFERROR(TEXT(INDIRECT(Q15),"rrrr-mm-dd")&amp;" (" &amp; INDIRECT(Q15) &amp;")",INDIRECT(Q15)),INDIRECT(Q15))," "," "),""),""),""),"")," "),"  "," ")),""),"")</f>
        <v/>
      </c>
      <c r="DA15" s="14" t="str">
        <f ca="1">SUBSTITUTE(SUBSTITUTE(SUBSTITUTE(SUBSTITUTE(_xll.MCONCAT(DE15:DQ15,"■"),"■■","■"),"■■","■"),"■■","■"),"■■","■")</f>
        <v>■The following cases have non-integer values: WAW1: 0,14, LAB3: 0,98■</v>
      </c>
      <c r="DB15" s="14" t="str">
        <f t="shared" ca="1" si="125"/>
        <v>The following cases have non-integer values: WAW1: 0,14, LAB3: 0,98■</v>
      </c>
      <c r="DC15" s="14" t="str">
        <f t="shared" ca="1" si="126"/>
        <v>The following cases have non-integer values: WAW1: 0,14, LAB3: 0,98</v>
      </c>
      <c r="DD15" s="14" t="str">
        <f t="shared" ca="1" si="127"/>
        <v>The following cases have non-integer values: WAW1: 0,14, LAB3: 0,98</v>
      </c>
      <c r="DE15" s="14" t="str">
        <f t="shared" ca="1" si="128"/>
        <v/>
      </c>
      <c r="DF15" s="14" t="str">
        <f t="shared" ca="1" si="129"/>
        <v/>
      </c>
      <c r="DG15" s="14" t="str">
        <f t="shared" ca="1" si="130"/>
        <v/>
      </c>
      <c r="DH15" s="14" t="str">
        <f t="shared" ca="1" si="131"/>
        <v/>
      </c>
      <c r="DI15" s="14" t="str">
        <f t="shared" ca="1" si="132"/>
        <v/>
      </c>
      <c r="DJ15" s="14" t="str">
        <f t="shared" ca="1" si="133"/>
        <v/>
      </c>
      <c r="DK15" s="14" t="str">
        <f t="shared" ca="1" si="134"/>
        <v/>
      </c>
      <c r="DL15" s="14" t="str">
        <f t="array" aca="1" ref="DL15" ca="1">IF(CS15&lt;&gt;"","There are errors in the entered values in the following cases: " &amp;SUBSTITUTE(CS15," ",", "),"")</f>
        <v/>
      </c>
      <c r="DM15" s="14" t="str">
        <f t="shared" ca="1" si="135"/>
        <v/>
      </c>
      <c r="DN15" s="14" t="str">
        <f t="shared" ca="1" si="136"/>
        <v>The following cases have non-integer values: WAW1: 0,14, LAB3: 0,98</v>
      </c>
      <c r="DO15" s="14" t="str">
        <f t="shared" ca="1" si="137"/>
        <v/>
      </c>
      <c r="DP15" s="14" t="str">
        <f t="shared" ca="1" si="138"/>
        <v/>
      </c>
      <c r="DQ15" s="14" t="str">
        <f t="shared" ca="1" si="139"/>
        <v/>
      </c>
      <c r="DX15" s="14" t="b">
        <f t="shared" ca="1" si="140"/>
        <v>0</v>
      </c>
      <c r="DY15" s="14" t="str">
        <f t="shared" ca="1" si="141"/>
        <v>Zmienna ciągła, ale dyskretna (numdiscr)</v>
      </c>
      <c r="DZ15" s="14" t="str">
        <f t="shared" ca="1" si="142"/>
        <v xml:space="preserve">Values must be integers. </v>
      </c>
      <c r="EA15" s="14" t="str">
        <f t="shared" ca="1" si="143"/>
        <v xml:space="preserve">Zmienna ciągła, ale dyskretna (numdiscr): Values must be integers. </v>
      </c>
      <c r="EB15" s="14" t="str">
        <f t="shared" ca="1" si="144"/>
        <v/>
      </c>
      <c r="EC15" s="14" t="str">
        <f t="shared" ca="1" si="145"/>
        <v>Values must be integers</v>
      </c>
      <c r="ED15" s="14" t="str">
        <f t="shared" ca="1" si="146"/>
        <v/>
      </c>
      <c r="EE15" s="14" t="str">
        <f t="shared" ca="1" si="147"/>
        <v/>
      </c>
      <c r="EK15" s="14" t="b">
        <f t="shared" ca="1" si="148"/>
        <v>1</v>
      </c>
      <c r="EL15" s="14">
        <f t="shared" ca="1" si="149"/>
        <v>12</v>
      </c>
      <c r="EM15" s="14" t="str">
        <f t="shared" ca="1" si="150"/>
        <v>numdiscr</v>
      </c>
      <c r="EN15" s="14" t="str">
        <f t="shared" ca="1" si="151"/>
        <v xml:space="preserve">Zmienna ciągła, ale dyskretna (numdiscr): Values must be integers. </v>
      </c>
      <c r="EO15" s="14" t="str">
        <f t="shared" ca="1" si="152"/>
        <v>The following cases have non-integer values: WAW1: 0,14, LAB3: 0,98</v>
      </c>
    </row>
    <row r="16" spans="1:145" s="14" customFormat="1">
      <c r="B16" s="14" t="str">
        <f t="shared" ca="1" si="78"/>
        <v>The following cases are non-numeric: WAW3: x</v>
      </c>
      <c r="C16" s="14">
        <f t="shared" ca="1" si="79"/>
        <v>13</v>
      </c>
      <c r="D16" s="14">
        <f t="shared" si="80"/>
        <v>14</v>
      </c>
      <c r="E16" s="14" t="str">
        <f t="shared" ca="1" si="81"/>
        <v>S</v>
      </c>
      <c r="F16" s="14" t="str">
        <f t="shared" ca="1" si="82"/>
        <v>dat1</v>
      </c>
      <c r="G16" s="14" t="str">
        <f t="shared" ca="1" si="83"/>
        <v>Taka moja data</v>
      </c>
      <c r="H16" s="14" t="b">
        <f t="shared" ca="1" si="84"/>
        <v>1</v>
      </c>
      <c r="I16" s="14" t="str">
        <f ca="1">IF($H16,ADDRESS(3,(D16+1)*2-1,4,,"["&amp;wew!$G$7&amp;"]"&amp;_sheetname_labels)&amp;":"&amp;ADDRESS(2+ster!$B$20,(D16+1)*2-1,4),"")</f>
        <v>'[dane surowe2d.xlsm]labels'!AC3:AC36</v>
      </c>
      <c r="J16" s="14">
        <f t="array" aca="1" ref="J16" ca="1">IF(H16,MAX(0,MAX(IF(INDIRECT(I16)&lt;&gt;"",ROW(INDIRECT(I16)),""))-2),"")</f>
        <v>0</v>
      </c>
      <c r="K16" s="14" t="str">
        <f ca="1">IF($H16,IF($J16&gt;0,ADDRESS(3,(D16+1)*2-1,4,,"["&amp;wew!$G$7&amp;"]"&amp;_sheetname_labels)&amp;":"&amp;ADDRESS(2+J16,(D16+1)*2-1,4),""),"")</f>
        <v/>
      </c>
      <c r="L16" s="14" t="str">
        <f ca="1">IF($H16,IF($J16&gt;0,ADDRESS(3,(D16+1)*2,4,,"["&amp;wew!$G$7&amp;"]"&amp;_sheetname_labels)&amp;":"&amp;ADDRESS(2+J16,(D16+1)*2,4),""),"")</f>
        <v/>
      </c>
      <c r="M16" s="14">
        <f t="shared" ca="1" si="85"/>
        <v>0</v>
      </c>
      <c r="N16" s="14">
        <f t="shared" ca="1" si="86"/>
        <v>0</v>
      </c>
      <c r="O16" s="14" t="str">
        <f t="shared" ca="1" si="87"/>
        <v>dat1</v>
      </c>
      <c r="P16" s="14" t="str">
        <f t="shared" ca="1" si="88"/>
        <v>Taka moja data</v>
      </c>
      <c r="Q16" s="14" t="str">
        <f ca="1">IF($H16,ADDRESS(3,D16+1,4,,"["&amp;wew!$G$7&amp;"]"&amp;_sheetname_dataframe)&amp;":"&amp;ADDRESS(2+ster!$C$14,D16+1,4),"")</f>
        <v>'[dane surowe2d.xlsm]data_frame'!O3:O12</v>
      </c>
      <c r="R16" s="14">
        <f t="array" aca="1" ref="R16" ca="1">IF(H16,SUM(IF((IFERROR(INDIRECT(Q16)&lt;&gt;"",FALSE))*(INDIRECT(ster!$D$14)&lt;&gt;""),1,0)),"")</f>
        <v>6</v>
      </c>
      <c r="S16" s="14">
        <f t="array" aca="1" ref="S16" ca="1">IF(H16,IF(M16&gt;0,SUM(IFERROR(1*(MATCH(INDIRECT(Q16),INDIRECT(K16),0)&gt;0),0)*(INDIRECT(ster!$D$14)&lt;&gt;"")*NOT(ISNUMBER(INDIRECT(Q16)))),0),"")</f>
        <v>0</v>
      </c>
      <c r="T16" s="14">
        <f t="array" aca="1" ref="T16" ca="1">IF(H16,SUM((IFERROR(INDIRECT(Q16)="",FALSE))*(INDIRECT(ster!$D$14)&lt;&gt;"")),"")</f>
        <v>3</v>
      </c>
      <c r="U16" s="14">
        <f t="array" aca="1" ref="U16" ca="1">IF(H16,SUM((IFERROR(INDIRECT(Q16)="#ąś",TRUE))*(INDIRECT(ster!$D$14)&lt;&gt;"")),"")</f>
        <v>0</v>
      </c>
      <c r="V16" s="14">
        <f t="array" aca="1" ref="V16" ca="1">IF(H16,SUM(ISNUMBER(INDIRECT(Q16))*(INDIRECT(ster!$D$14)&lt;&gt;"")),"")</f>
        <v>5</v>
      </c>
      <c r="W16" s="14">
        <f t="array" aca="1" ref="W16" ca="1">IF(AND(H16,V16&gt;0),IF(wew!$B$3,MIN(IF((INDIRECT(ster!$D$14)&lt;&gt;"")*IFERROR(INDIRECT($Q16)&lt;&gt;"",FALSE),IFERROR(INDIRECT($Q16),"X"),"X")),"&lt;włącz podświetlanie wartości&gt;"),"—")</f>
        <v>38</v>
      </c>
      <c r="X16" s="14">
        <f t="array" aca="1" ref="X16" ca="1">IF(AND(H16,V16&gt;0),IF(wew!$B$3,MAX(IF((INDIRECT(ster!$D$14)&lt;&gt;"")*IFERROR(INDIRECT($Q16)&lt;&gt;"",FALSE),IFERROR(INDIRECT($Q16),"X"),"X")),"&lt;włącz podświetlanie wartości&gt;"),"—")</f>
        <v>42773</v>
      </c>
      <c r="Y16" s="14">
        <f t="shared" ca="1" si="89"/>
        <v>1</v>
      </c>
      <c r="Z16" s="12">
        <f t="shared" ca="1" si="90"/>
        <v>0.83333333333333337</v>
      </c>
      <c r="AA16" s="17">
        <f t="array" aca="1" ref="AA16" ca="1">IF(H16,IF(V16&gt;0,SUM((INDIRECT(ster!$D$14)&lt;&gt;"")*IFERROR((INDIRECT(Q16)&lt;&gt;"")*(INDIRECT(Q16)=INT(INDIRECT(Q16))),0)),0),"")</f>
        <v>5</v>
      </c>
      <c r="AB16" s="17">
        <f t="array" aca="1" ref="AB16" ca="1">IF(H16,V16-AA16,"")</f>
        <v>0</v>
      </c>
      <c r="AC16" s="17">
        <f t="shared" ca="1" si="91"/>
        <v>1</v>
      </c>
      <c r="AD16" s="17" t="b">
        <f t="shared" ca="1" si="92"/>
        <v>0</v>
      </c>
      <c r="AE16" s="17" t="str">
        <f ca="1">IF(AD16,IF($H16,ADDRESS(3,D16+2,4,,"["&amp;wew!$G$7&amp;"]"&amp;_sheetname_dataframe)&amp;":"&amp;ADDRESS(2+ster!$C$14,D16+2,4),""),"")</f>
        <v/>
      </c>
      <c r="AF16" s="17" t="str">
        <f t="shared" ca="1" si="93"/>
        <v/>
      </c>
      <c r="AG16" s="17" t="b">
        <f t="shared" ca="1" si="94"/>
        <v>0</v>
      </c>
      <c r="AH16" s="17" t="str">
        <f ca="1">IF(AG16,IF($H16,ADDRESS(3,D16+3,4,,"["&amp;wew!$G$7&amp;"]"&amp;_sheetname_dataframe)&amp;":"&amp;ADDRESS(2+ster!$C$14,D16+3,4),""),"")</f>
        <v/>
      </c>
      <c r="AI16" s="17" t="str">
        <f t="shared" ca="1" si="95"/>
        <v/>
      </c>
      <c r="AJ16" s="17" t="b">
        <f t="shared" ca="1" si="96"/>
        <v>0</v>
      </c>
      <c r="AK16" s="17" t="b">
        <f t="shared" ca="1" si="97"/>
        <v>0</v>
      </c>
      <c r="AL16" s="17" t="b">
        <f t="shared" ca="1" si="98"/>
        <v>1</v>
      </c>
      <c r="AM16" s="17">
        <f t="shared" ca="1" si="99"/>
        <v>0</v>
      </c>
      <c r="AN16" s="24" t="str">
        <f t="shared" ca="1" si="100"/>
        <v/>
      </c>
      <c r="AO16" s="24" t="str">
        <f t="shared" ca="1" si="101"/>
        <v/>
      </c>
      <c r="AP16" s="17" t="b">
        <f t="shared" ca="1" si="102"/>
        <v>0</v>
      </c>
      <c r="AQ16" s="17" t="b">
        <f t="shared" ca="1" si="103"/>
        <v>0</v>
      </c>
      <c r="AR16" s="17" t="b">
        <f t="shared" ca="1" si="104"/>
        <v>0</v>
      </c>
      <c r="AS16" s="17" t="b">
        <f t="shared" ca="1" si="105"/>
        <v>0</v>
      </c>
      <c r="AT16" s="17" t="b">
        <f t="shared" ca="1" si="106"/>
        <v>0</v>
      </c>
      <c r="AU16" s="17" t="b">
        <f t="shared" ca="1" si="107"/>
        <v>1</v>
      </c>
      <c r="AV16" s="17" t="b">
        <f t="shared" ca="1" si="108"/>
        <v>0</v>
      </c>
      <c r="AW16" s="14" t="b">
        <f t="array" aca="1" ref="AW16" ca="1">IF(H16,N16&gt;0,"")</f>
        <v>0</v>
      </c>
      <c r="AX16" s="17" t="str">
        <f t="shared" ca="1" si="20"/>
        <v/>
      </c>
      <c r="AY16" s="17" t="str">
        <f t="array" aca="1" ref="AY16" ca="1">IF(AX16&lt;&gt;"",SUM(1*ISERROR(MATCH(INDIRECT(AX16),INDIRECT(K16),0)))=0,"")</f>
        <v/>
      </c>
      <c r="AZ16" s="17" t="b">
        <f t="shared" ca="1" si="109"/>
        <v>0</v>
      </c>
      <c r="BA16" s="17" t="str">
        <f t="shared" ca="1" si="110"/>
        <v/>
      </c>
      <c r="BB16" s="17" t="str">
        <f t="shared" ca="1" si="111"/>
        <v/>
      </c>
      <c r="BC16" s="17" t="str">
        <f t="shared" ca="1" si="112"/>
        <v/>
      </c>
      <c r="BD16" s="17" t="str">
        <f t="shared" ca="1" si="113"/>
        <v/>
      </c>
      <c r="BE16" s="17" t="str">
        <f t="shared" ca="1" si="114"/>
        <v/>
      </c>
      <c r="BF16" s="17" t="str">
        <f t="shared" ca="1" si="115"/>
        <v/>
      </c>
      <c r="BG16" s="17" t="str">
        <f t="shared" ca="1" si="116"/>
        <v/>
      </c>
      <c r="BH16" s="17" t="str">
        <f t="shared" ca="1" si="117"/>
        <v/>
      </c>
      <c r="BI16" s="17" t="b">
        <f t="shared" ca="1" si="118"/>
        <v>1</v>
      </c>
      <c r="BJ16" s="17" t="str">
        <f t="shared" ca="1" si="119"/>
        <v/>
      </c>
      <c r="BK16" s="17" t="str">
        <f t="shared" ca="1" si="120"/>
        <v/>
      </c>
      <c r="BL16" s="17" t="str">
        <f t="shared" ca="1" si="121"/>
        <v>D</v>
      </c>
      <c r="BM16" s="17" t="str">
        <f t="shared" ca="1" si="122"/>
        <v>E</v>
      </c>
      <c r="BN16" s="17" t="str">
        <f t="shared" ca="1" si="123"/>
        <v>I</v>
      </c>
      <c r="BO16" s="14" t="b">
        <f t="shared" ca="1" si="124"/>
        <v>1</v>
      </c>
      <c r="BP16" s="15">
        <v>1</v>
      </c>
      <c r="BS16" s="14" t="s">
        <v>389</v>
      </c>
      <c r="BV16" s="16"/>
      <c r="BW16" s="16"/>
      <c r="BX16" s="16"/>
      <c r="BY16" s="16"/>
      <c r="BZ16" s="16"/>
      <c r="CA16" s="16"/>
      <c r="CB16" s="16"/>
      <c r="CC16" s="16"/>
      <c r="CD16" s="16"/>
      <c r="CL16" s="14">
        <f ca="1">IF(H16,IFERROR(IsVariableNameLegal(O16),0),0)</f>
        <v>0</v>
      </c>
      <c r="CM16" s="14" t="str">
        <f t="array" aca="1" ref="CM16" ca="1">IF(H16,IF(COUNTIF(INDIRECT(wew!$C$13),O16)&gt;1,TRIM(SUBSTITUTE(_xll.MCONCAT(IF((INDIRECT(wew!$C$13)=O16)*(COLUMN(INDIRECT(wew!$C$13))&lt;&gt;D16+1),-1+COLUMN(INDIRECT(wew!$C$13)),"")," "),"  "," ")),""),"")</f>
        <v/>
      </c>
      <c r="CN16" s="14" t="str">
        <f t="array" aca="1" ref="CN16" ca="1">IF(P16&lt;&gt;"",IF(LEN(P16)&gt;150,1,""),"")</f>
        <v/>
      </c>
      <c r="CO16" s="14" t="str">
        <f t="array" aca="1" ref="CO16" ca="1">IF(AND(H16,NOT(ster!$J$3)),IF(COUNTIF(INDIRECT(wew!$C$15),P16)&gt;1,TRIM(SUBSTITUTE(_xll.MCONCAT(IF((INDIRECT(wew!$C$15)=P16)*(COLUMN(INDIRECT(wew!$C$15))&lt;&gt;D16+1),-1+COLUMN(INDIRECT(wew!$C$15)),"")," "),"  "," ")),""),"")</f>
        <v/>
      </c>
      <c r="CP16" s="14" t="str">
        <f t="array" aca="1" ref="CP16" ca="1">IF(H16,IF(AND(V16&gt;0,AN16&lt;&gt;""),TRIM(SUBSTITUTE(_xll.MCONCAT(IFERROR(IF(ISNUMBER(INDIRECT(Q16)),IF((INDIRECT(ster!$D$14)&lt;&gt;"")*(INDIRECT(Q16)&lt;AN16),INDIRECT(ster!$D$14) &amp; ": " &amp;  SUBSTITUTE(IF( AU16,IFERROR(TEXT(INDIRECT(Q16),"rrrr-mm-dd") &amp;" (" &amp; INDIRECT(Q16) &amp;")",INDIRECT(Q16)),INDIRECT(Q16))," "," "),""),""),"")," "),"  "," ")),""),"")</f>
        <v/>
      </c>
      <c r="CQ16" s="14" t="str">
        <f t="array" aca="1" ref="CQ16" ca="1">IF(H16,IF(AND(V16&gt;0,AO16&lt;&gt;""),TRIM(SUBSTITUTE(_xll.MCONCAT(IFERROR(IF(ISNUMBER(INDIRECT(Q16)),IF((INDIRECT(ster!$D$14)&lt;&gt;"")*(INDIRECT(Q16)&gt;AO16),INDIRECT(ster!$D$14) &amp; ": " &amp;  SUBSTITUTE(IF( AU16,IFERROR(TEXT(INDIRECT(Q16),"rrrr-mm-dd")&amp;" (" &amp; INDIRECT(Q16) &amp;")",INDIRECT(Q16)),INDIRECT(Q16))," "," "),""),""),"")," "),"  "," ")),""),"")</f>
        <v/>
      </c>
      <c r="CR16" s="14" t="str">
        <f t="array" aca="1" ref="CR16" ca="1">IF(H16,IF(AND(N16&gt;0,AQ16),TRIM(SUBSTITUTE(_xll.MCONCAT(IFERROR(IF(ISNUMBER(INDIRECT(Q16)),IF((INDIRECT(ster!$D$14)&lt;&gt;"")*(IFERROR(0*(MATCH(INDIRECT(Q16),INDIRECT(K16),0)&gt;0),1)),INDIRECT(ster!$D$14) &amp; ": " &amp;  SUBSTITUTE(IF( AU16,IFERROR(TEXT(INDIRECT(Q16),"rrrr-mm-dd")&amp;" (" &amp; INDIRECT(Q16) &amp;")",INDIRECT(Q16)),INDIRECT(Q16))," "," "),""),""),"")," "),"  "," ")),""),"")</f>
        <v/>
      </c>
      <c r="CS16" s="14" t="str">
        <f t="array" aca="1" ref="CS16" ca="1">IF(H16,IF(AND(U16&gt;0),TRIM(SUBSTITUTE(_xll.MCONCAT(IF((INDIRECT(ster!$D$14)&lt;&gt;"")*(IFERROR(0*(INDIRECT(Q16)&lt;&gt;""),1)),INDIRECT(ster!$D$14),"")," "),"  "," ")),""),"")</f>
        <v/>
      </c>
      <c r="CT16" s="14" t="str">
        <f t="array" aca="1" ref="CT16" ca="1">IF(H16,IF(AR16,
TRIM(SUBSTITUTE(_xll.MCONCAT(IF(
   (INDIRECT(ster!$D$14)&lt;&gt;"")*
   ((INDIRECT(Q16)="")+
      NOT(ISNUMBER(INDIRECT(Q16)))*
      NOT(ISERROR(MATCH(INDIRECT(Q16),INDIRECT(K16),0)))
    ),
      INDIRECT(ster!$D$14),
   "")," "),"  "," ")),
""),"")</f>
        <v/>
      </c>
      <c r="CU16" s="14" t="str">
        <f t="array" aca="1" ref="CU16" ca="1">IF(H16,IF(AND(AP16),TRIM(SUBSTITUTE(_xll.MCONCAT(IFERROR(IF(ISNUMBER(INDIRECT(Q16)),IF((INDIRECT(ster!$D$14)&lt;&gt;"")*(INDIRECT(Q16)&lt;&gt;INT(INDIRECT(Q16))),INDIRECT(ster!$D$14) &amp; ": " &amp; INDIRECT(Q16),""),""),"")," "),"  "," ")),""),"")</f>
        <v/>
      </c>
      <c r="CV16" s="14" t="str">
        <f t="array" aca="1" ref="CV16" ca="1">IF(H16,IF(OR(AT16,AU16),TRIM(SUBSTITUTE(_xll.MCONCAT(IF((INDIRECT(ster!$D$14)&lt;&gt;"")*NOT(ISNUMBER(INDIRECT(Q16))),IF(ISERROR(MATCH(INDIRECT(Q16),INDIRECT(K16),0)),IFERROR(IF(INDIRECT(Q16)&lt;&gt;"",INDIRECT(ster!$D$14) &amp; ": " &amp; SUBSTITUTE(INDIRECT(Q16)," "," "),""),""),""),"")," "),"  "," ")),""),"")</f>
        <v>WAW3: x</v>
      </c>
      <c r="CW16" s="14" t="str">
        <f t="array" aca="1" ref="CW16" ca="1">IF(H16,IF(AD16,TRIM(SUBSTITUTE(_xll.MCONCAT(IF((INDIRECT(ster!$D$14)&lt;&gt;"")*IFERROR(NOT(INDIRECT(AE16)),FALSE),IF(ISERROR(MATCH(INDIRECT(Q16),INDIRECT(K16),0)),IFERROR(IF(INDIRECT(Q16)&lt;&gt;"",INDIRECT(ster!$D$14) &amp; ": " &amp;  SUBSTITUTE(IF( AU16,IFERROR(TEXT(INDIRECT(Q16),"rrrr-mm-dd")&amp;" (" &amp; INDIRECT(Q16) &amp;")",INDIRECT(Q16)),INDIRECT(Q16))," "," "),""),""),""),"")," "),"  "," ")),""),"")</f>
        <v/>
      </c>
      <c r="CX16" s="14" t="str">
        <f t="array" aca="1" ref="CX16" ca="1">IF(H16,IF(AG16,TRIM(SUBSTITUTE(_xll.MCONCAT(IF((INDIRECT(ster!$D$14)&lt;&gt;"")*IFERROR(NOT(INDIRECT(AH16)),FALSE),IF(ISERROR(MATCH(INDIRECT(Q16),INDIRECT(K16),0)),IFERROR(IF(INDIRECT(Q16)&lt;&gt;"",INDIRECT(ster!$D$14) &amp; ": " &amp;  SUBSTITUTE(IF( AU16,IFERROR(TEXT(INDIRECT(Q16),"rrrr-mm-dd")&amp;" (" &amp; INDIRECT(Q16) &amp;")",INDIRECT(Q16)),INDIRECT(Q16))," "," "),""),""),""),"")," "),"  "," ")),""),"")</f>
        <v/>
      </c>
      <c r="DA16" s="14" t="str">
        <f ca="1">SUBSTITUTE(SUBSTITUTE(SUBSTITUTE(SUBSTITUTE(_xll.MCONCAT(DE16:DQ16,"■"),"■■","■"),"■■","■"),"■■","■"),"■■","■")</f>
        <v>■The following cases are non-numeric: WAW3: x■</v>
      </c>
      <c r="DB16" s="14" t="str">
        <f t="shared" ca="1" si="125"/>
        <v>The following cases are non-numeric: WAW3: x■</v>
      </c>
      <c r="DC16" s="14" t="str">
        <f t="shared" ca="1" si="126"/>
        <v>The following cases are non-numeric: WAW3: x</v>
      </c>
      <c r="DD16" s="14" t="str">
        <f t="shared" ca="1" si="127"/>
        <v>The following cases are non-numeric: WAW3: x</v>
      </c>
      <c r="DE16" s="14" t="str">
        <f t="shared" ca="1" si="128"/>
        <v/>
      </c>
      <c r="DF16" s="14" t="str">
        <f t="shared" ca="1" si="129"/>
        <v/>
      </c>
      <c r="DG16" s="14" t="str">
        <f t="shared" ca="1" si="130"/>
        <v/>
      </c>
      <c r="DH16" s="14" t="str">
        <f t="shared" ca="1" si="131"/>
        <v/>
      </c>
      <c r="DI16" s="14" t="str">
        <f t="shared" ca="1" si="132"/>
        <v/>
      </c>
      <c r="DJ16" s="14" t="str">
        <f t="shared" ca="1" si="133"/>
        <v/>
      </c>
      <c r="DK16" s="14" t="str">
        <f t="shared" ca="1" si="134"/>
        <v/>
      </c>
      <c r="DL16" s="14" t="str">
        <f t="array" aca="1" ref="DL16" ca="1">IF(CS16&lt;&gt;"","There are errors in the entered values in the following cases: " &amp;SUBSTITUTE(CS16," ",", "),"")</f>
        <v/>
      </c>
      <c r="DM16" s="14" t="str">
        <f t="shared" ca="1" si="135"/>
        <v/>
      </c>
      <c r="DN16" s="14" t="str">
        <f t="shared" ca="1" si="136"/>
        <v/>
      </c>
      <c r="DO16" s="14" t="str">
        <f t="shared" ca="1" si="137"/>
        <v>The following cases are non-numeric: WAW3: x</v>
      </c>
      <c r="DP16" s="14" t="str">
        <f t="shared" ca="1" si="138"/>
        <v/>
      </c>
      <c r="DQ16" s="14" t="str">
        <f t="shared" ca="1" si="139"/>
        <v/>
      </c>
      <c r="DX16" s="14" t="b">
        <f t="shared" ca="1" si="140"/>
        <v>0</v>
      </c>
      <c r="DY16" s="14" t="str">
        <f t="shared" ca="1" si="141"/>
        <v>Taka moja data (dat1)</v>
      </c>
      <c r="DZ16" s="14" t="str">
        <f t="shared" ca="1" si="142"/>
        <v xml:space="preserve">Values must be numeric. </v>
      </c>
      <c r="EA16" s="14" t="str">
        <f t="shared" ca="1" si="143"/>
        <v xml:space="preserve">Taka moja data (dat1): Values must be numeric. </v>
      </c>
      <c r="EB16" s="14" t="str">
        <f t="shared" ca="1" si="144"/>
        <v/>
      </c>
      <c r="EC16" s="14" t="str">
        <f t="shared" ca="1" si="145"/>
        <v>Values must be numeric</v>
      </c>
      <c r="ED16" s="14" t="str">
        <f t="shared" ca="1" si="146"/>
        <v/>
      </c>
      <c r="EE16" s="14" t="str">
        <f t="shared" ca="1" si="147"/>
        <v/>
      </c>
      <c r="EK16" s="14" t="b">
        <f t="shared" ca="1" si="148"/>
        <v>1</v>
      </c>
      <c r="EL16" s="14">
        <f t="shared" ca="1" si="149"/>
        <v>13</v>
      </c>
      <c r="EM16" s="14" t="str">
        <f t="shared" ca="1" si="150"/>
        <v>dat1</v>
      </c>
      <c r="EN16" s="14" t="str">
        <f t="shared" ca="1" si="151"/>
        <v xml:space="preserve">Taka moja data (dat1): Values must be numeric. </v>
      </c>
      <c r="EO16" s="14" t="str">
        <f t="shared" ca="1" si="152"/>
        <v>The following cases are non-numeric: WAW3: x</v>
      </c>
    </row>
    <row r="17" spans="2:145" s="14" customFormat="1">
      <c r="B17" s="14" t="str">
        <f t="shared" ca="1" si="78"/>
        <v/>
      </c>
      <c r="C17" s="14">
        <f t="shared" ca="1" si="79"/>
        <v>14</v>
      </c>
      <c r="D17" s="14">
        <f t="shared" si="80"/>
        <v>15</v>
      </c>
      <c r="E17" s="14" t="str">
        <f t="shared" ca="1" si="81"/>
        <v>I</v>
      </c>
      <c r="F17" s="14" t="str">
        <f t="shared" ca="1" si="82"/>
        <v>dat2</v>
      </c>
      <c r="G17" s="14" t="str">
        <f t="shared" ca="1" si="83"/>
        <v>Taka moja data</v>
      </c>
      <c r="H17" s="14" t="b">
        <f t="shared" ca="1" si="84"/>
        <v>1</v>
      </c>
      <c r="I17" s="14" t="str">
        <f ca="1">IF($H17,ADDRESS(3,(D17+1)*2-1,4,,"["&amp;wew!$G$7&amp;"]"&amp;_sheetname_labels)&amp;":"&amp;ADDRESS(2+ster!$B$20,(D17+1)*2-1,4),"")</f>
        <v>'[dane surowe2d.xlsm]labels'!AE3:AE36</v>
      </c>
      <c r="J17" s="14">
        <f t="array" aca="1" ref="J17" ca="1">IF(H17,MAX(0,MAX(IF(INDIRECT(I17)&lt;&gt;"",ROW(INDIRECT(I17)),""))-2),"")</f>
        <v>0</v>
      </c>
      <c r="K17" s="14" t="str">
        <f ca="1">IF($H17,IF($J17&gt;0,ADDRESS(3,(D17+1)*2-1,4,,"["&amp;wew!$G$7&amp;"]"&amp;_sheetname_labels)&amp;":"&amp;ADDRESS(2+J17,(D17+1)*2-1,4),""),"")</f>
        <v/>
      </c>
      <c r="L17" s="14" t="str">
        <f ca="1">IF($H17,IF($J17&gt;0,ADDRESS(3,(D17+1)*2,4,,"["&amp;wew!$G$7&amp;"]"&amp;_sheetname_labels)&amp;":"&amp;ADDRESS(2+J17,(D17+1)*2,4),""),"")</f>
        <v/>
      </c>
      <c r="M17" s="14">
        <f t="shared" ca="1" si="85"/>
        <v>0</v>
      </c>
      <c r="N17" s="14">
        <f t="shared" ca="1" si="86"/>
        <v>0</v>
      </c>
      <c r="O17" s="14" t="str">
        <f t="shared" ca="1" si="87"/>
        <v>dat2</v>
      </c>
      <c r="P17" s="14" t="str">
        <f t="shared" ca="1" si="88"/>
        <v>Taka moja data</v>
      </c>
      <c r="Q17" s="14" t="str">
        <f ca="1">IF($H17,ADDRESS(3,D17+1,4,,"["&amp;wew!$G$7&amp;"]"&amp;_sheetname_dataframe)&amp;":"&amp;ADDRESS(2+ster!$C$14,D17+1,4),"")</f>
        <v>'[dane surowe2d.xlsm]data_frame'!P3:P12</v>
      </c>
      <c r="R17" s="14">
        <f t="array" aca="1" ref="R17" ca="1">IF(H17,SUM(IF((IFERROR(INDIRECT(Q17)&lt;&gt;"",FALSE))*(INDIRECT(ster!$D$14)&lt;&gt;""),1,0)),"")</f>
        <v>5</v>
      </c>
      <c r="S17" s="14">
        <f t="array" aca="1" ref="S17" ca="1">IF(H17,IF(M17&gt;0,SUM(IFERROR(1*(MATCH(INDIRECT(Q17),INDIRECT(K17),0)&gt;0),0)*(INDIRECT(ster!$D$14)&lt;&gt;"")*NOT(ISNUMBER(INDIRECT(Q17)))),0),"")</f>
        <v>0</v>
      </c>
      <c r="T17" s="14">
        <f t="array" aca="1" ref="T17" ca="1">IF(H17,SUM((IFERROR(INDIRECT(Q17)="",FALSE))*(INDIRECT(ster!$D$14)&lt;&gt;"")),"")</f>
        <v>4</v>
      </c>
      <c r="U17" s="14">
        <f t="array" aca="1" ref="U17" ca="1">IF(H17,SUM((IFERROR(INDIRECT(Q17)="#ąś",TRUE))*(INDIRECT(ster!$D$14)&lt;&gt;"")),"")</f>
        <v>0</v>
      </c>
      <c r="V17" s="14">
        <f t="array" aca="1" ref="V17" ca="1">IF(H17,SUM(ISNUMBER(INDIRECT(Q17))*(INDIRECT(ster!$D$14)&lt;&gt;"")),"")</f>
        <v>5</v>
      </c>
      <c r="W17" s="14">
        <f t="array" aca="1" ref="W17" ca="1">IF(AND(H17,V17&gt;0),IF(wew!$B$3,MIN(IF((INDIRECT(ster!$D$14)&lt;&gt;"")*IFERROR(INDIRECT($Q17)&lt;&gt;"",FALSE),IFERROR(INDIRECT($Q17),"X"),"X")),"&lt;włącz podświetlanie wartości&gt;"),"—")</f>
        <v>38</v>
      </c>
      <c r="X17" s="14">
        <f t="array" aca="1" ref="X17" ca="1">IF(AND(H17,V17&gt;0),IF(wew!$B$3,MAX(IF((INDIRECT(ster!$D$14)&lt;&gt;"")*IFERROR(INDIRECT($Q17)&lt;&gt;"",FALSE),IFERROR(INDIRECT($Q17),"X"),"X")),"&lt;włącz podświetlanie wartości&gt;"),"—")</f>
        <v>42773</v>
      </c>
      <c r="Y17" s="14">
        <f t="shared" ca="1" si="89"/>
        <v>0</v>
      </c>
      <c r="Z17" s="12">
        <f t="shared" ca="1" si="90"/>
        <v>1</v>
      </c>
      <c r="AA17" s="17">
        <f t="array" aca="1" ref="AA17" ca="1">IF(H17,IF(V17&gt;0,SUM((INDIRECT(ster!$D$14)&lt;&gt;"")*IFERROR((INDIRECT(Q17)&lt;&gt;"")*(INDIRECT(Q17)=INT(INDIRECT(Q17))),0)),0),"")</f>
        <v>5</v>
      </c>
      <c r="AB17" s="17">
        <f t="array" aca="1" ref="AB17" ca="1">IF(H17,V17-AA17,"")</f>
        <v>0</v>
      </c>
      <c r="AC17" s="17">
        <f t="shared" ca="1" si="91"/>
        <v>1</v>
      </c>
      <c r="AD17" s="17" t="b">
        <f t="shared" ca="1" si="92"/>
        <v>0</v>
      </c>
      <c r="AE17" s="17" t="str">
        <f ca="1">IF(AD17,IF($H17,ADDRESS(3,D17+2,4,,"["&amp;wew!$G$7&amp;"]"&amp;_sheetname_dataframe)&amp;":"&amp;ADDRESS(2+ster!$C$14,D17+2,4),""),"")</f>
        <v/>
      </c>
      <c r="AF17" s="17" t="str">
        <f t="shared" ca="1" si="93"/>
        <v/>
      </c>
      <c r="AG17" s="17" t="b">
        <f t="shared" ca="1" si="94"/>
        <v>0</v>
      </c>
      <c r="AH17" s="17" t="str">
        <f ca="1">IF(AG17,IF($H17,ADDRESS(3,D17+3,4,,"["&amp;wew!$G$7&amp;"]"&amp;_sheetname_dataframe)&amp;":"&amp;ADDRESS(2+ster!$C$14,D17+3,4),""),"")</f>
        <v/>
      </c>
      <c r="AI17" s="17" t="str">
        <f t="shared" ca="1" si="95"/>
        <v/>
      </c>
      <c r="AJ17" s="17" t="b">
        <f t="shared" ca="1" si="96"/>
        <v>0</v>
      </c>
      <c r="AK17" s="17" t="b">
        <f t="shared" ca="1" si="97"/>
        <v>0</v>
      </c>
      <c r="AL17" s="17" t="b">
        <f t="shared" ca="1" si="98"/>
        <v>1</v>
      </c>
      <c r="AM17" s="17">
        <f t="shared" ca="1" si="99"/>
        <v>0</v>
      </c>
      <c r="AN17" s="24" t="str">
        <f t="shared" ca="1" si="100"/>
        <v/>
      </c>
      <c r="AO17" s="24" t="str">
        <f t="shared" ca="1" si="101"/>
        <v/>
      </c>
      <c r="AP17" s="17" t="b">
        <f t="shared" ca="1" si="102"/>
        <v>0</v>
      </c>
      <c r="AQ17" s="17" t="b">
        <f t="shared" ca="1" si="103"/>
        <v>0</v>
      </c>
      <c r="AR17" s="17" t="b">
        <f t="shared" ca="1" si="104"/>
        <v>0</v>
      </c>
      <c r="AS17" s="17" t="b">
        <f t="shared" ca="1" si="105"/>
        <v>0</v>
      </c>
      <c r="AT17" s="17" t="b">
        <f t="shared" ca="1" si="106"/>
        <v>0</v>
      </c>
      <c r="AU17" s="17" t="b">
        <f t="shared" ca="1" si="107"/>
        <v>1</v>
      </c>
      <c r="AV17" s="17" t="b">
        <f t="shared" ca="1" si="108"/>
        <v>1</v>
      </c>
      <c r="AW17" s="14" t="b">
        <f t="array" aca="1" ref="AW17" ca="1">IF(H17,N17&gt;0,"")</f>
        <v>0</v>
      </c>
      <c r="AX17" s="17" t="str">
        <f t="shared" ca="1" si="20"/>
        <v/>
      </c>
      <c r="AY17" s="17" t="str">
        <f t="array" aca="1" ref="AY17" ca="1">IF(AX17&lt;&gt;"",SUM(1*ISERROR(MATCH(INDIRECT(AX17),INDIRECT(K17),0)))=0,"")</f>
        <v/>
      </c>
      <c r="AZ17" s="17" t="b">
        <f t="shared" ca="1" si="109"/>
        <v>0</v>
      </c>
      <c r="BA17" s="17" t="str">
        <f t="shared" ca="1" si="110"/>
        <v/>
      </c>
      <c r="BB17" s="17" t="str">
        <f t="shared" ca="1" si="111"/>
        <v/>
      </c>
      <c r="BC17" s="17" t="str">
        <f t="shared" ca="1" si="112"/>
        <v/>
      </c>
      <c r="BD17" s="17" t="str">
        <f t="shared" ca="1" si="113"/>
        <v/>
      </c>
      <c r="BE17" s="17" t="str">
        <f t="shared" ca="1" si="114"/>
        <v/>
      </c>
      <c r="BF17" s="17" t="str">
        <f t="shared" ca="1" si="115"/>
        <v/>
      </c>
      <c r="BG17" s="17" t="str">
        <f t="shared" ca="1" si="116"/>
        <v/>
      </c>
      <c r="BH17" s="17" t="str">
        <f t="shared" ca="1" si="117"/>
        <v/>
      </c>
      <c r="BI17" s="17" t="b">
        <f t="shared" ca="1" si="118"/>
        <v>0</v>
      </c>
      <c r="BJ17" s="17" t="str">
        <f t="shared" ca="1" si="119"/>
        <v/>
      </c>
      <c r="BK17" s="17" t="str">
        <f t="shared" ca="1" si="120"/>
        <v/>
      </c>
      <c r="BL17" s="17" t="str">
        <f t="shared" ca="1" si="121"/>
        <v>D</v>
      </c>
      <c r="BM17" s="17" t="str">
        <f t="shared" ca="1" si="122"/>
        <v>D</v>
      </c>
      <c r="BN17" s="17" t="str">
        <f t="shared" ca="1" si="123"/>
        <v>I</v>
      </c>
      <c r="BO17" s="14" t="b">
        <f t="shared" ca="1" si="124"/>
        <v>1</v>
      </c>
      <c r="BP17" s="15">
        <v>1</v>
      </c>
      <c r="BS17" s="14" t="s">
        <v>389</v>
      </c>
      <c r="BV17" s="16"/>
      <c r="BW17" s="16"/>
      <c r="BX17" s="16"/>
      <c r="BY17" s="16"/>
      <c r="BZ17" s="16"/>
      <c r="CA17" s="16"/>
      <c r="CB17" s="16"/>
      <c r="CC17" s="16"/>
      <c r="CD17" s="16"/>
      <c r="CL17" s="14">
        <f ca="1">IF(H17,IFERROR(IsVariableNameLegal(O17),0),0)</f>
        <v>0</v>
      </c>
      <c r="CM17" s="14" t="str">
        <f t="array" aca="1" ref="CM17" ca="1">IF(H17,IF(COUNTIF(INDIRECT(wew!$C$13),O17)&gt;1,TRIM(SUBSTITUTE(_xll.MCONCAT(IF((INDIRECT(wew!$C$13)=O17)*(COLUMN(INDIRECT(wew!$C$13))&lt;&gt;D17+1),-1+COLUMN(INDIRECT(wew!$C$13)),"")," "),"  "," ")),""),"")</f>
        <v/>
      </c>
      <c r="CN17" s="14" t="str">
        <f t="array" aca="1" ref="CN17" ca="1">IF(P17&lt;&gt;"",IF(LEN(P17)&gt;150,1,""),"")</f>
        <v/>
      </c>
      <c r="CO17" s="14" t="str">
        <f t="array" aca="1" ref="CO17" ca="1">IF(AND(H17,NOT(ster!$J$3)),IF(COUNTIF(INDIRECT(wew!$C$15),P17)&gt;1,TRIM(SUBSTITUTE(_xll.MCONCAT(IF((INDIRECT(wew!$C$15)=P17)*(COLUMN(INDIRECT(wew!$C$15))&lt;&gt;D17+1),-1+COLUMN(INDIRECT(wew!$C$15)),"")," "),"  "," ")),""),"")</f>
        <v/>
      </c>
      <c r="CP17" s="14" t="str">
        <f t="array" aca="1" ref="CP17" ca="1">IF(H17,IF(AND(V17&gt;0,AN17&lt;&gt;""),TRIM(SUBSTITUTE(_xll.MCONCAT(IFERROR(IF(ISNUMBER(INDIRECT(Q17)),IF((INDIRECT(ster!$D$14)&lt;&gt;"")*(INDIRECT(Q17)&lt;AN17),INDIRECT(ster!$D$14) &amp; ": " &amp;  SUBSTITUTE(IF( AU17,IFERROR(TEXT(INDIRECT(Q17),"rrrr-mm-dd") &amp;" (" &amp; INDIRECT(Q17) &amp;")",INDIRECT(Q17)),INDIRECT(Q17))," "," "),""),""),"")," "),"  "," ")),""),"")</f>
        <v/>
      </c>
      <c r="CQ17" s="14" t="str">
        <f t="array" aca="1" ref="CQ17" ca="1">IF(H17,IF(AND(V17&gt;0,AO17&lt;&gt;""),TRIM(SUBSTITUTE(_xll.MCONCAT(IFERROR(IF(ISNUMBER(INDIRECT(Q17)),IF((INDIRECT(ster!$D$14)&lt;&gt;"")*(INDIRECT(Q17)&gt;AO17),INDIRECT(ster!$D$14) &amp; ": " &amp;  SUBSTITUTE(IF( AU17,IFERROR(TEXT(INDIRECT(Q17),"rrrr-mm-dd")&amp;" (" &amp; INDIRECT(Q17) &amp;")",INDIRECT(Q17)),INDIRECT(Q17))," "," "),""),""),"")," "),"  "," ")),""),"")</f>
        <v/>
      </c>
      <c r="CR17" s="14" t="str">
        <f t="array" aca="1" ref="CR17" ca="1">IF(H17,IF(AND(N17&gt;0,AQ17),TRIM(SUBSTITUTE(_xll.MCONCAT(IFERROR(IF(ISNUMBER(INDIRECT(Q17)),IF((INDIRECT(ster!$D$14)&lt;&gt;"")*(IFERROR(0*(MATCH(INDIRECT(Q17),INDIRECT(K17),0)&gt;0),1)),INDIRECT(ster!$D$14) &amp; ": " &amp;  SUBSTITUTE(IF( AU17,IFERROR(TEXT(INDIRECT(Q17),"rrrr-mm-dd")&amp;" (" &amp; INDIRECT(Q17) &amp;")",INDIRECT(Q17)),INDIRECT(Q17))," "," "),""),""),"")," "),"  "," ")),""),"")</f>
        <v/>
      </c>
      <c r="CS17" s="14" t="str">
        <f t="array" aca="1" ref="CS17" ca="1">IF(H17,IF(AND(U17&gt;0),TRIM(SUBSTITUTE(_xll.MCONCAT(IF((INDIRECT(ster!$D$14)&lt;&gt;"")*(IFERROR(0*(INDIRECT(Q17)&lt;&gt;""),1)),INDIRECT(ster!$D$14),"")," "),"  "," ")),""),"")</f>
        <v/>
      </c>
      <c r="CT17" s="14" t="str">
        <f t="array" aca="1" ref="CT17" ca="1">IF(H17,IF(AR17,
TRIM(SUBSTITUTE(_xll.MCONCAT(IF(
   (INDIRECT(ster!$D$14)&lt;&gt;"")*
   ((INDIRECT(Q17)="")+
      NOT(ISNUMBER(INDIRECT(Q17)))*
      NOT(ISERROR(MATCH(INDIRECT(Q17),INDIRECT(K17),0)))
    ),
      INDIRECT(ster!$D$14),
   "")," "),"  "," ")),
""),"")</f>
        <v/>
      </c>
      <c r="CU17" s="14" t="str">
        <f t="array" aca="1" ref="CU17" ca="1">IF(H17,IF(AND(AP17),TRIM(SUBSTITUTE(_xll.MCONCAT(IFERROR(IF(ISNUMBER(INDIRECT(Q17)),IF((INDIRECT(ster!$D$14)&lt;&gt;"")*(INDIRECT(Q17)&lt;&gt;INT(INDIRECT(Q17))),INDIRECT(ster!$D$14) &amp; ": " &amp; INDIRECT(Q17),""),""),"")," "),"  "," ")),""),"")</f>
        <v/>
      </c>
      <c r="CV17" s="14" t="str">
        <f t="array" aca="1" ref="CV17" ca="1">IF(H17,IF(OR(AT17,AU17),TRIM(SUBSTITUTE(_xll.MCONCAT(IF((INDIRECT(ster!$D$14)&lt;&gt;"")*NOT(ISNUMBER(INDIRECT(Q17))),IF(ISERROR(MATCH(INDIRECT(Q17),INDIRECT(K17),0)),IFERROR(IF(INDIRECT(Q17)&lt;&gt;"",INDIRECT(ster!$D$14) &amp; ": " &amp; SUBSTITUTE(INDIRECT(Q17)," "," "),""),""),""),"")," "),"  "," ")),""),"")</f>
        <v/>
      </c>
      <c r="CW17" s="14" t="str">
        <f t="array" aca="1" ref="CW17" ca="1">IF(H17,IF(AD17,TRIM(SUBSTITUTE(_xll.MCONCAT(IF((INDIRECT(ster!$D$14)&lt;&gt;"")*IFERROR(NOT(INDIRECT(AE17)),FALSE),IF(ISERROR(MATCH(INDIRECT(Q17),INDIRECT(K17),0)),IFERROR(IF(INDIRECT(Q17)&lt;&gt;"",INDIRECT(ster!$D$14) &amp; ": " &amp;  SUBSTITUTE(IF( AU17,IFERROR(TEXT(INDIRECT(Q17),"rrrr-mm-dd")&amp;" (" &amp; INDIRECT(Q17) &amp;")",INDIRECT(Q17)),INDIRECT(Q17))," "," "),""),""),""),"")," "),"  "," ")),""),"")</f>
        <v/>
      </c>
      <c r="CX17" s="14" t="str">
        <f t="array" aca="1" ref="CX17" ca="1">IF(H17,IF(AG17,TRIM(SUBSTITUTE(_xll.MCONCAT(IF((INDIRECT(ster!$D$14)&lt;&gt;"")*IFERROR(NOT(INDIRECT(AH17)),FALSE),IF(ISERROR(MATCH(INDIRECT(Q17),INDIRECT(K17),0)),IFERROR(IF(INDIRECT(Q17)&lt;&gt;"",INDIRECT(ster!$D$14) &amp; ": " &amp;  SUBSTITUTE(IF( AU17,IFERROR(TEXT(INDIRECT(Q17),"rrrr-mm-dd")&amp;" (" &amp; INDIRECT(Q17) &amp;")",INDIRECT(Q17)),INDIRECT(Q17))," "," "),""),""),""),"")," "),"  "," ")),""),"")</f>
        <v/>
      </c>
      <c r="DA17" s="14" t="str">
        <f ca="1">SUBSTITUTE(SUBSTITUTE(SUBSTITUTE(SUBSTITUTE(_xll.MCONCAT(DE17:DQ17,"■"),"■■","■"),"■■","■"),"■■","■"),"■■","■")</f>
        <v>■</v>
      </c>
      <c r="DB17" s="14" t="str">
        <f t="shared" ca="1" si="125"/>
        <v/>
      </c>
      <c r="DC17" s="14" t="str">
        <f t="shared" ca="1" si="126"/>
        <v/>
      </c>
      <c r="DD17" s="14" t="str">
        <f t="shared" ca="1" si="127"/>
        <v/>
      </c>
      <c r="DE17" s="14" t="str">
        <f t="shared" ca="1" si="128"/>
        <v/>
      </c>
      <c r="DF17" s="14" t="str">
        <f t="shared" ca="1" si="129"/>
        <v/>
      </c>
      <c r="DG17" s="14" t="str">
        <f t="shared" ca="1" si="130"/>
        <v/>
      </c>
      <c r="DH17" s="14" t="str">
        <f t="shared" ca="1" si="131"/>
        <v/>
      </c>
      <c r="DI17" s="14" t="str">
        <f t="shared" ca="1" si="132"/>
        <v/>
      </c>
      <c r="DJ17" s="14" t="str">
        <f t="shared" ca="1" si="133"/>
        <v/>
      </c>
      <c r="DK17" s="14" t="str">
        <f t="shared" ca="1" si="134"/>
        <v/>
      </c>
      <c r="DL17" s="14" t="str">
        <f t="array" aca="1" ref="DL17" ca="1">IF(CS17&lt;&gt;"","There are errors in the entered values in the following cases: " &amp;SUBSTITUTE(CS17," ",", "),"")</f>
        <v/>
      </c>
      <c r="DM17" s="14" t="str">
        <f t="shared" ca="1" si="135"/>
        <v/>
      </c>
      <c r="DN17" s="14" t="str">
        <f t="shared" ca="1" si="136"/>
        <v/>
      </c>
      <c r="DO17" s="14" t="str">
        <f t="shared" ca="1" si="137"/>
        <v/>
      </c>
      <c r="DP17" s="14" t="str">
        <f t="shared" ca="1" si="138"/>
        <v/>
      </c>
      <c r="DQ17" s="14" t="str">
        <f t="shared" ca="1" si="139"/>
        <v/>
      </c>
      <c r="DX17" s="14" t="b">
        <f t="shared" ca="1" si="140"/>
        <v>0</v>
      </c>
      <c r="DY17" s="14" t="str">
        <f t="shared" ca="1" si="141"/>
        <v>Taka moja data (dat2)</v>
      </c>
      <c r="DZ17" s="14" t="str">
        <f t="shared" ca="1" si="142"/>
        <v xml:space="preserve">Values must be numeric. </v>
      </c>
      <c r="EA17" s="14" t="str">
        <f t="shared" ca="1" si="143"/>
        <v xml:space="preserve">Taka moja data (dat2): Values must be numeric. </v>
      </c>
      <c r="EB17" s="14" t="str">
        <f t="shared" ca="1" si="144"/>
        <v/>
      </c>
      <c r="EC17" s="14" t="str">
        <f t="shared" ca="1" si="145"/>
        <v>Values must be numeric</v>
      </c>
      <c r="ED17" s="14" t="str">
        <f t="shared" ca="1" si="146"/>
        <v/>
      </c>
      <c r="EE17" s="14" t="str">
        <f t="shared" ca="1" si="147"/>
        <v/>
      </c>
      <c r="EK17" s="14" t="b">
        <f t="shared" ca="1" si="148"/>
        <v>1</v>
      </c>
      <c r="EL17" s="14">
        <f t="shared" ca="1" si="149"/>
        <v>14</v>
      </c>
      <c r="EM17" s="14" t="str">
        <f t="shared" ca="1" si="150"/>
        <v>dat2</v>
      </c>
      <c r="EN17" s="14" t="str">
        <f t="shared" ca="1" si="151"/>
        <v xml:space="preserve">Taka moja data (dat2): Values must be numeric. </v>
      </c>
      <c r="EO17" s="14" t="str">
        <f t="shared" ca="1" si="152"/>
        <v/>
      </c>
    </row>
    <row r="18" spans="2:145" s="14" customFormat="1">
      <c r="B18" s="14" t="str">
        <f t="shared" ca="1" si="78"/>
        <v/>
      </c>
      <c r="C18" s="14">
        <f t="shared" ca="1" si="79"/>
        <v>15</v>
      </c>
      <c r="D18" s="14">
        <f t="shared" si="80"/>
        <v>16</v>
      </c>
      <c r="E18" s="14" t="str">
        <f t="shared" ca="1" si="81"/>
        <v>D</v>
      </c>
      <c r="F18" s="14" t="str">
        <f t="shared" ca="1" si="82"/>
        <v>dobule</v>
      </c>
      <c r="G18" s="14" t="str">
        <f t="shared" ca="1" si="83"/>
        <v>dwupoziomowa</v>
      </c>
      <c r="H18" s="14" t="b">
        <f t="shared" ca="1" si="84"/>
        <v>1</v>
      </c>
      <c r="I18" s="14" t="str">
        <f ca="1">IF($H18,ADDRESS(3,(D18+1)*2-1,4,,"["&amp;wew!$G$7&amp;"]"&amp;_sheetname_labels)&amp;":"&amp;ADDRESS(2+ster!$B$20,(D18+1)*2-1,4),"")</f>
        <v>'[dane surowe2d.xlsm]labels'!AG3:AG36</v>
      </c>
      <c r="J18" s="14">
        <f t="array" aca="1" ref="J18" ca="1">IF(H18,MAX(0,MAX(IF(INDIRECT(I18)&lt;&gt;"",ROW(INDIRECT(I18)),""))-2),"")</f>
        <v>2</v>
      </c>
      <c r="K18" s="14" t="str">
        <f ca="1">IF($H18,IF($J18&gt;0,ADDRESS(3,(D18+1)*2-1,4,,"["&amp;wew!$G$7&amp;"]"&amp;_sheetname_labels)&amp;":"&amp;ADDRESS(2+J18,(D18+1)*2-1,4),""),"")</f>
        <v>'[dane surowe2d.xlsm]labels'!AG3:AG4</v>
      </c>
      <c r="L18" s="14" t="str">
        <f ca="1">IF($H18,IF($J18&gt;0,ADDRESS(3,(D18+1)*2,4,,"["&amp;wew!$G$7&amp;"]"&amp;_sheetname_labels)&amp;":"&amp;ADDRESS(2+J18,(D18+1)*2,4),""),"")</f>
        <v>'[dane surowe2d.xlsm]labels'!AH3:AH4</v>
      </c>
      <c r="M18" s="14">
        <f t="shared" ca="1" si="85"/>
        <v>0</v>
      </c>
      <c r="N18" s="14">
        <f t="shared" ca="1" si="86"/>
        <v>2</v>
      </c>
      <c r="O18" s="14" t="str">
        <f t="shared" ca="1" si="87"/>
        <v>dobule</v>
      </c>
      <c r="P18" s="14" t="str">
        <f t="shared" ca="1" si="88"/>
        <v>dwupoziomowa</v>
      </c>
      <c r="Q18" s="14" t="str">
        <f ca="1">IF($H18,ADDRESS(3,D18+1,4,,"["&amp;wew!$G$7&amp;"]"&amp;_sheetname_dataframe)&amp;":"&amp;ADDRESS(2+ster!$C$14,D18+1,4),"")</f>
        <v>'[dane surowe2d.xlsm]data_frame'!Q3:Q12</v>
      </c>
      <c r="R18" s="14">
        <f t="array" aca="1" ref="R18" ca="1">IF(H18,SUM(IF((IFERROR(INDIRECT(Q18)&lt;&gt;"",FALSE))*(INDIRECT(ster!$D$14)&lt;&gt;""),1,0)),"")</f>
        <v>7</v>
      </c>
      <c r="S18" s="14">
        <f t="array" aca="1" ref="S18" ca="1">IF(H18,IF(M18&gt;0,SUM(IFERROR(1*(MATCH(INDIRECT(Q18),INDIRECT(K18),0)&gt;0),0)*(INDIRECT(ster!$D$14)&lt;&gt;"")*NOT(ISNUMBER(INDIRECT(Q18)))),0),"")</f>
        <v>0</v>
      </c>
      <c r="T18" s="14">
        <f t="array" aca="1" ref="T18" ca="1">IF(H18,SUM((IFERROR(INDIRECT(Q18)="",FALSE))*(INDIRECT(ster!$D$14)&lt;&gt;"")),"")</f>
        <v>2</v>
      </c>
      <c r="U18" s="14">
        <f t="array" aca="1" ref="U18" ca="1">IF(H18,SUM((IFERROR(INDIRECT(Q18)="#ąś",TRUE))*(INDIRECT(ster!$D$14)&lt;&gt;"")),"")</f>
        <v>0</v>
      </c>
      <c r="V18" s="14">
        <f t="array" aca="1" ref="V18" ca="1">IF(H18,SUM(ISNUMBER(INDIRECT(Q18))*(INDIRECT(ster!$D$14)&lt;&gt;"")),"")</f>
        <v>7</v>
      </c>
      <c r="W18" s="14">
        <f t="array" aca="1" ref="W18" ca="1">IF(AND(H18,V18&gt;0),IF(wew!$B$3,MIN(IF((INDIRECT(ster!$D$14)&lt;&gt;"")*IFERROR(INDIRECT($Q18)&lt;&gt;"",FALSE),IFERROR(INDIRECT($Q18),"X"),"X")),"&lt;włącz podświetlanie wartości&gt;"),"—")</f>
        <v>1</v>
      </c>
      <c r="X18" s="14">
        <f t="array" aca="1" ref="X18" ca="1">IF(AND(H18,V18&gt;0),IF(wew!$B$3,MAX(IF((INDIRECT(ster!$D$14)&lt;&gt;"")*IFERROR(INDIRECT($Q18)&lt;&gt;"",FALSE),IFERROR(INDIRECT($Q18),"X"),"X")),"&lt;włącz podświetlanie wartości&gt;"),"—")</f>
        <v>2</v>
      </c>
      <c r="Y18" s="14">
        <f t="shared" ca="1" si="89"/>
        <v>0</v>
      </c>
      <c r="Z18" s="12">
        <f t="shared" ca="1" si="90"/>
        <v>1</v>
      </c>
      <c r="AA18" s="17">
        <f t="array" aca="1" ref="AA18" ca="1">IF(H18,IF(V18&gt;0,SUM((INDIRECT(ster!$D$14)&lt;&gt;"")*IFERROR((INDIRECT(Q18)&lt;&gt;"")*(INDIRECT(Q18)=INT(INDIRECT(Q18))),0)),0),"")</f>
        <v>7</v>
      </c>
      <c r="AB18" s="17">
        <f t="array" aca="1" ref="AB18" ca="1">IF(H18,V18-AA18,"")</f>
        <v>0</v>
      </c>
      <c r="AC18" s="17">
        <f t="shared" ca="1" si="91"/>
        <v>1</v>
      </c>
      <c r="AD18" s="17" t="b">
        <f t="shared" ca="1" si="92"/>
        <v>0</v>
      </c>
      <c r="AE18" s="17" t="str">
        <f ca="1">IF(AD18,IF($H18,ADDRESS(3,D18+2,4,,"["&amp;wew!$G$7&amp;"]"&amp;_sheetname_dataframe)&amp;":"&amp;ADDRESS(2+ster!$C$14,D18+2,4),""),"")</f>
        <v/>
      </c>
      <c r="AF18" s="17" t="str">
        <f t="shared" ca="1" si="93"/>
        <v/>
      </c>
      <c r="AG18" s="17" t="b">
        <f t="shared" ca="1" si="94"/>
        <v>0</v>
      </c>
      <c r="AH18" s="17" t="str">
        <f ca="1">IF(AG18,IF($H18,ADDRESS(3,D18+3,4,,"["&amp;wew!$G$7&amp;"]"&amp;_sheetname_dataframe)&amp;":"&amp;ADDRESS(2+ster!$C$14,D18+3,4),""),"")</f>
        <v/>
      </c>
      <c r="AI18" s="17" t="str">
        <f t="shared" ca="1" si="95"/>
        <v/>
      </c>
      <c r="AJ18" s="17" t="b">
        <f t="shared" ca="1" si="96"/>
        <v>0</v>
      </c>
      <c r="AK18" s="17" t="b">
        <f t="shared" ca="1" si="97"/>
        <v>1</v>
      </c>
      <c r="AL18" s="17" t="b">
        <f t="shared" ca="1" si="98"/>
        <v>0</v>
      </c>
      <c r="AM18" s="17">
        <f t="shared" ca="1" si="99"/>
        <v>0</v>
      </c>
      <c r="AN18" s="24" t="str">
        <f t="shared" ca="1" si="100"/>
        <v/>
      </c>
      <c r="AO18" s="24" t="str">
        <f t="shared" ca="1" si="101"/>
        <v/>
      </c>
      <c r="AP18" s="17" t="b">
        <f t="shared" ca="1" si="102"/>
        <v>0</v>
      </c>
      <c r="AQ18" s="17" t="b">
        <f t="shared" ca="1" si="103"/>
        <v>1</v>
      </c>
      <c r="AR18" s="17" t="b">
        <f t="shared" ca="1" si="104"/>
        <v>0</v>
      </c>
      <c r="AS18" s="17" t="b">
        <f t="shared" ca="1" si="105"/>
        <v>0</v>
      </c>
      <c r="AT18" s="17" t="b">
        <f t="shared" ca="1" si="106"/>
        <v>1</v>
      </c>
      <c r="AU18" s="17" t="b">
        <f t="shared" ca="1" si="107"/>
        <v>0</v>
      </c>
      <c r="AV18" s="17" t="b">
        <f t="shared" ca="1" si="108"/>
        <v>1</v>
      </c>
      <c r="AW18" s="14" t="b">
        <f t="array" aca="1" ref="AW18" ca="1">IF(H18,N18&gt;0,"")</f>
        <v>1</v>
      </c>
      <c r="AX18" s="17" t="str">
        <f t="shared" ca="1" si="20"/>
        <v>C3:C4</v>
      </c>
      <c r="AY18" s="17" t="b">
        <f t="array" aca="1" ref="AY18" ca="1">IF(AX18&lt;&gt;"",SUM(1*ISERROR(MATCH(INDIRECT(AX18),INDIRECT(K18),0)))=0,"")</f>
        <v>1</v>
      </c>
      <c r="AZ18" s="17" t="b">
        <f t="shared" ca="1" si="109"/>
        <v>1</v>
      </c>
      <c r="BA18" s="17" t="b">
        <f t="shared" ca="1" si="110"/>
        <v>0</v>
      </c>
      <c r="BB18" s="17" t="b">
        <f t="shared" ca="1" si="111"/>
        <v>1</v>
      </c>
      <c r="BC18" s="17" t="b">
        <f t="shared" ca="1" si="112"/>
        <v>0</v>
      </c>
      <c r="BD18" s="17" t="b">
        <f t="shared" ca="1" si="113"/>
        <v>0</v>
      </c>
      <c r="BE18" s="17" t="b">
        <f t="shared" ca="1" si="114"/>
        <v>0</v>
      </c>
      <c r="BF18" s="17" t="b">
        <f t="shared" ca="1" si="115"/>
        <v>0</v>
      </c>
      <c r="BG18" s="17" t="b">
        <f t="shared" ca="1" si="116"/>
        <v>1</v>
      </c>
      <c r="BH18" s="17">
        <f t="shared" ca="1" si="117"/>
        <v>2</v>
      </c>
      <c r="BI18" s="17" t="b">
        <f t="shared" ca="1" si="118"/>
        <v>0</v>
      </c>
      <c r="BJ18" s="17" t="str">
        <f t="shared" ca="1" si="119"/>
        <v/>
      </c>
      <c r="BK18" s="17" t="str">
        <f t="shared" ca="1" si="120"/>
        <v/>
      </c>
      <c r="BL18" s="17" t="str">
        <f t="shared" ca="1" si="121"/>
        <v>F</v>
      </c>
      <c r="BM18" s="17" t="str">
        <f t="shared" ca="1" si="122"/>
        <v>F</v>
      </c>
      <c r="BN18" s="17" t="str">
        <f t="shared" ca="1" si="123"/>
        <v>D</v>
      </c>
      <c r="BO18" s="14" t="b">
        <f t="shared" ca="1" si="124"/>
        <v>1</v>
      </c>
      <c r="BP18" s="15">
        <v>1</v>
      </c>
      <c r="BT18" s="14">
        <v>1</v>
      </c>
      <c r="BV18" s="16"/>
      <c r="BW18" s="16"/>
      <c r="BX18" s="16"/>
      <c r="BY18" s="16"/>
      <c r="BZ18" s="16"/>
      <c r="CA18" s="16"/>
      <c r="CB18" s="16"/>
      <c r="CC18" s="16"/>
      <c r="CD18" s="16"/>
      <c r="CL18" s="14">
        <f ca="1">IF(H18,IFERROR(IsVariableNameLegal(O18),0),0)</f>
        <v>0</v>
      </c>
      <c r="CM18" s="14" t="str">
        <f t="array" aca="1" ref="CM18" ca="1">IF(H18,IF(COUNTIF(INDIRECT(wew!$C$13),O18)&gt;1,TRIM(SUBSTITUTE(_xll.MCONCAT(IF((INDIRECT(wew!$C$13)=O18)*(COLUMN(INDIRECT(wew!$C$13))&lt;&gt;D18+1),-1+COLUMN(INDIRECT(wew!$C$13)),"")," "),"  "," ")),""),"")</f>
        <v/>
      </c>
      <c r="CN18" s="14" t="str">
        <f t="array" aca="1" ref="CN18" ca="1">IF(P18&lt;&gt;"",IF(LEN(P18)&gt;150,1,""),"")</f>
        <v/>
      </c>
      <c r="CO18" s="14" t="str">
        <f t="array" aca="1" ref="CO18" ca="1">IF(AND(H18,NOT(ster!$J$3)),IF(COUNTIF(INDIRECT(wew!$C$15),P18)&gt;1,TRIM(SUBSTITUTE(_xll.MCONCAT(IF((INDIRECT(wew!$C$15)=P18)*(COLUMN(INDIRECT(wew!$C$15))&lt;&gt;D18+1),-1+COLUMN(INDIRECT(wew!$C$15)),"")," "),"  "," ")),""),"")</f>
        <v/>
      </c>
      <c r="CP18" s="14" t="str">
        <f t="array" aca="1" ref="CP18" ca="1">IF(H18,IF(AND(V18&gt;0,AN18&lt;&gt;""),TRIM(SUBSTITUTE(_xll.MCONCAT(IFERROR(IF(ISNUMBER(INDIRECT(Q18)),IF((INDIRECT(ster!$D$14)&lt;&gt;"")*(INDIRECT(Q18)&lt;AN18),INDIRECT(ster!$D$14) &amp; ": " &amp;  SUBSTITUTE(IF( AU18,IFERROR(TEXT(INDIRECT(Q18),"rrrr-mm-dd") &amp;" (" &amp; INDIRECT(Q18) &amp;")",INDIRECT(Q18)),INDIRECT(Q18))," "," "),""),""),"")," "),"  "," ")),""),"")</f>
        <v/>
      </c>
      <c r="CQ18" s="14" t="str">
        <f t="array" aca="1" ref="CQ18" ca="1">IF(H18,IF(AND(V18&gt;0,AO18&lt;&gt;""),TRIM(SUBSTITUTE(_xll.MCONCAT(IFERROR(IF(ISNUMBER(INDIRECT(Q18)),IF((INDIRECT(ster!$D$14)&lt;&gt;"")*(INDIRECT(Q18)&gt;AO18),INDIRECT(ster!$D$14) &amp; ": " &amp;  SUBSTITUTE(IF( AU18,IFERROR(TEXT(INDIRECT(Q18),"rrrr-mm-dd")&amp;" (" &amp; INDIRECT(Q18) &amp;")",INDIRECT(Q18)),INDIRECT(Q18))," "," "),""),""),"")," "),"  "," ")),""),"")</f>
        <v/>
      </c>
      <c r="CR18" s="14" t="str">
        <f t="array" aca="1" ref="CR18" ca="1">IF(H18,IF(AND(N18&gt;0,AQ18),TRIM(SUBSTITUTE(_xll.MCONCAT(IFERROR(IF(ISNUMBER(INDIRECT(Q18)),IF((INDIRECT(ster!$D$14)&lt;&gt;"")*(IFERROR(0*(MATCH(INDIRECT(Q18),INDIRECT(K18),0)&gt;0),1)),INDIRECT(ster!$D$14) &amp; ": " &amp;  SUBSTITUTE(IF( AU18,IFERROR(TEXT(INDIRECT(Q18),"rrrr-mm-dd")&amp;" (" &amp; INDIRECT(Q18) &amp;")",INDIRECT(Q18)),INDIRECT(Q18))," "," "),""),""),"")," "),"  "," ")),""),"")</f>
        <v/>
      </c>
      <c r="CS18" s="14" t="str">
        <f t="array" aca="1" ref="CS18" ca="1">IF(H18,IF(AND(U18&gt;0),TRIM(SUBSTITUTE(_xll.MCONCAT(IF((INDIRECT(ster!$D$14)&lt;&gt;"")*(IFERROR(0*(INDIRECT(Q18)&lt;&gt;""),1)),INDIRECT(ster!$D$14),"")," "),"  "," ")),""),"")</f>
        <v/>
      </c>
      <c r="CT18" s="14" t="str">
        <f t="array" aca="1" ref="CT18" ca="1">IF(H18,IF(AR18,
TRIM(SUBSTITUTE(_xll.MCONCAT(IF(
   (INDIRECT(ster!$D$14)&lt;&gt;"")*
   ((INDIRECT(Q18)="")+
      NOT(ISNUMBER(INDIRECT(Q18)))*
      NOT(ISERROR(MATCH(INDIRECT(Q18),INDIRECT(K18),0)))
    ),
      INDIRECT(ster!$D$14),
   "")," "),"  "," ")),
""),"")</f>
        <v/>
      </c>
      <c r="CU18" s="14" t="str">
        <f t="array" aca="1" ref="CU18" ca="1">IF(H18,IF(AND(AP18),TRIM(SUBSTITUTE(_xll.MCONCAT(IFERROR(IF(ISNUMBER(INDIRECT(Q18)),IF((INDIRECT(ster!$D$14)&lt;&gt;"")*(INDIRECT(Q18)&lt;&gt;INT(INDIRECT(Q18))),INDIRECT(ster!$D$14) &amp; ": " &amp; INDIRECT(Q18),""),""),"")," "),"  "," ")),""),"")</f>
        <v/>
      </c>
      <c r="CV18" s="14" t="str">
        <f t="array" aca="1" ref="CV18" ca="1">IF(H18,IF(OR(AT18,AU18),TRIM(SUBSTITUTE(_xll.MCONCAT(IF((INDIRECT(ster!$D$14)&lt;&gt;"")*NOT(ISNUMBER(INDIRECT(Q18))),IF(ISERROR(MATCH(INDIRECT(Q18),INDIRECT(K18),0)),IFERROR(IF(INDIRECT(Q18)&lt;&gt;"",INDIRECT(ster!$D$14) &amp; ": " &amp; SUBSTITUTE(INDIRECT(Q18)," "," "),""),""),""),"")," "),"  "," ")),""),"")</f>
        <v/>
      </c>
      <c r="CW18" s="14" t="str">
        <f t="array" aca="1" ref="CW18" ca="1">IF(H18,IF(AD18,TRIM(SUBSTITUTE(_xll.MCONCAT(IF((INDIRECT(ster!$D$14)&lt;&gt;"")*IFERROR(NOT(INDIRECT(AE18)),FALSE),IF(ISERROR(MATCH(INDIRECT(Q18),INDIRECT(K18),0)),IFERROR(IF(INDIRECT(Q18)&lt;&gt;"",INDIRECT(ster!$D$14) &amp; ": " &amp;  SUBSTITUTE(IF( AU18,IFERROR(TEXT(INDIRECT(Q18),"rrrr-mm-dd")&amp;" (" &amp; INDIRECT(Q18) &amp;")",INDIRECT(Q18)),INDIRECT(Q18))," "," "),""),""),""),"")," "),"  "," ")),""),"")</f>
        <v/>
      </c>
      <c r="CX18" s="14" t="str">
        <f t="array" aca="1" ref="CX18" ca="1">IF(H18,IF(AG18,TRIM(SUBSTITUTE(_xll.MCONCAT(IF((INDIRECT(ster!$D$14)&lt;&gt;"")*IFERROR(NOT(INDIRECT(AH18)),FALSE),IF(ISERROR(MATCH(INDIRECT(Q18),INDIRECT(K18),0)),IFERROR(IF(INDIRECT(Q18)&lt;&gt;"",INDIRECT(ster!$D$14) &amp; ": " &amp;  SUBSTITUTE(IF( AU18,IFERROR(TEXT(INDIRECT(Q18),"rrrr-mm-dd")&amp;" (" &amp; INDIRECT(Q18) &amp;")",INDIRECT(Q18)),INDIRECT(Q18))," "," "),""),""),""),"")," "),"  "," ")),""),"")</f>
        <v/>
      </c>
      <c r="DA18" s="14" t="str">
        <f ca="1">SUBSTITUTE(SUBSTITUTE(SUBSTITUTE(SUBSTITUTE(_xll.MCONCAT(DE18:DQ18,"■"),"■■","■"),"■■","■"),"■■","■"),"■■","■")</f>
        <v>■</v>
      </c>
      <c r="DB18" s="14" t="str">
        <f t="shared" ca="1" si="125"/>
        <v/>
      </c>
      <c r="DC18" s="14" t="str">
        <f t="shared" ca="1" si="126"/>
        <v/>
      </c>
      <c r="DD18" s="14" t="str">
        <f t="shared" ca="1" si="127"/>
        <v/>
      </c>
      <c r="DE18" s="14" t="str">
        <f t="shared" ca="1" si="128"/>
        <v/>
      </c>
      <c r="DF18" s="14" t="str">
        <f t="shared" ca="1" si="129"/>
        <v/>
      </c>
      <c r="DG18" s="14" t="str">
        <f t="shared" ca="1" si="130"/>
        <v/>
      </c>
      <c r="DH18" s="14" t="str">
        <f t="shared" ca="1" si="131"/>
        <v/>
      </c>
      <c r="DI18" s="14" t="str">
        <f t="shared" ca="1" si="132"/>
        <v/>
      </c>
      <c r="DJ18" s="14" t="str">
        <f t="shared" ca="1" si="133"/>
        <v/>
      </c>
      <c r="DK18" s="14" t="str">
        <f t="shared" ca="1" si="134"/>
        <v/>
      </c>
      <c r="DL18" s="14" t="str">
        <f t="array" aca="1" ref="DL18" ca="1">IF(CS18&lt;&gt;"","There are errors in the entered values in the following cases: " &amp;SUBSTITUTE(CS18," ",", "),"")</f>
        <v/>
      </c>
      <c r="DM18" s="14" t="str">
        <f t="shared" ca="1" si="135"/>
        <v/>
      </c>
      <c r="DN18" s="14" t="str">
        <f t="shared" ca="1" si="136"/>
        <v/>
      </c>
      <c r="DO18" s="14" t="str">
        <f t="shared" ca="1" si="137"/>
        <v/>
      </c>
      <c r="DP18" s="14" t="str">
        <f t="shared" ca="1" si="138"/>
        <v/>
      </c>
      <c r="DQ18" s="14" t="str">
        <f t="shared" ca="1" si="139"/>
        <v/>
      </c>
      <c r="DX18" s="14" t="b">
        <f t="shared" ca="1" si="140"/>
        <v>0</v>
      </c>
      <c r="DY18" s="14" t="str">
        <f t="shared" ca="1" si="141"/>
        <v>dwupoziomowa (dobule)</v>
      </c>
      <c r="DZ18" s="14" t="str">
        <f t="shared" ca="1" si="142"/>
        <v xml:space="preserve">Values must be limited to predefinied list. </v>
      </c>
      <c r="EA18" s="14" t="str">
        <f t="shared" ca="1" si="143"/>
        <v xml:space="preserve">dwupoziomowa (dobule): Values must be limited to predefinied list. </v>
      </c>
      <c r="EB18" s="14" t="str">
        <f t="shared" ca="1" si="144"/>
        <v/>
      </c>
      <c r="EC18" s="14" t="str">
        <f t="shared" ca="1" si="145"/>
        <v>Values must be limited to predefinied list</v>
      </c>
      <c r="ED18" s="14" t="str">
        <f t="shared" ca="1" si="146"/>
        <v/>
      </c>
      <c r="EE18" s="14" t="str">
        <f t="shared" ca="1" si="147"/>
        <v/>
      </c>
      <c r="EK18" s="14" t="b">
        <f t="shared" ca="1" si="148"/>
        <v>1</v>
      </c>
      <c r="EL18" s="14">
        <f t="shared" ca="1" si="149"/>
        <v>15</v>
      </c>
      <c r="EM18" s="14" t="str">
        <f t="shared" ca="1" si="150"/>
        <v>dobule</v>
      </c>
      <c r="EN18" s="14" t="str">
        <f t="shared" ca="1" si="151"/>
        <v xml:space="preserve">dwupoziomowa (dobule): Values must be limited to predefinied list. </v>
      </c>
      <c r="EO18" s="14" t="str">
        <f t="shared" ca="1" si="152"/>
        <v/>
      </c>
    </row>
    <row r="19" spans="2:145" s="14" customFormat="1">
      <c r="B19" s="14" t="str">
        <f t="shared" ca="1" si="78"/>
        <v/>
      </c>
      <c r="C19" s="14">
        <f t="shared" ca="1" si="79"/>
        <v>16</v>
      </c>
      <c r="D19" s="14">
        <f t="shared" si="80"/>
        <v>17</v>
      </c>
      <c r="E19" s="14" t="str">
        <f t="shared" ca="1" si="81"/>
        <v>D</v>
      </c>
      <c r="F19" s="14" t="str">
        <f t="shared" ca="1" si="82"/>
        <v>dobule2</v>
      </c>
      <c r="G19" s="14" t="str">
        <f t="shared" ca="1" si="83"/>
        <v>dwupoziomowa2</v>
      </c>
      <c r="H19" s="14" t="b">
        <f t="shared" ca="1" si="84"/>
        <v>1</v>
      </c>
      <c r="I19" s="14" t="str">
        <f ca="1">IF($H19,ADDRESS(3,(D19+1)*2-1,4,,"["&amp;wew!$G$7&amp;"]"&amp;_sheetname_labels)&amp;":"&amp;ADDRESS(2+ster!$B$20,(D19+1)*2-1,4),"")</f>
        <v>'[dane surowe2d.xlsm]labels'!AI3:AI36</v>
      </c>
      <c r="J19" s="14">
        <f t="array" aca="1" ref="J19" ca="1">IF(H19,MAX(0,MAX(IF(INDIRECT(I19)&lt;&gt;"",ROW(INDIRECT(I19)),""))-2),"")</f>
        <v>2</v>
      </c>
      <c r="K19" s="14" t="str">
        <f ca="1">IF($H19,IF($J19&gt;0,ADDRESS(3,(D19+1)*2-1,4,,"["&amp;wew!$G$7&amp;"]"&amp;_sheetname_labels)&amp;":"&amp;ADDRESS(2+J19,(D19+1)*2-1,4),""),"")</f>
        <v>'[dane surowe2d.xlsm]labels'!AI3:AI4</v>
      </c>
      <c r="L19" s="14" t="str">
        <f ca="1">IF($H19,IF($J19&gt;0,ADDRESS(3,(D19+1)*2,4,,"["&amp;wew!$G$7&amp;"]"&amp;_sheetname_labels)&amp;":"&amp;ADDRESS(2+J19,(D19+1)*2,4),""),"")</f>
        <v>'[dane surowe2d.xlsm]labels'!AJ3:AJ4</v>
      </c>
      <c r="M19" s="14">
        <f t="shared" ca="1" si="85"/>
        <v>0</v>
      </c>
      <c r="N19" s="14">
        <f t="shared" ca="1" si="86"/>
        <v>2</v>
      </c>
      <c r="O19" s="14" t="str">
        <f t="shared" ca="1" si="87"/>
        <v>dobule2</v>
      </c>
      <c r="P19" s="14" t="str">
        <f t="shared" ca="1" si="88"/>
        <v>dwupoziomowa2</v>
      </c>
      <c r="Q19" s="14" t="str">
        <f ca="1">IF($H19,ADDRESS(3,D19+1,4,,"["&amp;wew!$G$7&amp;"]"&amp;_sheetname_dataframe)&amp;":"&amp;ADDRESS(2+ster!$C$14,D19+1,4),"")</f>
        <v>'[dane surowe2d.xlsm]data_frame'!R3:R12</v>
      </c>
      <c r="R19" s="14">
        <f t="array" aca="1" ref="R19" ca="1">IF(H19,SUM(IF((IFERROR(INDIRECT(Q19)&lt;&gt;"",FALSE))*(INDIRECT(ster!$D$14)&lt;&gt;""),1,0)),"")</f>
        <v>7</v>
      </c>
      <c r="S19" s="14">
        <f t="array" aca="1" ref="S19" ca="1">IF(H19,IF(M19&gt;0,SUM(IFERROR(1*(MATCH(INDIRECT(Q19),INDIRECT(K19),0)&gt;0),0)*(INDIRECT(ster!$D$14)&lt;&gt;"")*NOT(ISNUMBER(INDIRECT(Q19)))),0),"")</f>
        <v>0</v>
      </c>
      <c r="T19" s="14">
        <f t="array" aca="1" ref="T19" ca="1">IF(H19,SUM((IFERROR(INDIRECT(Q19)="",FALSE))*(INDIRECT(ster!$D$14)&lt;&gt;"")),"")</f>
        <v>2</v>
      </c>
      <c r="U19" s="14">
        <f t="array" aca="1" ref="U19" ca="1">IF(H19,SUM((IFERROR(INDIRECT(Q19)="#ąś",TRUE))*(INDIRECT(ster!$D$14)&lt;&gt;"")),"")</f>
        <v>0</v>
      </c>
      <c r="V19" s="14">
        <f t="array" aca="1" ref="V19" ca="1">IF(H19,SUM(ISNUMBER(INDIRECT(Q19))*(INDIRECT(ster!$D$14)&lt;&gt;"")),"")</f>
        <v>7</v>
      </c>
      <c r="W19" s="14">
        <f t="array" aca="1" ref="W19" ca="1">IF(AND(H19,V19&gt;0),IF(wew!$B$3,MIN(IF((INDIRECT(ster!$D$14)&lt;&gt;"")*IFERROR(INDIRECT($Q19)&lt;&gt;"",FALSE),IFERROR(INDIRECT($Q19),"X"),"X")),"&lt;włącz podświetlanie wartości&gt;"),"—")</f>
        <v>0</v>
      </c>
      <c r="X19" s="14">
        <f t="array" aca="1" ref="X19" ca="1">IF(AND(H19,V19&gt;0),IF(wew!$B$3,MAX(IF((INDIRECT(ster!$D$14)&lt;&gt;"")*IFERROR(INDIRECT($Q19)&lt;&gt;"",FALSE),IFERROR(INDIRECT($Q19),"X"),"X")),"&lt;włącz podświetlanie wartości&gt;"),"—")</f>
        <v>1</v>
      </c>
      <c r="Y19" s="14">
        <f t="shared" ca="1" si="89"/>
        <v>0</v>
      </c>
      <c r="Z19" s="12">
        <f t="shared" ca="1" si="90"/>
        <v>1</v>
      </c>
      <c r="AA19" s="17">
        <f t="array" aca="1" ref="AA19" ca="1">IF(H19,IF(V19&gt;0,SUM((INDIRECT(ster!$D$14)&lt;&gt;"")*IFERROR((INDIRECT(Q19)&lt;&gt;"")*(INDIRECT(Q19)=INT(INDIRECT(Q19))),0)),0),"")</f>
        <v>7</v>
      </c>
      <c r="AB19" s="17">
        <f t="array" aca="1" ref="AB19" ca="1">IF(H19,V19-AA19,"")</f>
        <v>0</v>
      </c>
      <c r="AC19" s="17">
        <f t="shared" ca="1" si="91"/>
        <v>1</v>
      </c>
      <c r="AD19" s="17" t="b">
        <f t="shared" ca="1" si="92"/>
        <v>0</v>
      </c>
      <c r="AE19" s="17" t="str">
        <f ca="1">IF(AD19,IF($H19,ADDRESS(3,D19+2,4,,"["&amp;wew!$G$7&amp;"]"&amp;_sheetname_dataframe)&amp;":"&amp;ADDRESS(2+ster!$C$14,D19+2,4),""),"")</f>
        <v/>
      </c>
      <c r="AF19" s="17" t="str">
        <f t="shared" ca="1" si="93"/>
        <v/>
      </c>
      <c r="AG19" s="17" t="b">
        <f t="shared" ca="1" si="94"/>
        <v>0</v>
      </c>
      <c r="AH19" s="17" t="str">
        <f ca="1">IF(AG19,IF($H19,ADDRESS(3,D19+3,4,,"["&amp;wew!$G$7&amp;"]"&amp;_sheetname_dataframe)&amp;":"&amp;ADDRESS(2+ster!$C$14,D19+3,4),""),"")</f>
        <v/>
      </c>
      <c r="AI19" s="17" t="str">
        <f t="shared" ca="1" si="95"/>
        <v/>
      </c>
      <c r="AJ19" s="17" t="b">
        <f t="shared" ca="1" si="96"/>
        <v>0</v>
      </c>
      <c r="AK19" s="17" t="b">
        <f t="shared" ca="1" si="97"/>
        <v>1</v>
      </c>
      <c r="AL19" s="17" t="b">
        <f t="shared" ca="1" si="98"/>
        <v>0</v>
      </c>
      <c r="AM19" s="17">
        <f t="shared" ca="1" si="99"/>
        <v>0</v>
      </c>
      <c r="AN19" s="24" t="str">
        <f t="shared" ca="1" si="100"/>
        <v/>
      </c>
      <c r="AO19" s="24" t="str">
        <f t="shared" ca="1" si="101"/>
        <v/>
      </c>
      <c r="AP19" s="17" t="b">
        <f t="shared" ca="1" si="102"/>
        <v>0</v>
      </c>
      <c r="AQ19" s="17" t="b">
        <f t="shared" ca="1" si="103"/>
        <v>1</v>
      </c>
      <c r="AR19" s="17" t="b">
        <f t="shared" ca="1" si="104"/>
        <v>0</v>
      </c>
      <c r="AS19" s="17" t="b">
        <f t="shared" ca="1" si="105"/>
        <v>0</v>
      </c>
      <c r="AT19" s="17" t="b">
        <f t="shared" ca="1" si="106"/>
        <v>1</v>
      </c>
      <c r="AU19" s="17" t="b">
        <f t="shared" ca="1" si="107"/>
        <v>0</v>
      </c>
      <c r="AV19" s="17" t="b">
        <f t="shared" ca="1" si="108"/>
        <v>1</v>
      </c>
      <c r="AW19" s="14" t="b">
        <f t="array" aca="1" ref="AW19" ca="1">IF(H19,N19&gt;0,"")</f>
        <v>1</v>
      </c>
      <c r="AX19" s="17" t="str">
        <f t="shared" ca="1" si="20"/>
        <v>C3:C4</v>
      </c>
      <c r="AY19" s="17" t="b">
        <f t="array" aca="1" ref="AY19" ca="1">IF(AX19&lt;&gt;"",SUM(1*ISERROR(MATCH(INDIRECT(AX19),INDIRECT(K19),0)))=0,"")</f>
        <v>0</v>
      </c>
      <c r="AZ19" s="17" t="b">
        <f t="shared" ca="1" si="109"/>
        <v>1</v>
      </c>
      <c r="BA19" s="17" t="b">
        <f t="shared" ca="1" si="110"/>
        <v>0</v>
      </c>
      <c r="BB19" s="17" t="b">
        <f t="shared" ca="1" si="111"/>
        <v>0</v>
      </c>
      <c r="BC19" s="17" t="b">
        <f t="shared" ca="1" si="112"/>
        <v>1</v>
      </c>
      <c r="BD19" s="17" t="b">
        <f t="shared" ca="1" si="113"/>
        <v>0</v>
      </c>
      <c r="BE19" s="17" t="b">
        <f t="shared" ca="1" si="114"/>
        <v>0</v>
      </c>
      <c r="BF19" s="17" t="b">
        <f t="shared" ca="1" si="115"/>
        <v>0</v>
      </c>
      <c r="BG19" s="17" t="b">
        <f t="shared" ca="1" si="116"/>
        <v>1</v>
      </c>
      <c r="BH19" s="17">
        <f t="shared" ca="1" si="117"/>
        <v>3</v>
      </c>
      <c r="BI19" s="17" t="b">
        <f t="shared" ca="1" si="118"/>
        <v>0</v>
      </c>
      <c r="BJ19" s="17" t="str">
        <f t="shared" ca="1" si="119"/>
        <v/>
      </c>
      <c r="BK19" s="17" t="str">
        <f t="shared" ca="1" si="120"/>
        <v/>
      </c>
      <c r="BL19" s="17" t="str">
        <f t="shared" ca="1" si="121"/>
        <v>L</v>
      </c>
      <c r="BM19" s="17" t="str">
        <f t="shared" ca="1" si="122"/>
        <v>L</v>
      </c>
      <c r="BN19" s="17" t="str">
        <f t="shared" ca="1" si="123"/>
        <v>D</v>
      </c>
      <c r="BO19" s="14" t="b">
        <f t="shared" ca="1" si="124"/>
        <v>1</v>
      </c>
      <c r="BP19" s="15">
        <v>1</v>
      </c>
      <c r="BT19" s="14">
        <v>1</v>
      </c>
      <c r="BV19" s="16"/>
      <c r="BW19" s="16"/>
      <c r="BX19" s="16"/>
      <c r="BY19" s="16"/>
      <c r="BZ19" s="16"/>
      <c r="CA19" s="16"/>
      <c r="CB19" s="16"/>
      <c r="CC19" s="16"/>
      <c r="CD19" s="16"/>
      <c r="CL19" s="14">
        <f ca="1">IF(H19,IFERROR(IsVariableNameLegal(O19),0),0)</f>
        <v>0</v>
      </c>
      <c r="CM19" s="14" t="str">
        <f t="array" aca="1" ref="CM19" ca="1">IF(H19,IF(COUNTIF(INDIRECT(wew!$C$13),O19)&gt;1,TRIM(SUBSTITUTE(_xll.MCONCAT(IF((INDIRECT(wew!$C$13)=O19)*(COLUMN(INDIRECT(wew!$C$13))&lt;&gt;D19+1),-1+COLUMN(INDIRECT(wew!$C$13)),"")," "),"  "," ")),""),"")</f>
        <v/>
      </c>
      <c r="CN19" s="14" t="str">
        <f t="array" aca="1" ref="CN19" ca="1">IF(P19&lt;&gt;"",IF(LEN(P19)&gt;150,1,""),"")</f>
        <v/>
      </c>
      <c r="CO19" s="14" t="str">
        <f t="array" aca="1" ref="CO19" ca="1">IF(AND(H19,NOT(ster!$J$3)),IF(COUNTIF(INDIRECT(wew!$C$15),P19)&gt;1,TRIM(SUBSTITUTE(_xll.MCONCAT(IF((INDIRECT(wew!$C$15)=P19)*(COLUMN(INDIRECT(wew!$C$15))&lt;&gt;D19+1),-1+COLUMN(INDIRECT(wew!$C$15)),"")," "),"  "," ")),""),"")</f>
        <v/>
      </c>
      <c r="CP19" s="14" t="str">
        <f t="array" aca="1" ref="CP19" ca="1">IF(H19,IF(AND(V19&gt;0,AN19&lt;&gt;""),TRIM(SUBSTITUTE(_xll.MCONCAT(IFERROR(IF(ISNUMBER(INDIRECT(Q19)),IF((INDIRECT(ster!$D$14)&lt;&gt;"")*(INDIRECT(Q19)&lt;AN19),INDIRECT(ster!$D$14) &amp; ": " &amp;  SUBSTITUTE(IF( AU19,IFERROR(TEXT(INDIRECT(Q19),"rrrr-mm-dd") &amp;" (" &amp; INDIRECT(Q19) &amp;")",INDIRECT(Q19)),INDIRECT(Q19))," "," "),""),""),"")," "),"  "," ")),""),"")</f>
        <v/>
      </c>
      <c r="CQ19" s="14" t="str">
        <f t="array" aca="1" ref="CQ19" ca="1">IF(H19,IF(AND(V19&gt;0,AO19&lt;&gt;""),TRIM(SUBSTITUTE(_xll.MCONCAT(IFERROR(IF(ISNUMBER(INDIRECT(Q19)),IF((INDIRECT(ster!$D$14)&lt;&gt;"")*(INDIRECT(Q19)&gt;AO19),INDIRECT(ster!$D$14) &amp; ": " &amp;  SUBSTITUTE(IF( AU19,IFERROR(TEXT(INDIRECT(Q19),"rrrr-mm-dd")&amp;" (" &amp; INDIRECT(Q19) &amp;")",INDIRECT(Q19)),INDIRECT(Q19))," "," "),""),""),"")," "),"  "," ")),""),"")</f>
        <v/>
      </c>
      <c r="CR19" s="14" t="str">
        <f t="array" aca="1" ref="CR19" ca="1">IF(H19,IF(AND(N19&gt;0,AQ19),TRIM(SUBSTITUTE(_xll.MCONCAT(IFERROR(IF(ISNUMBER(INDIRECT(Q19)),IF((INDIRECT(ster!$D$14)&lt;&gt;"")*(IFERROR(0*(MATCH(INDIRECT(Q19),INDIRECT(K19),0)&gt;0),1)),INDIRECT(ster!$D$14) &amp; ": " &amp;  SUBSTITUTE(IF( AU19,IFERROR(TEXT(INDIRECT(Q19),"rrrr-mm-dd")&amp;" (" &amp; INDIRECT(Q19) &amp;")",INDIRECT(Q19)),INDIRECT(Q19))," "," "),""),""),"")," "),"  "," ")),""),"")</f>
        <v/>
      </c>
      <c r="CS19" s="14" t="str">
        <f t="array" aca="1" ref="CS19" ca="1">IF(H19,IF(AND(U19&gt;0),TRIM(SUBSTITUTE(_xll.MCONCAT(IF((INDIRECT(ster!$D$14)&lt;&gt;"")*(IFERROR(0*(INDIRECT(Q19)&lt;&gt;""),1)),INDIRECT(ster!$D$14),"")," "),"  "," ")),""),"")</f>
        <v/>
      </c>
      <c r="CT19" s="14" t="str">
        <f t="array" aca="1" ref="CT19" ca="1">IF(H19,IF(AR19,
TRIM(SUBSTITUTE(_xll.MCONCAT(IF(
   (INDIRECT(ster!$D$14)&lt;&gt;"")*
   ((INDIRECT(Q19)="")+
      NOT(ISNUMBER(INDIRECT(Q19)))*
      NOT(ISERROR(MATCH(INDIRECT(Q19),INDIRECT(K19),0)))
    ),
      INDIRECT(ster!$D$14),
   "")," "),"  "," ")),
""),"")</f>
        <v/>
      </c>
      <c r="CU19" s="14" t="str">
        <f t="array" aca="1" ref="CU19" ca="1">IF(H19,IF(AND(AP19),TRIM(SUBSTITUTE(_xll.MCONCAT(IFERROR(IF(ISNUMBER(INDIRECT(Q19)),IF((INDIRECT(ster!$D$14)&lt;&gt;"")*(INDIRECT(Q19)&lt;&gt;INT(INDIRECT(Q19))),INDIRECT(ster!$D$14) &amp; ": " &amp; INDIRECT(Q19),""),""),"")," "),"  "," ")),""),"")</f>
        <v/>
      </c>
      <c r="CV19" s="14" t="str">
        <f t="array" aca="1" ref="CV19" ca="1">IF(H19,IF(OR(AT19,AU19),TRIM(SUBSTITUTE(_xll.MCONCAT(IF((INDIRECT(ster!$D$14)&lt;&gt;"")*NOT(ISNUMBER(INDIRECT(Q19))),IF(ISERROR(MATCH(INDIRECT(Q19),INDIRECT(K19),0)),IFERROR(IF(INDIRECT(Q19)&lt;&gt;"",INDIRECT(ster!$D$14) &amp; ": " &amp; SUBSTITUTE(INDIRECT(Q19)," "," "),""),""),""),"")," "),"  "," ")),""),"")</f>
        <v/>
      </c>
      <c r="CW19" s="14" t="str">
        <f t="array" aca="1" ref="CW19" ca="1">IF(H19,IF(AD19,TRIM(SUBSTITUTE(_xll.MCONCAT(IF((INDIRECT(ster!$D$14)&lt;&gt;"")*IFERROR(NOT(INDIRECT(AE19)),FALSE),IF(ISERROR(MATCH(INDIRECT(Q19),INDIRECT(K19),0)),IFERROR(IF(INDIRECT(Q19)&lt;&gt;"",INDIRECT(ster!$D$14) &amp; ": " &amp;  SUBSTITUTE(IF( AU19,IFERROR(TEXT(INDIRECT(Q19),"rrrr-mm-dd")&amp;" (" &amp; INDIRECT(Q19) &amp;")",INDIRECT(Q19)),INDIRECT(Q19))," "," "),""),""),""),"")," "),"  "," ")),""),"")</f>
        <v/>
      </c>
      <c r="CX19" s="14" t="str">
        <f t="array" aca="1" ref="CX19" ca="1">IF(H19,IF(AG19,TRIM(SUBSTITUTE(_xll.MCONCAT(IF((INDIRECT(ster!$D$14)&lt;&gt;"")*IFERROR(NOT(INDIRECT(AH19)),FALSE),IF(ISERROR(MATCH(INDIRECT(Q19),INDIRECT(K19),0)),IFERROR(IF(INDIRECT(Q19)&lt;&gt;"",INDIRECT(ster!$D$14) &amp; ": " &amp;  SUBSTITUTE(IF( AU19,IFERROR(TEXT(INDIRECT(Q19),"rrrr-mm-dd")&amp;" (" &amp; INDIRECT(Q19) &amp;")",INDIRECT(Q19)),INDIRECT(Q19))," "," "),""),""),""),"")," "),"  "," ")),""),"")</f>
        <v/>
      </c>
      <c r="DA19" s="14" t="str">
        <f ca="1">SUBSTITUTE(SUBSTITUTE(SUBSTITUTE(SUBSTITUTE(_xll.MCONCAT(DE19:DQ19,"■"),"■■","■"),"■■","■"),"■■","■"),"■■","■")</f>
        <v>■</v>
      </c>
      <c r="DB19" s="14" t="str">
        <f t="shared" ca="1" si="125"/>
        <v/>
      </c>
      <c r="DC19" s="14" t="str">
        <f t="shared" ca="1" si="126"/>
        <v/>
      </c>
      <c r="DD19" s="14" t="str">
        <f t="shared" ca="1" si="127"/>
        <v/>
      </c>
      <c r="DE19" s="14" t="str">
        <f t="shared" ca="1" si="128"/>
        <v/>
      </c>
      <c r="DF19" s="14" t="str">
        <f t="shared" ca="1" si="129"/>
        <v/>
      </c>
      <c r="DG19" s="14" t="str">
        <f t="shared" ca="1" si="130"/>
        <v/>
      </c>
      <c r="DH19" s="14" t="str">
        <f t="shared" ca="1" si="131"/>
        <v/>
      </c>
      <c r="DI19" s="14" t="str">
        <f t="shared" ca="1" si="132"/>
        <v/>
      </c>
      <c r="DJ19" s="14" t="str">
        <f t="shared" ca="1" si="133"/>
        <v/>
      </c>
      <c r="DK19" s="14" t="str">
        <f t="shared" ca="1" si="134"/>
        <v/>
      </c>
      <c r="DL19" s="14" t="str">
        <f t="array" aca="1" ref="DL19" ca="1">IF(CS19&lt;&gt;"","There are errors in the entered values in the following cases: " &amp;SUBSTITUTE(CS19," ",", "),"")</f>
        <v/>
      </c>
      <c r="DM19" s="14" t="str">
        <f t="shared" ca="1" si="135"/>
        <v/>
      </c>
      <c r="DN19" s="14" t="str">
        <f t="shared" ca="1" si="136"/>
        <v/>
      </c>
      <c r="DO19" s="14" t="str">
        <f t="shared" ca="1" si="137"/>
        <v/>
      </c>
      <c r="DP19" s="14" t="str">
        <f t="shared" ca="1" si="138"/>
        <v/>
      </c>
      <c r="DQ19" s="14" t="str">
        <f t="shared" ca="1" si="139"/>
        <v/>
      </c>
      <c r="DX19" s="14" t="b">
        <f t="shared" ca="1" si="140"/>
        <v>0</v>
      </c>
      <c r="DY19" s="14" t="str">
        <f t="shared" ref="DY19:DY24" ca="1" si="153">IF(DZ19&lt;&gt;"",G19 &amp; " (" &amp; F19 &amp; ")","")</f>
        <v>dwupoziomowa2 (dobule2)</v>
      </c>
      <c r="DZ19" s="14" t="str">
        <f t="shared" ca="1" si="142"/>
        <v xml:space="preserve">Values must be limited to predefinied list. </v>
      </c>
      <c r="EA19" s="14" t="str">
        <f t="shared" ref="EA19:EA24" ca="1" si="154">IF(DZ19&lt;&gt;"",G19 &amp; " (" &amp; F19 &amp; "): " &amp; DZ19,"")</f>
        <v xml:space="preserve">dwupoziomowa2 (dobule2): Values must be limited to predefinied list. </v>
      </c>
      <c r="EB19" s="14" t="str">
        <f t="shared" ca="1" si="144"/>
        <v/>
      </c>
      <c r="EC19" s="14" t="str">
        <f t="shared" ca="1" si="145"/>
        <v>Values must be limited to predefinied list</v>
      </c>
      <c r="ED19" s="14" t="str">
        <f t="shared" ca="1" si="146"/>
        <v/>
      </c>
      <c r="EE19" s="14" t="str">
        <f t="shared" ca="1" si="147"/>
        <v/>
      </c>
      <c r="EK19" s="14" t="b">
        <f t="shared" ca="1" si="148"/>
        <v>1</v>
      </c>
      <c r="EL19" s="14">
        <f t="shared" ref="EL19:EL24" ca="1" si="155">IF(EK19,C19,"")</f>
        <v>16</v>
      </c>
      <c r="EM19" s="14" t="str">
        <f t="shared" ca="1" si="150"/>
        <v>dobule2</v>
      </c>
      <c r="EN19" s="14" t="str">
        <f t="shared" ca="1" si="151"/>
        <v xml:space="preserve">dwupoziomowa2 (dobule2): Values must be limited to predefinied list. </v>
      </c>
      <c r="EO19" s="14" t="str">
        <f t="shared" ca="1" si="152"/>
        <v/>
      </c>
    </row>
    <row r="20" spans="2:145" s="14" customFormat="1">
      <c r="B20" s="14" t="str">
        <f t="shared" ref="B20" ca="1" si="156">DD20</f>
        <v>In the following cases Zmienna z walidacją must be odd: JAN1: 6, JAN2: 8, LAB1: 4, LAB2: 6</v>
      </c>
      <c r="C20" s="14">
        <f t="shared" ref="C20" ca="1" si="157">IF(OFFSET(B20,-1,COLUMN(VariableExists)-2),OFFSET(B20,-1,1)+1,OFFSET(B20,-1,1))</f>
        <v>17</v>
      </c>
      <c r="D20" s="14">
        <f t="shared" ref="D20" si="158">ROW(A20)-2</f>
        <v>18</v>
      </c>
      <c r="E20" s="14" t="str">
        <f t="shared" ref="E20" ca="1" si="159">IF(OR(G20="",ROW(G20)=2),"",IF(Y20&gt;0,"S",IF(AW20,IF(J20=2,"D","N"),"I")))</f>
        <v>I</v>
      </c>
      <c r="F20" s="14" t="str">
        <f t="shared" ref="F20" ca="1" si="160">IF(H20,O20,"")</f>
        <v>validacja1</v>
      </c>
      <c r="G20" s="14" t="str">
        <f t="shared" ref="G20" ca="1" si="161">IF(H20,P20,"")</f>
        <v>Zmienna z walidacją</v>
      </c>
      <c r="H20" s="14" t="b">
        <f t="shared" ref="H20" ca="1" si="162">IF(INDIRECT(ADDRESS(2,D20+1,,,_sheetname_dataframe))="",FALSE,MID(INDIRECT(ADDRESS(2,D20+1,,,_sheetname_dataframe)),1,1)&lt;&gt;".")</f>
        <v>1</v>
      </c>
      <c r="I20" s="14" t="str">
        <f ca="1">IF($H20,ADDRESS(3,(D20+1)*2-1,4,,"["&amp;wew!$G$7&amp;"]"&amp;_sheetname_labels)&amp;":"&amp;ADDRESS(2+ster!$B$20,(D20+1)*2-1,4),"")</f>
        <v>'[dane surowe2d.xlsm]labels'!AK3:AK36</v>
      </c>
      <c r="J20" s="14">
        <f t="array" aca="1" ref="J20" ca="1">IF(H20,MAX(0,MAX(IF(INDIRECT(I20)&lt;&gt;"",ROW(INDIRECT(I20)),""))-2),"")</f>
        <v>0</v>
      </c>
      <c r="K20" s="14" t="str">
        <f ca="1">IF($H20,IF($J20&gt;0,ADDRESS(3,(D20+1)*2-1,4,,"["&amp;wew!$G$7&amp;"]"&amp;_sheetname_labels)&amp;":"&amp;ADDRESS(2+J20,(D20+1)*2-1,4),""),"")</f>
        <v/>
      </c>
      <c r="L20" s="14" t="str">
        <f ca="1">IF($H20,IF($J20&gt;0,ADDRESS(3,(D20+1)*2,4,,"["&amp;wew!$G$7&amp;"]"&amp;_sheetname_labels)&amp;":"&amp;ADDRESS(2+J20,(D20+1)*2,4),""),"")</f>
        <v/>
      </c>
      <c r="M20" s="14">
        <f t="shared" ref="M20" ca="1" si="163">IF($H20,IF(J20&gt;0,COUNTA(INDIRECT(K20))-COUNT(INDIRECT(K20)),0),"")</f>
        <v>0</v>
      </c>
      <c r="N20" s="14">
        <f t="shared" ref="N20" ca="1" si="164">IF(H20,J20-M20,"")</f>
        <v>0</v>
      </c>
      <c r="O20" s="14" t="str">
        <f t="shared" ref="O20" ca="1" si="165">IF(INDIRECT(ADDRESS(2,D20+1,,,_sheetname_dataframe))="","",INDIRECT(ADDRESS(2,D20+1,,,_sheetname_dataframe)))</f>
        <v>validacja1</v>
      </c>
      <c r="P20" s="14" t="str">
        <f t="shared" ref="P20" ca="1" si="166">IF(H20,IF(INDIRECT(ADDRESS(1,D20+1,,,_sheetname_dataframe))="","",INDIRECT(ADDRESS(1,D20+1,,,_sheetname_dataframe))),"")</f>
        <v>Zmienna z walidacją</v>
      </c>
      <c r="Q20" s="14" t="str">
        <f ca="1">IF($H20,ADDRESS(3,D20+1,4,,"["&amp;wew!$G$7&amp;"]"&amp;_sheetname_dataframe)&amp;":"&amp;ADDRESS(2+ster!$C$14,D20+1,4),"")</f>
        <v>'[dane surowe2d.xlsm]data_frame'!S3:S12</v>
      </c>
      <c r="R20" s="14">
        <f t="array" aca="1" ref="R20" ca="1">IF(H20,SUM(IF((IFERROR(INDIRECT(Q20)&lt;&gt;"",FALSE))*(INDIRECT(ster!$D$14)&lt;&gt;""),1,0)),"")</f>
        <v>9</v>
      </c>
      <c r="S20" s="14">
        <f t="array" aca="1" ref="S20" ca="1">IF(H20,IF(M20&gt;0,SUM(IFERROR(1*(MATCH(INDIRECT(Q20),INDIRECT(K20),0)&gt;0),0)*(INDIRECT(ster!$D$14)&lt;&gt;"")*NOT(ISNUMBER(INDIRECT(Q20)))),0),"")</f>
        <v>0</v>
      </c>
      <c r="T20" s="14">
        <f t="array" aca="1" ref="T20" ca="1">IF(H20,SUM((IFERROR(INDIRECT(Q20)="",FALSE))*(INDIRECT(ster!$D$14)&lt;&gt;"")),"")</f>
        <v>0</v>
      </c>
      <c r="U20" s="14">
        <f t="array" aca="1" ref="U20" ca="1">IF(H20,SUM((IFERROR(INDIRECT(Q20)="#ąś",TRUE))*(INDIRECT(ster!$D$14)&lt;&gt;"")),"")</f>
        <v>0</v>
      </c>
      <c r="V20" s="14">
        <f t="array" aca="1" ref="V20" ca="1">IF(H20,SUM(ISNUMBER(INDIRECT(Q20))*(INDIRECT(ster!$D$14)&lt;&gt;"")),"")</f>
        <v>9</v>
      </c>
      <c r="W20" s="14">
        <f t="array" aca="1" ref="W20" ca="1">IF(AND(H20,V20&gt;0),IF(wew!$B$3,MIN(IF((INDIRECT(ster!$D$14)&lt;&gt;"")*IFERROR(INDIRECT($Q20)&lt;&gt;"",FALSE),IFERROR(INDIRECT($Q20),"X"),"X")),"&lt;włącz podświetlanie wartości&gt;"),"—")</f>
        <v>1</v>
      </c>
      <c r="X20" s="14">
        <f t="array" aca="1" ref="X20" ca="1">IF(AND(H20,V20&gt;0),IF(wew!$B$3,MAX(IF((INDIRECT(ster!$D$14)&lt;&gt;"")*IFERROR(INDIRECT($Q20)&lt;&gt;"",FALSE),IFERROR(INDIRECT($Q20),"X"),"X")),"&lt;włącz podświetlanie wartości&gt;"),"—")</f>
        <v>8</v>
      </c>
      <c r="Y20" s="14">
        <f t="shared" ref="Y20" ca="1" si="167">IF(H20,R20-S20-V20,"")</f>
        <v>0</v>
      </c>
      <c r="Z20" s="12">
        <f t="shared" ref="Z20" ca="1" si="168">IF(H20,IF(R20&gt;0,V20/(R20),"—"),"")</f>
        <v>1</v>
      </c>
      <c r="AA20" s="17">
        <f t="array" aca="1" ref="AA20" ca="1">IF(H20,IF(V20&gt;0,SUM((INDIRECT(ster!$D$14)&lt;&gt;"")*IFERROR((INDIRECT(Q20)&lt;&gt;"")*(INDIRECT(Q20)=INT(INDIRECT(Q20))),0)),0),"")</f>
        <v>9</v>
      </c>
      <c r="AB20" s="17">
        <f t="array" aca="1" ref="AB20" ca="1">IF(H20,V20-AA20,"")</f>
        <v>0</v>
      </c>
      <c r="AC20" s="17">
        <f t="shared" ref="AC20" ca="1" si="169">IF($H20,IF(AB20&lt;&gt;"",IF(AB20=0,1,IF(AB20/V20&lt;0.15,2,3)),0),"")</f>
        <v>1</v>
      </c>
      <c r="AD20" s="17" t="b">
        <f t="shared" ref="AD20" ca="1" si="170">IF(H20,OFFSET(O20,1,0)=".validation",FALSE)</f>
        <v>1</v>
      </c>
      <c r="AE20" s="17" t="str">
        <f ca="1">IF(AD20,IF($H20,ADDRESS(3,D20+2,4,,"["&amp;wew!$G$7&amp;"]"&amp;_sheetname_dataframe)&amp;":"&amp;ADDRESS(2+ster!$C$14,D20+2,4),""),"")</f>
        <v>'[dane surowe2d.xlsm]data_frame'!T3:T12</v>
      </c>
      <c r="AF20" s="17" t="str">
        <f t="shared" ref="AF20" ca="1" si="171">IF(AD20,IF($H20,IF(INDIRECT(ADDRESS(1,D20+2,,,_sheetname_dataframe))="","",INDIRECT(ADDRESS(1,D20+2,,,_sheetname_dataframe))),""),"")</f>
        <v>Must be odd</v>
      </c>
      <c r="AG20" s="17" t="b">
        <f t="shared" ref="AG20" ca="1" si="172">IF(H20,AND(AD20,OFFSET(O20,2,0)=".validation"),FALSE)</f>
        <v>0</v>
      </c>
      <c r="AH20" s="17" t="str">
        <f ca="1">IF(AG20,IF($H20,ADDRESS(3,D20+3,4,,"["&amp;wew!$G$7&amp;"]"&amp;_sheetname_dataframe)&amp;":"&amp;ADDRESS(2+ster!$C$14,D20+3,4),""),"")</f>
        <v/>
      </c>
      <c r="AI20" s="17" t="str">
        <f t="shared" ref="AI20" ca="1" si="173">IF(AG20,IF($H20,IF(INDIRECT(ADDRESS(1,D20+3,,,_sheetname_dataframe))="","",INDIRECT(ADDRESS(1,D20+3,,,_sheetname_dataframe))),""),"")</f>
        <v/>
      </c>
      <c r="AJ20" s="17" t="b">
        <f t="shared" ref="AJ20" ca="1" si="174">IF(H20,OR(AP20,AC20=2),"")</f>
        <v>0</v>
      </c>
      <c r="AK20" s="17" t="b">
        <f t="shared" ref="AK20" ca="1" si="175">IF($H20,IF(BT20&lt;&gt;"",IF(OR(BL20="F",BL20="L",BL20="I",BL20="D"),BT20&lt;&gt;0)),"")</f>
        <v>0</v>
      </c>
      <c r="AL20" s="17" t="b">
        <f t="shared" ref="AL20" ca="1" si="176">IF($H20,AND(NOT(AK20),OR(IF(BU20&lt;&gt;"",IF(OR(BL20="F",BL20="L"),BU20&lt;&gt;0)),BL20="I",BL20="N",BL20="D")),"")</f>
        <v>1</v>
      </c>
      <c r="AM20" s="17">
        <f t="shared" ref="AM20" ca="1" si="177">IF(COUNTA(INDIRECT(Q20))=0,0, IF(AND(AN20&lt;&gt;"",W20&lt;AN20),1,IF(AND(AO20&lt;&gt;"",X20&gt;AO20),1,IF(AND(AP20,AB20&gt;0),2,0))))</f>
        <v>0</v>
      </c>
      <c r="AN20" s="24" t="str">
        <f t="shared" ref="AN20" ca="1" si="178">IF($H20,IF(BW20&lt;&gt;"",IF(ISNUMBER(BW20),BW20,""),""),"")</f>
        <v/>
      </c>
      <c r="AO20" s="24" t="str">
        <f t="shared" ref="AO20" ca="1" si="179">IF($H20,IF(BX20&lt;&gt;"",IF(ISNUMBER(BX20),BX20,""),""),"")</f>
        <v/>
      </c>
      <c r="AP20" s="17" t="b">
        <f t="shared" ref="AP20" ca="1" si="180">IF(H20,IF(BY20&lt;&gt;"",BY20&lt;&gt;0,FALSE),"")</f>
        <v>0</v>
      </c>
      <c r="AQ20" s="17" t="b">
        <f t="shared" ref="AQ20" ca="1" si="181">IF(H20,IF(N20&gt;0,IF(BP20&lt;&gt;"",BP20&lt;&gt;0,FALSE),FALSE),"")</f>
        <v>0</v>
      </c>
      <c r="AR20" s="17" t="b">
        <f t="shared" ref="AR20" ca="1" si="182">IF(H20,IF(BQ20&lt;&gt;"",BQ20&lt;&gt;0,FALSE),"")</f>
        <v>0</v>
      </c>
      <c r="AS20" s="17" t="b">
        <f t="shared" ref="AS20" ca="1" si="183">IF(H20,IF(N20&gt;0,FALSE,IF(BS20&lt;&gt;"",MATCH(BS20,DataType,0)=1,FALSE)),"")</f>
        <v>0</v>
      </c>
      <c r="AT20" s="17" t="b">
        <f t="shared" ref="AT20" ca="1" si="184">IF(H20,IF(N20&gt;0,TRUE,IF(BS20&lt;&gt;"",MATCH(BS20,DataType,0)=2,FALSE)),"")</f>
        <v>1</v>
      </c>
      <c r="AU20" s="17" t="b">
        <f t="shared" ref="AU20" ca="1" si="185">IF(H20,IF(N20&gt;0,FALSE,IF(BS20&lt;&gt;"",MATCH(BS20,DataType,0)=3,FALSE)),"")</f>
        <v>0</v>
      </c>
      <c r="AV20" s="17" t="b">
        <f t="shared" ref="AV20" ca="1" si="186">IF(H20,IF(V20&gt;0,Y20=0,FALSE),"")</f>
        <v>1</v>
      </c>
      <c r="AW20" s="14" t="b">
        <f t="array" aca="1" ref="AW20" ca="1">IF(H20,N20&gt;0,"")</f>
        <v>0</v>
      </c>
      <c r="AX20" s="17" t="str">
        <f t="shared" ca="1" si="20"/>
        <v/>
      </c>
      <c r="AY20" s="17" t="str">
        <f t="array" aca="1" ref="AY20" ca="1">IF(AX20&lt;&gt;"",SUM(1*ISERROR(MATCH(INDIRECT(AX20),INDIRECT(K20),0)))=0,"")</f>
        <v/>
      </c>
      <c r="AZ20" s="17" t="b">
        <f t="shared" ref="AZ20" ca="1" si="187">IF(H20,BS20="",FALSE)</f>
        <v>0</v>
      </c>
      <c r="BA20" s="17" t="str">
        <f t="shared" ref="BA20" ca="1" si="188">IF(AZ20,R20=0,"")</f>
        <v/>
      </c>
      <c r="BB20" s="17" t="str">
        <f t="shared" ref="BB20" ca="1" si="189">IF(AZ20,IF(N20&gt;0,AND(AY20,Y20=0),FALSE),"")</f>
        <v/>
      </c>
      <c r="BC20" s="17" t="str">
        <f t="shared" ref="BC20" ca="1" si="190">IF(AZ20,IF(N20&gt;0,AND(NOT(AY20),Y20=0),FALSE),"")</f>
        <v/>
      </c>
      <c r="BD20" s="17" t="str">
        <f t="shared" ref="BD20" ca="1" si="191">IF(AZ20,IF(AND(AV20,NOT(BA20),NOT(BB20),NOT(BC20)),AND(Y20=0,AB20=0),FALSE),"")</f>
        <v/>
      </c>
      <c r="BE20" s="17" t="str">
        <f t="shared" ref="BE20" ca="1" si="192">IF(AZ20,IF(AND(AV20,NOT(BA20),NOT(BB20),NOT(BC20)),AND(Y20=0,OR(AB20&gt;0)),FALSE),"")</f>
        <v/>
      </c>
      <c r="BF20" s="17" t="str">
        <f t="shared" ref="BF20" ca="1" si="193">IF(AZ20,IF(OR(BA20:BE20),FALSE,IF(Y20=0,FALSE,Y20&gt;0)),"")</f>
        <v/>
      </c>
      <c r="BG20" s="17" t="str">
        <f t="shared" ref="BG20" ca="1" si="194">IF(AZ20,COUNTIF(BA20:BF20,TRUE)=1,"")</f>
        <v/>
      </c>
      <c r="BH20" s="17" t="str">
        <f t="shared" ref="BH20" ca="1" si="195">IF(AZ20,IFERROR(MATCH(TRUE,BA20:BF20,0),7),"")</f>
        <v/>
      </c>
      <c r="BI20" s="17" t="b">
        <f t="shared" ref="BI20" ca="1" si="196">DD20&lt;&gt;""</f>
        <v>1</v>
      </c>
      <c r="BJ20" s="17" t="b">
        <f t="shared" ref="BJ20" ca="1" si="197">IF(H20,IF(AND(NOT(AZ20),AT20),AB20=0,""),"")</f>
        <v>1</v>
      </c>
      <c r="BK20" s="17" t="b">
        <f t="shared" ref="BK20" ca="1" si="198">IF(H20,IF(AND(NOT(AZ20),AT20),AB20&gt;0,""),"")</f>
        <v>0</v>
      </c>
      <c r="BL20" s="17" t="str">
        <f t="shared" ref="BL20" ca="1" si="199">IF(H20,IF(AZ20,CHOOSE(BH20,"0","F","L","I","N",IF(Z20&gt;0.5,"N","S"),"0"),CHOOSE(MATCH(BS20,DataType,0),"S",IF(BJ20,"I","N"),"D"  )),"")</f>
        <v>I</v>
      </c>
      <c r="BM20" s="17" t="str">
        <f t="shared" ref="BM20" ca="1" si="200">IF(H20,IF(BI20,"E",IF(AZ20,CHOOSE(BH20,"0","F","L","I","N","S","0"),CHOOSE(MATCH(BS20,DataType,0),"S",IF(BJ20,"I","N"),"D"  ))),"")</f>
        <v>E</v>
      </c>
      <c r="BN20" s="17" t="str">
        <f t="shared" ref="BN20" ca="1" si="201">IF($H20,IF(BL20="0","",IF(AND(AQ20,N20=2),"D",IF(BL20="S","N",IF(AK20,"O",IF(AL20,"I","N"))))),"")</f>
        <v>I</v>
      </c>
      <c r="BO20" s="14" t="b">
        <f t="shared" ref="BO20" ca="1" si="202">INDIRECT(ADDRESS(2,ROW(A20)-1,,,_sheetname_dataframe))&lt;&gt;""</f>
        <v>1</v>
      </c>
      <c r="BP20" s="15"/>
      <c r="BS20" s="14" t="s">
        <v>388</v>
      </c>
      <c r="BV20" s="16"/>
      <c r="BW20" s="16"/>
      <c r="BX20" s="16"/>
      <c r="BY20" s="16"/>
      <c r="BZ20" s="16"/>
      <c r="CA20" s="16"/>
      <c r="CB20" s="16"/>
      <c r="CC20" s="16"/>
      <c r="CD20" s="16"/>
      <c r="CL20" s="14">
        <f ca="1">IF(H20,IFERROR(IsVariableNameLegal(O20),0),0)</f>
        <v>0</v>
      </c>
      <c r="CM20" s="14" t="str">
        <f t="array" aca="1" ref="CM20" ca="1">IF(H20,IF(COUNTIF(INDIRECT(wew!$C$13),O20)&gt;1,TRIM(SUBSTITUTE(_xll.MCONCAT(IF((INDIRECT(wew!$C$13)=O20)*(COLUMN(INDIRECT(wew!$C$13))&lt;&gt;D20+1),-1+COLUMN(INDIRECT(wew!$C$13)),"")," "),"  "," ")),""),"")</f>
        <v/>
      </c>
      <c r="CN20" s="14" t="str">
        <f t="array" aca="1" ref="CN20" ca="1">IF(P20&lt;&gt;"",IF(LEN(P20)&gt;150,1,""),"")</f>
        <v/>
      </c>
      <c r="CO20" s="14" t="str">
        <f t="array" aca="1" ref="CO20" ca="1">IF(AND(H20,NOT(ster!$J$3)),IF(COUNTIF(INDIRECT(wew!$C$15),P20)&gt;1,TRIM(SUBSTITUTE(_xll.MCONCAT(IF((INDIRECT(wew!$C$15)=P20)*(COLUMN(INDIRECT(wew!$C$15))&lt;&gt;D20+1),-1+COLUMN(INDIRECT(wew!$C$15)),"")," "),"  "," ")),""),"")</f>
        <v/>
      </c>
      <c r="CP20" s="14" t="str">
        <f t="array" aca="1" ref="CP20" ca="1">IF(H20,IF(AND(V20&gt;0,AN20&lt;&gt;""),TRIM(SUBSTITUTE(_xll.MCONCAT(IFERROR(IF(ISNUMBER(INDIRECT(Q20)),IF((INDIRECT(ster!$D$14)&lt;&gt;"")*(INDIRECT(Q20)&lt;AN20),INDIRECT(ster!$D$14) &amp; ": " &amp;  SUBSTITUTE(IF( AU20,IFERROR(TEXT(INDIRECT(Q20),"rrrr-mm-dd") &amp;" (" &amp; INDIRECT(Q20) &amp;")",INDIRECT(Q20)),INDIRECT(Q20))," "," "),""),""),"")," "),"  "," ")),""),"")</f>
        <v/>
      </c>
      <c r="CQ20" s="14" t="str">
        <f t="array" aca="1" ref="CQ20" ca="1">IF(H20,IF(AND(V20&gt;0,AO20&lt;&gt;""),TRIM(SUBSTITUTE(_xll.MCONCAT(IFERROR(IF(ISNUMBER(INDIRECT(Q20)),IF((INDIRECT(ster!$D$14)&lt;&gt;"")*(INDIRECT(Q20)&gt;AO20),INDIRECT(ster!$D$14) &amp; ": " &amp;  SUBSTITUTE(IF( AU20,IFERROR(TEXT(INDIRECT(Q20),"rrrr-mm-dd")&amp;" (" &amp; INDIRECT(Q20) &amp;")",INDIRECT(Q20)),INDIRECT(Q20))," "," "),""),""),"")," "),"  "," ")),""),"")</f>
        <v/>
      </c>
      <c r="CR20" s="14" t="str">
        <f t="array" aca="1" ref="CR20" ca="1">IF(H20,IF(AND(N20&gt;0,AQ20),TRIM(SUBSTITUTE(_xll.MCONCAT(IFERROR(IF(ISNUMBER(INDIRECT(Q20)),IF((INDIRECT(ster!$D$14)&lt;&gt;"")*(IFERROR(0*(MATCH(INDIRECT(Q20),INDIRECT(K20),0)&gt;0),1)),INDIRECT(ster!$D$14) &amp; ": " &amp;  SUBSTITUTE(IF( AU20,IFERROR(TEXT(INDIRECT(Q20),"rrrr-mm-dd")&amp;" (" &amp; INDIRECT(Q20) &amp;")",INDIRECT(Q20)),INDIRECT(Q20))," "," "),""),""),"")," "),"  "," ")),""),"")</f>
        <v/>
      </c>
      <c r="CS20" s="14" t="str">
        <f t="array" aca="1" ref="CS20" ca="1">IF(H20,IF(AND(U20&gt;0),TRIM(SUBSTITUTE(_xll.MCONCAT(IF((INDIRECT(ster!$D$14)&lt;&gt;"")*(IFERROR(0*(INDIRECT(Q20)&lt;&gt;""),1)),INDIRECT(ster!$D$14),"")," "),"  "," ")),""),"")</f>
        <v/>
      </c>
      <c r="CT20" s="14" t="str">
        <f t="array" aca="1" ref="CT20" ca="1">IF(H20,IF(AR20,
TRIM(SUBSTITUTE(_xll.MCONCAT(IF(
   (INDIRECT(ster!$D$14)&lt;&gt;"")*
   ((INDIRECT(Q20)="")+
      NOT(ISNUMBER(INDIRECT(Q20)))*
      NOT(ISERROR(MATCH(INDIRECT(Q20),INDIRECT(K20),0)))
    ),
      INDIRECT(ster!$D$14),
   "")," "),"  "," ")),
""),"")</f>
        <v/>
      </c>
      <c r="CU20" s="14" t="str">
        <f t="array" aca="1" ref="CU20" ca="1">IF(H20,IF(AND(AP20),TRIM(SUBSTITUTE(_xll.MCONCAT(IFERROR(IF(ISNUMBER(INDIRECT(Q20)),IF((INDIRECT(ster!$D$14)&lt;&gt;"")*(INDIRECT(Q20)&lt;&gt;INT(INDIRECT(Q20))),INDIRECT(ster!$D$14) &amp; ": " &amp; INDIRECT(Q20),""),""),"")," "),"  "," ")),""),"")</f>
        <v/>
      </c>
      <c r="CV20" s="14" t="str">
        <f t="array" aca="1" ref="CV20" ca="1">IF(H20,IF(OR(AT20,AU20),TRIM(SUBSTITUTE(_xll.MCONCAT(IF((INDIRECT(ster!$D$14)&lt;&gt;"")*NOT(ISNUMBER(INDIRECT(Q20))),IF(ISERROR(MATCH(INDIRECT(Q20),INDIRECT(K20),0)),IFERROR(IF(INDIRECT(Q20)&lt;&gt;"",INDIRECT(ster!$D$14) &amp; ": " &amp; SUBSTITUTE(INDIRECT(Q20)," "," "),""),""),""),"")," "),"  "," ")),""),"")</f>
        <v/>
      </c>
      <c r="CW20" s="14" t="str">
        <f t="array" aca="1" ref="CW20" ca="1">IF(H20,IF(AD20,TRIM(SUBSTITUTE(_xll.MCONCAT(IF((INDIRECT(ster!$D$14)&lt;&gt;"")*IFERROR(NOT(INDIRECT(AE20)),FALSE),IF(ISERROR(MATCH(INDIRECT(Q20),INDIRECT(K20),0)),IFERROR(IF(INDIRECT(Q20)&lt;&gt;"",INDIRECT(ster!$D$14) &amp; ": " &amp;  SUBSTITUTE(IF( AU20,IFERROR(TEXT(INDIRECT(Q20),"rrrr-mm-dd")&amp;" (" &amp; INDIRECT(Q20) &amp;")",INDIRECT(Q20)),INDIRECT(Q20))," "," "),""),""),""),"")," "),"  "," ")),""),"")</f>
        <v>JAN1: 6 JAN2: 8 LAB1: 4 LAB2: 6</v>
      </c>
      <c r="CX20" s="14" t="str">
        <f t="array" aca="1" ref="CX20" ca="1">IF(H20,IF(AG20,TRIM(SUBSTITUTE(_xll.MCONCAT(IF((INDIRECT(ster!$D$14)&lt;&gt;"")*IFERROR(NOT(INDIRECT(AH20)),FALSE),IF(ISERROR(MATCH(INDIRECT(Q20),INDIRECT(K20),0)),IFERROR(IF(INDIRECT(Q20)&lt;&gt;"",INDIRECT(ster!$D$14) &amp; ": " &amp;  SUBSTITUTE(IF( AU20,IFERROR(TEXT(INDIRECT(Q20),"rrrr-mm-dd")&amp;" (" &amp; INDIRECT(Q20) &amp;")",INDIRECT(Q20)),INDIRECT(Q20))," "," "),""),""),""),"")," "),"  "," ")),""),"")</f>
        <v/>
      </c>
      <c r="DA20" s="14" t="str">
        <f ca="1">SUBSTITUTE(SUBSTITUTE(SUBSTITUTE(SUBSTITUTE(_xll.MCONCAT(DE20:DQ20,"■"),"■■","■"),"■■","■"),"■■","■"),"■■","■")</f>
        <v>■In the following cases Zmienna z walidacją must be odd: JAN1: 6, JAN2: 8, LAB1: 4, LAB2: 6■</v>
      </c>
      <c r="DB20" s="14" t="str">
        <f t="shared" ref="DB20" ca="1" si="203">IF(MID(DA20,1,1)="■",MID(DA20,2,LEN(DA20)),DA20)</f>
        <v>In the following cases Zmienna z walidacją must be odd: JAN1: 6, JAN2: 8, LAB1: 4, LAB2: 6■</v>
      </c>
      <c r="DC20" s="14" t="str">
        <f t="shared" ref="DC20" ca="1" si="204">IF(DB20&lt;&gt;"",IF(MID(DB20,LEN(DB20),1)="■",MID(DB20,1,LEN(DB20)-1),DB20),"")</f>
        <v>In the following cases Zmienna z walidacją must be odd: JAN1: 6, JAN2: 8, LAB1: 4, LAB2: 6</v>
      </c>
      <c r="DD20" s="14" t="str">
        <f t="shared" ref="DD20" ca="1" si="205">IFERROR(IF(DC20&lt;&gt;"",SUBSTITUTE(DC20,"■",". "),""),"##INTERNAL_ERROR")</f>
        <v>In the following cases Zmienna z walidacją must be odd: JAN1: 6, JAN2: 8, LAB1: 4, LAB2: 6</v>
      </c>
      <c r="DE20" s="14" t="str">
        <f t="shared" ref="DE20" ca="1" si="206">IF(CL20&lt;&gt;0,"Variable name don't comply with the naming convention","")</f>
        <v/>
      </c>
      <c r="DF20" s="14" t="str">
        <f t="shared" ref="DF20" ca="1" si="207">IF(CM20&lt;&gt;"","Duplicated name. " &amp; IF(ISERROR(FIND(" ",CM20)),"Duplicate have index " &amp; CM20, "Duplicates have indices: "&amp;SUBSTITUTE(CM20," ",", ")),"")</f>
        <v/>
      </c>
      <c r="DG20" s="14" t="str">
        <f t="shared" ref="DG20" ca="1" si="208">IF(CN20&lt;&gt;"","Variable label exceed length 150","")</f>
        <v/>
      </c>
      <c r="DH20" s="14" t="str">
        <f t="shared" ref="DH20" ca="1" si="209">IF(CO20&lt;&gt;"","Duplicated variable label. " &amp; IF(ISERROR(FIND(" ",CO20)),"Duplicate have index " &amp; CO20, "Duplicates have indices: "&amp;SUBSTITUTE(CO20," ",", ")),"")</f>
        <v/>
      </c>
      <c r="DI20" s="14" t="str">
        <f t="shared" ref="DI20" ca="1" si="210">IF(CP20&lt;&gt;"","The following cases have values below declared theorethical min: " &amp;SUBSTITUTE(CP20," ",", "),"")</f>
        <v/>
      </c>
      <c r="DJ20" s="14" t="str">
        <f t="shared" ref="DJ20" ca="1" si="211">IF(CQ20&lt;&gt;"","The following cases have values above declared theorethical max: " &amp;SUBSTITUTE(CQ20," ",", "),"")</f>
        <v/>
      </c>
      <c r="DK20" s="14" t="str">
        <f t="shared" ref="DK20" ca="1" si="212">IF(CR20&lt;&gt;"","There are some cases with values not explicitly declared in the labels dictionary: " &amp;SUBSTITUTE(CR20," ",", "),"")</f>
        <v/>
      </c>
      <c r="DL20" s="14" t="str">
        <f t="array" aca="1" ref="DL20" ca="1">IF(CS20&lt;&gt;"","There are errors in the entered values in the following cases: " &amp;SUBSTITUTE(CS20," ",", "),"")</f>
        <v/>
      </c>
      <c r="DM20" s="14" t="str">
        <f t="shared" ref="DM20" ca="1" si="213">IF(CT20&lt;&gt;"","The following records are missing in this required field: " &amp;SUBSTITUTE(CT20," ",", "),"")</f>
        <v/>
      </c>
      <c r="DN20" s="14" t="str">
        <f t="shared" ref="DN20" ca="1" si="214">IF(CU20&lt;&gt;"","The following cases have non-integer values: " &amp;SUBSTITUTE(CU20," ",", "),"")</f>
        <v/>
      </c>
      <c r="DO20" s="14" t="str">
        <f t="shared" ref="DO20" ca="1" si="215">IF(CV20&lt;&gt;"","The following cases are non-numeric: " &amp;SUBSTITUTE(CV20," ",", "),"")</f>
        <v/>
      </c>
      <c r="DP20" s="14" t="str">
        <f t="shared" ref="DP20" ca="1" si="216">IF(CW20&lt;&gt;"","In the following cases " &amp; P20 &amp; " " &amp; LOWER(MID(AF20,1,1)) &amp; MID(AF20,2,LEN(AF20)) &amp; ": " &amp;SUBSTITUTE(CW20," ",", "),"")</f>
        <v>In the following cases Zmienna z walidacją must be odd: JAN1: 6, JAN2: 8, LAB1: 4, LAB2: 6</v>
      </c>
      <c r="DQ20" s="14" t="str">
        <f t="shared" ref="DQ20" ca="1" si="217">IF(CX20&lt;&gt;"","In the following cases " &amp; P20 &amp; " " &amp; LOWER(MID(AI20,1,1)) &amp; MID(AI20,2,LEN(AI20)) &amp; ": " &amp;SUBSTITUTE(CX20," ",", "),"")</f>
        <v/>
      </c>
      <c r="DX20" s="14" t="b">
        <f t="shared" ref="DX20" ca="1" si="218">OR(EB20&lt;&gt;"",ED20&lt;&gt;"",EE20&lt;&gt;"")</f>
        <v>1</v>
      </c>
      <c r="DY20" s="14" t="str">
        <f t="shared" ref="DY20" ca="1" si="219">IF(DZ20&lt;&gt;"",G20 &amp; " (" &amp; F20 &amp; ")","")</f>
        <v>Zmienna z walidacją (validacja1)</v>
      </c>
      <c r="DZ20" s="14" t="str">
        <f t="shared" ref="DZ20" ca="1" si="220">IF(EC20&lt;&gt;"",EC20&amp;IF(EB20&lt;&gt;""," and "&amp;EB20,""),UPPER(MID(EB20,1,1)&amp;MID(EB20,2,LEN(EB20))))&amp; IF(OR(ED20&lt;&gt;"",EE20&lt;&gt;"")," and "&amp;IF(ED20&lt;&gt;"",LOWER(MID(ED20,1,1) &amp; MID(ED20,2,LEN(ED20))),"")&amp; IF(AND(ED20 &lt;&gt;"",EE20&lt;&gt;"")," and ","") &amp; IF(EE20&lt;&gt;"",LOWER(MID(EE20,1,1) &amp; MID(EE20,2,LEN(EE20))),""),"") &amp; IF(OR(EC20&lt;&gt;"",EB20&lt;&gt;"",ED20&lt;&gt;"",EE20&lt;&gt;""), ". ","")</f>
        <v xml:space="preserve">Values must be numeric and must be odd. </v>
      </c>
      <c r="EA20" s="14" t="str">
        <f t="shared" ref="EA20" ca="1" si="221">IF(DZ20&lt;&gt;"",G20 &amp; " (" &amp; F20 &amp; "): " &amp; DZ20,"")</f>
        <v xml:space="preserve">Zmienna z walidacją (validacja1): Values must be numeric and must be odd. </v>
      </c>
      <c r="EB20" s="14" t="str">
        <f t="shared" ref="EB20" ca="1" si="222">IF(H20,IF(V20&gt;0,IF(AND(AN20&lt;&gt;"",AO20&lt;&gt;""),"each value must be between " &amp; IF( AU20,IFERROR(TEXT(AN20,"rrrr-mm-dd") &amp;" (" &amp; AN20 &amp;")",AN20),AN20) &amp; " and " &amp; IF( AU20,IFERROR(TEXT(AO20,"rrrr-mm-dd") &amp;" (" &amp; AO20 &amp;")",AO20),AO20),IF(AN20&lt;&gt;"","each value must be above " &amp; IF( AU20,IFERROR(TEXT(AN20,"rrrr-mm-dd") &amp;" (" &amp; AN20 &amp;")",AN20),AN20), IF(AO20&lt;&gt;"","each value must be below " &amp; IF( AU20,IFERROR(TEXT(AO20,"rrrr-mm-dd") &amp;" (" &amp; AO20 &amp;")",AO20),AO20),""))),""),"")</f>
        <v/>
      </c>
      <c r="EC20" s="14" t="str">
        <f t="shared" ref="EC20" ca="1" si="223">IF(H20,IF(OR(AP20,AT20,AU20,AR20,AQ20),
   "Values must be" &amp;
   IF(AQ20," limited to predefinied list", IF(AP20, " integers",IF(OR(AT20,AU20)," numeric",""))) &amp;
   IF(AR20,IF(OR(AQ20,AP20,AT20,AU20), " and ","") &amp; "non-missing",""),
""),"")</f>
        <v>Values must be numeric</v>
      </c>
      <c r="ED20" s="14" t="str">
        <f t="shared" ref="ED20" ca="1" si="224">IF($H20,AF20,"")</f>
        <v>Must be odd</v>
      </c>
      <c r="EE20" s="14" t="str">
        <f t="shared" ref="EE20" ca="1" si="225">IF($H20,AI20,"")</f>
        <v/>
      </c>
      <c r="EK20" s="14" t="b">
        <f t="shared" ref="EK20" ca="1" si="226">OR(EA20&lt;&gt;"",DD20&lt;&gt;"")</f>
        <v>1</v>
      </c>
      <c r="EL20" s="14">
        <f t="shared" ref="EL20" ca="1" si="227">IF(EK20,C20,"")</f>
        <v>17</v>
      </c>
      <c r="EM20" s="14" t="str">
        <f t="shared" ref="EM20" ca="1" si="228">IF(EK20,F20,"")</f>
        <v>validacja1</v>
      </c>
      <c r="EN20" s="14" t="str">
        <f t="shared" ref="EN20" ca="1" si="229">EA20</f>
        <v xml:space="preserve">Zmienna z walidacją (validacja1): Values must be numeric and must be odd. </v>
      </c>
      <c r="EO20" s="14" t="str">
        <f t="shared" ref="EO20" ca="1" si="230">DD20</f>
        <v>In the following cases Zmienna z walidacją must be odd: JAN1: 6, JAN2: 8, LAB1: 4, LAB2: 6</v>
      </c>
    </row>
    <row r="21" spans="2:145" s="14" customFormat="1">
      <c r="B21" s="14" t="str">
        <f t="shared" ref="B21" ca="1" si="231">DD21</f>
        <v/>
      </c>
      <c r="C21" s="14">
        <f t="shared" ref="C21" ca="1" si="232">IF(OFFSET(B21,-1,COLUMN(VariableExists)-2),OFFSET(B21,-1,1)+1,OFFSET(B21,-1,1))</f>
        <v>18</v>
      </c>
      <c r="D21" s="14">
        <f t="shared" ref="D21" si="233">ROW(A21)-2</f>
        <v>19</v>
      </c>
      <c r="E21" s="14" t="str">
        <f t="shared" ref="E21" ca="1" si="234">IF(OR(G21="",ROW(G21)=2),"",IF(Y21&gt;0,"S",IF(AW21,IF(J21=2,"D","N"),"I")))</f>
        <v/>
      </c>
      <c r="F21" s="14" t="str">
        <f t="shared" ref="F21" ca="1" si="235">IF(H21,O21,"")</f>
        <v/>
      </c>
      <c r="G21" s="14" t="str">
        <f t="shared" ref="G21" ca="1" si="236">IF(H21,P21,"")</f>
        <v/>
      </c>
      <c r="H21" s="14" t="b">
        <f t="shared" ref="H21" ca="1" si="237">IF(INDIRECT(ADDRESS(2,D21+1,,,_sheetname_dataframe))="",FALSE,MID(INDIRECT(ADDRESS(2,D21+1,,,_sheetname_dataframe)),1,1)&lt;&gt;".")</f>
        <v>0</v>
      </c>
      <c r="I21" s="14" t="str">
        <f ca="1">IF($H21,ADDRESS(3,(D21+1)*2-1,4,,"["&amp;wew!$G$7&amp;"]"&amp;_sheetname_labels)&amp;":"&amp;ADDRESS(2+ster!$B$20,(D21+1)*2-1,4),"")</f>
        <v/>
      </c>
      <c r="J21" s="14" t="str">
        <f t="array" aca="1" ref="J21" ca="1">IF(H21,MAX(0,MAX(IF(INDIRECT(I21)&lt;&gt;"",ROW(INDIRECT(I21)),""))-2),"")</f>
        <v/>
      </c>
      <c r="K21" s="14" t="str">
        <f ca="1">IF($H21,IF($J21&gt;0,ADDRESS(3,(D21+1)*2-1,4,,"["&amp;wew!$G$7&amp;"]"&amp;_sheetname_labels)&amp;":"&amp;ADDRESS(2+J21,(D21+1)*2-1,4),""),"")</f>
        <v/>
      </c>
      <c r="L21" s="14" t="str">
        <f ca="1">IF($H21,IF($J21&gt;0,ADDRESS(3,(D21+1)*2,4,,"["&amp;wew!$G$7&amp;"]"&amp;_sheetname_labels)&amp;":"&amp;ADDRESS(2+J21,(D21+1)*2,4),""),"")</f>
        <v/>
      </c>
      <c r="M21" s="14" t="str">
        <f t="shared" ref="M21" ca="1" si="238">IF($H21,IF(J21&gt;0,COUNTA(INDIRECT(K21))-COUNT(INDIRECT(K21)),0),"")</f>
        <v/>
      </c>
      <c r="N21" s="14" t="str">
        <f t="shared" ref="N21" ca="1" si="239">IF(H21,J21-M21,"")</f>
        <v/>
      </c>
      <c r="O21" s="14" t="str">
        <f t="shared" ref="O21" ca="1" si="240">IF(INDIRECT(ADDRESS(2,D21+1,,,_sheetname_dataframe))="","",INDIRECT(ADDRESS(2,D21+1,,,_sheetname_dataframe)))</f>
        <v>.validation</v>
      </c>
      <c r="P21" s="14" t="str">
        <f t="shared" ref="P21" ca="1" si="241">IF(H21,IF(INDIRECT(ADDRESS(1,D21+1,,,_sheetname_dataframe))="","",INDIRECT(ADDRESS(1,D21+1,,,_sheetname_dataframe))),"")</f>
        <v/>
      </c>
      <c r="Q21" s="14" t="str">
        <f ca="1">IF($H21,ADDRESS(3,D21+1,4,,"["&amp;wew!$G$7&amp;"]"&amp;_sheetname_dataframe)&amp;":"&amp;ADDRESS(2+ster!$C$14,D21+1,4),"")</f>
        <v/>
      </c>
      <c r="R21" s="14" t="str">
        <f t="array" aca="1" ref="R21" ca="1">IF(H21,SUM(IF((IFERROR(INDIRECT(Q21)&lt;&gt;"",FALSE))*(INDIRECT(ster!$D$14)&lt;&gt;""),1,0)),"")</f>
        <v/>
      </c>
      <c r="S21" s="14" t="str">
        <f t="array" aca="1" ref="S21" ca="1">IF(H21,IF(M21&gt;0,SUM(IFERROR(1*(MATCH(INDIRECT(Q21),INDIRECT(K21),0)&gt;0),0)*(INDIRECT(ster!$D$14)&lt;&gt;"")*NOT(ISNUMBER(INDIRECT(Q21)))),0),"")</f>
        <v/>
      </c>
      <c r="T21" s="14" t="str">
        <f t="array" aca="1" ref="T21" ca="1">IF(H21,SUM((IFERROR(INDIRECT(Q21)="",FALSE))*(INDIRECT(ster!$D$14)&lt;&gt;"")),"")</f>
        <v/>
      </c>
      <c r="U21" s="14" t="str">
        <f t="array" aca="1" ref="U21" ca="1">IF(H21,SUM((IFERROR(INDIRECT(Q21)="#ąś",TRUE))*(INDIRECT(ster!$D$14)&lt;&gt;"")),"")</f>
        <v/>
      </c>
      <c r="V21" s="14" t="str">
        <f t="array" aca="1" ref="V21" ca="1">IF(H21,SUM(ISNUMBER(INDIRECT(Q21))*(INDIRECT(ster!$D$14)&lt;&gt;"")),"")</f>
        <v/>
      </c>
      <c r="W21" s="14" t="str">
        <f t="array" aca="1" ref="W21" ca="1">IF(AND(H21,V21&gt;0),IF(wew!$B$3,MIN(IF((INDIRECT(ster!$D$14)&lt;&gt;"")*IFERROR(INDIRECT($Q21)&lt;&gt;"",FALSE),IFERROR(INDIRECT($Q21),"X"),"X")),"&lt;włącz podświetlanie wartości&gt;"),"—")</f>
        <v>—</v>
      </c>
      <c r="X21" s="14" t="str">
        <f t="array" aca="1" ref="X21" ca="1">IF(AND(H21,V21&gt;0),IF(wew!$B$3,MAX(IF((INDIRECT(ster!$D$14)&lt;&gt;"")*IFERROR(INDIRECT($Q21)&lt;&gt;"",FALSE),IFERROR(INDIRECT($Q21),"X"),"X")),"&lt;włącz podświetlanie wartości&gt;"),"—")</f>
        <v>—</v>
      </c>
      <c r="Y21" s="14" t="str">
        <f t="shared" ref="Y21" ca="1" si="242">IF(H21,R21-S21-V21,"")</f>
        <v/>
      </c>
      <c r="Z21" s="12" t="str">
        <f t="shared" ref="Z21" ca="1" si="243">IF(H21,IF(R21&gt;0,V21/(R21),"—"),"")</f>
        <v/>
      </c>
      <c r="AA21" s="17" t="str">
        <f t="array" aca="1" ref="AA21" ca="1">IF(H21,IF(V21&gt;0,SUM((INDIRECT(ster!$D$14)&lt;&gt;"")*IFERROR((INDIRECT(Q21)&lt;&gt;"")*(INDIRECT(Q21)=INT(INDIRECT(Q21))),0)),0),"")</f>
        <v/>
      </c>
      <c r="AB21" s="17" t="str">
        <f t="array" aca="1" ref="AB21" ca="1">IF(H21,V21-AA21,"")</f>
        <v/>
      </c>
      <c r="AC21" s="17" t="str">
        <f t="shared" ref="AC21" ca="1" si="244">IF($H21,IF(AB21&lt;&gt;"",IF(AB21=0,1,IF(AB21/V21&lt;0.15,2,3)),0),"")</f>
        <v/>
      </c>
      <c r="AD21" s="17" t="b">
        <f t="shared" ref="AD21" ca="1" si="245">IF(H21,OFFSET(O21,1,0)=".validation",FALSE)</f>
        <v>0</v>
      </c>
      <c r="AE21" s="17" t="str">
        <f ca="1">IF(AD21,IF($H21,ADDRESS(3,D21+2,4,,"["&amp;wew!$G$7&amp;"]"&amp;_sheetname_dataframe)&amp;":"&amp;ADDRESS(2+ster!$C$14,D21+2,4),""),"")</f>
        <v/>
      </c>
      <c r="AF21" s="17" t="str">
        <f t="shared" ref="AF21" ca="1" si="246">IF(AD21,IF($H21,IF(INDIRECT(ADDRESS(1,D21+2,,,_sheetname_dataframe))="","",INDIRECT(ADDRESS(1,D21+2,,,_sheetname_dataframe))),""),"")</f>
        <v/>
      </c>
      <c r="AG21" s="17" t="b">
        <f t="shared" ref="AG21" ca="1" si="247">IF(H21,AND(AD21,OFFSET(O21,2,0)=".validation"),FALSE)</f>
        <v>0</v>
      </c>
      <c r="AH21" s="17" t="str">
        <f ca="1">IF(AG21,IF($H21,ADDRESS(3,D21+3,4,,"["&amp;wew!$G$7&amp;"]"&amp;_sheetname_dataframe)&amp;":"&amp;ADDRESS(2+ster!$C$14,D21+3,4),""),"")</f>
        <v/>
      </c>
      <c r="AI21" s="17" t="str">
        <f t="shared" ref="AI21" ca="1" si="248">IF(AG21,IF($H21,IF(INDIRECT(ADDRESS(1,D21+3,,,_sheetname_dataframe))="","",INDIRECT(ADDRESS(1,D21+3,,,_sheetname_dataframe))),""),"")</f>
        <v/>
      </c>
      <c r="AJ21" s="17" t="str">
        <f t="shared" ref="AJ21" ca="1" si="249">IF(H21,OR(AP21,AC21=2),"")</f>
        <v/>
      </c>
      <c r="AK21" s="17" t="str">
        <f t="shared" ref="AK21" ca="1" si="250">IF($H21,IF(BT21&lt;&gt;"",IF(OR(BL21="F",BL21="L",BL21="I",BL21="D"),BT21&lt;&gt;0)),"")</f>
        <v/>
      </c>
      <c r="AL21" s="17" t="str">
        <f t="shared" ref="AL21" ca="1" si="251">IF($H21,AND(NOT(AK21),OR(IF(BU21&lt;&gt;"",IF(OR(BL21="F",BL21="L"),BU21&lt;&gt;0)),BL21="I",BL21="N",BL21="D")),"")</f>
        <v/>
      </c>
      <c r="AM21" s="17">
        <f t="shared" ref="AM21" ca="1" si="252">IF(COUNTA(INDIRECT(Q21))=0,0, IF(AND(AN21&lt;&gt;"",W21&lt;AN21),1,IF(AND(AO21&lt;&gt;"",X21&gt;AO21),1,IF(AND(AP21,AB21&gt;0),2,0))))</f>
        <v>2</v>
      </c>
      <c r="AN21" s="24" t="str">
        <f t="shared" ref="AN21" ca="1" si="253">IF($H21,IF(BW21&lt;&gt;"",IF(ISNUMBER(BW21),BW21,""),""),"")</f>
        <v/>
      </c>
      <c r="AO21" s="24" t="str">
        <f t="shared" ref="AO21" ca="1" si="254">IF($H21,IF(BX21&lt;&gt;"",IF(ISNUMBER(BX21),BX21,""),""),"")</f>
        <v/>
      </c>
      <c r="AP21" s="17" t="str">
        <f t="shared" ref="AP21" ca="1" si="255">IF(H21,IF(BY21&lt;&gt;"",BY21&lt;&gt;0,FALSE),"")</f>
        <v/>
      </c>
      <c r="AQ21" s="17" t="str">
        <f t="shared" ref="AQ21" ca="1" si="256">IF(H21,IF(N21&gt;0,IF(BP21&lt;&gt;"",BP21&lt;&gt;0,FALSE),FALSE),"")</f>
        <v/>
      </c>
      <c r="AR21" s="17" t="str">
        <f t="shared" ref="AR21" ca="1" si="257">IF(H21,IF(BQ21&lt;&gt;"",BQ21&lt;&gt;0,FALSE),"")</f>
        <v/>
      </c>
      <c r="AS21" s="17" t="str">
        <f t="shared" ref="AS21" ca="1" si="258">IF(H21,IF(N21&gt;0,FALSE,IF(BS21&lt;&gt;"",MATCH(BS21,DataType,0)=1,FALSE)),"")</f>
        <v/>
      </c>
      <c r="AT21" s="17" t="str">
        <f t="shared" ref="AT21" ca="1" si="259">IF(H21,IF(N21&gt;0,TRUE,IF(BS21&lt;&gt;"",MATCH(BS21,DataType,0)=2,FALSE)),"")</f>
        <v/>
      </c>
      <c r="AU21" s="17" t="str">
        <f t="shared" ref="AU21" ca="1" si="260">IF(H21,IF(N21&gt;0,FALSE,IF(BS21&lt;&gt;"",MATCH(BS21,DataType,0)=3,FALSE)),"")</f>
        <v/>
      </c>
      <c r="AV21" s="17" t="str">
        <f t="shared" ref="AV21" ca="1" si="261">IF(H21,IF(V21&gt;0,Y21=0,FALSE),"")</f>
        <v/>
      </c>
      <c r="AW21" s="14" t="str">
        <f t="array" aca="1" ref="AW21" ca="1">IF(H21,N21&gt;0,"")</f>
        <v/>
      </c>
      <c r="AX21" s="17" t="str">
        <f t="shared" ca="1" si="20"/>
        <v/>
      </c>
      <c r="AY21" s="17" t="str">
        <f t="array" aca="1" ref="AY21" ca="1">IF(AX21&lt;&gt;"",SUM(1*ISERROR(MATCH(INDIRECT(AX21),INDIRECT(K21),0)))=0,"")</f>
        <v/>
      </c>
      <c r="AZ21" s="17" t="b">
        <f t="shared" ref="AZ21" ca="1" si="262">IF(H21,BS21="",FALSE)</f>
        <v>0</v>
      </c>
      <c r="BA21" s="17" t="str">
        <f t="shared" ref="BA21" ca="1" si="263">IF(AZ21,R21=0,"")</f>
        <v/>
      </c>
      <c r="BB21" s="17" t="str">
        <f t="shared" ref="BB21" ca="1" si="264">IF(AZ21,IF(N21&gt;0,AND(AY21,Y21=0),FALSE),"")</f>
        <v/>
      </c>
      <c r="BC21" s="17" t="str">
        <f t="shared" ref="BC21" ca="1" si="265">IF(AZ21,IF(N21&gt;0,AND(NOT(AY21),Y21=0),FALSE),"")</f>
        <v/>
      </c>
      <c r="BD21" s="17" t="str">
        <f t="shared" ref="BD21" ca="1" si="266">IF(AZ21,IF(AND(AV21,NOT(BA21),NOT(BB21),NOT(BC21)),AND(Y21=0,AB21=0),FALSE),"")</f>
        <v/>
      </c>
      <c r="BE21" s="17" t="str">
        <f t="shared" ref="BE21" ca="1" si="267">IF(AZ21,IF(AND(AV21,NOT(BA21),NOT(BB21),NOT(BC21)),AND(Y21=0,OR(AB21&gt;0)),FALSE),"")</f>
        <v/>
      </c>
      <c r="BF21" s="17" t="str">
        <f t="shared" ref="BF21" ca="1" si="268">IF(AZ21,IF(OR(BA21:BE21),FALSE,IF(Y21=0,FALSE,Y21&gt;0)),"")</f>
        <v/>
      </c>
      <c r="BG21" s="17" t="str">
        <f t="shared" ref="BG21" ca="1" si="269">IF(AZ21,COUNTIF(BA21:BF21,TRUE)=1,"")</f>
        <v/>
      </c>
      <c r="BH21" s="17" t="str">
        <f t="shared" ref="BH21" ca="1" si="270">IF(AZ21,IFERROR(MATCH(TRUE,BA21:BF21,0),7),"")</f>
        <v/>
      </c>
      <c r="BI21" s="17" t="b">
        <f t="shared" ref="BI21" ca="1" si="271">DD21&lt;&gt;""</f>
        <v>0</v>
      </c>
      <c r="BJ21" s="17" t="str">
        <f t="shared" ref="BJ21" ca="1" si="272">IF(H21,IF(AND(NOT(AZ21),AT21),AB21=0,""),"")</f>
        <v/>
      </c>
      <c r="BK21" s="17" t="str">
        <f t="shared" ref="BK21" ca="1" si="273">IF(H21,IF(AND(NOT(AZ21),AT21),AB21&gt;0,""),"")</f>
        <v/>
      </c>
      <c r="BL21" s="17" t="str">
        <f t="shared" ref="BL21" ca="1" si="274">IF(H21,IF(AZ21,CHOOSE(BH21,"0","F","L","I","N",IF(Z21&gt;0.5,"N","S"),"0"),CHOOSE(MATCH(BS21,DataType,0),"S",IF(BJ21,"I","N"),"D"  )),"")</f>
        <v/>
      </c>
      <c r="BM21" s="17" t="str">
        <f t="shared" ref="BM21" ca="1" si="275">IF(H21,IF(BI21,"E",IF(AZ21,CHOOSE(BH21,"0","F","L","I","N","S","0"),CHOOSE(MATCH(BS21,DataType,0),"S",IF(BJ21,"I","N"),"D"  ))),"")</f>
        <v/>
      </c>
      <c r="BN21" s="17" t="str">
        <f t="shared" ref="BN21" ca="1" si="276">IF($H21,IF(BL21="0","",IF(AND(AQ21,N21=2),"D",IF(BL21="S","N",IF(AK21,"O",IF(AL21,"I","N"))))),"")</f>
        <v/>
      </c>
      <c r="BO21" s="14" t="b">
        <f t="shared" ref="BO21" ca="1" si="277">INDIRECT(ADDRESS(2,ROW(A21)-1,,,_sheetname_dataframe))&lt;&gt;""</f>
        <v>1</v>
      </c>
      <c r="BP21" s="15"/>
      <c r="BV21" s="16"/>
      <c r="BW21" s="16"/>
      <c r="BX21" s="16"/>
      <c r="BY21" s="16"/>
      <c r="BZ21" s="16"/>
      <c r="CA21" s="16"/>
      <c r="CB21" s="16"/>
      <c r="CC21" s="16"/>
      <c r="CD21" s="16"/>
      <c r="CL21" s="14">
        <f ca="1">IF(H21,IFERROR(IsVariableNameLegal(O21),0),0)</f>
        <v>0</v>
      </c>
      <c r="CM21" s="14" t="str">
        <f t="array" aca="1" ref="CM21" ca="1">IF(H21,IF(COUNTIF(INDIRECT(wew!$C$13),O21)&gt;1,TRIM(SUBSTITUTE(_xll.MCONCAT(IF((INDIRECT(wew!$C$13)=O21)*(COLUMN(INDIRECT(wew!$C$13))&lt;&gt;D21+1),-1+COLUMN(INDIRECT(wew!$C$13)),"")," "),"  "," ")),""),"")</f>
        <v/>
      </c>
      <c r="CN21" s="14" t="str">
        <f t="array" aca="1" ref="CN21" ca="1">IF(P21&lt;&gt;"",IF(LEN(P21)&gt;150,1,""),"")</f>
        <v/>
      </c>
      <c r="CO21" s="14" t="str">
        <f t="array" aca="1" ref="CO21" ca="1">IF(AND(H21,NOT(ster!$J$3)),IF(COUNTIF(INDIRECT(wew!$C$15),P21)&gt;1,TRIM(SUBSTITUTE(_xll.MCONCAT(IF((INDIRECT(wew!$C$15)=P21)*(COLUMN(INDIRECT(wew!$C$15))&lt;&gt;D21+1),-1+COLUMN(INDIRECT(wew!$C$15)),"")," "),"  "," ")),""),"")</f>
        <v/>
      </c>
      <c r="CP21" s="14" t="str">
        <f t="array" aca="1" ref="CP21" ca="1">IF(H21,IF(AND(V21&gt;0,AN21&lt;&gt;""),TRIM(SUBSTITUTE(_xll.MCONCAT(IFERROR(IF(ISNUMBER(INDIRECT(Q21)),IF((INDIRECT(ster!$D$14)&lt;&gt;"")*(INDIRECT(Q21)&lt;AN21),INDIRECT(ster!$D$14) &amp; ": " &amp;  SUBSTITUTE(IF( AU21,IFERROR(TEXT(INDIRECT(Q21),"rrrr-mm-dd") &amp;" (" &amp; INDIRECT(Q21) &amp;")",INDIRECT(Q21)),INDIRECT(Q21))," "," "),""),""),"")," "),"  "," ")),""),"")</f>
        <v/>
      </c>
      <c r="CQ21" s="14" t="str">
        <f t="array" aca="1" ref="CQ21" ca="1">IF(H21,IF(AND(V21&gt;0,AO21&lt;&gt;""),TRIM(SUBSTITUTE(_xll.MCONCAT(IFERROR(IF(ISNUMBER(INDIRECT(Q21)),IF((INDIRECT(ster!$D$14)&lt;&gt;"")*(INDIRECT(Q21)&gt;AO21),INDIRECT(ster!$D$14) &amp; ": " &amp;  SUBSTITUTE(IF( AU21,IFERROR(TEXT(INDIRECT(Q21),"rrrr-mm-dd")&amp;" (" &amp; INDIRECT(Q21) &amp;")",INDIRECT(Q21)),INDIRECT(Q21))," "," "),""),""),"")," "),"  "," ")),""),"")</f>
        <v/>
      </c>
      <c r="CR21" s="14" t="str">
        <f t="array" aca="1" ref="CR21" ca="1">IF(H21,IF(AND(N21&gt;0,AQ21),TRIM(SUBSTITUTE(_xll.MCONCAT(IFERROR(IF(ISNUMBER(INDIRECT(Q21)),IF((INDIRECT(ster!$D$14)&lt;&gt;"")*(IFERROR(0*(MATCH(INDIRECT(Q21),INDIRECT(K21),0)&gt;0),1)),INDIRECT(ster!$D$14) &amp; ": " &amp;  SUBSTITUTE(IF( AU21,IFERROR(TEXT(INDIRECT(Q21),"rrrr-mm-dd")&amp;" (" &amp; INDIRECT(Q21) &amp;")",INDIRECT(Q21)),INDIRECT(Q21))," "," "),""),""),"")," "),"  "," ")),""),"")</f>
        <v/>
      </c>
      <c r="CS21" s="14" t="str">
        <f t="array" aca="1" ref="CS21" ca="1">IF(H21,IF(AND(U21&gt;0),TRIM(SUBSTITUTE(_xll.MCONCAT(IF((INDIRECT(ster!$D$14)&lt;&gt;"")*(IFERROR(0*(INDIRECT(Q21)&lt;&gt;""),1)),INDIRECT(ster!$D$14),"")," "),"  "," ")),""),"")</f>
        <v/>
      </c>
      <c r="CT21" s="14" t="str">
        <f t="array" aca="1" ref="CT21" ca="1">IF(H21,IF(AR21,
TRIM(SUBSTITUTE(_xll.MCONCAT(IF(
   (INDIRECT(ster!$D$14)&lt;&gt;"")*
   ((INDIRECT(Q21)="")+
      NOT(ISNUMBER(INDIRECT(Q21)))*
      NOT(ISERROR(MATCH(INDIRECT(Q21),INDIRECT(K21),0)))
    ),
      INDIRECT(ster!$D$14),
   "")," "),"  "," ")),
""),"")</f>
        <v/>
      </c>
      <c r="CU21" s="14" t="str">
        <f t="array" aca="1" ref="CU21" ca="1">IF(H21,IF(AND(AP21),TRIM(SUBSTITUTE(_xll.MCONCAT(IFERROR(IF(ISNUMBER(INDIRECT(Q21)),IF((INDIRECT(ster!$D$14)&lt;&gt;"")*(INDIRECT(Q21)&lt;&gt;INT(INDIRECT(Q21))),INDIRECT(ster!$D$14) &amp; ": " &amp; INDIRECT(Q21),""),""),"")," "),"  "," ")),""),"")</f>
        <v/>
      </c>
      <c r="CV21" s="14" t="str">
        <f t="array" aca="1" ref="CV21" ca="1">IF(H21,IF(OR(AT21,AU21),TRIM(SUBSTITUTE(_xll.MCONCAT(IF((INDIRECT(ster!$D$14)&lt;&gt;"")*NOT(ISNUMBER(INDIRECT(Q21))),IF(ISERROR(MATCH(INDIRECT(Q21),INDIRECT(K21),0)),IFERROR(IF(INDIRECT(Q21)&lt;&gt;"",INDIRECT(ster!$D$14) &amp; ": " &amp; SUBSTITUTE(INDIRECT(Q21)," "," "),""),""),""),"")," "),"  "," ")),""),"")</f>
        <v/>
      </c>
      <c r="CW21" s="14" t="str">
        <f t="array" aca="1" ref="CW21" ca="1">IF(H21,IF(AD21,TRIM(SUBSTITUTE(_xll.MCONCAT(IF((INDIRECT(ster!$D$14)&lt;&gt;"")*IFERROR(NOT(INDIRECT(AE21)),FALSE),IF(ISERROR(MATCH(INDIRECT(Q21),INDIRECT(K21),0)),IFERROR(IF(INDIRECT(Q21)&lt;&gt;"",INDIRECT(ster!$D$14) &amp; ": " &amp;  SUBSTITUTE(IF( AU21,IFERROR(TEXT(INDIRECT(Q21),"rrrr-mm-dd")&amp;" (" &amp; INDIRECT(Q21) &amp;")",INDIRECT(Q21)),INDIRECT(Q21))," "," "),""),""),""),"")," "),"  "," ")),""),"")</f>
        <v/>
      </c>
      <c r="CX21" s="14" t="str">
        <f t="array" aca="1" ref="CX21" ca="1">IF(H21,IF(AG21,TRIM(SUBSTITUTE(_xll.MCONCAT(IF((INDIRECT(ster!$D$14)&lt;&gt;"")*IFERROR(NOT(INDIRECT(AH21)),FALSE),IF(ISERROR(MATCH(INDIRECT(Q21),INDIRECT(K21),0)),IFERROR(IF(INDIRECT(Q21)&lt;&gt;"",INDIRECT(ster!$D$14) &amp; ": " &amp;  SUBSTITUTE(IF( AU21,IFERROR(TEXT(INDIRECT(Q21),"rrrr-mm-dd")&amp;" (" &amp; INDIRECT(Q21) &amp;")",INDIRECT(Q21)),INDIRECT(Q21))," "," "),""),""),""),"")," "),"  "," ")),""),"")</f>
        <v/>
      </c>
      <c r="DA21" s="14" t="str">
        <f ca="1">SUBSTITUTE(SUBSTITUTE(SUBSTITUTE(SUBSTITUTE(_xll.MCONCAT(DE21:DQ21,"■"),"■■","■"),"■■","■"),"■■","■"),"■■","■")</f>
        <v>■</v>
      </c>
      <c r="DB21" s="14" t="str">
        <f t="shared" ref="DB21" ca="1" si="278">IF(MID(DA21,1,1)="■",MID(DA21,2,LEN(DA21)),DA21)</f>
        <v/>
      </c>
      <c r="DC21" s="14" t="str">
        <f t="shared" ref="DC21" ca="1" si="279">IF(DB21&lt;&gt;"",IF(MID(DB21,LEN(DB21),1)="■",MID(DB21,1,LEN(DB21)-1),DB21),"")</f>
        <v/>
      </c>
      <c r="DD21" s="14" t="str">
        <f t="shared" ref="DD21" ca="1" si="280">IFERROR(IF(DC21&lt;&gt;"",SUBSTITUTE(DC21,"■",". "),""),"##INTERNAL_ERROR")</f>
        <v/>
      </c>
      <c r="DE21" s="14" t="str">
        <f t="shared" ref="DE21" ca="1" si="281">IF(CL21&lt;&gt;0,"Variable name don't comply with the naming convention","")</f>
        <v/>
      </c>
      <c r="DF21" s="14" t="str">
        <f t="shared" ref="DF21" ca="1" si="282">IF(CM21&lt;&gt;"","Duplicated name. " &amp; IF(ISERROR(FIND(" ",CM21)),"Duplicate have index " &amp; CM21, "Duplicates have indices: "&amp;SUBSTITUTE(CM21," ",", ")),"")</f>
        <v/>
      </c>
      <c r="DG21" s="14" t="str">
        <f t="shared" ref="DG21" ca="1" si="283">IF(CN21&lt;&gt;"","Variable label exceed length 150","")</f>
        <v/>
      </c>
      <c r="DH21" s="14" t="str">
        <f t="shared" ref="DH21" ca="1" si="284">IF(CO21&lt;&gt;"","Duplicated variable label. " &amp; IF(ISERROR(FIND(" ",CO21)),"Duplicate have index " &amp; CO21, "Duplicates have indices: "&amp;SUBSTITUTE(CO21," ",", ")),"")</f>
        <v/>
      </c>
      <c r="DI21" s="14" t="str">
        <f t="shared" ref="DI21" ca="1" si="285">IF(CP21&lt;&gt;"","The following cases have values below declared theorethical min: " &amp;SUBSTITUTE(CP21," ",", "),"")</f>
        <v/>
      </c>
      <c r="DJ21" s="14" t="str">
        <f t="shared" ref="DJ21" ca="1" si="286">IF(CQ21&lt;&gt;"","The following cases have values above declared theorethical max: " &amp;SUBSTITUTE(CQ21," ",", "),"")</f>
        <v/>
      </c>
      <c r="DK21" s="14" t="str">
        <f t="shared" ref="DK21" ca="1" si="287">IF(CR21&lt;&gt;"","There are some cases with values not explicitly declared in the labels dictionary: " &amp;SUBSTITUTE(CR21," ",", "),"")</f>
        <v/>
      </c>
      <c r="DL21" s="14" t="str">
        <f t="array" aca="1" ref="DL21" ca="1">IF(CS21&lt;&gt;"","There are errors in the entered values in the following cases: " &amp;SUBSTITUTE(CS21," ",", "),"")</f>
        <v/>
      </c>
      <c r="DM21" s="14" t="str">
        <f t="shared" ref="DM21" ca="1" si="288">IF(CT21&lt;&gt;"","The following records are missing in this required field: " &amp;SUBSTITUTE(CT21," ",", "),"")</f>
        <v/>
      </c>
      <c r="DN21" s="14" t="str">
        <f t="shared" ref="DN21" ca="1" si="289">IF(CU21&lt;&gt;"","The following cases have non-integer values: " &amp;SUBSTITUTE(CU21," ",", "),"")</f>
        <v/>
      </c>
      <c r="DO21" s="14" t="str">
        <f t="shared" ref="DO21" ca="1" si="290">IF(CV21&lt;&gt;"","The following cases are non-numeric: " &amp;SUBSTITUTE(CV21," ",", "),"")</f>
        <v/>
      </c>
      <c r="DP21" s="14" t="str">
        <f t="shared" ref="DP21" ca="1" si="291">IF(CW21&lt;&gt;"","In the following cases " &amp; P21 &amp; " " &amp; LOWER(MID(AF21,1,1)) &amp; MID(AF21,2,LEN(AF21)) &amp; ": " &amp;SUBSTITUTE(CW21," ",", "),"")</f>
        <v/>
      </c>
      <c r="DQ21" s="14" t="str">
        <f t="shared" ref="DQ21" ca="1" si="292">IF(CX21&lt;&gt;"","In the following cases " &amp; P21 &amp; " " &amp; LOWER(MID(AI21,1,1)) &amp; MID(AI21,2,LEN(AI21)) &amp; ": " &amp;SUBSTITUTE(CX21," ",", "),"")</f>
        <v/>
      </c>
      <c r="DX21" s="14" t="b">
        <f t="shared" ref="DX21" ca="1" si="293">OR(EB21&lt;&gt;"",ED21&lt;&gt;"",EE21&lt;&gt;"")</f>
        <v>0</v>
      </c>
      <c r="DY21" s="14" t="str">
        <f t="shared" ref="DY21" ca="1" si="294">IF(DZ21&lt;&gt;"",G21 &amp; " (" &amp; F21 &amp; ")","")</f>
        <v/>
      </c>
      <c r="DZ21" s="14" t="str">
        <f t="shared" ref="DZ21" ca="1" si="295">IF(EC21&lt;&gt;"",EC21&amp;IF(EB21&lt;&gt;""," and "&amp;EB21,""),UPPER(MID(EB21,1,1)&amp;MID(EB21,2,LEN(EB21))))&amp; IF(OR(ED21&lt;&gt;"",EE21&lt;&gt;"")," and "&amp;IF(ED21&lt;&gt;"",LOWER(MID(ED21,1,1) &amp; MID(ED21,2,LEN(ED21))),"")&amp; IF(AND(ED21 &lt;&gt;"",EE21&lt;&gt;"")," and ","") &amp; IF(EE21&lt;&gt;"",LOWER(MID(EE21,1,1) &amp; MID(EE21,2,LEN(EE21))),""),"") &amp; IF(OR(EC21&lt;&gt;"",EB21&lt;&gt;"",ED21&lt;&gt;"",EE21&lt;&gt;""), ". ","")</f>
        <v/>
      </c>
      <c r="EA21" s="14" t="str">
        <f t="shared" ref="EA21" ca="1" si="296">IF(DZ21&lt;&gt;"",G21 &amp; " (" &amp; F21 &amp; "): " &amp; DZ21,"")</f>
        <v/>
      </c>
      <c r="EB21" s="14" t="str">
        <f t="shared" ref="EB21" ca="1" si="297">IF(H21,IF(V21&gt;0,IF(AND(AN21&lt;&gt;"",AO21&lt;&gt;""),"each value must be between " &amp; IF( AU21,IFERROR(TEXT(AN21,"rrrr-mm-dd") &amp;" (" &amp; AN21 &amp;")",AN21),AN21) &amp; " and " &amp; IF( AU21,IFERROR(TEXT(AO21,"rrrr-mm-dd") &amp;" (" &amp; AO21 &amp;")",AO21),AO21),IF(AN21&lt;&gt;"","each value must be above " &amp; IF( AU21,IFERROR(TEXT(AN21,"rrrr-mm-dd") &amp;" (" &amp; AN21 &amp;")",AN21),AN21), IF(AO21&lt;&gt;"","each value must be below " &amp; IF( AU21,IFERROR(TEXT(AO21,"rrrr-mm-dd") &amp;" (" &amp; AO21 &amp;")",AO21),AO21),""))),""),"")</f>
        <v/>
      </c>
      <c r="EC21" s="14" t="str">
        <f t="shared" ref="EC21" ca="1" si="298">IF(H21,IF(OR(AP21,AT21,AU21,AR21,AQ21),
   "Values must be" &amp;
   IF(AQ21," limited to predefinied list", IF(AP21, " integers",IF(OR(AT21,AU21)," numeric",""))) &amp;
   IF(AR21,IF(OR(AQ21,AP21,AT21,AU21), " and ","") &amp; "non-missing",""),
""),"")</f>
        <v/>
      </c>
      <c r="ED21" s="14" t="str">
        <f t="shared" ref="ED21" ca="1" si="299">IF($H21,AF21,"")</f>
        <v/>
      </c>
      <c r="EE21" s="14" t="str">
        <f t="shared" ref="EE21" ca="1" si="300">IF($H21,AI21,"")</f>
        <v/>
      </c>
      <c r="EK21" s="14" t="b">
        <f t="shared" ref="EK21" ca="1" si="301">OR(EA21&lt;&gt;"",DD21&lt;&gt;"")</f>
        <v>0</v>
      </c>
      <c r="EL21" s="14" t="str">
        <f t="shared" ref="EL21" ca="1" si="302">IF(EK21,C21,"")</f>
        <v/>
      </c>
      <c r="EM21" s="14" t="str">
        <f t="shared" ref="EM21" ca="1" si="303">IF(EK21,F21,"")</f>
        <v/>
      </c>
      <c r="EN21" s="14" t="str">
        <f t="shared" ref="EN21" ca="1" si="304">EA21</f>
        <v/>
      </c>
      <c r="EO21" s="14" t="str">
        <f t="shared" ref="EO21" ca="1" si="305">DD21</f>
        <v/>
      </c>
    </row>
    <row r="22" spans="2:145" s="14" customFormat="1">
      <c r="B22" s="14" t="str">
        <f t="shared" ca="1" si="78"/>
        <v/>
      </c>
      <c r="C22" s="14">
        <f t="shared" ca="1" si="79"/>
        <v>18</v>
      </c>
      <c r="D22" s="14">
        <f t="shared" si="80"/>
        <v>20</v>
      </c>
      <c r="E22" s="14" t="str">
        <f t="shared" ca="1" si="81"/>
        <v>D</v>
      </c>
      <c r="F22" s="14" t="str">
        <f t="shared" ca="1" si="82"/>
        <v>new_var</v>
      </c>
      <c r="G22" s="14" t="str">
        <f t="shared" ca="1" si="83"/>
        <v>My new variable</v>
      </c>
      <c r="H22" s="14" t="b">
        <f t="shared" ca="1" si="84"/>
        <v>1</v>
      </c>
      <c r="I22" s="14" t="str">
        <f ca="1">IF($H22,ADDRESS(3,(D22+1)*2-1,4,,"["&amp;wew!$G$7&amp;"]"&amp;_sheetname_labels)&amp;":"&amp;ADDRESS(2+ster!$B$20,(D22+1)*2-1,4),"")</f>
        <v>'[dane surowe2d.xlsm]labels'!AO3:AO36</v>
      </c>
      <c r="J22" s="14">
        <f t="array" aca="1" ref="J22" ca="1">IF(H22,MAX(0,MAX(IF(INDIRECT(I22)&lt;&gt;"",ROW(INDIRECT(I22)),""))-2),"")</f>
        <v>2</v>
      </c>
      <c r="K22" s="14" t="str">
        <f ca="1">IF($H22,IF($J22&gt;0,ADDRESS(3,(D22+1)*2-1,4,,"["&amp;wew!$G$7&amp;"]"&amp;_sheetname_labels)&amp;":"&amp;ADDRESS(2+J22,(D22+1)*2-1,4),""),"")</f>
        <v>'[dane surowe2d.xlsm]labels'!AO3:AO4</v>
      </c>
      <c r="L22" s="14" t="str">
        <f ca="1">IF($H22,IF($J22&gt;0,ADDRESS(3,(D22+1)*2,4,,"["&amp;wew!$G$7&amp;"]"&amp;_sheetname_labels)&amp;":"&amp;ADDRESS(2+J22,(D22+1)*2,4),""),"")</f>
        <v>'[dane surowe2d.xlsm]labels'!AP3:AP4</v>
      </c>
      <c r="M22" s="14">
        <f t="shared" ca="1" si="85"/>
        <v>0</v>
      </c>
      <c r="N22" s="14">
        <f t="shared" ca="1" si="86"/>
        <v>2</v>
      </c>
      <c r="O22" s="14" t="str">
        <f t="shared" ca="1" si="87"/>
        <v>new_var</v>
      </c>
      <c r="P22" s="14" t="str">
        <f t="shared" ca="1" si="88"/>
        <v>My new variable</v>
      </c>
      <c r="Q22" s="14" t="str">
        <f ca="1">IF($H22,ADDRESS(3,D22+1,4,,"["&amp;wew!$G$7&amp;"]"&amp;_sheetname_dataframe)&amp;":"&amp;ADDRESS(2+ster!$C$14,D22+1,4),"")</f>
        <v>'[dane surowe2d.xlsm]data_frame'!U3:U12</v>
      </c>
      <c r="R22" s="14">
        <f t="array" aca="1" ref="R22" ca="1">IF(H22,SUM(IF((IFERROR(INDIRECT(Q22)&lt;&gt;"",FALSE))*(INDIRECT(ster!$D$14)&lt;&gt;""),1,0)),"")</f>
        <v>9</v>
      </c>
      <c r="S22" s="14">
        <f t="array" aca="1" ref="S22" ca="1">IF(H22,IF(M22&gt;0,SUM(IFERROR(1*(MATCH(INDIRECT(Q22),INDIRECT(K22),0)&gt;0),0)*(INDIRECT(ster!$D$14)&lt;&gt;"")*NOT(ISNUMBER(INDIRECT(Q22)))),0),"")</f>
        <v>0</v>
      </c>
      <c r="T22" s="14">
        <f t="array" aca="1" ref="T22" ca="1">IF(H22,SUM((IFERROR(INDIRECT(Q22)="",FALSE))*(INDIRECT(ster!$D$14)&lt;&gt;"")),"")</f>
        <v>0</v>
      </c>
      <c r="U22" s="14">
        <f t="array" aca="1" ref="U22" ca="1">IF(H22,SUM((IFERROR(INDIRECT(Q22)="#ąś",TRUE))*(INDIRECT(ster!$D$14)&lt;&gt;"")),"")</f>
        <v>0</v>
      </c>
      <c r="V22" s="14">
        <f t="array" aca="1" ref="V22" ca="1">IF(H22,SUM(ISNUMBER(INDIRECT(Q22))*(INDIRECT(ster!$D$14)&lt;&gt;"")),"")</f>
        <v>9</v>
      </c>
      <c r="W22" s="14">
        <f t="array" aca="1" ref="W22" ca="1">IF(AND(H22,V22&gt;0),IF(wew!$B$3,MIN(IF((INDIRECT(ster!$D$14)&lt;&gt;"")*IFERROR(INDIRECT($Q22)&lt;&gt;"",FALSE),IFERROR(INDIRECT($Q22),"X"),"X")),"&lt;włącz podświetlanie wartości&gt;"),"—")</f>
        <v>1</v>
      </c>
      <c r="X22" s="14">
        <f t="array" aca="1" ref="X22" ca="1">IF(AND(H22,V22&gt;0),IF(wew!$B$3,MAX(IF((INDIRECT(ster!$D$14)&lt;&gt;"")*IFERROR(INDIRECT($Q22)&lt;&gt;"",FALSE),IFERROR(INDIRECT($Q22),"X"),"X")),"&lt;włącz podświetlanie wartości&gt;"),"—")</f>
        <v>10</v>
      </c>
      <c r="Y22" s="14">
        <f t="shared" ca="1" si="89"/>
        <v>0</v>
      </c>
      <c r="Z22" s="12">
        <f t="shared" ca="1" si="90"/>
        <v>1</v>
      </c>
      <c r="AA22" s="17">
        <f t="array" aca="1" ref="AA22" ca="1">IF(H22,IF(V22&gt;0,SUM((INDIRECT(ster!$D$14)&lt;&gt;"")*IFERROR((INDIRECT(Q22)&lt;&gt;"")*(INDIRECT(Q22)=INT(INDIRECT(Q22))),0)),0),"")</f>
        <v>9</v>
      </c>
      <c r="AB22" s="17">
        <f t="array" aca="1" ref="AB22" ca="1">IF(H22,V22-AA22,"")</f>
        <v>0</v>
      </c>
      <c r="AC22" s="17">
        <f t="shared" ca="1" si="91"/>
        <v>1</v>
      </c>
      <c r="AD22" s="17" t="b">
        <f t="shared" ca="1" si="92"/>
        <v>0</v>
      </c>
      <c r="AE22" s="17" t="str">
        <f ca="1">IF(AD22,IF($H22,ADDRESS(3,D22+2,4,,"["&amp;wew!$G$7&amp;"]"&amp;_sheetname_dataframe)&amp;":"&amp;ADDRESS(2+ster!$C$14,D22+2,4),""),"")</f>
        <v/>
      </c>
      <c r="AF22" s="17" t="str">
        <f t="shared" ca="1" si="93"/>
        <v/>
      </c>
      <c r="AG22" s="17" t="b">
        <f t="shared" ca="1" si="94"/>
        <v>0</v>
      </c>
      <c r="AH22" s="17" t="str">
        <f ca="1">IF(AG22,IF($H22,ADDRESS(3,D22+3,4,,"["&amp;wew!$G$7&amp;"]"&amp;_sheetname_dataframe)&amp;":"&amp;ADDRESS(2+ster!$C$14,D22+3,4),""),"")</f>
        <v/>
      </c>
      <c r="AI22" s="17" t="str">
        <f t="shared" ca="1" si="95"/>
        <v/>
      </c>
      <c r="AJ22" s="17" t="b">
        <f t="shared" ca="1" si="96"/>
        <v>0</v>
      </c>
      <c r="AK22" s="17" t="b">
        <f t="shared" ca="1" si="97"/>
        <v>0</v>
      </c>
      <c r="AL22" s="17" t="b">
        <f t="shared" ca="1" si="98"/>
        <v>0</v>
      </c>
      <c r="AM22" s="17">
        <f t="shared" ca="1" si="99"/>
        <v>0</v>
      </c>
      <c r="AN22" s="24" t="str">
        <f t="shared" ca="1" si="100"/>
        <v/>
      </c>
      <c r="AO22" s="24" t="str">
        <f t="shared" ca="1" si="101"/>
        <v/>
      </c>
      <c r="AP22" s="17" t="b">
        <f t="shared" ca="1" si="102"/>
        <v>0</v>
      </c>
      <c r="AQ22" s="17" t="b">
        <f t="shared" ca="1" si="103"/>
        <v>0</v>
      </c>
      <c r="AR22" s="17" t="b">
        <f t="shared" ca="1" si="104"/>
        <v>0</v>
      </c>
      <c r="AS22" s="17" t="b">
        <f t="shared" ca="1" si="105"/>
        <v>0</v>
      </c>
      <c r="AT22" s="17" t="b">
        <f t="shared" ca="1" si="106"/>
        <v>1</v>
      </c>
      <c r="AU22" s="17" t="b">
        <f t="shared" ca="1" si="107"/>
        <v>0</v>
      </c>
      <c r="AV22" s="17" t="b">
        <f t="shared" ca="1" si="108"/>
        <v>1</v>
      </c>
      <c r="AW22" s="14" t="b">
        <f t="array" aca="1" ref="AW22" ca="1">IF(H22,N22&gt;0,"")</f>
        <v>1</v>
      </c>
      <c r="AX22" s="17" t="str">
        <f t="shared" ca="1" si="20"/>
        <v>C3:C4</v>
      </c>
      <c r="AY22" s="17" t="b">
        <f t="array" aca="1" ref="AY22" ca="1">IF(AX22&lt;&gt;"",SUM(1*ISERROR(MATCH(INDIRECT(AX22),INDIRECT(K22),0)))=0,"")</f>
        <v>0</v>
      </c>
      <c r="AZ22" s="17" t="b">
        <f t="shared" ca="1" si="109"/>
        <v>1</v>
      </c>
      <c r="BA22" s="17" t="b">
        <f t="shared" ca="1" si="110"/>
        <v>0</v>
      </c>
      <c r="BB22" s="17" t="b">
        <f t="shared" ca="1" si="111"/>
        <v>0</v>
      </c>
      <c r="BC22" s="17" t="b">
        <f t="shared" ca="1" si="112"/>
        <v>1</v>
      </c>
      <c r="BD22" s="17" t="b">
        <f t="shared" ca="1" si="113"/>
        <v>0</v>
      </c>
      <c r="BE22" s="17" t="b">
        <f t="shared" ca="1" si="114"/>
        <v>0</v>
      </c>
      <c r="BF22" s="17" t="b">
        <f t="shared" ca="1" si="115"/>
        <v>0</v>
      </c>
      <c r="BG22" s="17" t="b">
        <f t="shared" ca="1" si="116"/>
        <v>1</v>
      </c>
      <c r="BH22" s="17">
        <f t="shared" ref="BH22:BH24" ca="1" si="306">IF(AZ22,IFERROR(MATCH(TRUE,BA22:BF22,0),7),"")</f>
        <v>3</v>
      </c>
      <c r="BI22" s="17" t="b">
        <f t="shared" ca="1" si="118"/>
        <v>0</v>
      </c>
      <c r="BJ22" s="17" t="str">
        <f t="shared" ca="1" si="119"/>
        <v/>
      </c>
      <c r="BK22" s="17" t="str">
        <f t="shared" ca="1" si="120"/>
        <v/>
      </c>
      <c r="BL22" s="17" t="str">
        <f t="shared" ca="1" si="121"/>
        <v>L</v>
      </c>
      <c r="BM22" s="17" t="str">
        <f t="shared" ca="1" si="122"/>
        <v>L</v>
      </c>
      <c r="BN22" s="17" t="str">
        <f t="shared" ca="1" si="123"/>
        <v>N</v>
      </c>
      <c r="BO22" s="14" t="b">
        <f t="shared" ca="1" si="124"/>
        <v>1</v>
      </c>
      <c r="BP22" s="15"/>
      <c r="BV22" s="16"/>
      <c r="BW22" s="16"/>
      <c r="BX22" s="16"/>
      <c r="BY22" s="16"/>
      <c r="BZ22" s="16"/>
      <c r="CA22" s="16"/>
      <c r="CB22" s="16"/>
      <c r="CC22" s="16"/>
      <c r="CD22" s="16"/>
      <c r="CL22" s="14">
        <f ca="1">IF(H22,IFERROR(IsVariableNameLegal(O22),0),0)</f>
        <v>0</v>
      </c>
      <c r="CM22" s="14" t="str">
        <f t="array" aca="1" ref="CM22" ca="1">IF(H22,IF(COUNTIF(INDIRECT(wew!$C$13),O22)&gt;1,TRIM(SUBSTITUTE(_xll.MCONCAT(IF((INDIRECT(wew!$C$13)=O22)*(COLUMN(INDIRECT(wew!$C$13))&lt;&gt;D22+1),-1+COLUMN(INDIRECT(wew!$C$13)),"")," "),"  "," ")),""),"")</f>
        <v/>
      </c>
      <c r="CN22" s="14" t="str">
        <f t="array" aca="1" ref="CN22" ca="1">IF(P22&lt;&gt;"",IF(LEN(P22)&gt;150,1,""),"")</f>
        <v/>
      </c>
      <c r="CO22" s="14" t="str">
        <f t="array" aca="1" ref="CO22" ca="1">IF(AND(H22,NOT(ster!$J$3)),IF(COUNTIF(INDIRECT(wew!$C$15),P22)&gt;1,TRIM(SUBSTITUTE(_xll.MCONCAT(IF((INDIRECT(wew!$C$15)=P22)*(COLUMN(INDIRECT(wew!$C$15))&lt;&gt;D22+1),-1+COLUMN(INDIRECT(wew!$C$15)),"")," "),"  "," ")),""),"")</f>
        <v/>
      </c>
      <c r="CP22" s="14" t="str">
        <f t="array" aca="1" ref="CP22" ca="1">IF(H22,IF(AND(V22&gt;0,AN22&lt;&gt;""),TRIM(SUBSTITUTE(_xll.MCONCAT(IFERROR(IF(ISNUMBER(INDIRECT(Q22)),IF((INDIRECT(ster!$D$14)&lt;&gt;"")*(INDIRECT(Q22)&lt;AN22),INDIRECT(ster!$D$14) &amp; ": " &amp;  SUBSTITUTE(IF( AU22,IFERROR(TEXT(INDIRECT(Q22),"rrrr-mm-dd") &amp;" (" &amp; INDIRECT(Q22) &amp;")",INDIRECT(Q22)),INDIRECT(Q22))," "," "),""),""),"")," "),"  "," ")),""),"")</f>
        <v/>
      </c>
      <c r="CQ22" s="14" t="str">
        <f t="array" aca="1" ref="CQ22" ca="1">IF(H22,IF(AND(V22&gt;0,AO22&lt;&gt;""),TRIM(SUBSTITUTE(_xll.MCONCAT(IFERROR(IF(ISNUMBER(INDIRECT(Q22)),IF((INDIRECT(ster!$D$14)&lt;&gt;"")*(INDIRECT(Q22)&gt;AO22),INDIRECT(ster!$D$14) &amp; ": " &amp;  SUBSTITUTE(IF( AU22,IFERROR(TEXT(INDIRECT(Q22),"rrrr-mm-dd")&amp;" (" &amp; INDIRECT(Q22) &amp;")",INDIRECT(Q22)),INDIRECT(Q22))," "," "),""),""),"")," "),"  "," ")),""),"")</f>
        <v/>
      </c>
      <c r="CR22" s="14" t="str">
        <f t="array" aca="1" ref="CR22" ca="1">IF(H22,IF(AND(N22&gt;0,AQ22),TRIM(SUBSTITUTE(_xll.MCONCAT(IFERROR(IF(ISNUMBER(INDIRECT(Q22)),IF((INDIRECT(ster!$D$14)&lt;&gt;"")*(IFERROR(0*(MATCH(INDIRECT(Q22),INDIRECT(K22),0)&gt;0),1)),INDIRECT(ster!$D$14) &amp; ": " &amp;  SUBSTITUTE(IF( AU22,IFERROR(TEXT(INDIRECT(Q22),"rrrr-mm-dd")&amp;" (" &amp; INDIRECT(Q22) &amp;")",INDIRECT(Q22)),INDIRECT(Q22))," "," "),""),""),"")," "),"  "," ")),""),"")</f>
        <v/>
      </c>
      <c r="CS22" s="14" t="str">
        <f t="array" aca="1" ref="CS22" ca="1">IF(H22,IF(AND(U22&gt;0),TRIM(SUBSTITUTE(_xll.MCONCAT(IF((INDIRECT(ster!$D$14)&lt;&gt;"")*(IFERROR(0*(INDIRECT(Q22)&lt;&gt;""),1)),INDIRECT(ster!$D$14),"")," "),"  "," ")),""),"")</f>
        <v/>
      </c>
      <c r="CT22" s="14" t="str">
        <f t="array" aca="1" ref="CT22" ca="1">IF(H22,IF(AR22,
TRIM(SUBSTITUTE(_xll.MCONCAT(IF(
   (INDIRECT(ster!$D$14)&lt;&gt;"")*
   ((INDIRECT(Q22)="")+
      NOT(ISNUMBER(INDIRECT(Q22)))*
      NOT(ISERROR(MATCH(INDIRECT(Q22),INDIRECT(K22),0)))
    ),
      INDIRECT(ster!$D$14),
   "")," "),"  "," ")),
""),"")</f>
        <v/>
      </c>
      <c r="CU22" s="14" t="str">
        <f t="array" aca="1" ref="CU22" ca="1">IF(H22,IF(AND(AP22),TRIM(SUBSTITUTE(_xll.MCONCAT(IFERROR(IF(ISNUMBER(INDIRECT(Q22)),IF((INDIRECT(ster!$D$14)&lt;&gt;"")*(INDIRECT(Q22)&lt;&gt;INT(INDIRECT(Q22))),INDIRECT(ster!$D$14) &amp; ": " &amp; INDIRECT(Q22),""),""),"")," "),"  "," ")),""),"")</f>
        <v/>
      </c>
      <c r="CV22" s="14" t="str">
        <f t="array" aca="1" ref="CV22" ca="1">IF(H22,IF(OR(AT22,AU22),TRIM(SUBSTITUTE(_xll.MCONCAT(IF((INDIRECT(ster!$D$14)&lt;&gt;"")*NOT(ISNUMBER(INDIRECT(Q22))),IF(ISERROR(MATCH(INDIRECT(Q22),INDIRECT(K22),0)),IFERROR(IF(INDIRECT(Q22)&lt;&gt;"",INDIRECT(ster!$D$14) &amp; ": " &amp; SUBSTITUTE(INDIRECT(Q22)," "," "),""),""),""),"")," "),"  "," ")),""),"")</f>
        <v/>
      </c>
      <c r="CW22" s="14" t="str">
        <f t="array" aca="1" ref="CW22" ca="1">IF(H22,IF(AD22,TRIM(SUBSTITUTE(_xll.MCONCAT(IF((INDIRECT(ster!$D$14)&lt;&gt;"")*IFERROR(NOT(INDIRECT(AE22)),FALSE),IF(ISERROR(MATCH(INDIRECT(Q22),INDIRECT(K22),0)),IFERROR(IF(INDIRECT(Q22)&lt;&gt;"",INDIRECT(ster!$D$14) &amp; ": " &amp;  SUBSTITUTE(IF( AU22,IFERROR(TEXT(INDIRECT(Q22),"rrrr-mm-dd")&amp;" (" &amp; INDIRECT(Q22) &amp;")",INDIRECT(Q22)),INDIRECT(Q22))," "," "),""),""),""),"")," "),"  "," ")),""),"")</f>
        <v/>
      </c>
      <c r="CX22" s="14" t="str">
        <f t="array" aca="1" ref="CX22" ca="1">IF(H22,IF(AG22,TRIM(SUBSTITUTE(_xll.MCONCAT(IF((INDIRECT(ster!$D$14)&lt;&gt;"")*IFERROR(NOT(INDIRECT(AH22)),FALSE),IF(ISERROR(MATCH(INDIRECT(Q22),INDIRECT(K22),0)),IFERROR(IF(INDIRECT(Q22)&lt;&gt;"",INDIRECT(ster!$D$14) &amp; ": " &amp;  SUBSTITUTE(IF( AU22,IFERROR(TEXT(INDIRECT(Q22),"rrrr-mm-dd")&amp;" (" &amp; INDIRECT(Q22) &amp;")",INDIRECT(Q22)),INDIRECT(Q22))," "," "),""),""),""),"")," "),"  "," ")),""),"")</f>
        <v/>
      </c>
      <c r="DA22" s="14" t="str">
        <f ca="1">SUBSTITUTE(SUBSTITUTE(SUBSTITUTE(SUBSTITUTE(_xll.MCONCAT(DE22:DQ22,"■"),"■■","■"),"■■","■"),"■■","■"),"■■","■")</f>
        <v>■</v>
      </c>
      <c r="DB22" s="14" t="str">
        <f t="shared" ca="1" si="125"/>
        <v/>
      </c>
      <c r="DC22" s="14" t="str">
        <f t="shared" ca="1" si="126"/>
        <v/>
      </c>
      <c r="DD22" s="14" t="str">
        <f t="shared" ca="1" si="127"/>
        <v/>
      </c>
      <c r="DE22" s="14" t="str">
        <f t="shared" ca="1" si="128"/>
        <v/>
      </c>
      <c r="DF22" s="14" t="str">
        <f t="shared" ca="1" si="129"/>
        <v/>
      </c>
      <c r="DG22" s="14" t="str">
        <f t="shared" ca="1" si="130"/>
        <v/>
      </c>
      <c r="DH22" s="14" t="str">
        <f t="shared" ca="1" si="131"/>
        <v/>
      </c>
      <c r="DI22" s="14" t="str">
        <f t="shared" ca="1" si="132"/>
        <v/>
      </c>
      <c r="DJ22" s="14" t="str">
        <f t="shared" ca="1" si="133"/>
        <v/>
      </c>
      <c r="DK22" s="14" t="str">
        <f t="shared" ca="1" si="134"/>
        <v/>
      </c>
      <c r="DL22" s="14" t="str">
        <f t="array" aca="1" ref="DL22" ca="1">IF(CS22&lt;&gt;"","There are errors in the entered values in the following cases: " &amp;SUBSTITUTE(CS22," ",", "),"")</f>
        <v/>
      </c>
      <c r="DM22" s="14" t="str">
        <f t="shared" ca="1" si="135"/>
        <v/>
      </c>
      <c r="DN22" s="14" t="str">
        <f t="shared" ca="1" si="136"/>
        <v/>
      </c>
      <c r="DO22" s="14" t="str">
        <f t="shared" ca="1" si="137"/>
        <v/>
      </c>
      <c r="DP22" s="14" t="str">
        <f t="shared" ca="1" si="138"/>
        <v/>
      </c>
      <c r="DQ22" s="14" t="str">
        <f t="shared" ca="1" si="139"/>
        <v/>
      </c>
      <c r="DX22" s="14" t="b">
        <f t="shared" ca="1" si="140"/>
        <v>0</v>
      </c>
      <c r="DY22" s="14" t="str">
        <f t="shared" ca="1" si="153"/>
        <v>My new variable (new_var)</v>
      </c>
      <c r="DZ22" s="14" t="str">
        <f t="shared" ca="1" si="142"/>
        <v xml:space="preserve">Values must be numeric. </v>
      </c>
      <c r="EA22" s="14" t="str">
        <f t="shared" ca="1" si="154"/>
        <v xml:space="preserve">My new variable (new_var): Values must be numeric. </v>
      </c>
      <c r="EB22" s="14" t="str">
        <f t="shared" ca="1" si="144"/>
        <v/>
      </c>
      <c r="EC22" s="14" t="str">
        <f t="shared" ca="1" si="145"/>
        <v>Values must be numeric</v>
      </c>
      <c r="ED22" s="14" t="str">
        <f t="shared" ca="1" si="146"/>
        <v/>
      </c>
      <c r="EE22" s="14" t="str">
        <f t="shared" ca="1" si="147"/>
        <v/>
      </c>
      <c r="EK22" s="14" t="b">
        <f t="shared" ca="1" si="148"/>
        <v>1</v>
      </c>
      <c r="EL22" s="14">
        <f t="shared" ca="1" si="155"/>
        <v>18</v>
      </c>
      <c r="EM22" s="14" t="str">
        <f t="shared" ca="1" si="150"/>
        <v>new_var</v>
      </c>
      <c r="EN22" s="14" t="str">
        <f t="shared" ca="1" si="151"/>
        <v xml:space="preserve">My new variable (new_var): Values must be numeric. </v>
      </c>
      <c r="EO22" s="14" t="str">
        <f t="shared" ca="1" si="152"/>
        <v/>
      </c>
    </row>
    <row r="23" spans="2:145" s="14" customFormat="1">
      <c r="B23" s="14" t="str">
        <f t="shared" ca="1" si="78"/>
        <v>There are errors in the entered values in the following cases: LAB3</v>
      </c>
      <c r="C23" s="14">
        <f t="shared" ca="1" si="79"/>
        <v>19</v>
      </c>
      <c r="D23" s="14">
        <f t="shared" si="80"/>
        <v>21</v>
      </c>
      <c r="E23" s="14" t="str">
        <f t="shared" ca="1" si="81"/>
        <v>I</v>
      </c>
      <c r="F23" s="14" t="str">
        <f t="shared" ca="1" si="82"/>
        <v>num4</v>
      </c>
      <c r="G23" s="14" t="str">
        <f t="shared" ca="1" si="83"/>
        <v>Zmienna liczbowa bez braków ale z NA</v>
      </c>
      <c r="H23" s="14" t="b">
        <f t="shared" ca="1" si="84"/>
        <v>1</v>
      </c>
      <c r="I23" s="14" t="str">
        <f ca="1">IF($H23,ADDRESS(3,(D23+1)*2-1,4,,"["&amp;wew!$G$7&amp;"]"&amp;_sheetname_labels)&amp;":"&amp;ADDRESS(2+ster!$B$20,(D23+1)*2-1,4),"")</f>
        <v>'[dane surowe2d.xlsm]labels'!AQ3:AQ36</v>
      </c>
      <c r="J23" s="14">
        <f t="array" aca="1" ref="J23" ca="1">IF(H23,MAX(0,MAX(IF(INDIRECT(I23)&lt;&gt;"",ROW(INDIRECT(I23)),""))-2),"")</f>
        <v>2</v>
      </c>
      <c r="K23" s="14" t="str">
        <f ca="1">IF($H23,IF($J23&gt;0,ADDRESS(3,(D23+1)*2-1,4,,"["&amp;wew!$G$7&amp;"]"&amp;_sheetname_labels)&amp;":"&amp;ADDRESS(2+J23,(D23+1)*2-1,4),""),"")</f>
        <v>'[dane surowe2d.xlsm]labels'!AQ3:AQ4</v>
      </c>
      <c r="L23" s="14" t="str">
        <f ca="1">IF($H23,IF($J23&gt;0,ADDRESS(3,(D23+1)*2,4,,"["&amp;wew!$G$7&amp;"]"&amp;_sheetname_labels)&amp;":"&amp;ADDRESS(2+J23,(D23+1)*2,4),""),"")</f>
        <v>'[dane surowe2d.xlsm]labels'!AR3:AR4</v>
      </c>
      <c r="M23" s="14">
        <f t="shared" ca="1" si="85"/>
        <v>2</v>
      </c>
      <c r="N23" s="14">
        <f t="shared" ca="1" si="86"/>
        <v>0</v>
      </c>
      <c r="O23" s="14" t="str">
        <f t="shared" ca="1" si="87"/>
        <v>num4</v>
      </c>
      <c r="P23" s="14" t="str">
        <f t="shared" ca="1" si="88"/>
        <v>Zmienna liczbowa bez braków ale z NA</v>
      </c>
      <c r="Q23" s="14" t="str">
        <f ca="1">IF($H23,ADDRESS(3,D23+1,4,,"["&amp;wew!$G$7&amp;"]"&amp;_sheetname_dataframe)&amp;":"&amp;ADDRESS(2+ster!$C$14,D23+1,4),"")</f>
        <v>'[dane surowe2d.xlsm]data_frame'!V3:V12</v>
      </c>
      <c r="R23" s="14">
        <f t="array" aca="1" ref="R23" ca="1">IF(H23,SUM(IF((IFERROR(INDIRECT(Q23)&lt;&gt;"",FALSE))*(INDIRECT(ster!$D$14)&lt;&gt;""),1,0)),"")</f>
        <v>8</v>
      </c>
      <c r="S23" s="14">
        <f t="array" aca="1" ref="S23" ca="1">IF(H23,IF(M23&gt;0,SUM(IFERROR(1*(MATCH(INDIRECT(Q23),INDIRECT(K23),0)&gt;0),0)*(INDIRECT(ster!$D$14)&lt;&gt;"")*NOT(ISNUMBER(INDIRECT(Q23)))),0),"")</f>
        <v>3</v>
      </c>
      <c r="T23" s="14">
        <f t="array" aca="1" ref="T23" ca="1">IF(H23,SUM((IFERROR(INDIRECT(Q23)="",FALSE))*(INDIRECT(ster!$D$14)&lt;&gt;"")),"")</f>
        <v>0</v>
      </c>
      <c r="U23" s="14">
        <f t="array" aca="1" ref="U23" ca="1">IF(H23,SUM((IFERROR(INDIRECT(Q23)="#ąś",TRUE))*(INDIRECT(ster!$D$14)&lt;&gt;"")),"")</f>
        <v>1</v>
      </c>
      <c r="V23" s="14">
        <f t="array" aca="1" ref="V23" ca="1">IF(H23,SUM(ISNUMBER(INDIRECT(Q23))*(INDIRECT(ster!$D$14)&lt;&gt;"")),"")</f>
        <v>5</v>
      </c>
      <c r="W23" s="14">
        <f t="array" aca="1" ref="W23" ca="1">IF(AND(H23,V23&gt;0),IF(wew!$B$3,MIN(IF((INDIRECT(ster!$D$14)&lt;&gt;"")*IFERROR(INDIRECT($Q23)&lt;&gt;"",FALSE),IFERROR(INDIRECT($Q23),"X"),"X")),"&lt;włącz podświetlanie wartości&gt;"),"—")</f>
        <v>1</v>
      </c>
      <c r="X23" s="14">
        <f t="array" aca="1" ref="X23" ca="1">IF(AND(H23,V23&gt;0),IF(wew!$B$3,MAX(IF((INDIRECT(ster!$D$14)&lt;&gt;"")*IFERROR(INDIRECT($Q23)&lt;&gt;"",FALSE),IFERROR(INDIRECT($Q23),"X"),"X")),"&lt;włącz podświetlanie wartości&gt;"),"—")</f>
        <v>4</v>
      </c>
      <c r="Y23" s="14">
        <f t="shared" ca="1" si="89"/>
        <v>0</v>
      </c>
      <c r="Z23" s="12">
        <f t="shared" ca="1" si="90"/>
        <v>0.625</v>
      </c>
      <c r="AA23" s="17">
        <f t="array" aca="1" ref="AA23" ca="1">IF(H23,IF(V23&gt;0,SUM((INDIRECT(ster!$D$14)&lt;&gt;"")*IFERROR((INDIRECT(Q23)&lt;&gt;"")*(INDIRECT(Q23)=INT(INDIRECT(Q23))),0)),0),"")</f>
        <v>5</v>
      </c>
      <c r="AB23" s="17">
        <f t="array" aca="1" ref="AB23" ca="1">IF(H23,V23-AA23,"")</f>
        <v>0</v>
      </c>
      <c r="AC23" s="17">
        <f t="shared" ca="1" si="91"/>
        <v>1</v>
      </c>
      <c r="AD23" s="17" t="b">
        <f t="shared" ca="1" si="92"/>
        <v>0</v>
      </c>
      <c r="AE23" s="17" t="str">
        <f ca="1">IF(AD23,IF($H23,ADDRESS(3,D23+2,4,,"["&amp;wew!$G$7&amp;"]"&amp;_sheetname_dataframe)&amp;":"&amp;ADDRESS(2+ster!$C$14,D23+2,4),""),"")</f>
        <v/>
      </c>
      <c r="AF23" s="17" t="str">
        <f t="shared" ca="1" si="93"/>
        <v/>
      </c>
      <c r="AG23" s="17" t="b">
        <f t="shared" ca="1" si="94"/>
        <v>0</v>
      </c>
      <c r="AH23" s="17" t="str">
        <f ca="1">IF(AG23,IF($H23,ADDRESS(3,D23+3,4,,"["&amp;wew!$G$7&amp;"]"&amp;_sheetname_dataframe)&amp;":"&amp;ADDRESS(2+ster!$C$14,D23+3,4),""),"")</f>
        <v/>
      </c>
      <c r="AI23" s="17" t="str">
        <f t="shared" ca="1" si="95"/>
        <v/>
      </c>
      <c r="AJ23" s="17" t="b">
        <f t="shared" ca="1" si="96"/>
        <v>0</v>
      </c>
      <c r="AK23" s="17" t="b">
        <f t="shared" ca="1" si="97"/>
        <v>0</v>
      </c>
      <c r="AL23" s="17" t="b">
        <f t="shared" ca="1" si="98"/>
        <v>1</v>
      </c>
      <c r="AM23" s="17">
        <f t="shared" ca="1" si="99"/>
        <v>0</v>
      </c>
      <c r="AN23" s="24" t="str">
        <f t="shared" ca="1" si="100"/>
        <v/>
      </c>
      <c r="AO23" s="24" t="str">
        <f t="shared" ca="1" si="101"/>
        <v/>
      </c>
      <c r="AP23" s="17" t="b">
        <f t="shared" ca="1" si="102"/>
        <v>0</v>
      </c>
      <c r="AQ23" s="17" t="b">
        <f t="shared" ca="1" si="103"/>
        <v>0</v>
      </c>
      <c r="AR23" s="17" t="b">
        <f t="shared" ca="1" si="104"/>
        <v>0</v>
      </c>
      <c r="AS23" s="17" t="b">
        <f t="shared" ca="1" si="105"/>
        <v>0</v>
      </c>
      <c r="AT23" s="17" t="b">
        <f t="shared" ca="1" si="106"/>
        <v>0</v>
      </c>
      <c r="AU23" s="17" t="b">
        <f t="shared" ca="1" si="107"/>
        <v>0</v>
      </c>
      <c r="AV23" s="17" t="b">
        <f t="shared" ca="1" si="108"/>
        <v>1</v>
      </c>
      <c r="AW23" s="14" t="b">
        <f t="array" aca="1" ref="AW23" ca="1">IF(H23,N23&gt;0,"")</f>
        <v>0</v>
      </c>
      <c r="AX23" s="17" t="str">
        <f t="shared" ca="1" si="20"/>
        <v/>
      </c>
      <c r="AY23" s="17" t="str">
        <f t="array" aca="1" ref="AY23" ca="1">IF(AX23&lt;&gt;"",SUM(1*ISERROR(MATCH(INDIRECT(AX23),INDIRECT(K23),0)))=0,"")</f>
        <v/>
      </c>
      <c r="AZ23" s="17" t="b">
        <f t="shared" ca="1" si="109"/>
        <v>1</v>
      </c>
      <c r="BA23" s="17" t="b">
        <f t="shared" ca="1" si="110"/>
        <v>0</v>
      </c>
      <c r="BB23" s="17" t="b">
        <f t="shared" ca="1" si="111"/>
        <v>0</v>
      </c>
      <c r="BC23" s="17" t="b">
        <f t="shared" ca="1" si="112"/>
        <v>0</v>
      </c>
      <c r="BD23" s="17" t="b">
        <f t="shared" ca="1" si="113"/>
        <v>1</v>
      </c>
      <c r="BE23" s="17" t="b">
        <f t="shared" ca="1" si="114"/>
        <v>0</v>
      </c>
      <c r="BF23" s="17" t="b">
        <f t="shared" ca="1" si="115"/>
        <v>0</v>
      </c>
      <c r="BG23" s="17" t="b">
        <f t="shared" ca="1" si="116"/>
        <v>1</v>
      </c>
      <c r="BH23" s="17">
        <f t="shared" ca="1" si="306"/>
        <v>4</v>
      </c>
      <c r="BI23" s="17" t="b">
        <f t="shared" ca="1" si="118"/>
        <v>1</v>
      </c>
      <c r="BJ23" s="17" t="str">
        <f t="shared" ca="1" si="119"/>
        <v/>
      </c>
      <c r="BK23" s="17" t="str">
        <f t="shared" ca="1" si="120"/>
        <v/>
      </c>
      <c r="BL23" s="17" t="str">
        <f t="shared" ca="1" si="121"/>
        <v>I</v>
      </c>
      <c r="BM23" s="17" t="str">
        <f t="shared" ca="1" si="122"/>
        <v>E</v>
      </c>
      <c r="BN23" s="17" t="str">
        <f t="shared" ca="1" si="123"/>
        <v>I</v>
      </c>
      <c r="BO23" s="14" t="b">
        <f t="shared" ca="1" si="124"/>
        <v>1</v>
      </c>
      <c r="BP23" s="15">
        <v>1</v>
      </c>
      <c r="BV23" s="16"/>
      <c r="BW23" s="16"/>
      <c r="BX23" s="16"/>
      <c r="BY23" s="16"/>
      <c r="BZ23" s="16"/>
      <c r="CA23" s="16"/>
      <c r="CB23" s="16"/>
      <c r="CC23" s="16"/>
      <c r="CD23" s="16"/>
      <c r="CL23" s="14">
        <f ca="1">IF(H23,IFERROR(IsVariableNameLegal(O23),0),0)</f>
        <v>0</v>
      </c>
      <c r="CM23" s="14" t="str">
        <f t="array" aca="1" ref="CM23" ca="1">IF(H23,IF(COUNTIF(INDIRECT(wew!$C$13),O23)&gt;1,TRIM(SUBSTITUTE(_xll.MCONCAT(IF((INDIRECT(wew!$C$13)=O23)*(COLUMN(INDIRECT(wew!$C$13))&lt;&gt;D23+1),-1+COLUMN(INDIRECT(wew!$C$13)),"")," "),"  "," ")),""),"")</f>
        <v/>
      </c>
      <c r="CN23" s="14" t="str">
        <f t="array" aca="1" ref="CN23" ca="1">IF(P23&lt;&gt;"",IF(LEN(P23)&gt;150,1,""),"")</f>
        <v/>
      </c>
      <c r="CO23" s="14" t="str">
        <f t="array" aca="1" ref="CO23" ca="1">IF(AND(H23,NOT(ster!$J$3)),IF(COUNTIF(INDIRECT(wew!$C$15),P23)&gt;1,TRIM(SUBSTITUTE(_xll.MCONCAT(IF((INDIRECT(wew!$C$15)=P23)*(COLUMN(INDIRECT(wew!$C$15))&lt;&gt;D23+1),-1+COLUMN(INDIRECT(wew!$C$15)),"")," "),"  "," ")),""),"")</f>
        <v/>
      </c>
      <c r="CP23" s="14" t="str">
        <f t="array" aca="1" ref="CP23" ca="1">IF(H23,IF(AND(V23&gt;0,AN23&lt;&gt;""),TRIM(SUBSTITUTE(_xll.MCONCAT(IFERROR(IF(ISNUMBER(INDIRECT(Q23)),IF((INDIRECT(ster!$D$14)&lt;&gt;"")*(INDIRECT(Q23)&lt;AN23),INDIRECT(ster!$D$14) &amp; ": " &amp;  SUBSTITUTE(IF( AU23,IFERROR(TEXT(INDIRECT(Q23),"rrrr-mm-dd") &amp;" (" &amp; INDIRECT(Q23) &amp;")",INDIRECT(Q23)),INDIRECT(Q23))," "," "),""),""),"")," "),"  "," ")),""),"")</f>
        <v/>
      </c>
      <c r="CQ23" s="14" t="str">
        <f t="array" aca="1" ref="CQ23" ca="1">IF(H23,IF(AND(V23&gt;0,AO23&lt;&gt;""),TRIM(SUBSTITUTE(_xll.MCONCAT(IFERROR(IF(ISNUMBER(INDIRECT(Q23)),IF((INDIRECT(ster!$D$14)&lt;&gt;"")*(INDIRECT(Q23)&gt;AO23),INDIRECT(ster!$D$14) &amp; ": " &amp;  SUBSTITUTE(IF( AU23,IFERROR(TEXT(INDIRECT(Q23),"rrrr-mm-dd")&amp;" (" &amp; INDIRECT(Q23) &amp;")",INDIRECT(Q23)),INDIRECT(Q23))," "," "),""),""),"")," "),"  "," ")),""),"")</f>
        <v/>
      </c>
      <c r="CR23" s="14" t="str">
        <f t="array" aca="1" ref="CR23" ca="1">IF(H23,IF(AND(N23&gt;0,AQ23),TRIM(SUBSTITUTE(_xll.MCONCAT(IFERROR(IF(ISNUMBER(INDIRECT(Q23)),IF((INDIRECT(ster!$D$14)&lt;&gt;"")*(IFERROR(0*(MATCH(INDIRECT(Q23),INDIRECT(K23),0)&gt;0),1)),INDIRECT(ster!$D$14) &amp; ": " &amp;  SUBSTITUTE(IF( AU23,IFERROR(TEXT(INDIRECT(Q23),"rrrr-mm-dd")&amp;" (" &amp; INDIRECT(Q23) &amp;")",INDIRECT(Q23)),INDIRECT(Q23))," "," "),""),""),"")," "),"  "," ")),""),"")</f>
        <v/>
      </c>
      <c r="CS23" s="14" t="str">
        <f t="array" aca="1" ref="CS23" ca="1">IF(H23,IF(AND(U23&gt;0),TRIM(SUBSTITUTE(_xll.MCONCAT(IF((INDIRECT(ster!$D$14)&lt;&gt;"")*(IFERROR(0*(INDIRECT(Q23)&lt;&gt;""),1)),INDIRECT(ster!$D$14),"")," "),"  "," ")),""),"")</f>
        <v>LAB3</v>
      </c>
      <c r="CT23" s="14" t="str">
        <f t="array" aca="1" ref="CT23" ca="1">IF(H23,IF(AR23,
TRIM(SUBSTITUTE(_xll.MCONCAT(IF(
   (INDIRECT(ster!$D$14)&lt;&gt;"")*
   ((INDIRECT(Q23)="")+
      NOT(ISNUMBER(INDIRECT(Q23)))*
      NOT(ISERROR(MATCH(INDIRECT(Q23),INDIRECT(K23),0)))
    ),
      INDIRECT(ster!$D$14),
   "")," "),"  "," ")),
""),"")</f>
        <v/>
      </c>
      <c r="CU23" s="14" t="str">
        <f t="array" aca="1" ref="CU23" ca="1">IF(H23,IF(AND(AP23),TRIM(SUBSTITUTE(_xll.MCONCAT(IFERROR(IF(ISNUMBER(INDIRECT(Q23)),IF((INDIRECT(ster!$D$14)&lt;&gt;"")*(INDIRECT(Q23)&lt;&gt;INT(INDIRECT(Q23))),INDIRECT(ster!$D$14) &amp; ": " &amp; INDIRECT(Q23),""),""),"")," "),"  "," ")),""),"")</f>
        <v/>
      </c>
      <c r="CV23" s="14" t="str">
        <f t="array" aca="1" ref="CV23" ca="1">IF(H23,IF(OR(AT23,AU23),TRIM(SUBSTITUTE(_xll.MCONCAT(IF((INDIRECT(ster!$D$14)&lt;&gt;"")*NOT(ISNUMBER(INDIRECT(Q23))),IF(ISERROR(MATCH(INDIRECT(Q23),INDIRECT(K23),0)),IFERROR(IF(INDIRECT(Q23)&lt;&gt;"",INDIRECT(ster!$D$14) &amp; ": " &amp; SUBSTITUTE(INDIRECT(Q23)," "," "),""),""),""),"")," "),"  "," ")),""),"")</f>
        <v/>
      </c>
      <c r="CW23" s="14" t="str">
        <f t="array" aca="1" ref="CW23" ca="1">IF(H23,IF(AD23,TRIM(SUBSTITUTE(_xll.MCONCAT(IF((INDIRECT(ster!$D$14)&lt;&gt;"")*IFERROR(NOT(INDIRECT(AE23)),FALSE),IF(ISERROR(MATCH(INDIRECT(Q23),INDIRECT(K23),0)),IFERROR(IF(INDIRECT(Q23)&lt;&gt;"",INDIRECT(ster!$D$14) &amp; ": " &amp;  SUBSTITUTE(IF( AU23,IFERROR(TEXT(INDIRECT(Q23),"rrrr-mm-dd")&amp;" (" &amp; INDIRECT(Q23) &amp;")",INDIRECT(Q23)),INDIRECT(Q23))," "," "),""),""),""),"")," "),"  "," ")),""),"")</f>
        <v/>
      </c>
      <c r="CX23" s="14" t="str">
        <f t="array" aca="1" ref="CX23" ca="1">IF(H23,IF(AG23,TRIM(SUBSTITUTE(_xll.MCONCAT(IF((INDIRECT(ster!$D$14)&lt;&gt;"")*IFERROR(NOT(INDIRECT(AH23)),FALSE),IF(ISERROR(MATCH(INDIRECT(Q23),INDIRECT(K23),0)),IFERROR(IF(INDIRECT(Q23)&lt;&gt;"",INDIRECT(ster!$D$14) &amp; ": " &amp;  SUBSTITUTE(IF( AU23,IFERROR(TEXT(INDIRECT(Q23),"rrrr-mm-dd")&amp;" (" &amp; INDIRECT(Q23) &amp;")",INDIRECT(Q23)),INDIRECT(Q23))," "," "),""),""),""),"")," "),"  "," ")),""),"")</f>
        <v/>
      </c>
      <c r="DA23" s="14" t="str">
        <f ca="1">SUBSTITUTE(SUBSTITUTE(SUBSTITUTE(SUBSTITUTE(_xll.MCONCAT(DE23:DQ23,"■"),"■■","■"),"■■","■"),"■■","■"),"■■","■")</f>
        <v>■There are errors in the entered values in the following cases: LAB3■</v>
      </c>
      <c r="DB23" s="14" t="str">
        <f t="shared" ca="1" si="125"/>
        <v>There are errors in the entered values in the following cases: LAB3■</v>
      </c>
      <c r="DC23" s="14" t="str">
        <f t="shared" ca="1" si="126"/>
        <v>There are errors in the entered values in the following cases: LAB3</v>
      </c>
      <c r="DD23" s="14" t="str">
        <f t="shared" ca="1" si="127"/>
        <v>There are errors in the entered values in the following cases: LAB3</v>
      </c>
      <c r="DE23" s="14" t="str">
        <f t="shared" ca="1" si="128"/>
        <v/>
      </c>
      <c r="DF23" s="14" t="str">
        <f t="shared" ca="1" si="129"/>
        <v/>
      </c>
      <c r="DG23" s="14" t="str">
        <f t="shared" ca="1" si="130"/>
        <v/>
      </c>
      <c r="DH23" s="14" t="str">
        <f t="shared" ca="1" si="131"/>
        <v/>
      </c>
      <c r="DI23" s="14" t="str">
        <f t="shared" ca="1" si="132"/>
        <v/>
      </c>
      <c r="DJ23" s="14" t="str">
        <f t="shared" ca="1" si="133"/>
        <v/>
      </c>
      <c r="DK23" s="14" t="str">
        <f t="shared" ca="1" si="134"/>
        <v/>
      </c>
      <c r="DL23" s="14" t="str">
        <f t="array" aca="1" ref="DL23" ca="1">IF(CS23&lt;&gt;"","There are errors in the entered values in the following cases: " &amp;SUBSTITUTE(CS23," ",", "),"")</f>
        <v>There are errors in the entered values in the following cases: LAB3</v>
      </c>
      <c r="DM23" s="14" t="str">
        <f t="shared" ca="1" si="135"/>
        <v/>
      </c>
      <c r="DN23" s="14" t="str">
        <f t="shared" ca="1" si="136"/>
        <v/>
      </c>
      <c r="DO23" s="14" t="str">
        <f t="shared" ca="1" si="137"/>
        <v/>
      </c>
      <c r="DP23" s="14" t="str">
        <f t="shared" ca="1" si="138"/>
        <v/>
      </c>
      <c r="DQ23" s="14" t="str">
        <f t="shared" ca="1" si="139"/>
        <v/>
      </c>
      <c r="DX23" s="14" t="b">
        <f t="shared" ca="1" si="140"/>
        <v>0</v>
      </c>
      <c r="DY23" s="14" t="str">
        <f t="shared" ca="1" si="153"/>
        <v/>
      </c>
      <c r="DZ23" s="14" t="str">
        <f t="shared" ca="1" si="142"/>
        <v/>
      </c>
      <c r="EA23" s="14" t="str">
        <f t="shared" ca="1" si="154"/>
        <v/>
      </c>
      <c r="EB23" s="14" t="str">
        <f t="shared" ca="1" si="144"/>
        <v/>
      </c>
      <c r="EC23" s="14" t="str">
        <f t="shared" ca="1" si="145"/>
        <v/>
      </c>
      <c r="ED23" s="14" t="str">
        <f t="shared" ca="1" si="146"/>
        <v/>
      </c>
      <c r="EE23" s="14" t="str">
        <f t="shared" ca="1" si="147"/>
        <v/>
      </c>
      <c r="EK23" s="14" t="b">
        <f t="shared" ca="1" si="148"/>
        <v>1</v>
      </c>
      <c r="EL23" s="14">
        <f t="shared" ca="1" si="155"/>
        <v>19</v>
      </c>
      <c r="EM23" s="14" t="str">
        <f t="shared" ca="1" si="150"/>
        <v>num4</v>
      </c>
      <c r="EN23" s="14" t="str">
        <f t="shared" ca="1" si="151"/>
        <v/>
      </c>
      <c r="EO23" s="14" t="str">
        <f t="shared" ca="1" si="152"/>
        <v>There are errors in the entered values in the following cases: LAB3</v>
      </c>
    </row>
    <row r="24" spans="2:145" s="14" customFormat="1">
      <c r="B24" s="14" t="str">
        <f t="shared" ca="1" si="78"/>
        <v>The following records are missing in this required field: VIE1, LAB2</v>
      </c>
      <c r="C24" s="14">
        <f t="shared" ca="1" si="79"/>
        <v>20</v>
      </c>
      <c r="D24" s="14">
        <f t="shared" si="80"/>
        <v>22</v>
      </c>
      <c r="E24" s="14" t="str">
        <f t="shared" ca="1" si="81"/>
        <v>I</v>
      </c>
      <c r="F24" s="14" t="str">
        <f t="shared" ca="1" si="82"/>
        <v>required1</v>
      </c>
      <c r="G24" s="14" t="str">
        <f t="shared" ca="1" si="83"/>
        <v>Zmienna required</v>
      </c>
      <c r="H24" s="14" t="b">
        <f t="shared" ca="1" si="84"/>
        <v>1</v>
      </c>
      <c r="I24" s="14" t="str">
        <f ca="1">IF($H24,ADDRESS(3,(D24+1)*2-1,4,,"["&amp;wew!$G$7&amp;"]"&amp;_sheetname_labels)&amp;":"&amp;ADDRESS(2+ster!$B$20,(D24+1)*2-1,4),"")</f>
        <v>'[dane surowe2d.xlsm]labels'!AS3:AS36</v>
      </c>
      <c r="J24" s="14">
        <f t="array" aca="1" ref="J24" ca="1">IF(H24,MAX(0,MAX(IF(INDIRECT(I24)&lt;&gt;"",ROW(INDIRECT(I24)),""))-2),"")</f>
        <v>1</v>
      </c>
      <c r="K24" s="14" t="str">
        <f ca="1">IF($H24,IF($J24&gt;0,ADDRESS(3,(D24+1)*2-1,4,,"["&amp;wew!$G$7&amp;"]"&amp;_sheetname_labels)&amp;":"&amp;ADDRESS(2+J24,(D24+1)*2-1,4),""),"")</f>
        <v>'[dane surowe2d.xlsm]labels'!AS3:AS3</v>
      </c>
      <c r="L24" s="14" t="str">
        <f ca="1">IF($H24,IF($J24&gt;0,ADDRESS(3,(D24+1)*2,4,,"["&amp;wew!$G$7&amp;"]"&amp;_sheetname_labels)&amp;":"&amp;ADDRESS(2+J24,(D24+1)*2,4),""),"")</f>
        <v>'[dane surowe2d.xlsm]labels'!AT3:AT3</v>
      </c>
      <c r="M24" s="14">
        <f t="shared" ca="1" si="85"/>
        <v>1</v>
      </c>
      <c r="N24" s="14">
        <f t="shared" ca="1" si="86"/>
        <v>0</v>
      </c>
      <c r="O24" s="14" t="str">
        <f t="shared" ca="1" si="87"/>
        <v>required1</v>
      </c>
      <c r="P24" s="14" t="str">
        <f t="shared" ca="1" si="88"/>
        <v>Zmienna required</v>
      </c>
      <c r="Q24" s="14" t="str">
        <f ca="1">IF($H24,ADDRESS(3,D24+1,4,,"["&amp;wew!$G$7&amp;"]"&amp;_sheetname_dataframe)&amp;":"&amp;ADDRESS(2+ster!$C$14,D24+1,4),"")</f>
        <v>'[dane surowe2d.xlsm]data_frame'!W3:W12</v>
      </c>
      <c r="R24" s="14">
        <f t="array" aca="1" ref="R24" ca="1">IF(H24,SUM(IF((IFERROR(INDIRECT(Q24)&lt;&gt;"",FALSE))*(INDIRECT(ster!$D$14)&lt;&gt;""),1,0)),"")</f>
        <v>8</v>
      </c>
      <c r="S24" s="14">
        <f t="array" aca="1" ref="S24" ca="1">IF(H24,IF(M24&gt;0,SUM(IFERROR(1*(MATCH(INDIRECT(Q24),INDIRECT(K24),0)&gt;0),0)*(INDIRECT(ster!$D$14)&lt;&gt;"")*NOT(ISNUMBER(INDIRECT(Q24)))),0),"")</f>
        <v>1</v>
      </c>
      <c r="T24" s="14">
        <f t="array" aca="1" ref="T24" ca="1">IF(H24,SUM((IFERROR(INDIRECT(Q24)="",FALSE))*(INDIRECT(ster!$D$14)&lt;&gt;"")),"")</f>
        <v>1</v>
      </c>
      <c r="U24" s="14">
        <f t="array" aca="1" ref="U24" ca="1">IF(H24,SUM((IFERROR(INDIRECT(Q24)="#ąś",TRUE))*(INDIRECT(ster!$D$14)&lt;&gt;"")),"")</f>
        <v>0</v>
      </c>
      <c r="V24" s="14">
        <f t="array" aca="1" ref="V24" ca="1">IF(H24,SUM(ISNUMBER(INDIRECT(Q24))*(INDIRECT(ster!$D$14)&lt;&gt;"")),"")</f>
        <v>7</v>
      </c>
      <c r="W24" s="14">
        <f t="array" aca="1" ref="W24" ca="1">IF(AND(H24,V24&gt;0),IF(wew!$B$3,MIN(IF((INDIRECT(ster!$D$14)&lt;&gt;"")*IFERROR(INDIRECT($Q24)&lt;&gt;"",FALSE),IFERROR(INDIRECT($Q24),"X"),"X")),"&lt;włącz podświetlanie wartości&gt;"),"—")</f>
        <v>1</v>
      </c>
      <c r="X24" s="14">
        <f t="array" aca="1" ref="X24" ca="1">IF(AND(H24,V24&gt;0),IF(wew!$B$3,MAX(IF((INDIRECT(ster!$D$14)&lt;&gt;"")*IFERROR(INDIRECT($Q24)&lt;&gt;"",FALSE),IFERROR(INDIRECT($Q24),"X"),"X")),"&lt;włącz podświetlanie wartości&gt;"),"—")</f>
        <v>2</v>
      </c>
      <c r="Y24" s="14">
        <f t="shared" ca="1" si="89"/>
        <v>0</v>
      </c>
      <c r="Z24" s="12">
        <f t="shared" ca="1" si="90"/>
        <v>0.875</v>
      </c>
      <c r="AA24" s="17">
        <f t="array" aca="1" ref="AA24" ca="1">IF(H24,IF(V24&gt;0,SUM((INDIRECT(ster!$D$14)&lt;&gt;"")*IFERROR((INDIRECT(Q24)&lt;&gt;"")*(INDIRECT(Q24)=INT(INDIRECT(Q24))),0)),0),"")</f>
        <v>7</v>
      </c>
      <c r="AB24" s="17">
        <f t="array" aca="1" ref="AB24" ca="1">IF(H24,V24-AA24,"")</f>
        <v>0</v>
      </c>
      <c r="AC24" s="17">
        <f t="shared" ca="1" si="91"/>
        <v>1</v>
      </c>
      <c r="AD24" s="17" t="b">
        <f t="shared" ca="1" si="92"/>
        <v>0</v>
      </c>
      <c r="AE24" s="17" t="str">
        <f ca="1">IF(AD24,IF($H24,ADDRESS(3,D24+2,4,,"["&amp;wew!$G$7&amp;"]"&amp;_sheetname_dataframe)&amp;":"&amp;ADDRESS(2+ster!$C$14,D24+2,4),""),"")</f>
        <v/>
      </c>
      <c r="AF24" s="17" t="str">
        <f t="shared" ca="1" si="93"/>
        <v/>
      </c>
      <c r="AG24" s="17" t="b">
        <f t="shared" ca="1" si="94"/>
        <v>0</v>
      </c>
      <c r="AH24" s="17" t="str">
        <f ca="1">IF(AG24,IF($H24,ADDRESS(3,D24+3,4,,"["&amp;wew!$G$7&amp;"]"&amp;_sheetname_dataframe)&amp;":"&amp;ADDRESS(2+ster!$C$14,D24+3,4),""),"")</f>
        <v/>
      </c>
      <c r="AI24" s="17" t="str">
        <f t="shared" ca="1" si="95"/>
        <v/>
      </c>
      <c r="AJ24" s="17" t="b">
        <f t="shared" ca="1" si="96"/>
        <v>0</v>
      </c>
      <c r="AK24" s="17" t="b">
        <f t="shared" ca="1" si="97"/>
        <v>0</v>
      </c>
      <c r="AL24" s="17" t="b">
        <f t="shared" ca="1" si="98"/>
        <v>1</v>
      </c>
      <c r="AM24" s="17">
        <f t="shared" ca="1" si="99"/>
        <v>0</v>
      </c>
      <c r="AN24" s="24" t="str">
        <f t="shared" ca="1" si="100"/>
        <v/>
      </c>
      <c r="AO24" s="24" t="str">
        <f t="shared" ca="1" si="101"/>
        <v/>
      </c>
      <c r="AP24" s="17" t="b">
        <f t="shared" ca="1" si="102"/>
        <v>0</v>
      </c>
      <c r="AQ24" s="17" t="b">
        <f t="shared" ca="1" si="103"/>
        <v>0</v>
      </c>
      <c r="AR24" s="17" t="b">
        <f t="shared" ca="1" si="104"/>
        <v>1</v>
      </c>
      <c r="AS24" s="17" t="b">
        <f t="shared" ca="1" si="105"/>
        <v>0</v>
      </c>
      <c r="AT24" s="17" t="b">
        <f t="shared" ca="1" si="106"/>
        <v>0</v>
      </c>
      <c r="AU24" s="17" t="b">
        <f t="shared" ca="1" si="107"/>
        <v>0</v>
      </c>
      <c r="AV24" s="17" t="b">
        <f t="shared" ca="1" si="108"/>
        <v>1</v>
      </c>
      <c r="AW24" s="14" t="b">
        <f t="array" aca="1" ref="AW24" ca="1">IF(H24,N24&gt;0,"")</f>
        <v>0</v>
      </c>
      <c r="AX24" s="17" t="str">
        <f t="shared" ca="1" si="20"/>
        <v/>
      </c>
      <c r="AY24" s="17" t="str">
        <f t="array" aca="1" ref="AY24" ca="1">IF(AX24&lt;&gt;"",SUM(1*ISERROR(MATCH(INDIRECT(AX24),INDIRECT(K24),0)))=0,"")</f>
        <v/>
      </c>
      <c r="AZ24" s="17" t="b">
        <f t="shared" ca="1" si="109"/>
        <v>1</v>
      </c>
      <c r="BA24" s="17" t="b">
        <f t="shared" ca="1" si="110"/>
        <v>0</v>
      </c>
      <c r="BB24" s="17" t="b">
        <f t="shared" ca="1" si="111"/>
        <v>0</v>
      </c>
      <c r="BC24" s="17" t="b">
        <f t="shared" ca="1" si="112"/>
        <v>0</v>
      </c>
      <c r="BD24" s="17" t="b">
        <f t="shared" ca="1" si="113"/>
        <v>1</v>
      </c>
      <c r="BE24" s="17" t="b">
        <f t="shared" ca="1" si="114"/>
        <v>0</v>
      </c>
      <c r="BF24" s="17" t="b">
        <f t="shared" ca="1" si="115"/>
        <v>0</v>
      </c>
      <c r="BG24" s="17" t="b">
        <f t="shared" ca="1" si="116"/>
        <v>1</v>
      </c>
      <c r="BH24" s="17">
        <f t="shared" ca="1" si="306"/>
        <v>4</v>
      </c>
      <c r="BI24" s="17" t="b">
        <f t="shared" ca="1" si="118"/>
        <v>1</v>
      </c>
      <c r="BJ24" s="17" t="str">
        <f t="shared" ca="1" si="119"/>
        <v/>
      </c>
      <c r="BK24" s="17" t="str">
        <f t="shared" ca="1" si="120"/>
        <v/>
      </c>
      <c r="BL24" s="17" t="str">
        <f t="shared" ca="1" si="121"/>
        <v>I</v>
      </c>
      <c r="BM24" s="17" t="str">
        <f t="shared" ca="1" si="122"/>
        <v>E</v>
      </c>
      <c r="BN24" s="17" t="str">
        <f t="shared" ca="1" si="123"/>
        <v>I</v>
      </c>
      <c r="BO24" s="14" t="b">
        <f t="shared" ca="1" si="124"/>
        <v>1</v>
      </c>
      <c r="BP24" s="15">
        <v>1</v>
      </c>
      <c r="BQ24" s="14">
        <v>1</v>
      </c>
      <c r="BV24" s="16"/>
      <c r="BW24" s="16"/>
      <c r="BX24" s="16"/>
      <c r="BY24" s="16"/>
      <c r="BZ24" s="16"/>
      <c r="CA24" s="16"/>
      <c r="CB24" s="16"/>
      <c r="CC24" s="16"/>
      <c r="CD24" s="16"/>
      <c r="CL24" s="14">
        <f ca="1">IF(H24,IFERROR(IsVariableNameLegal(O24),0),0)</f>
        <v>0</v>
      </c>
      <c r="CM24" s="14" t="str">
        <f t="array" aca="1" ref="CM24" ca="1">IF(H24,IF(COUNTIF(INDIRECT(wew!$C$13),O24)&gt;1,TRIM(SUBSTITUTE(_xll.MCONCAT(IF((INDIRECT(wew!$C$13)=O24)*(COLUMN(INDIRECT(wew!$C$13))&lt;&gt;D24+1),-1+COLUMN(INDIRECT(wew!$C$13)),"")," "),"  "," ")),""),"")</f>
        <v/>
      </c>
      <c r="CN24" s="14" t="str">
        <f t="array" aca="1" ref="CN24" ca="1">IF(P24&lt;&gt;"",IF(LEN(P24)&gt;150,1,""),"")</f>
        <v/>
      </c>
      <c r="CO24" s="14" t="str">
        <f t="array" aca="1" ref="CO24" ca="1">IF(AND(H24,NOT(ster!$J$3)),IF(COUNTIF(INDIRECT(wew!$C$15),P24)&gt;1,TRIM(SUBSTITUTE(_xll.MCONCAT(IF((INDIRECT(wew!$C$15)=P24)*(COLUMN(INDIRECT(wew!$C$15))&lt;&gt;D24+1),-1+COLUMN(INDIRECT(wew!$C$15)),"")," "),"  "," ")),""),"")</f>
        <v/>
      </c>
      <c r="CP24" s="14" t="str">
        <f t="array" aca="1" ref="CP24" ca="1">IF(H24,IF(AND(V24&gt;0,AN24&lt;&gt;""),TRIM(SUBSTITUTE(_xll.MCONCAT(IFERROR(IF(ISNUMBER(INDIRECT(Q24)),IF((INDIRECT(ster!$D$14)&lt;&gt;"")*(INDIRECT(Q24)&lt;AN24),INDIRECT(ster!$D$14) &amp; ": " &amp;  SUBSTITUTE(IF( AU24,IFERROR(TEXT(INDIRECT(Q24),"rrrr-mm-dd") &amp;" (" &amp; INDIRECT(Q24) &amp;")",INDIRECT(Q24)),INDIRECT(Q24))," "," "),""),""),"")," "),"  "," ")),""),"")</f>
        <v/>
      </c>
      <c r="CQ24" s="14" t="str">
        <f t="array" aca="1" ref="CQ24" ca="1">IF(H24,IF(AND(V24&gt;0,AO24&lt;&gt;""),TRIM(SUBSTITUTE(_xll.MCONCAT(IFERROR(IF(ISNUMBER(INDIRECT(Q24)),IF((INDIRECT(ster!$D$14)&lt;&gt;"")*(INDIRECT(Q24)&gt;AO24),INDIRECT(ster!$D$14) &amp; ": " &amp;  SUBSTITUTE(IF( AU24,IFERROR(TEXT(INDIRECT(Q24),"rrrr-mm-dd")&amp;" (" &amp; INDIRECT(Q24) &amp;")",INDIRECT(Q24)),INDIRECT(Q24))," "," "),""),""),"")," "),"  "," ")),""),"")</f>
        <v/>
      </c>
      <c r="CR24" s="14" t="str">
        <f t="array" aca="1" ref="CR24" ca="1">IF(H24,IF(AND(N24&gt;0,AQ24),TRIM(SUBSTITUTE(_xll.MCONCAT(IFERROR(IF(ISNUMBER(INDIRECT(Q24)),IF((INDIRECT(ster!$D$14)&lt;&gt;"")*(IFERROR(0*(MATCH(INDIRECT(Q24),INDIRECT(K24),0)&gt;0),1)),INDIRECT(ster!$D$14) &amp; ": " &amp;  SUBSTITUTE(IF( AU24,IFERROR(TEXT(INDIRECT(Q24),"rrrr-mm-dd")&amp;" (" &amp; INDIRECT(Q24) &amp;")",INDIRECT(Q24)),INDIRECT(Q24))," "," "),""),""),"")," "),"  "," ")),""),"")</f>
        <v/>
      </c>
      <c r="CS24" s="14" t="str">
        <f t="array" aca="1" ref="CS24" ca="1">IF(H24,IF(AND(U24&gt;0),TRIM(SUBSTITUTE(_xll.MCONCAT(IF((INDIRECT(ster!$D$14)&lt;&gt;"")*(IFERROR(0*(INDIRECT(Q24)&lt;&gt;""),1)),INDIRECT(ster!$D$14),"")," "),"  "," ")),""),"")</f>
        <v/>
      </c>
      <c r="CT24" s="14" t="str">
        <f t="array" aca="1" ref="CT24" ca="1">IF(H24,IF(AR24,
TRIM(SUBSTITUTE(_xll.MCONCAT(IF(
   (INDIRECT(ster!$D$14)&lt;&gt;"")*
   ((INDIRECT(Q24)="")+
      NOT(ISNUMBER(INDIRECT(Q24)))*
      NOT(ISERROR(MATCH(INDIRECT(Q24),INDIRECT(K24),0)))
    ),
      INDIRECT(ster!$D$14),
   "")," "),"  "," ")),
""),"")</f>
        <v>VIE1 LAB2</v>
      </c>
      <c r="CU24" s="14" t="str">
        <f t="array" aca="1" ref="CU24" ca="1">IF(H24,IF(AND(AP24),TRIM(SUBSTITUTE(_xll.MCONCAT(IFERROR(IF(ISNUMBER(INDIRECT(Q24)),IF((INDIRECT(ster!$D$14)&lt;&gt;"")*(INDIRECT(Q24)&lt;&gt;INT(INDIRECT(Q24))),INDIRECT(ster!$D$14) &amp; ": " &amp; INDIRECT(Q24),""),""),"")," "),"  "," ")),""),"")</f>
        <v/>
      </c>
      <c r="CV24" s="14" t="str">
        <f t="array" aca="1" ref="CV24" ca="1">IF(H24,IF(OR(AT24,AU24),TRIM(SUBSTITUTE(_xll.MCONCAT(IF((INDIRECT(ster!$D$14)&lt;&gt;"")*NOT(ISNUMBER(INDIRECT(Q24))),IF(ISERROR(MATCH(INDIRECT(Q24),INDIRECT(K24),0)),IFERROR(IF(INDIRECT(Q24)&lt;&gt;"",INDIRECT(ster!$D$14) &amp; ": " &amp; SUBSTITUTE(INDIRECT(Q24)," "," "),""),""),""),"")," "),"  "," ")),""),"")</f>
        <v/>
      </c>
      <c r="CW24" s="14" t="str">
        <f t="array" aca="1" ref="CW24" ca="1">IF(H24,IF(AD24,TRIM(SUBSTITUTE(_xll.MCONCAT(IF((INDIRECT(ster!$D$14)&lt;&gt;"")*IFERROR(NOT(INDIRECT(AE24)),FALSE),IF(ISERROR(MATCH(INDIRECT(Q24),INDIRECT(K24),0)),IFERROR(IF(INDIRECT(Q24)&lt;&gt;"",INDIRECT(ster!$D$14) &amp; ": " &amp;  SUBSTITUTE(IF( AU24,IFERROR(TEXT(INDIRECT(Q24),"rrrr-mm-dd")&amp;" (" &amp; INDIRECT(Q24) &amp;")",INDIRECT(Q24)),INDIRECT(Q24))," "," "),""),""),""),"")," "),"  "," ")),""),"")</f>
        <v/>
      </c>
      <c r="CX24" s="14" t="str">
        <f t="array" aca="1" ref="CX24" ca="1">IF(H24,IF(AG24,TRIM(SUBSTITUTE(_xll.MCONCAT(IF((INDIRECT(ster!$D$14)&lt;&gt;"")*IFERROR(NOT(INDIRECT(AH24)),FALSE),IF(ISERROR(MATCH(INDIRECT(Q24),INDIRECT(K24),0)),IFERROR(IF(INDIRECT(Q24)&lt;&gt;"",INDIRECT(ster!$D$14) &amp; ": " &amp;  SUBSTITUTE(IF( AU24,IFERROR(TEXT(INDIRECT(Q24),"rrrr-mm-dd")&amp;" (" &amp; INDIRECT(Q24) &amp;")",INDIRECT(Q24)),INDIRECT(Q24))," "," "),""),""),""),"")," "),"  "," ")),""),"")</f>
        <v/>
      </c>
      <c r="DA24" s="14" t="str">
        <f ca="1">SUBSTITUTE(SUBSTITUTE(SUBSTITUTE(SUBSTITUTE(_xll.MCONCAT(DE24:DQ24,"■"),"■■","■"),"■■","■"),"■■","■"),"■■","■")</f>
        <v>■The following records are missing in this required field: VIE1, LAB2■</v>
      </c>
      <c r="DB24" s="14" t="str">
        <f t="shared" ca="1" si="125"/>
        <v>The following records are missing in this required field: VIE1, LAB2■</v>
      </c>
      <c r="DC24" s="14" t="str">
        <f t="shared" ca="1" si="126"/>
        <v>The following records are missing in this required field: VIE1, LAB2</v>
      </c>
      <c r="DD24" s="14" t="str">
        <f t="shared" ca="1" si="127"/>
        <v>The following records are missing in this required field: VIE1, LAB2</v>
      </c>
      <c r="DE24" s="14" t="str">
        <f t="shared" ca="1" si="128"/>
        <v/>
      </c>
      <c r="DF24" s="14" t="str">
        <f t="shared" ca="1" si="129"/>
        <v/>
      </c>
      <c r="DG24" s="14" t="str">
        <f t="shared" ca="1" si="130"/>
        <v/>
      </c>
      <c r="DH24" s="14" t="str">
        <f t="shared" ca="1" si="131"/>
        <v/>
      </c>
      <c r="DI24" s="14" t="str">
        <f t="shared" ca="1" si="132"/>
        <v/>
      </c>
      <c r="DJ24" s="14" t="str">
        <f t="shared" ca="1" si="133"/>
        <v/>
      </c>
      <c r="DK24" s="14" t="str">
        <f t="shared" ca="1" si="134"/>
        <v/>
      </c>
      <c r="DL24" s="14" t="str">
        <f t="array" aca="1" ref="DL24" ca="1">IF(CS24&lt;&gt;"","There are errors in the entered values in the following cases: " &amp;SUBSTITUTE(CS24," ",", "),"")</f>
        <v/>
      </c>
      <c r="DM24" s="14" t="str">
        <f t="shared" ca="1" si="135"/>
        <v>The following records are missing in this required field: VIE1, LAB2</v>
      </c>
      <c r="DN24" s="14" t="str">
        <f t="shared" ca="1" si="136"/>
        <v/>
      </c>
      <c r="DO24" s="14" t="str">
        <f t="shared" ca="1" si="137"/>
        <v/>
      </c>
      <c r="DP24" s="14" t="str">
        <f t="shared" ca="1" si="138"/>
        <v/>
      </c>
      <c r="DQ24" s="14" t="str">
        <f t="shared" ca="1" si="139"/>
        <v/>
      </c>
      <c r="DX24" s="14" t="b">
        <f t="shared" ca="1" si="140"/>
        <v>0</v>
      </c>
      <c r="DY24" s="14" t="str">
        <f t="shared" ca="1" si="153"/>
        <v>Zmienna required (required1)</v>
      </c>
      <c r="DZ24" s="14" t="str">
        <f t="shared" ca="1" si="142"/>
        <v xml:space="preserve">Values must benon-missing. </v>
      </c>
      <c r="EA24" s="14" t="str">
        <f t="shared" ca="1" si="154"/>
        <v xml:space="preserve">Zmienna required (required1): Values must benon-missing. </v>
      </c>
      <c r="EB24" s="14" t="str">
        <f t="shared" ca="1" si="144"/>
        <v/>
      </c>
      <c r="EC24" s="14" t="str">
        <f t="shared" ca="1" si="145"/>
        <v>Values must benon-missing</v>
      </c>
      <c r="ED24" s="14" t="str">
        <f t="shared" ca="1" si="146"/>
        <v/>
      </c>
      <c r="EE24" s="14" t="str">
        <f t="shared" ca="1" si="147"/>
        <v/>
      </c>
      <c r="EK24" s="14" t="b">
        <f t="shared" ca="1" si="148"/>
        <v>1</v>
      </c>
      <c r="EL24" s="14">
        <f t="shared" ca="1" si="155"/>
        <v>20</v>
      </c>
      <c r="EM24" s="14" t="str">
        <f t="shared" ca="1" si="150"/>
        <v>required1</v>
      </c>
      <c r="EN24" s="14" t="str">
        <f t="shared" ca="1" si="151"/>
        <v xml:space="preserve">Zmienna required (required1): Values must benon-missing. </v>
      </c>
      <c r="EO24" s="14" t="str">
        <f t="shared" ca="1" si="152"/>
        <v>The following records are missing in this required field: VIE1, LAB2</v>
      </c>
    </row>
  </sheetData>
  <protectedRanges>
    <protectedRange sqref="BZ25:CD1030487" name="Grupy"/>
    <protectedRange sqref="E2:E24" name="TypZmiennej"/>
  </protectedRanges>
  <customSheetViews>
    <customSheetView guid="{B0700225-2463-44C9-9C4E-A79FCDA233AE}">
      <pane xSplit="5" topLeftCell="AI1" activePane="topRight" state="frozenSplit"/>
      <selection pane="topRight" activeCell="AS2" sqref="AS2"/>
      <pageMargins left="0.75" right="0.75" top="1" bottom="1" header="0.5" footer="0.5"/>
      <pageSetup orientation="portrait" horizontalDpi="4294967294" verticalDpi="1200" r:id="rId1"/>
      <headerFooter alignWithMargins="0"/>
    </customSheetView>
    <customSheetView guid="{E6351D91-D2AA-41F8-B6F1-38581D57FD08}" hiddenColumns="1">
      <pane xSplit="5" topLeftCell="F1" activePane="topRight" state="frozenSplit"/>
      <selection pane="topRight" activeCell="T3" sqref="T3"/>
      <pageMargins left="0.75" right="0.75" top="1" bottom="1" header="0.5" footer="0.5"/>
      <pageSetup orientation="portrait" horizontalDpi="4294967294" verticalDpi="1200" r:id="rId2"/>
      <headerFooter alignWithMargins="0"/>
    </customSheetView>
  </customSheetViews>
  <phoneticPr fontId="3" type="noConversion"/>
  <conditionalFormatting sqref="BR2:BR24">
    <cfRule type="expression" dxfId="26" priority="17">
      <formula>$H2</formula>
    </cfRule>
  </conditionalFormatting>
  <conditionalFormatting sqref="BS2:BS24">
    <cfRule type="expression" dxfId="25" priority="13">
      <formula>AND($H2,$N2=0)</formula>
    </cfRule>
  </conditionalFormatting>
  <conditionalFormatting sqref="C2:C24">
    <cfRule type="expression" dxfId="24" priority="2" stopIfTrue="1">
      <formula>OR($E2="P",$E2="O")</formula>
    </cfRule>
  </conditionalFormatting>
  <conditionalFormatting sqref="BU2:BU24">
    <cfRule type="expression" dxfId="23" priority="5">
      <formula>IF($H2,OR(BL2="F",BL2="L"),FALSE)</formula>
    </cfRule>
  </conditionalFormatting>
  <conditionalFormatting sqref="BQ2:BQ24">
    <cfRule type="expression" dxfId="22" priority="1">
      <formula>$H2</formula>
    </cfRule>
  </conditionalFormatting>
  <conditionalFormatting sqref="C2:BO24">
    <cfRule type="expression" dxfId="21" priority="347" stopIfTrue="1">
      <formula>$BL2=""</formula>
    </cfRule>
    <cfRule type="expression" dxfId="20" priority="348" stopIfTrue="1">
      <formula>IF($H2,$BN2="O",FALSE)</formula>
    </cfRule>
    <cfRule type="expression" dxfId="19" priority="349">
      <formula>$Y2&gt;0</formula>
    </cfRule>
    <cfRule type="expression" dxfId="18" priority="350" stopIfTrue="1">
      <formula>IF($H2,$BN2="I",FALSE)</formula>
    </cfRule>
    <cfRule type="expression" dxfId="17" priority="351" stopIfTrue="1">
      <formula>IF($H2,$BN2="",FALSE)</formula>
    </cfRule>
    <cfRule type="expression" dxfId="16" priority="352" stopIfTrue="1">
      <formula>IF($H2,$BN2="N",FALSE)</formula>
    </cfRule>
    <cfRule type="expression" dxfId="15" priority="353" stopIfTrue="1">
      <formula>IF($H2,$BN2="D",FALSE)</formula>
    </cfRule>
  </conditionalFormatting>
  <conditionalFormatting sqref="BZ2:CC24">
    <cfRule type="expression" dxfId="14" priority="361" stopIfTrue="1">
      <formula>IF($H2,AND($BL2&lt;&gt;"0",$BL2&lt;&gt;"E"))</formula>
    </cfRule>
  </conditionalFormatting>
  <conditionalFormatting sqref="BV2:BV24">
    <cfRule type="expression" dxfId="13" priority="362" stopIfTrue="1">
      <formula>IF($H2,$BN2="I")</formula>
    </cfRule>
  </conditionalFormatting>
  <conditionalFormatting sqref="BW2:BY24">
    <cfRule type="expression" dxfId="12" priority="363" stopIfTrue="1">
      <formula>IF($H2,OR($BL2="I",$BL2="L",$BL2="N",$BL2="D"))</formula>
    </cfRule>
  </conditionalFormatting>
  <conditionalFormatting sqref="BP2:BP24">
    <cfRule type="expression" dxfId="11" priority="364">
      <formula>IF($H2,NOT($AW2),TRUE)</formula>
    </cfRule>
    <cfRule type="expression" dxfId="10" priority="365" stopIfTrue="1">
      <formula>IF($H2,$AW2)</formula>
    </cfRule>
  </conditionalFormatting>
  <conditionalFormatting sqref="BT2:BT24">
    <cfRule type="expression" dxfId="9" priority="366">
      <formula>(H2)*OR(BL2="I")</formula>
    </cfRule>
    <cfRule type="expression" dxfId="8" priority="367">
      <formula>(H2)*OR(BL2="F",BL2="L")</formula>
    </cfRule>
  </conditionalFormatting>
  <conditionalFormatting sqref="BT2:BU24">
    <cfRule type="expression" dxfId="7" priority="369" stopIfTrue="1">
      <formula>IF($H2,AND($BT2&lt;&gt;0,$BU2&lt;&gt;0),FALSE)</formula>
    </cfRule>
  </conditionalFormatting>
  <dataValidations count="1">
    <dataValidation type="list" allowBlank="1" showInputMessage="1" showErrorMessage="1" sqref="BS2:BS24">
      <formula1>DataType</formula1>
    </dataValidation>
  </dataValidations>
  <pageMargins left="0.75" right="0.75" top="1" bottom="1" header="0.5" footer="0.5"/>
  <pageSetup orientation="portrait" horizontalDpi="4294967294" verticalDpi="1200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8"/>
  <dimension ref="A1:J203"/>
  <sheetViews>
    <sheetView topLeftCell="XEB1" workbookViewId="0">
      <selection activeCell="XFD4" sqref="XFD4"/>
    </sheetView>
  </sheetViews>
  <sheetFormatPr defaultRowHeight="12.75"/>
  <cols>
    <col min="1" max="1" width="9.140625" customWidth="1"/>
    <col min="3" max="3" width="24.42578125" style="18" customWidth="1"/>
    <col min="4" max="4" width="11.7109375" customWidth="1"/>
    <col min="5" max="5" width="45.42578125" customWidth="1"/>
  </cols>
  <sheetData>
    <row r="1" spans="1:10">
      <c r="A1" s="14" t="s">
        <v>334</v>
      </c>
      <c r="C1"/>
    </row>
    <row r="2" spans="1:10">
      <c r="C2"/>
    </row>
    <row r="3" spans="1:10">
      <c r="B3" t="s">
        <v>7</v>
      </c>
      <c r="C3" t="s">
        <v>8</v>
      </c>
      <c r="D3" t="s">
        <v>9</v>
      </c>
      <c r="E3" t="s">
        <v>10</v>
      </c>
      <c r="F3" t="s">
        <v>20</v>
      </c>
      <c r="G3" t="s">
        <v>11</v>
      </c>
      <c r="H3" t="s">
        <v>21</v>
      </c>
      <c r="I3" s="14" t="s">
        <v>32</v>
      </c>
      <c r="J3" s="14" t="s">
        <v>229</v>
      </c>
    </row>
    <row r="4" spans="1:10">
      <c r="B4">
        <v>1</v>
      </c>
      <c r="C4" s="4"/>
      <c r="D4" t="str">
        <f ca="1">IFERROR(IF($B4&lt;=ster!$C$16, INDEX(INDIRECT(NewZal!$S$57),$B4),""),"")</f>
        <v/>
      </c>
      <c r="E4" s="14" t="str">
        <f ca="1">IFERROR(IF($B4&lt;=ster!$C$16, INDEX(INDIRECT(NewZal!$S$56),$B4),"")," &lt;otwórz " &amp; wew!$B$7 &amp; "&gt;")</f>
        <v xml:space="preserve"> &lt;otwórz Hub2.xlsb&gt;</v>
      </c>
      <c r="F4" s="14">
        <f ca="1">IFERROR(IF($B4&lt;=ster!$C$16, INDEX(INDIRECT(NewZal!$S$55),$B4),""),COUNTIF(INDIRECT(wew!$K$7),B4))</f>
        <v>0</v>
      </c>
      <c r="G4" s="8"/>
      <c r="H4" s="8"/>
      <c r="I4" s="8"/>
    </row>
    <row r="5" spans="1:10">
      <c r="B5">
        <f>B4+1</f>
        <v>2</v>
      </c>
      <c r="C5" s="4"/>
      <c r="D5" s="14" t="str">
        <f ca="1">IFERROR(IF($B5&lt;=ster!$C$16, INDEX(INDIRECT(NewZal!$S$57),$B5),""),"")</f>
        <v/>
      </c>
      <c r="E5" s="14" t="str">
        <f ca="1">IFERROR(IF($B5&lt;=ster!$C$16, INDEX(INDIRECT(NewZal!$S$56),$B5),"")," &lt;otwórz " &amp; wew!$B$7 &amp; "&gt;")</f>
        <v xml:space="preserve"> &lt;otwórz Hub2.xlsb&gt;</v>
      </c>
      <c r="F5" s="14">
        <f ca="1">IFERROR(IF($B5&lt;=ster!$C$16, INDEX(INDIRECT(NewZal!$S$55),$B5),""),COUNTIF(INDIRECT(wew!$K$7),B5))</f>
        <v>0</v>
      </c>
      <c r="G5" s="8"/>
      <c r="H5" s="8"/>
      <c r="I5" s="8"/>
    </row>
    <row r="6" spans="1:10">
      <c r="B6">
        <f t="shared" ref="B6:B53" si="0">B5+1</f>
        <v>3</v>
      </c>
      <c r="C6" s="4"/>
      <c r="D6" s="14" t="str">
        <f ca="1">IFERROR(IF($B6&lt;=ster!$C$16, INDEX(INDIRECT(NewZal!$S$57),$B6),""),"")</f>
        <v/>
      </c>
      <c r="E6" s="14" t="str">
        <f ca="1">IFERROR(IF($B6&lt;=ster!$C$16, INDEX(INDIRECT(NewZal!$S$56),$B6),"")," &lt;otwórz " &amp; wew!$B$7 &amp; "&gt;")</f>
        <v xml:space="preserve"> &lt;otwórz Hub2.xlsb&gt;</v>
      </c>
      <c r="F6" s="14">
        <f ca="1">IFERROR(IF($B6&lt;=ster!$C$16, INDEX(INDIRECT(NewZal!$S$55),$B6),""),COUNTIF(INDIRECT(wew!$K$7),B6))</f>
        <v>0</v>
      </c>
      <c r="G6" s="8"/>
      <c r="H6" s="8"/>
      <c r="I6" s="8"/>
    </row>
    <row r="7" spans="1:10">
      <c r="B7">
        <f t="shared" si="0"/>
        <v>4</v>
      </c>
      <c r="C7" s="4"/>
      <c r="D7" s="14" t="str">
        <f ca="1">IFERROR(IF($B7&lt;=ster!$C$16, INDEX(INDIRECT(NewZal!$S$57),$B7),""),"")</f>
        <v/>
      </c>
      <c r="E7" s="14" t="str">
        <f ca="1">IFERROR(IF($B7&lt;=ster!$C$16, INDEX(INDIRECT(NewZal!$S$56),$B7),"")," &lt;otwórz " &amp; wew!$B$7 &amp; "&gt;")</f>
        <v xml:space="preserve"> &lt;otwórz Hub2.xlsb&gt;</v>
      </c>
      <c r="F7" s="14">
        <f ca="1">IFERROR(IF($B7&lt;=ster!$C$16, INDEX(INDIRECT(NewZal!$S$55),$B7),""),COUNTIF(INDIRECT(wew!$K$7),B7))</f>
        <v>0</v>
      </c>
      <c r="G7" s="8"/>
      <c r="H7" s="8"/>
      <c r="I7" s="8"/>
    </row>
    <row r="8" spans="1:10">
      <c r="B8">
        <f t="shared" si="0"/>
        <v>5</v>
      </c>
      <c r="C8" s="4"/>
      <c r="D8" s="14" t="str">
        <f ca="1">IFERROR(IF($B8&lt;=ster!$C$16, INDEX(INDIRECT(NewZal!$S$57),$B8),""),"")</f>
        <v/>
      </c>
      <c r="E8" s="14" t="str">
        <f ca="1">IFERROR(IF($B8&lt;=ster!$C$16, INDEX(INDIRECT(NewZal!$S$56),$B8),"")," &lt;otwórz " &amp; wew!$B$7 &amp; "&gt;")</f>
        <v xml:space="preserve"> &lt;otwórz Hub2.xlsb&gt;</v>
      </c>
      <c r="F8" s="14">
        <f ca="1">IFERROR(IF($B8&lt;=ster!$C$16, INDEX(INDIRECT(NewZal!$S$55),$B8),""),COUNTIF(INDIRECT(wew!$K$7),B8))</f>
        <v>0</v>
      </c>
      <c r="G8" s="8"/>
      <c r="H8" s="8"/>
      <c r="I8" s="8"/>
    </row>
    <row r="9" spans="1:10">
      <c r="B9">
        <f t="shared" si="0"/>
        <v>6</v>
      </c>
      <c r="C9" s="4"/>
      <c r="D9" s="14" t="str">
        <f ca="1">IFERROR(IF($B9&lt;=ster!$C$16, INDEX(INDIRECT(NewZal!$S$57),$B9),""),"")</f>
        <v/>
      </c>
      <c r="E9" s="14" t="str">
        <f ca="1">IFERROR(IF($B9&lt;=ster!$C$16, INDEX(INDIRECT(NewZal!$S$56),$B9),"")," &lt;otwórz " &amp; wew!$B$7 &amp; "&gt;")</f>
        <v xml:space="preserve"> &lt;otwórz Hub2.xlsb&gt;</v>
      </c>
      <c r="F9" s="14">
        <f ca="1">IFERROR(IF($B9&lt;=ster!$C$16, INDEX(INDIRECT(NewZal!$S$55),$B9),""),COUNTIF(INDIRECT(wew!$K$7),B9))</f>
        <v>0</v>
      </c>
      <c r="G9" s="8"/>
      <c r="H9" s="8"/>
      <c r="I9" s="8"/>
    </row>
    <row r="10" spans="1:10">
      <c r="B10">
        <f t="shared" si="0"/>
        <v>7</v>
      </c>
      <c r="C10" s="4"/>
      <c r="D10" s="14" t="str">
        <f ca="1">IFERROR(IF($B10&lt;=ster!$C$16, INDEX(INDIRECT(NewZal!$S$57),$B10),""),"")</f>
        <v/>
      </c>
      <c r="E10" s="14" t="str">
        <f ca="1">IFERROR(IF($B10&lt;=ster!$C$16, INDEX(INDIRECT(NewZal!$S$56),$B10),"")," &lt;otwórz " &amp; wew!$B$7 &amp; "&gt;")</f>
        <v xml:space="preserve"> &lt;otwórz Hub2.xlsb&gt;</v>
      </c>
      <c r="F10" s="14">
        <f ca="1">IFERROR(IF($B10&lt;=ster!$C$16, INDEX(INDIRECT(NewZal!$S$55),$B10),""),COUNTIF(INDIRECT(wew!$K$7),B10))</f>
        <v>0</v>
      </c>
      <c r="G10" s="8"/>
      <c r="H10" s="8"/>
      <c r="I10" s="8"/>
    </row>
    <row r="11" spans="1:10">
      <c r="B11">
        <f t="shared" si="0"/>
        <v>8</v>
      </c>
      <c r="C11" s="4"/>
      <c r="D11" s="14" t="str">
        <f ca="1">IFERROR(IF($B11&lt;=ster!$C$16, INDEX(INDIRECT(NewZal!$S$57),$B11),""),"")</f>
        <v/>
      </c>
      <c r="E11" s="14" t="str">
        <f ca="1">IFERROR(IF($B11&lt;=ster!$C$16, INDEX(INDIRECT(NewZal!$S$56),$B11),"")," &lt;otwórz " &amp; wew!$B$7 &amp; "&gt;")</f>
        <v xml:space="preserve"> &lt;otwórz Hub2.xlsb&gt;</v>
      </c>
      <c r="F11" s="14">
        <f ca="1">IFERROR(IF($B11&lt;=ster!$C$16, INDEX(INDIRECT(NewZal!$S$55),$B11),""),COUNTIF(INDIRECT(wew!$K$7),B11))</f>
        <v>0</v>
      </c>
      <c r="G11" s="8"/>
      <c r="H11" s="8"/>
      <c r="I11" s="8"/>
    </row>
    <row r="12" spans="1:10">
      <c r="B12">
        <f t="shared" si="0"/>
        <v>9</v>
      </c>
      <c r="C12" s="4"/>
      <c r="D12" s="14" t="str">
        <f ca="1">IFERROR(IF($B12&lt;=ster!$C$16, INDEX(INDIRECT(NewZal!$S$57),$B12),""),"")</f>
        <v/>
      </c>
      <c r="E12" s="14" t="str">
        <f ca="1">IFERROR(IF($B12&lt;=ster!$C$16, INDEX(INDIRECT(NewZal!$S$56),$B12),"")," &lt;otwórz " &amp; wew!$B$7 &amp; "&gt;")</f>
        <v xml:space="preserve"> &lt;otwórz Hub2.xlsb&gt;</v>
      </c>
      <c r="F12" s="14">
        <f ca="1">IFERROR(IF($B12&lt;=ster!$C$16, INDEX(INDIRECT(NewZal!$S$55),$B12),""),COUNTIF(INDIRECT(wew!$K$7),B12))</f>
        <v>0</v>
      </c>
      <c r="G12" s="8"/>
      <c r="H12" s="8"/>
      <c r="I12" s="8"/>
    </row>
    <row r="13" spans="1:10">
      <c r="B13">
        <f t="shared" si="0"/>
        <v>10</v>
      </c>
      <c r="C13" s="4"/>
      <c r="D13" s="14" t="str">
        <f ca="1">IFERROR(IF($B13&lt;=ster!$C$16, INDEX(INDIRECT(NewZal!$S$57),$B13),""),"")</f>
        <v/>
      </c>
      <c r="E13" s="14" t="str">
        <f ca="1">IFERROR(IF($B13&lt;=ster!$C$16, INDEX(INDIRECT(NewZal!$S$56),$B13),"")," &lt;otwórz " &amp; wew!$B$7 &amp; "&gt;")</f>
        <v xml:space="preserve"> &lt;otwórz Hub2.xlsb&gt;</v>
      </c>
      <c r="F13" s="14">
        <f ca="1">IFERROR(IF($B13&lt;=ster!$C$16, INDEX(INDIRECT(NewZal!$S$55),$B13),""),COUNTIF(INDIRECT(wew!$K$7),B13))</f>
        <v>0</v>
      </c>
      <c r="G13" s="8"/>
      <c r="H13" s="8"/>
      <c r="I13" s="8"/>
    </row>
    <row r="14" spans="1:10">
      <c r="B14">
        <f t="shared" si="0"/>
        <v>11</v>
      </c>
      <c r="C14" s="4"/>
      <c r="D14" s="14" t="str">
        <f ca="1">IFERROR(IF($B14&lt;=ster!$C$16, INDEX(INDIRECT(NewZal!$S$57),$B14),""),"")</f>
        <v/>
      </c>
      <c r="E14" s="14" t="str">
        <f ca="1">IFERROR(IF($B14&lt;=ster!$C$16, INDEX(INDIRECT(NewZal!$S$56),$B14),"")," &lt;otwórz " &amp; wew!$B$7 &amp; "&gt;")</f>
        <v xml:space="preserve"> &lt;otwórz Hub2.xlsb&gt;</v>
      </c>
      <c r="F14" s="14">
        <f ca="1">IFERROR(IF($B14&lt;=ster!$C$16, INDEX(INDIRECT(NewZal!$S$55),$B14),""),COUNTIF(INDIRECT(wew!$K$7),B14))</f>
        <v>0</v>
      </c>
      <c r="G14" s="8"/>
      <c r="H14" s="8"/>
      <c r="I14" s="8"/>
    </row>
    <row r="15" spans="1:10">
      <c r="B15">
        <f t="shared" si="0"/>
        <v>12</v>
      </c>
      <c r="C15" s="4"/>
      <c r="D15" s="14" t="str">
        <f ca="1">IFERROR(IF($B15&lt;=ster!$C$16, INDEX(INDIRECT(NewZal!$S$57),$B15),""),"")</f>
        <v/>
      </c>
      <c r="E15" s="14" t="str">
        <f ca="1">IFERROR(IF($B15&lt;=ster!$C$16, INDEX(INDIRECT(NewZal!$S$56),$B15),"")," &lt;otwórz " &amp; wew!$B$7 &amp; "&gt;")</f>
        <v xml:space="preserve"> &lt;otwórz Hub2.xlsb&gt;</v>
      </c>
      <c r="F15" s="14">
        <f ca="1">IFERROR(IF($B15&lt;=ster!$C$16, INDEX(INDIRECT(NewZal!$S$55),$B15),""),COUNTIF(INDIRECT(wew!$K$7),B15))</f>
        <v>0</v>
      </c>
      <c r="G15" s="8"/>
      <c r="H15" s="8"/>
      <c r="I15" s="8"/>
    </row>
    <row r="16" spans="1:10">
      <c r="B16">
        <f t="shared" si="0"/>
        <v>13</v>
      </c>
      <c r="C16" s="4"/>
      <c r="D16" s="14" t="str">
        <f ca="1">IFERROR(IF($B16&lt;=ster!$C$16, INDEX(INDIRECT(NewZal!$S$57),$B16),""),"")</f>
        <v/>
      </c>
      <c r="E16" s="14" t="str">
        <f ca="1">IFERROR(IF($B16&lt;=ster!$C$16, INDEX(INDIRECT(NewZal!$S$56),$B16),"")," &lt;otwórz " &amp; wew!$B$7 &amp; "&gt;")</f>
        <v xml:space="preserve"> &lt;otwórz Hub2.xlsb&gt;</v>
      </c>
      <c r="F16" s="14">
        <f ca="1">IFERROR(IF($B16&lt;=ster!$C$16, INDEX(INDIRECT(NewZal!$S$55),$B16),""),COUNTIF(INDIRECT(wew!$K$7),B16))</f>
        <v>0</v>
      </c>
      <c r="G16" s="8"/>
      <c r="H16" s="8"/>
      <c r="I16" s="8"/>
    </row>
    <row r="17" spans="2:9">
      <c r="B17">
        <f t="shared" si="0"/>
        <v>14</v>
      </c>
      <c r="C17" s="4"/>
      <c r="D17" s="14" t="str">
        <f ca="1">IFERROR(IF($B17&lt;=ster!$C$16, INDEX(INDIRECT(NewZal!$S$57),$B17),""),"")</f>
        <v/>
      </c>
      <c r="E17" s="14" t="str">
        <f ca="1">IFERROR(IF($B17&lt;=ster!$C$16, INDEX(INDIRECT(NewZal!$S$56),$B17),"")," &lt;otwórz " &amp; wew!$B$7 &amp; "&gt;")</f>
        <v xml:space="preserve"> &lt;otwórz Hub2.xlsb&gt;</v>
      </c>
      <c r="F17" s="14">
        <f ca="1">IFERROR(IF($B17&lt;=ster!$C$16, INDEX(INDIRECT(NewZal!$S$55),$B17),""),COUNTIF(INDIRECT(wew!$K$7),B17))</f>
        <v>0</v>
      </c>
      <c r="G17" s="8"/>
      <c r="H17" s="8"/>
      <c r="I17" s="8"/>
    </row>
    <row r="18" spans="2:9">
      <c r="B18">
        <f t="shared" si="0"/>
        <v>15</v>
      </c>
      <c r="C18" s="4"/>
      <c r="D18" s="14" t="str">
        <f ca="1">IFERROR(IF($B18&lt;=ster!$C$16, INDEX(INDIRECT(NewZal!$S$57),$B18),""),"")</f>
        <v/>
      </c>
      <c r="E18" s="14" t="str">
        <f ca="1">IFERROR(IF($B18&lt;=ster!$C$16, INDEX(INDIRECT(NewZal!$S$56),$B18),"")," &lt;otwórz " &amp; wew!$B$7 &amp; "&gt;")</f>
        <v xml:space="preserve"> &lt;otwórz Hub2.xlsb&gt;</v>
      </c>
      <c r="F18" s="14">
        <f ca="1">IFERROR(IF($B18&lt;=ster!$C$16, INDEX(INDIRECT(NewZal!$S$55),$B18),""),COUNTIF(INDIRECT(wew!$K$7),B18))</f>
        <v>0</v>
      </c>
      <c r="G18" s="8"/>
      <c r="H18" s="8"/>
      <c r="I18" s="8"/>
    </row>
    <row r="19" spans="2:9">
      <c r="B19">
        <f t="shared" si="0"/>
        <v>16</v>
      </c>
      <c r="C19" s="4"/>
      <c r="D19" s="14" t="str">
        <f ca="1">IFERROR(IF($B19&lt;=ster!$C$16, INDEX(INDIRECT(NewZal!$S$57),$B19),""),"")</f>
        <v/>
      </c>
      <c r="E19" s="14" t="str">
        <f ca="1">IFERROR(IF($B19&lt;=ster!$C$16, INDEX(INDIRECT(NewZal!$S$56),$B19),"")," &lt;otwórz " &amp; wew!$B$7 &amp; "&gt;")</f>
        <v xml:space="preserve"> &lt;otwórz Hub2.xlsb&gt;</v>
      </c>
      <c r="F19" s="14">
        <f ca="1">IFERROR(IF($B19&lt;=ster!$C$16, INDEX(INDIRECT(NewZal!$S$55),$B19),""),COUNTIF(INDIRECT(wew!$K$7),B19))</f>
        <v>0</v>
      </c>
      <c r="G19" s="8"/>
      <c r="H19" s="8"/>
      <c r="I19" s="8"/>
    </row>
    <row r="20" spans="2:9">
      <c r="B20">
        <f t="shared" si="0"/>
        <v>17</v>
      </c>
      <c r="C20" s="4"/>
      <c r="D20" s="14" t="str">
        <f ca="1">IFERROR(IF($B20&lt;=ster!$C$16, INDEX(INDIRECT(NewZal!$S$57),$B20),""),"")</f>
        <v/>
      </c>
      <c r="E20" s="14" t="str">
        <f ca="1">IFERROR(IF($B20&lt;=ster!$C$16, INDEX(INDIRECT(NewZal!$S$56),$B20),"")," &lt;otwórz " &amp; wew!$B$7 &amp; "&gt;")</f>
        <v xml:space="preserve"> &lt;otwórz Hub2.xlsb&gt;</v>
      </c>
      <c r="F20" s="14">
        <f ca="1">IFERROR(IF($B20&lt;=ster!$C$16, INDEX(INDIRECT(NewZal!$S$55),$B20),""),COUNTIF(INDIRECT(wew!$K$7),B20))</f>
        <v>0</v>
      </c>
      <c r="G20" s="8"/>
      <c r="H20" s="8"/>
      <c r="I20" s="8"/>
    </row>
    <row r="21" spans="2:9">
      <c r="B21">
        <f t="shared" si="0"/>
        <v>18</v>
      </c>
      <c r="C21" s="4"/>
      <c r="D21" s="14" t="str">
        <f ca="1">IFERROR(IF($B21&lt;=ster!$C$16, INDEX(INDIRECT(NewZal!$S$57),$B21),""),"")</f>
        <v/>
      </c>
      <c r="E21" s="14" t="str">
        <f ca="1">IFERROR(IF($B21&lt;=ster!$C$16, INDEX(INDIRECT(NewZal!$S$56),$B21),"")," &lt;otwórz " &amp; wew!$B$7 &amp; "&gt;")</f>
        <v xml:space="preserve"> &lt;otwórz Hub2.xlsb&gt;</v>
      </c>
      <c r="F21" s="14">
        <f ca="1">IFERROR(IF($B21&lt;=ster!$C$16, INDEX(INDIRECT(NewZal!$S$55),$B21),""),COUNTIF(INDIRECT(wew!$K$7),B21))</f>
        <v>0</v>
      </c>
      <c r="G21" s="8"/>
      <c r="H21" s="8"/>
      <c r="I21" s="8"/>
    </row>
    <row r="22" spans="2:9">
      <c r="B22">
        <f t="shared" si="0"/>
        <v>19</v>
      </c>
      <c r="C22" s="4"/>
      <c r="D22" s="14" t="str">
        <f ca="1">IFERROR(IF($B22&lt;=ster!$C$16, INDEX(INDIRECT(NewZal!$S$57),$B22),""),"")</f>
        <v/>
      </c>
      <c r="E22" s="14" t="str">
        <f ca="1">IFERROR(IF($B22&lt;=ster!$C$16, INDEX(INDIRECT(NewZal!$S$56),$B22),"")," &lt;otwórz " &amp; wew!$B$7 &amp; "&gt;")</f>
        <v xml:space="preserve"> &lt;otwórz Hub2.xlsb&gt;</v>
      </c>
      <c r="F22" s="14">
        <f ca="1">IFERROR(IF($B22&lt;=ster!$C$16, INDEX(INDIRECT(NewZal!$S$55),$B22),""),COUNTIF(INDIRECT(wew!$K$7),B22))</f>
        <v>0</v>
      </c>
      <c r="G22" s="8"/>
      <c r="H22" s="8"/>
      <c r="I22" s="8"/>
    </row>
    <row r="23" spans="2:9">
      <c r="B23">
        <f t="shared" si="0"/>
        <v>20</v>
      </c>
      <c r="C23" s="4"/>
      <c r="D23" s="14" t="str">
        <f ca="1">IFERROR(IF($B23&lt;=ster!$C$16, INDEX(INDIRECT(NewZal!$S$57),$B23),""),"")</f>
        <v/>
      </c>
      <c r="E23" s="14" t="str">
        <f ca="1">IFERROR(IF($B23&lt;=ster!$C$16, INDEX(INDIRECT(NewZal!$S$56),$B23),"")," &lt;otwórz " &amp; wew!$B$7 &amp; "&gt;")</f>
        <v xml:space="preserve"> &lt;otwórz Hub2.xlsb&gt;</v>
      </c>
      <c r="F23" s="14">
        <f ca="1">IFERROR(IF($B23&lt;=ster!$C$16, INDEX(INDIRECT(NewZal!$S$55),$B23),""),COUNTIF(INDIRECT(wew!$K$7),B23))</f>
        <v>0</v>
      </c>
      <c r="G23" s="8"/>
      <c r="H23" s="8"/>
      <c r="I23" s="8"/>
    </row>
    <row r="24" spans="2:9">
      <c r="B24">
        <f t="shared" si="0"/>
        <v>21</v>
      </c>
      <c r="C24" s="4"/>
      <c r="D24" s="14" t="str">
        <f ca="1">IFERROR(IF($B24&lt;=ster!$C$16, INDEX(INDIRECT(NewZal!$S$57),$B24),""),"")</f>
        <v/>
      </c>
      <c r="E24" s="14" t="str">
        <f ca="1">IFERROR(IF($B24&lt;=ster!$C$16, INDEX(INDIRECT(NewZal!$S$56),$B24),"")," &lt;otwórz " &amp; wew!$B$7 &amp; "&gt;")</f>
        <v/>
      </c>
      <c r="F24" s="14" t="str">
        <f ca="1">IFERROR(IF($B24&lt;=ster!$C$16, INDEX(INDIRECT(NewZal!$S$55),$B24),""),COUNTIF(INDIRECT(wew!$K$7),B24))</f>
        <v/>
      </c>
      <c r="G24" s="8"/>
      <c r="H24" s="8"/>
      <c r="I24" s="8"/>
    </row>
    <row r="25" spans="2:9">
      <c r="B25">
        <f t="shared" si="0"/>
        <v>22</v>
      </c>
      <c r="C25" s="4"/>
      <c r="D25" s="14" t="str">
        <f ca="1">IFERROR(IF($B25&lt;=ster!$C$16, INDEX(INDIRECT(NewZal!$S$57),$B25),""),"")</f>
        <v/>
      </c>
      <c r="E25" s="14" t="str">
        <f ca="1">IFERROR(IF($B25&lt;=ster!$C$16, INDEX(INDIRECT(NewZal!$S$56),$B25),"")," &lt;otwórz " &amp; wew!$B$7 &amp; "&gt;")</f>
        <v/>
      </c>
      <c r="F25" s="14" t="str">
        <f ca="1">IFERROR(IF($B25&lt;=ster!$C$16, INDEX(INDIRECT(NewZal!$S$55),$B25),""),COUNTIF(INDIRECT(wew!$K$7),B25))</f>
        <v/>
      </c>
      <c r="G25" s="8"/>
      <c r="H25" s="8"/>
      <c r="I25" s="8"/>
    </row>
    <row r="26" spans="2:9">
      <c r="B26">
        <f t="shared" si="0"/>
        <v>23</v>
      </c>
      <c r="C26" s="4"/>
      <c r="D26" s="14" t="str">
        <f ca="1">IFERROR(IF($B26&lt;=ster!$C$16, INDEX(INDIRECT(NewZal!$S$57),$B26),""),"")</f>
        <v/>
      </c>
      <c r="E26" s="14" t="str">
        <f ca="1">IFERROR(IF($B26&lt;=ster!$C$16, INDEX(INDIRECT(NewZal!$S$56),$B26),"")," &lt;otwórz " &amp; wew!$B$7 &amp; "&gt;")</f>
        <v/>
      </c>
      <c r="F26" s="14" t="str">
        <f ca="1">IFERROR(IF($B26&lt;=ster!$C$16, INDEX(INDIRECT(NewZal!$S$55),$B26),""),COUNTIF(INDIRECT(wew!$K$7),B26))</f>
        <v/>
      </c>
      <c r="G26" s="8"/>
      <c r="H26" s="8"/>
      <c r="I26" s="8"/>
    </row>
    <row r="27" spans="2:9">
      <c r="B27">
        <f t="shared" si="0"/>
        <v>24</v>
      </c>
      <c r="C27" s="4"/>
      <c r="D27" s="14" t="str">
        <f ca="1">IFERROR(IF($B27&lt;=ster!$C$16, INDEX(INDIRECT(NewZal!$S$57),$B27),""),"")</f>
        <v/>
      </c>
      <c r="E27" s="14" t="str">
        <f ca="1">IFERROR(IF($B27&lt;=ster!$C$16, INDEX(INDIRECT(NewZal!$S$56),$B27),"")," &lt;otwórz " &amp; wew!$B$7 &amp; "&gt;")</f>
        <v/>
      </c>
      <c r="F27" s="14" t="str">
        <f ca="1">IFERROR(IF($B27&lt;=ster!$C$16, INDEX(INDIRECT(NewZal!$S$55),$B27),""),COUNTIF(INDIRECT(wew!$K$7),B27))</f>
        <v/>
      </c>
      <c r="G27" s="8"/>
      <c r="H27" s="8"/>
      <c r="I27" s="8"/>
    </row>
    <row r="28" spans="2:9">
      <c r="B28">
        <f t="shared" si="0"/>
        <v>25</v>
      </c>
      <c r="C28" s="4"/>
      <c r="D28" s="14" t="str">
        <f ca="1">IFERROR(IF($B28&lt;=ster!$C$16, INDEX(INDIRECT(NewZal!$S$57),$B28),""),"")</f>
        <v/>
      </c>
      <c r="E28" s="14" t="str">
        <f ca="1">IFERROR(IF($B28&lt;=ster!$C$16, INDEX(INDIRECT(NewZal!$S$56),$B28),"")," &lt;otwórz " &amp; wew!$B$7 &amp; "&gt;")</f>
        <v/>
      </c>
      <c r="F28" s="14" t="str">
        <f ca="1">IFERROR(IF($B28&lt;=ster!$C$16, INDEX(INDIRECT(NewZal!$S$55),$B28),""),COUNTIF(INDIRECT(wew!$K$7),B28))</f>
        <v/>
      </c>
      <c r="G28" s="8"/>
      <c r="H28" s="8"/>
      <c r="I28" s="8"/>
    </row>
    <row r="29" spans="2:9">
      <c r="B29">
        <f t="shared" si="0"/>
        <v>26</v>
      </c>
      <c r="C29" s="8"/>
      <c r="D29" s="14" t="str">
        <f ca="1">IFERROR(IF($B29&lt;=ster!$C$16, INDEX(INDIRECT(NewZal!$S$57),$B29),""),"")</f>
        <v/>
      </c>
      <c r="E29" s="14" t="str">
        <f ca="1">IFERROR(IF($B29&lt;=ster!$C$16, INDEX(INDIRECT(NewZal!$S$56),$B29),"")," &lt;otwórz " &amp; wew!$B$7 &amp; "&gt;")</f>
        <v/>
      </c>
      <c r="F29" s="14" t="str">
        <f ca="1">IFERROR(IF($B29&lt;=ster!$C$16, INDEX(INDIRECT(NewZal!$S$55),$B29),""),COUNTIF(INDIRECT(wew!$K$7),B29))</f>
        <v/>
      </c>
      <c r="G29" s="8"/>
      <c r="H29" s="8"/>
      <c r="I29" s="8"/>
    </row>
    <row r="30" spans="2:9">
      <c r="B30">
        <f t="shared" si="0"/>
        <v>27</v>
      </c>
      <c r="C30" s="8"/>
      <c r="D30" s="14" t="str">
        <f ca="1">IFERROR(IF($B30&lt;=ster!$C$16, INDEX(INDIRECT(NewZal!$S$57),$B30),""),"")</f>
        <v/>
      </c>
      <c r="E30" s="14" t="str">
        <f ca="1">IFERROR(IF($B30&lt;=ster!$C$16, INDEX(INDIRECT(NewZal!$S$56),$B30),"")," &lt;otwórz " &amp; wew!$B$7 &amp; "&gt;")</f>
        <v/>
      </c>
      <c r="F30" s="14" t="str">
        <f ca="1">IFERROR(IF($B30&lt;=ster!$C$16, INDEX(INDIRECT(NewZal!$S$55),$B30),""),COUNTIF(INDIRECT(wew!$K$7),B30))</f>
        <v/>
      </c>
      <c r="G30" s="8"/>
      <c r="H30" s="8"/>
      <c r="I30" s="8"/>
    </row>
    <row r="31" spans="2:9">
      <c r="B31">
        <f t="shared" si="0"/>
        <v>28</v>
      </c>
      <c r="C31" s="8"/>
      <c r="D31" s="14" t="str">
        <f ca="1">IFERROR(IF($B31&lt;=ster!$C$16, INDEX(INDIRECT(NewZal!$S$57),$B31),""),"")</f>
        <v/>
      </c>
      <c r="E31" s="14" t="str">
        <f ca="1">IFERROR(IF($B31&lt;=ster!$C$16, INDEX(INDIRECT(NewZal!$S$56),$B31),"")," &lt;otwórz " &amp; wew!$B$7 &amp; "&gt;")</f>
        <v/>
      </c>
      <c r="F31" s="14" t="str">
        <f ca="1">IFERROR(IF($B31&lt;=ster!$C$16, INDEX(INDIRECT(NewZal!$S$55),$B31),""),COUNTIF(INDIRECT(wew!$K$7),B31))</f>
        <v/>
      </c>
      <c r="G31" s="8"/>
      <c r="H31" s="8"/>
      <c r="I31" s="8"/>
    </row>
    <row r="32" spans="2:9">
      <c r="B32">
        <f t="shared" si="0"/>
        <v>29</v>
      </c>
      <c r="C32" s="8"/>
      <c r="D32" s="14" t="str">
        <f ca="1">IFERROR(IF($B32&lt;=ster!$C$16, INDEX(INDIRECT(NewZal!$S$57),$B32),""),"")</f>
        <v/>
      </c>
      <c r="E32" s="14" t="str">
        <f ca="1">IFERROR(IF($B32&lt;=ster!$C$16, INDEX(INDIRECT(NewZal!$S$56),$B32),"")," &lt;otwórz " &amp; wew!$B$7 &amp; "&gt;")</f>
        <v/>
      </c>
      <c r="F32" s="14" t="str">
        <f ca="1">IFERROR(IF($B32&lt;=ster!$C$16, INDEX(INDIRECT(NewZal!$S$55),$B32),""),COUNTIF(INDIRECT(wew!$K$7),B32))</f>
        <v/>
      </c>
      <c r="G32" s="8"/>
      <c r="H32" s="8"/>
      <c r="I32" s="8"/>
    </row>
    <row r="33" spans="2:9">
      <c r="B33">
        <f t="shared" si="0"/>
        <v>30</v>
      </c>
      <c r="C33" s="8"/>
      <c r="D33" s="14" t="str">
        <f ca="1">IFERROR(IF($B33&lt;=ster!$C$16, INDEX(INDIRECT(NewZal!$S$57),$B33),""),"")</f>
        <v/>
      </c>
      <c r="E33" s="14" t="str">
        <f ca="1">IFERROR(IF($B33&lt;=ster!$C$16, INDEX(INDIRECT(NewZal!$S$56),$B33),"")," &lt;otwórz " &amp; wew!$B$7 &amp; "&gt;")</f>
        <v/>
      </c>
      <c r="F33" s="14" t="str">
        <f ca="1">IFERROR(IF($B33&lt;=ster!$C$16, INDEX(INDIRECT(NewZal!$S$55),$B33),""),COUNTIF(INDIRECT(wew!$K$7),B33))</f>
        <v/>
      </c>
      <c r="G33" s="8"/>
      <c r="H33" s="8"/>
      <c r="I33" s="8"/>
    </row>
    <row r="34" spans="2:9">
      <c r="B34">
        <f t="shared" si="0"/>
        <v>31</v>
      </c>
      <c r="C34" s="8"/>
      <c r="D34" s="14" t="str">
        <f ca="1">IFERROR(IF($B34&lt;=ster!$C$16, INDEX(INDIRECT(NewZal!$S$57),$B34),""),"")</f>
        <v/>
      </c>
      <c r="E34" s="14" t="str">
        <f ca="1">IFERROR(IF($B34&lt;=ster!$C$16, INDEX(INDIRECT(NewZal!$S$56),$B34),"")," &lt;otwórz " &amp; wew!$B$7 &amp; "&gt;")</f>
        <v/>
      </c>
      <c r="F34" s="14" t="str">
        <f ca="1">IFERROR(IF($B34&lt;=ster!$C$16, INDEX(INDIRECT(NewZal!$S$55),$B34),""),COUNTIF(INDIRECT(wew!$K$7),B34))</f>
        <v/>
      </c>
      <c r="G34" s="8"/>
      <c r="H34" s="8"/>
      <c r="I34" s="8"/>
    </row>
    <row r="35" spans="2:9">
      <c r="B35">
        <f t="shared" si="0"/>
        <v>32</v>
      </c>
      <c r="C35" s="8"/>
      <c r="D35" s="14" t="str">
        <f ca="1">IFERROR(IF($B35&lt;=ster!$C$16, INDEX(INDIRECT(NewZal!$S$57),$B35),""),"")</f>
        <v/>
      </c>
      <c r="E35" s="14" t="str">
        <f ca="1">IFERROR(IF($B35&lt;=ster!$C$16, INDEX(INDIRECT(NewZal!$S$56),$B35),"")," &lt;otwórz " &amp; wew!$B$7 &amp; "&gt;")</f>
        <v/>
      </c>
      <c r="F35" s="14" t="str">
        <f ca="1">IFERROR(IF($B35&lt;=ster!$C$16, INDEX(INDIRECT(NewZal!$S$55),$B35),""),COUNTIF(INDIRECT(wew!$K$7),B35))</f>
        <v/>
      </c>
      <c r="G35" s="8"/>
      <c r="H35" s="8"/>
      <c r="I35" s="8"/>
    </row>
    <row r="36" spans="2:9">
      <c r="B36">
        <f t="shared" si="0"/>
        <v>33</v>
      </c>
      <c r="C36" s="8"/>
      <c r="D36" s="14" t="str">
        <f ca="1">IFERROR(IF($B36&lt;=ster!$C$16, INDEX(INDIRECT(NewZal!$S$57),$B36),""),"")</f>
        <v/>
      </c>
      <c r="E36" s="14" t="str">
        <f ca="1">IFERROR(IF($B36&lt;=ster!$C$16, INDEX(INDIRECT(NewZal!$S$56),$B36),"")," &lt;otwórz " &amp; wew!$B$7 &amp; "&gt;")</f>
        <v/>
      </c>
      <c r="F36" s="14" t="str">
        <f ca="1">IFERROR(IF($B36&lt;=ster!$C$16, INDEX(INDIRECT(NewZal!$S$55),$B36),""),COUNTIF(INDIRECT(wew!$K$7),B36))</f>
        <v/>
      </c>
      <c r="G36" s="8"/>
      <c r="H36" s="8"/>
      <c r="I36" s="8"/>
    </row>
    <row r="37" spans="2:9">
      <c r="B37">
        <f t="shared" si="0"/>
        <v>34</v>
      </c>
      <c r="C37" s="8"/>
      <c r="D37" s="14" t="str">
        <f ca="1">IFERROR(IF($B37&lt;=ster!$C$16, INDEX(INDIRECT(NewZal!$S$57),$B37),""),"")</f>
        <v/>
      </c>
      <c r="E37" s="14" t="str">
        <f ca="1">IFERROR(IF($B37&lt;=ster!$C$16, INDEX(INDIRECT(NewZal!$S$56),$B37),"")," &lt;otwórz " &amp; wew!$B$7 &amp; "&gt;")</f>
        <v/>
      </c>
      <c r="F37" s="14" t="str">
        <f ca="1">IFERROR(IF($B37&lt;=ster!$C$16, INDEX(INDIRECT(NewZal!$S$55),$B37),""),COUNTIF(INDIRECT(wew!$K$7),B37))</f>
        <v/>
      </c>
      <c r="G37" s="8"/>
      <c r="H37" s="8"/>
      <c r="I37" s="8"/>
    </row>
    <row r="38" spans="2:9">
      <c r="B38">
        <f t="shared" si="0"/>
        <v>35</v>
      </c>
      <c r="C38" s="8"/>
      <c r="D38" s="14" t="str">
        <f ca="1">IFERROR(IF($B38&lt;=ster!$C$16, INDEX(INDIRECT(NewZal!$S$57),$B38),""),"")</f>
        <v/>
      </c>
      <c r="E38" s="14" t="str">
        <f ca="1">IFERROR(IF($B38&lt;=ster!$C$16, INDEX(INDIRECT(NewZal!$S$56),$B38),"")," &lt;otwórz " &amp; wew!$B$7 &amp; "&gt;")</f>
        <v/>
      </c>
      <c r="F38" s="14" t="str">
        <f ca="1">IFERROR(IF($B38&lt;=ster!$C$16, INDEX(INDIRECT(NewZal!$S$55),$B38),""),COUNTIF(INDIRECT(wew!$K$7),B38))</f>
        <v/>
      </c>
      <c r="G38" s="8"/>
      <c r="H38" s="8"/>
      <c r="I38" s="8"/>
    </row>
    <row r="39" spans="2:9">
      <c r="B39">
        <f t="shared" si="0"/>
        <v>36</v>
      </c>
      <c r="C39" s="8"/>
      <c r="D39" s="14" t="str">
        <f ca="1">IFERROR(IF($B39&lt;=ster!$C$16, INDEX(INDIRECT(NewZal!$S$57),$B39),""),"")</f>
        <v/>
      </c>
      <c r="E39" s="14" t="str">
        <f ca="1">IFERROR(IF($B39&lt;=ster!$C$16, INDEX(INDIRECT(NewZal!$S$56),$B39),"")," &lt;otwórz " &amp; wew!$B$7 &amp; "&gt;")</f>
        <v/>
      </c>
      <c r="F39" s="14" t="str">
        <f ca="1">IFERROR(IF($B39&lt;=ster!$C$16, INDEX(INDIRECT(NewZal!$S$55),$B39),""),COUNTIF(INDIRECT(wew!$K$7),B39))</f>
        <v/>
      </c>
      <c r="G39" s="8"/>
      <c r="H39" s="8"/>
      <c r="I39" s="8"/>
    </row>
    <row r="40" spans="2:9">
      <c r="B40">
        <f t="shared" si="0"/>
        <v>37</v>
      </c>
      <c r="C40" s="8"/>
      <c r="D40" s="14" t="str">
        <f ca="1">IFERROR(IF($B40&lt;=ster!$C$16, INDEX(INDIRECT(NewZal!$S$57),$B40),""),"")</f>
        <v/>
      </c>
      <c r="E40" s="14" t="str">
        <f ca="1">IFERROR(IF($B40&lt;=ster!$C$16, INDEX(INDIRECT(NewZal!$S$56),$B40),"")," &lt;otwórz " &amp; wew!$B$7 &amp; "&gt;")</f>
        <v/>
      </c>
      <c r="F40" s="14" t="str">
        <f ca="1">IFERROR(IF($B40&lt;=ster!$C$16, INDEX(INDIRECT(NewZal!$S$55),$B40),""),COUNTIF(INDIRECT(wew!$K$7),B40))</f>
        <v/>
      </c>
      <c r="G40" s="8"/>
      <c r="H40" s="8"/>
      <c r="I40" s="8"/>
    </row>
    <row r="41" spans="2:9">
      <c r="B41">
        <f t="shared" si="0"/>
        <v>38</v>
      </c>
      <c r="C41" s="8"/>
      <c r="D41" s="14" t="str">
        <f ca="1">IFERROR(IF($B41&lt;=ster!$C$16, INDEX(INDIRECT(NewZal!$S$57),$B41),""),"")</f>
        <v/>
      </c>
      <c r="E41" s="14" t="str">
        <f ca="1">IFERROR(IF($B41&lt;=ster!$C$16, INDEX(INDIRECT(NewZal!$S$56),$B41),"")," &lt;otwórz " &amp; wew!$B$7 &amp; "&gt;")</f>
        <v/>
      </c>
      <c r="F41" s="14" t="str">
        <f ca="1">IFERROR(IF($B41&lt;=ster!$C$16, INDEX(INDIRECT(NewZal!$S$55),$B41),""),COUNTIF(INDIRECT(wew!$K$7),B41))</f>
        <v/>
      </c>
      <c r="G41" s="8"/>
      <c r="H41" s="8"/>
      <c r="I41" s="8"/>
    </row>
    <row r="42" spans="2:9">
      <c r="B42">
        <f t="shared" si="0"/>
        <v>39</v>
      </c>
      <c r="C42" s="8"/>
      <c r="D42" s="14" t="str">
        <f ca="1">IFERROR(IF($B42&lt;=ster!$C$16, INDEX(INDIRECT(NewZal!$S$57),$B42),""),"")</f>
        <v/>
      </c>
      <c r="E42" s="14" t="str">
        <f ca="1">IFERROR(IF($B42&lt;=ster!$C$16, INDEX(INDIRECT(NewZal!$S$56),$B42),"")," &lt;otwórz " &amp; wew!$B$7 &amp; "&gt;")</f>
        <v/>
      </c>
      <c r="F42" s="14" t="str">
        <f ca="1">IFERROR(IF($B42&lt;=ster!$C$16, INDEX(INDIRECT(NewZal!$S$55),$B42),""),COUNTIF(INDIRECT(wew!$K$7),B42))</f>
        <v/>
      </c>
      <c r="G42" s="8"/>
      <c r="H42" s="8"/>
      <c r="I42" s="8"/>
    </row>
    <row r="43" spans="2:9">
      <c r="B43">
        <f t="shared" si="0"/>
        <v>40</v>
      </c>
      <c r="C43" s="8"/>
      <c r="D43" s="14" t="str">
        <f ca="1">IFERROR(IF($B43&lt;=ster!$C$16, INDEX(INDIRECT(NewZal!$S$57),$B43),""),"")</f>
        <v/>
      </c>
      <c r="E43" s="14" t="str">
        <f ca="1">IFERROR(IF($B43&lt;=ster!$C$16, INDEX(INDIRECT(NewZal!$S$56),$B43),"")," &lt;otwórz " &amp; wew!$B$7 &amp; "&gt;")</f>
        <v/>
      </c>
      <c r="F43" s="14" t="str">
        <f ca="1">IFERROR(IF($B43&lt;=ster!$C$16, INDEX(INDIRECT(NewZal!$S$55),$B43),""),COUNTIF(INDIRECT(wew!$K$7),B43))</f>
        <v/>
      </c>
      <c r="G43" s="8"/>
      <c r="H43" s="8"/>
      <c r="I43" s="8"/>
    </row>
    <row r="44" spans="2:9">
      <c r="B44">
        <f t="shared" si="0"/>
        <v>41</v>
      </c>
      <c r="C44" s="8"/>
      <c r="D44" s="14" t="str">
        <f ca="1">IFERROR(IF($B44&lt;=ster!$C$16, INDEX(INDIRECT(NewZal!$S$57),$B44),""),"")</f>
        <v/>
      </c>
      <c r="E44" s="14" t="str">
        <f ca="1">IFERROR(IF($B44&lt;=ster!$C$16, INDEX(INDIRECT(NewZal!$S$56),$B44),"")," &lt;otwórz " &amp; wew!$B$7 &amp; "&gt;")</f>
        <v/>
      </c>
      <c r="F44" s="14" t="str">
        <f ca="1">IFERROR(IF($B44&lt;=ster!$C$16, INDEX(INDIRECT(NewZal!$S$55),$B44),""),COUNTIF(INDIRECT(wew!$K$7),B44))</f>
        <v/>
      </c>
      <c r="G44" s="8"/>
      <c r="H44" s="8"/>
      <c r="I44" s="8"/>
    </row>
    <row r="45" spans="2:9">
      <c r="B45">
        <f t="shared" si="0"/>
        <v>42</v>
      </c>
      <c r="C45" s="8"/>
      <c r="D45" s="14" t="str">
        <f ca="1">IFERROR(IF($B45&lt;=ster!$C$16, INDEX(INDIRECT(NewZal!$S$57),$B45),""),"")</f>
        <v/>
      </c>
      <c r="E45" s="14" t="str">
        <f ca="1">IFERROR(IF($B45&lt;=ster!$C$16, INDEX(INDIRECT(NewZal!$S$56),$B45),"")," &lt;otwórz " &amp; wew!$B$7 &amp; "&gt;")</f>
        <v/>
      </c>
      <c r="F45" s="14" t="str">
        <f ca="1">IFERROR(IF($B45&lt;=ster!$C$16, INDEX(INDIRECT(NewZal!$S$55),$B45),""),COUNTIF(INDIRECT(wew!$K$7),B45))</f>
        <v/>
      </c>
      <c r="G45" s="8"/>
      <c r="H45" s="8"/>
      <c r="I45" s="8"/>
    </row>
    <row r="46" spans="2:9">
      <c r="B46">
        <f t="shared" si="0"/>
        <v>43</v>
      </c>
      <c r="C46" s="8"/>
      <c r="D46" s="14" t="str">
        <f ca="1">IFERROR(IF($B46&lt;=ster!$C$16, INDEX(INDIRECT(NewZal!$S$57),$B46),""),"")</f>
        <v/>
      </c>
      <c r="E46" s="14" t="str">
        <f ca="1">IFERROR(IF($B46&lt;=ster!$C$16, INDEX(INDIRECT(NewZal!$S$56),$B46),"")," &lt;otwórz " &amp; wew!$B$7 &amp; "&gt;")</f>
        <v/>
      </c>
      <c r="F46" s="14" t="str">
        <f ca="1">IFERROR(IF($B46&lt;=ster!$C$16, INDEX(INDIRECT(NewZal!$S$55),$B46),""),COUNTIF(INDIRECT(wew!$K$7),B46))</f>
        <v/>
      </c>
      <c r="G46" s="8"/>
      <c r="H46" s="8"/>
      <c r="I46" s="8"/>
    </row>
    <row r="47" spans="2:9">
      <c r="B47">
        <f t="shared" si="0"/>
        <v>44</v>
      </c>
      <c r="C47" s="8"/>
      <c r="D47" s="14" t="str">
        <f ca="1">IFERROR(IF($B47&lt;=ster!$C$16, INDEX(INDIRECT(NewZal!$S$57),$B47),""),"")</f>
        <v/>
      </c>
      <c r="E47" s="14" t="str">
        <f ca="1">IFERROR(IF($B47&lt;=ster!$C$16, INDEX(INDIRECT(NewZal!$S$56),$B47),"")," &lt;otwórz " &amp; wew!$B$7 &amp; "&gt;")</f>
        <v/>
      </c>
      <c r="F47" s="14" t="str">
        <f ca="1">IFERROR(IF($B47&lt;=ster!$C$16, INDEX(INDIRECT(NewZal!$S$55),$B47),""),COUNTIF(INDIRECT(wew!$K$7),B47))</f>
        <v/>
      </c>
      <c r="G47" s="8"/>
      <c r="H47" s="8"/>
      <c r="I47" s="8"/>
    </row>
    <row r="48" spans="2:9">
      <c r="B48">
        <f t="shared" si="0"/>
        <v>45</v>
      </c>
      <c r="C48" s="8"/>
      <c r="D48" s="14" t="str">
        <f ca="1">IFERROR(IF($B48&lt;=ster!$C$16, INDEX(INDIRECT(NewZal!$S$57),$B48),""),"")</f>
        <v/>
      </c>
      <c r="E48" s="14" t="str">
        <f ca="1">IFERROR(IF($B48&lt;=ster!$C$16, INDEX(INDIRECT(NewZal!$S$56),$B48),"")," &lt;otwórz " &amp; wew!$B$7 &amp; "&gt;")</f>
        <v/>
      </c>
      <c r="F48" s="14" t="str">
        <f ca="1">IFERROR(IF($B48&lt;=ster!$C$16, INDEX(INDIRECT(NewZal!$S$55),$B48),""),COUNTIF(INDIRECT(wew!$K$7),B48))</f>
        <v/>
      </c>
      <c r="G48" s="8"/>
      <c r="H48" s="8"/>
      <c r="I48" s="8"/>
    </row>
    <row r="49" spans="2:9">
      <c r="B49">
        <f t="shared" si="0"/>
        <v>46</v>
      </c>
      <c r="C49" s="8"/>
      <c r="D49" s="14" t="str">
        <f ca="1">IFERROR(IF($B49&lt;=ster!$C$16, INDEX(INDIRECT(NewZal!$S$57),$B49),""),"")</f>
        <v/>
      </c>
      <c r="E49" s="14" t="str">
        <f ca="1">IFERROR(IF($B49&lt;=ster!$C$16, INDEX(INDIRECT(NewZal!$S$56),$B49),"")," &lt;otwórz " &amp; wew!$B$7 &amp; "&gt;")</f>
        <v/>
      </c>
      <c r="F49" s="14" t="str">
        <f ca="1">IFERROR(IF($B49&lt;=ster!$C$16, INDEX(INDIRECT(NewZal!$S$55),$B49),""),COUNTIF(INDIRECT(wew!$K$7),B49))</f>
        <v/>
      </c>
      <c r="G49" s="8"/>
      <c r="H49" s="8"/>
      <c r="I49" s="8"/>
    </row>
    <row r="50" spans="2:9">
      <c r="B50">
        <f t="shared" si="0"/>
        <v>47</v>
      </c>
      <c r="C50" s="8"/>
      <c r="D50" s="14" t="str">
        <f ca="1">IFERROR(IF($B50&lt;=ster!$C$16, INDEX(INDIRECT(NewZal!$S$57),$B50),""),"")</f>
        <v/>
      </c>
      <c r="E50" s="14" t="str">
        <f ca="1">IFERROR(IF($B50&lt;=ster!$C$16, INDEX(INDIRECT(NewZal!$S$56),$B50),"")," &lt;otwórz " &amp; wew!$B$7 &amp; "&gt;")</f>
        <v/>
      </c>
      <c r="F50" s="14" t="str">
        <f ca="1">IFERROR(IF($B50&lt;=ster!$C$16, INDEX(INDIRECT(NewZal!$S$55),$B50),""),COUNTIF(INDIRECT(wew!$K$7),B50))</f>
        <v/>
      </c>
      <c r="G50" s="8"/>
      <c r="H50" s="8"/>
      <c r="I50" s="8"/>
    </row>
    <row r="51" spans="2:9">
      <c r="B51">
        <f t="shared" si="0"/>
        <v>48</v>
      </c>
      <c r="C51" s="8"/>
      <c r="D51" s="14" t="str">
        <f ca="1">IFERROR(IF($B51&lt;=ster!$C$16, INDEX(INDIRECT(NewZal!$S$57),$B51),""),"")</f>
        <v/>
      </c>
      <c r="E51" s="14" t="str">
        <f ca="1">IFERROR(IF($B51&lt;=ster!$C$16, INDEX(INDIRECT(NewZal!$S$56),$B51),"")," &lt;otwórz " &amp; wew!$B$7 &amp; "&gt;")</f>
        <v/>
      </c>
      <c r="F51" s="14" t="str">
        <f ca="1">IFERROR(IF($B51&lt;=ster!$C$16, INDEX(INDIRECT(NewZal!$S$55),$B51),""),COUNTIF(INDIRECT(wew!$K$7),B51))</f>
        <v/>
      </c>
      <c r="G51" s="8"/>
      <c r="H51" s="8"/>
      <c r="I51" s="8"/>
    </row>
    <row r="52" spans="2:9">
      <c r="B52">
        <f t="shared" si="0"/>
        <v>49</v>
      </c>
      <c r="C52" s="8"/>
      <c r="D52" s="14" t="str">
        <f ca="1">IFERROR(IF($B52&lt;=ster!$C$16, INDEX(INDIRECT(NewZal!$S$57),$B52),""),"")</f>
        <v/>
      </c>
      <c r="E52" s="14" t="str">
        <f ca="1">IFERROR(IF($B52&lt;=ster!$C$16, INDEX(INDIRECT(NewZal!$S$56),$B52),"")," &lt;otwórz " &amp; wew!$B$7 &amp; "&gt;")</f>
        <v/>
      </c>
      <c r="F52" s="14" t="str">
        <f ca="1">IFERROR(IF($B52&lt;=ster!$C$16, INDEX(INDIRECT(NewZal!$S$55),$B52),""),COUNTIF(INDIRECT(wew!$K$7),B52))</f>
        <v/>
      </c>
      <c r="G52" s="8"/>
      <c r="H52" s="8"/>
      <c r="I52" s="8"/>
    </row>
    <row r="53" spans="2:9">
      <c r="B53">
        <f t="shared" si="0"/>
        <v>50</v>
      </c>
      <c r="C53" s="8"/>
      <c r="D53" s="14" t="str">
        <f ca="1">IFERROR(IF($B53&lt;=ster!$C$16, INDEX(INDIRECT(NewZal!$S$57),$B53),""),"")</f>
        <v/>
      </c>
      <c r="E53" s="14" t="str">
        <f ca="1">IFERROR(IF($B53&lt;=ster!$C$16, INDEX(INDIRECT(NewZal!$S$56),$B53),"")," &lt;otwórz " &amp; wew!$B$7 &amp; "&gt;")</f>
        <v/>
      </c>
      <c r="F53" s="14" t="str">
        <f ca="1">IFERROR(IF($B53&lt;=ster!$C$16, INDEX(INDIRECT(NewZal!$S$55),$B53),""),COUNTIF(INDIRECT(wew!$K$7),B53))</f>
        <v/>
      </c>
      <c r="G53" s="8"/>
      <c r="H53" s="8"/>
      <c r="I53" s="8"/>
    </row>
    <row r="54" spans="2:9">
      <c r="C54" s="4"/>
      <c r="G54" s="8"/>
      <c r="H54" s="8"/>
    </row>
    <row r="55" spans="2:9">
      <c r="C55" s="4"/>
      <c r="G55" s="8"/>
      <c r="H55" s="8"/>
    </row>
    <row r="56" spans="2:9">
      <c r="C56" s="4"/>
      <c r="G56" s="8"/>
      <c r="H56" s="8"/>
    </row>
    <row r="57" spans="2:9">
      <c r="C57" s="4"/>
      <c r="G57" s="8"/>
      <c r="H57" s="8"/>
    </row>
    <row r="58" spans="2:9">
      <c r="C58" s="4"/>
      <c r="G58" s="8"/>
      <c r="H58" s="8"/>
    </row>
    <row r="59" spans="2:9">
      <c r="C59" s="4"/>
      <c r="G59" s="8"/>
      <c r="H59" s="8"/>
    </row>
    <row r="60" spans="2:9">
      <c r="C60" s="4"/>
      <c r="G60" s="8"/>
      <c r="H60" s="8"/>
    </row>
    <row r="61" spans="2:9">
      <c r="C61" s="4"/>
      <c r="G61" s="8"/>
      <c r="H61" s="8"/>
    </row>
    <row r="62" spans="2:9">
      <c r="C62" s="4"/>
      <c r="G62" s="8"/>
      <c r="H62" s="8"/>
    </row>
    <row r="63" spans="2:9">
      <c r="C63" s="4"/>
      <c r="G63" s="8"/>
      <c r="H63" s="8"/>
    </row>
    <row r="64" spans="2:9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</sheetData>
  <protectedRanges>
    <protectedRange sqref="G4:J53" name="ParGrup"/>
    <protectedRange sqref="C4:C53" name="NazwyGrup"/>
  </protectedRanges>
  <customSheetViews>
    <customSheetView guid="{B0700225-2463-44C9-9C4E-A79FCDA233AE}"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E5" sqref="E5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C55:C203">
    <cfRule type="expression" dxfId="6" priority="2" stopIfTrue="1">
      <formula>$D55&gt;0</formula>
    </cfRule>
  </conditionalFormatting>
  <conditionalFormatting sqref="C54">
    <cfRule type="expression" dxfId="5" priority="3" stopIfTrue="1">
      <formula>$F54&gt;0</formula>
    </cfRule>
  </conditionalFormatting>
  <conditionalFormatting sqref="C29:C53">
    <cfRule type="expression" dxfId="4" priority="4" stopIfTrue="1">
      <formula>$F29&lt;&gt;""</formula>
    </cfRule>
  </conditionalFormatting>
  <conditionalFormatting sqref="G4:H63 I4:J53">
    <cfRule type="expression" dxfId="3" priority="6" stopIfTrue="1">
      <formula>($F4&gt;0) * ($F4&lt;&gt;"")</formula>
    </cfRule>
  </conditionalFormatting>
  <conditionalFormatting sqref="C4:C54">
    <cfRule type="expression" dxfId="2" priority="1" stopIfTrue="1">
      <formula>$E4&lt;&gt;""</formula>
    </cfRule>
    <cfRule type="expression" dxfId="1" priority="5" stopIfTrue="1">
      <formula>TRUE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R28"/>
  <sheetViews>
    <sheetView workbookViewId="0">
      <selection activeCell="C12" sqref="C12"/>
    </sheetView>
  </sheetViews>
  <sheetFormatPr defaultRowHeight="12.75"/>
  <cols>
    <col min="1" max="1" width="9.28515625" bestFit="1" customWidth="1"/>
    <col min="6" max="6" width="9.7109375" bestFit="1" customWidth="1"/>
    <col min="10" max="10" width="9.28515625" bestFit="1" customWidth="1"/>
    <col min="11" max="11" width="9.7109375" bestFit="1" customWidth="1"/>
    <col min="12" max="12" width="8.85546875" customWidth="1"/>
    <col min="13" max="13" width="12.28515625" customWidth="1"/>
    <col min="14" max="14" width="24" customWidth="1"/>
    <col min="15" max="15" width="16" customWidth="1"/>
  </cols>
  <sheetData>
    <row r="1" spans="1:18">
      <c r="A1" t="s">
        <v>2</v>
      </c>
      <c r="B1" t="s">
        <v>3</v>
      </c>
    </row>
    <row r="2" spans="1:18">
      <c r="B2" s="15" t="s">
        <v>219</v>
      </c>
      <c r="C2" s="14" t="s">
        <v>268</v>
      </c>
      <c r="D2" s="15" t="s">
        <v>224</v>
      </c>
      <c r="J2" s="15" t="s">
        <v>394</v>
      </c>
    </row>
    <row r="3" spans="1:18">
      <c r="B3" s="7" t="s">
        <v>337</v>
      </c>
      <c r="C3" s="9" t="str">
        <f>"baza danych do pracy " &amp; B3</f>
        <v>baza danych do pracy Mamede</v>
      </c>
      <c r="D3" s="9" t="s">
        <v>340</v>
      </c>
      <c r="J3" s="33" t="b">
        <v>1</v>
      </c>
      <c r="L3" s="15"/>
    </row>
    <row r="4" spans="1:18">
      <c r="B4" s="15" t="s">
        <v>135</v>
      </c>
      <c r="C4" s="15" t="s">
        <v>136</v>
      </c>
      <c r="L4" s="15"/>
    </row>
    <row r="5" spans="1:18">
      <c r="B5" s="6" t="s">
        <v>336</v>
      </c>
      <c r="C5" s="6" t="s">
        <v>336</v>
      </c>
      <c r="E5" s="1"/>
    </row>
    <row r="11" spans="1:18">
      <c r="B11" s="2" t="s">
        <v>4</v>
      </c>
      <c r="C11" t="s">
        <v>14</v>
      </c>
    </row>
    <row r="12" spans="1:18">
      <c r="B12">
        <f>COUNTA(data_frame!2:2)</f>
        <v>22</v>
      </c>
      <c r="C12">
        <f t="array" ref="C12">MAX(IF(data_frame!2:2&lt;&gt;"",COLUMN(data_frame!2:2),""))</f>
        <v>23</v>
      </c>
      <c r="M12" s="15"/>
    </row>
    <row r="13" spans="1:18">
      <c r="B13" t="s">
        <v>15</v>
      </c>
      <c r="C13" t="s">
        <v>16</v>
      </c>
      <c r="D13" s="15" t="s">
        <v>349</v>
      </c>
    </row>
    <row r="14" spans="1:18">
      <c r="B14">
        <f ca="1">COUNTA(INDIRECT(_sheetname_dataframe &amp; "!A:A"))-2</f>
        <v>9</v>
      </c>
      <c r="C14">
        <f t="array" aca="1" ref="C14" ca="1">MAX(IF(INDIRECT(wew!R9 &amp; "!A:A")&lt;&gt;"",ROW(  INDIRECT(wew!R9 &amp; "!A:A")),""))-2</f>
        <v>10</v>
      </c>
      <c r="D14" t="str">
        <f ca="1">ADDRESS(3,1,4,,_sheetname_dataframe) &amp; ":" &amp; ADDRESS(CaseCnt+2,1,4)</f>
        <v>data_frame!A3:A12</v>
      </c>
    </row>
    <row r="15" spans="1:18">
      <c r="B15" t="s">
        <v>17</v>
      </c>
      <c r="C15" t="s">
        <v>25</v>
      </c>
    </row>
    <row r="16" spans="1:18">
      <c r="B16">
        <f ca="1">COUNTA(INDIRECT("grupy!$F$4:$F$1003"))</f>
        <v>50</v>
      </c>
      <c r="C16">
        <f ca="1">IFERROR(D16,0)</f>
        <v>20</v>
      </c>
      <c r="D16">
        <f ca="1">MAX(INDIRECT(wew!R7 &amp; "!AI2:iv"&amp;1+C12))</f>
        <v>20</v>
      </c>
      <c r="L16" s="10"/>
      <c r="M16" s="10"/>
      <c r="N16" s="10"/>
      <c r="O16" s="10"/>
      <c r="P16" s="10"/>
      <c r="Q16" s="15"/>
      <c r="R16" s="15"/>
    </row>
    <row r="19" spans="2:15">
      <c r="B19" t="s">
        <v>26</v>
      </c>
      <c r="I19" s="15" t="s">
        <v>132</v>
      </c>
    </row>
    <row r="20" spans="2:15">
      <c r="B20" s="5">
        <v>34</v>
      </c>
      <c r="I20" s="15" t="s">
        <v>133</v>
      </c>
    </row>
    <row r="21" spans="2:15">
      <c r="I21" s="15" t="s">
        <v>134</v>
      </c>
      <c r="O21" t="s">
        <v>12</v>
      </c>
    </row>
    <row r="22" spans="2:15">
      <c r="I22" s="9" t="b">
        <v>1</v>
      </c>
      <c r="O22" s="26" t="str">
        <f>C3 &amp; ".sav"</f>
        <v>baza danych do pracy Mamede.sav</v>
      </c>
    </row>
    <row r="23" spans="2:15">
      <c r="O23" s="14" t="s">
        <v>35</v>
      </c>
    </row>
    <row r="24" spans="2:15">
      <c r="O24" s="25" t="str">
        <f>C3 &amp; ".rds"</f>
        <v>baza danych do pracy Mamede.rds</v>
      </c>
    </row>
    <row r="25" spans="2:15">
      <c r="O25" s="14" t="s">
        <v>285</v>
      </c>
    </row>
    <row r="26" spans="2:15">
      <c r="O26" s="30" t="s">
        <v>283</v>
      </c>
    </row>
    <row r="27" spans="2:15">
      <c r="O27" s="14" t="s">
        <v>284</v>
      </c>
    </row>
    <row r="28" spans="2:15">
      <c r="O28" s="30">
        <v>6311</v>
      </c>
    </row>
  </sheetData>
  <protectedRanges>
    <protectedRange sqref="B3 B5:C5" name="Katalogi"/>
  </protectedRanges>
  <customSheetViews>
    <customSheetView guid="{B0700225-2463-44C9-9C4E-A79FCDA233AE}">
      <selection activeCell="C3" sqref="C3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G9" sqref="G9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E5">
    <cfRule type="expression" dxfId="0" priority="10" stopIfTrue="1">
      <formula>#REF!=2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1"/>
  <dimension ref="A1:R43"/>
  <sheetViews>
    <sheetView topLeftCell="A3" workbookViewId="0">
      <selection activeCell="A4" sqref="A4"/>
    </sheetView>
  </sheetViews>
  <sheetFormatPr defaultRowHeight="12.75"/>
  <cols>
    <col min="1" max="1" width="11.42578125" customWidth="1"/>
    <col min="2" max="2" width="10.140625" customWidth="1"/>
    <col min="3" max="4" width="9.85546875" bestFit="1" customWidth="1"/>
    <col min="7" max="7" width="9.28515625" bestFit="1" customWidth="1"/>
    <col min="10" max="10" width="9.28515625" bestFit="1" customWidth="1"/>
  </cols>
  <sheetData>
    <row r="1" spans="1:18">
      <c r="A1" t="str">
        <f ca="1">IFERROR(_xll.SHEETNAME(),"wew")</f>
        <v>wew</v>
      </c>
    </row>
    <row r="2" spans="1:18">
      <c r="A2" t="s">
        <v>22</v>
      </c>
      <c r="B2" s="15" t="s">
        <v>126</v>
      </c>
      <c r="C2" s="15" t="s">
        <v>131</v>
      </c>
    </row>
    <row r="3" spans="1:18">
      <c r="A3" s="5">
        <v>4</v>
      </c>
      <c r="B3" s="16" t="b">
        <v>1</v>
      </c>
      <c r="C3" s="14"/>
    </row>
    <row r="5" spans="1:18">
      <c r="C5" s="14"/>
    </row>
    <row r="6" spans="1:18">
      <c r="B6" s="15" t="s">
        <v>204</v>
      </c>
      <c r="C6" s="14" t="s">
        <v>413</v>
      </c>
      <c r="G6" s="15" t="s">
        <v>27</v>
      </c>
      <c r="K6" s="14" t="s">
        <v>313</v>
      </c>
      <c r="N6" s="15"/>
      <c r="O6" s="15"/>
      <c r="P6" s="15"/>
      <c r="Q6" s="15" t="s">
        <v>319</v>
      </c>
      <c r="R6" s="14" t="s">
        <v>320</v>
      </c>
    </row>
    <row r="7" spans="1:18">
      <c r="B7" s="16" t="s">
        <v>205</v>
      </c>
      <c r="C7" s="16" t="str">
        <f ca="1">ADDRESS(ROW(Measure),COLUMN(Measure),4,,$G$15) &amp;":"&amp; ADDRESS(ROW(Measure)+VariableCount-1,COLUMN(Measure),4)</f>
        <v>'[dane surowe2d.xlsm]variables'!BN2:BN24</v>
      </c>
      <c r="G7" t="str">
        <f ca="1">NewZal!H2</f>
        <v>dane surowe2d.xlsm</v>
      </c>
      <c r="J7">
        <v>6</v>
      </c>
      <c r="K7" s="14" t="str">
        <f>ADDRESS(ROW(VariableGroupsColumn)+1,COLUMN(VariableGroupsColumn),4,,_sheetname_var) &amp; ":" &amp; ADDRESS(ROW(VariableGroupsColumn)+VariableCount,COLUMN(VariableGroupsColumn)+J7,4)</f>
        <v>variables!BZ2:CF24</v>
      </c>
      <c r="O7" s="15" t="s">
        <v>387</v>
      </c>
      <c r="Q7" t="s">
        <v>281</v>
      </c>
      <c r="R7" s="16" t="s">
        <v>288</v>
      </c>
    </row>
    <row r="8" spans="1:18">
      <c r="C8" s="15" t="s">
        <v>30</v>
      </c>
      <c r="G8" s="15" t="s">
        <v>137</v>
      </c>
      <c r="J8">
        <v>0</v>
      </c>
      <c r="K8" t="str">
        <f t="shared" ref="K8:K15" si="0">ADDRESS(ROW(VariableGroupsColumn)+1,COLUMN(VariableGroupsColumn)+J8,4,,_sheetname_var) &amp; ":" &amp; ADDRESS(ROW(VariableGroupsColumn)+VariableCount,COLUMN(VariableGroupsColumn)+J8,4)</f>
        <v>variables!BZ2:BZ24</v>
      </c>
      <c r="O8" s="15" t="s">
        <v>388</v>
      </c>
      <c r="Q8" t="s">
        <v>122</v>
      </c>
      <c r="R8" s="16" t="s">
        <v>286</v>
      </c>
    </row>
    <row r="9" spans="1:18">
      <c r="B9" s="15"/>
      <c r="C9" s="16" t="str">
        <f ca="1">ADDRESS(ROW(MinStatistics),COLUMN(MinStatistics),4,,$G$15) &amp;":"&amp; ADDRESS(ROW(MinStatistics)+VariableCount-1,COLUMN(MinStatistics),4)</f>
        <v>'[dane surowe2d.xlsm]variables'!W2:W24</v>
      </c>
      <c r="G9" t="str">
        <f ca="1">IF(ISERROR(FIND(".xlsm",G7)),"???",MID(G7,1,LEN(G7)-5))</f>
        <v>dane surowe2d</v>
      </c>
      <c r="J9">
        <f>J8+1</f>
        <v>1</v>
      </c>
      <c r="K9" s="14" t="str">
        <f t="shared" si="0"/>
        <v>variables!CA2:CA24</v>
      </c>
      <c r="O9" s="15" t="s">
        <v>389</v>
      </c>
      <c r="Q9" t="s">
        <v>123</v>
      </c>
      <c r="R9" s="16" t="s">
        <v>287</v>
      </c>
    </row>
    <row r="10" spans="1:18">
      <c r="C10" s="15" t="s">
        <v>31</v>
      </c>
      <c r="G10" t="s">
        <v>18</v>
      </c>
      <c r="J10" s="14">
        <f t="shared" ref="J10:J15" si="1">J9+1</f>
        <v>2</v>
      </c>
      <c r="K10" s="14" t="str">
        <f t="shared" si="0"/>
        <v>variables!CB2:CB24</v>
      </c>
    </row>
    <row r="11" spans="1:18">
      <c r="C11" s="16" t="str">
        <f ca="1">ADDRESS(ROW(MaxStatistics),COLUMN(MaxStatistics),4,,$G$15) &amp;":"&amp; ADDRESS(ROW(MaxStatistics)+VariableCount-1,COLUMN(MaxStatistics),4)</f>
        <v>'[dane surowe2d.xlsm]variables'!X2:X24</v>
      </c>
      <c r="G11">
        <f ca="1">COUNTA(INDIRECT("zmienne!am1:IV1"))</f>
        <v>1</v>
      </c>
      <c r="J11" s="14">
        <f t="shared" si="1"/>
        <v>3</v>
      </c>
      <c r="K11" s="14" t="str">
        <f t="shared" si="0"/>
        <v>variables!CC2:CC24</v>
      </c>
    </row>
    <row r="12" spans="1:18">
      <c r="C12" s="15" t="s">
        <v>161</v>
      </c>
      <c r="G12" s="14" t="s">
        <v>314</v>
      </c>
      <c r="J12" s="14">
        <f t="shared" si="1"/>
        <v>4</v>
      </c>
      <c r="K12" s="14" t="str">
        <f t="shared" si="0"/>
        <v>variables!CD2:CD24</v>
      </c>
    </row>
    <row r="13" spans="1:18">
      <c r="C13" s="14" t="str">
        <f ca="1">NewZal!$T$14</f>
        <v>'[dane surowe2d.xlsm]variables'!$G$2:$G$24</v>
      </c>
      <c r="G13" s="14" t="s">
        <v>315</v>
      </c>
      <c r="J13" s="14">
        <f t="shared" si="1"/>
        <v>5</v>
      </c>
      <c r="K13" s="14" t="str">
        <f t="shared" si="0"/>
        <v>variables!CE2:CE24</v>
      </c>
    </row>
    <row r="14" spans="1:18">
      <c r="C14" s="15" t="s">
        <v>19</v>
      </c>
      <c r="J14" s="14">
        <f t="shared" si="1"/>
        <v>6</v>
      </c>
      <c r="K14" s="14" t="str">
        <f t="shared" si="0"/>
        <v>variables!CF2:CF24</v>
      </c>
    </row>
    <row r="15" spans="1:18">
      <c r="C15" s="14" t="str">
        <f ca="1">NewZal!$T$13</f>
        <v>'[dane surowe2d.xlsm]variables'!$F$2:$F$24</v>
      </c>
      <c r="G15" t="str">
        <f ca="1">NewZal!T2 &amp; _sheetname_var</f>
        <v>[dane surowe2d.xlsm]variables</v>
      </c>
      <c r="J15" s="14">
        <f t="shared" si="1"/>
        <v>7</v>
      </c>
      <c r="K15" s="14" t="str">
        <f t="shared" si="0"/>
        <v>variables!CG2:CG24</v>
      </c>
    </row>
    <row r="16" spans="1:18">
      <c r="C16" s="15" t="s">
        <v>129</v>
      </c>
    </row>
    <row r="17" spans="2:4">
      <c r="B17" s="15"/>
      <c r="C17" s="16" t="str">
        <f ca="1">ADDRESS(ROW(MinTeor),COLUMN(MinTeor),4,,$G$15) &amp;":"&amp; ADDRESS(ROW(MinTeor)+VariableCount-1,COLUMN(MinTeor),4)</f>
        <v>'[dane surowe2d.xlsm]variables'!AN2:AN24</v>
      </c>
    </row>
    <row r="18" spans="2:4">
      <c r="C18" s="15" t="s">
        <v>130</v>
      </c>
    </row>
    <row r="19" spans="2:4">
      <c r="B19" s="15"/>
      <c r="C19" s="16" t="str">
        <f ca="1">ADDRESS(ROW(MaxTeor),COLUMN(MaxTeor),4,,$G$15) &amp;":"&amp; ADDRESS(ROW(MaxTeor)+VariableCount-1,COLUMN(MaxTeor),4)</f>
        <v>'[dane surowe2d.xlsm]variables'!AO2:AO24</v>
      </c>
    </row>
    <row r="20" spans="2:4">
      <c r="C20" s="15" t="s">
        <v>271</v>
      </c>
    </row>
    <row r="21" spans="2:4">
      <c r="B21" s="16"/>
      <c r="C21" s="16" t="str">
        <f ca="1">ADDRESS(ROW(ForceDiscrete),COLUMN(ForceDiscrete),4,,$G$15) &amp;":"&amp; ADDRESS(ROW(ForceDiscrete)+VariableCount-1,COLUMN(ForceDiscrete),4)</f>
        <v>'[dane surowe2d.xlsm]variables'!AP2:AP24</v>
      </c>
      <c r="D21" s="16"/>
    </row>
    <row r="22" spans="2:4">
      <c r="C22" s="15" t="s">
        <v>276</v>
      </c>
    </row>
    <row r="23" spans="2:4">
      <c r="C23" s="16" t="str">
        <f ca="1">ADDRESS(ROW(SelectNonIntegers),COLUMN(SelectNonIntegers),4,,$G$15) &amp;":"&amp; ADDRESS(ROW(SelectNonIntegers)+VariableCount-1,COLUMN(SelectNonIntegers),4)</f>
        <v>'[dane surowe2d.xlsm]variables'!AJ2:AJ24</v>
      </c>
    </row>
    <row r="24" spans="2:4">
      <c r="C24" s="15" t="s">
        <v>412</v>
      </c>
    </row>
    <row r="25" spans="2:4">
      <c r="B25" s="16"/>
      <c r="C25" s="16" t="str">
        <f ca="1">ADDRESS(ROW(ErrorString),COLUMN(ErrorString),4,,$G$15) &amp;":"&amp; ADDRESS(ROW(ErrorString)+VariableCount-1,COLUMN(ErrorString),4)</f>
        <v>'[dane surowe2d.xlsm]variables'!DD2:DD24</v>
      </c>
    </row>
    <row r="26" spans="2:4">
      <c r="C26" s="15" t="s">
        <v>423</v>
      </c>
    </row>
    <row r="27" spans="2:4">
      <c r="C27" s="16" t="str">
        <f ca="1">ADDRESS(ROW(IsUserValidationEntered),COLUMN(IsUserValidationEntered),4,,$G$15) &amp;":"&amp; ADDRESS(ROW(IsUserValidationEntered)+VariableCount-1,COLUMN(IsUserValidationEntered),4)</f>
        <v>'[dane surowe2d.xlsm]variables'!AD2:AD24</v>
      </c>
    </row>
    <row r="28" spans="2:4">
      <c r="C28" s="15" t="s">
        <v>430</v>
      </c>
    </row>
    <row r="29" spans="2:4">
      <c r="C29" s="16" t="str">
        <f ca="1">ADDRESS(ROW(IsUserValidationEntered2),COLUMN(IsUserValidationEntered2),4,,$G$15) &amp;":"&amp; ADDRESS(ROW(IsUserValidationEntered2)+VariableCount-1,COLUMN(IsUserValidationEntered2),4)</f>
        <v>'[dane surowe2d.xlsm]variables'!AG2:AG24</v>
      </c>
    </row>
    <row r="30" spans="2:4">
      <c r="C30" s="15" t="s">
        <v>431</v>
      </c>
    </row>
    <row r="31" spans="2:4">
      <c r="C31" s="16" t="str">
        <f ca="1">ADDRESS(ROW(LabelCount),COLUMN(LabelCount),4,,$G$15) &amp;":"&amp; ADDRESS(ROW(LabelCount)+VariableCount-1,COLUMN(LabelCount),4)</f>
        <v>'[dane surowe2d.xlsm]variables'!N2:N24</v>
      </c>
    </row>
    <row r="32" spans="2:4">
      <c r="C32" s="15" t="s">
        <v>398</v>
      </c>
    </row>
    <row r="33" spans="3:4">
      <c r="C33" s="16" t="str">
        <f ca="1">ADDRESS(ROW(LevelValues),COLUMN(LevelValues),4,,$G$15) &amp;":"&amp; ADDRESS(ROW(LevelValues)+VariableCount-1,COLUMN(LevelValues),4)</f>
        <v>'[dane surowe2d.xlsm]variables'!K2:K24</v>
      </c>
      <c r="D33" s="16"/>
    </row>
    <row r="34" spans="3:4">
      <c r="C34" s="15" t="s">
        <v>400</v>
      </c>
    </row>
    <row r="35" spans="3:4">
      <c r="C35" s="16" t="str">
        <f ca="1">ADDRESS(ROW(IntendedVariableClass),COLUMN(IntendedVariableClass),4,,$G$15) &amp;":"&amp; ADDRESS(ROW(IntendedVariableClass)+VariableCount-1,COLUMN(IntendedVariableClass),4)</f>
        <v>'[dane surowe2d.xlsm]variables'!BL2:BL24</v>
      </c>
    </row>
    <row r="36" spans="3:4">
      <c r="C36" s="15" t="s">
        <v>401</v>
      </c>
    </row>
    <row r="37" spans="3:4">
      <c r="C37" s="16" t="str">
        <f ca="1">ADDRESS(ROW(IntendedVariableClass),COLUMN(IntendedVariableClass),4,,$G$15) &amp;":"&amp; ADDRESS(ROW(IntendedVariableClass)+VariableCount-1,COLUMN(IntendedVariableClass),4)</f>
        <v>'[dane surowe2d.xlsm]variables'!BL2:BL24</v>
      </c>
    </row>
    <row r="38" spans="3:4">
      <c r="C38" s="15" t="s">
        <v>402</v>
      </c>
    </row>
    <row r="39" spans="3:4">
      <c r="C39" s="16" t="str">
        <f ca="1">ADDRESS(ROW(ForceLabels),COLUMN(ForceLabels),4,,$G$15) &amp;":"&amp; ADDRESS(ROW(ForceLabels)+VariableCount-1,COLUMN(ForceLabels),4)</f>
        <v>'[dane surowe2d.xlsm]variables'!AQ2:AQ24</v>
      </c>
    </row>
    <row r="40" spans="3:4">
      <c r="C40" s="15" t="s">
        <v>399</v>
      </c>
    </row>
    <row r="41" spans="3:4">
      <c r="C41" s="16" t="str">
        <f ca="1">ADDRESS(ROW(VariableClass),COLUMN(VariableClass),4,,$G$15) &amp;":"&amp; ADDRESS(ROW(VariableClass)+VariableCount-1,COLUMN(VariableClass),4)</f>
        <v>'[dane surowe2d.xlsm]variables'!BM2:BM24</v>
      </c>
    </row>
    <row r="42" spans="3:4">
      <c r="C42" s="15" t="s">
        <v>440</v>
      </c>
    </row>
    <row r="43" spans="3:4">
      <c r="C43" s="16" t="str">
        <f ca="1">ADDRESS(ROW(Required),COLUMN(Required),4,,$G$15) &amp;":"&amp; ADDRESS(ROW(Required)+VariableCount-1,COLUMN(Required),4)</f>
        <v>'[dane surowe2d.xlsm]variables'!BQ2:BQ24</v>
      </c>
    </row>
  </sheetData>
  <customSheetViews>
    <customSheetView guid="{B0700225-2463-44C9-9C4E-A79FCDA233AE}">
      <selection activeCell="C5" sqref="C5"/>
      <pageMargins left="0.7" right="0.7" top="0.75" bottom="0.75" header="0.3" footer="0.3"/>
    </customSheetView>
    <customSheetView guid="{E6351D91-D2AA-41F8-B6F1-38581D57FD08}" state="hidden">
      <selection activeCell="C9" sqref="C9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4"/>
  <dimension ref="A1:G19"/>
  <sheetViews>
    <sheetView workbookViewId="0">
      <selection activeCell="A15" sqref="A15"/>
    </sheetView>
  </sheetViews>
  <sheetFormatPr defaultRowHeight="12.75"/>
  <cols>
    <col min="1" max="1" width="27.7109375" customWidth="1"/>
  </cols>
  <sheetData>
    <row r="1" spans="1:7">
      <c r="A1" s="14" t="s">
        <v>319</v>
      </c>
      <c r="B1" s="14" t="s">
        <v>330</v>
      </c>
      <c r="C1" s="14" t="s">
        <v>331</v>
      </c>
      <c r="D1" s="14" t="s">
        <v>332</v>
      </c>
      <c r="E1" s="14" t="s">
        <v>322</v>
      </c>
      <c r="F1" s="14" t="s">
        <v>323</v>
      </c>
      <c r="G1" s="14" t="s">
        <v>324</v>
      </c>
    </row>
    <row r="2" spans="1:7">
      <c r="A2" t="s">
        <v>325</v>
      </c>
      <c r="B2" s="14" t="str">
        <f t="shared" ref="B2:B12" ca="1" si="0">CELL("address",INDIRECT(A2))</f>
        <v>'[dane surowe2d.xlsm]data_frame'!$A$1</v>
      </c>
      <c r="C2" s="14">
        <f t="shared" ref="C2:C12" ca="1" si="1">FIND("]",B2)</f>
        <v>21</v>
      </c>
      <c r="D2" s="14">
        <f t="shared" ref="D2:D12" ca="1" si="2">FIND("!",B2)</f>
        <v>33</v>
      </c>
      <c r="E2" s="14" t="str">
        <f ca="1">IFERROR(IFERROR(MID(B2,C2+1,D2-C2-IF(ISERROR(FIND("'",B2)),1,2)),_xll.SHEETNAME()),"wew")</f>
        <v>data_frame</v>
      </c>
      <c r="F2" s="14">
        <f t="shared" ref="F2:F12" ca="1" si="3">ROW(INDIRECT(A2))</f>
        <v>1</v>
      </c>
      <c r="G2" s="14">
        <f t="shared" ref="G2:G12" ca="1" si="4">COLUMN(INDIRECT(A2))</f>
        <v>1</v>
      </c>
    </row>
    <row r="3" spans="1:7">
      <c r="A3" t="s">
        <v>326</v>
      </c>
      <c r="B3" s="14" t="str">
        <f t="shared" ca="1" si="0"/>
        <v>'[dane surowe2d.xlsm]labels'!$A$1</v>
      </c>
      <c r="C3" s="14">
        <f t="shared" ca="1" si="1"/>
        <v>21</v>
      </c>
      <c r="D3" s="14">
        <f t="shared" ca="1" si="2"/>
        <v>29</v>
      </c>
      <c r="E3" s="14" t="str">
        <f ca="1">IFERROR(IFERROR(MID(B3,C3+1,D3-C3-IF(ISERROR(FIND("'",B3)),1,2)),_xll.SHEETNAME()),"wew")</f>
        <v>labels</v>
      </c>
      <c r="F3" s="14">
        <f t="shared" ca="1" si="3"/>
        <v>1</v>
      </c>
      <c r="G3" s="14">
        <f t="shared" ca="1" si="4"/>
        <v>1</v>
      </c>
    </row>
    <row r="4" spans="1:7">
      <c r="A4" t="s">
        <v>327</v>
      </c>
      <c r="B4" s="14" t="str">
        <f t="shared" ca="1" si="0"/>
        <v>'[dane surowe2d.xlsm]variables'!$BN$2</v>
      </c>
      <c r="C4" s="14">
        <f t="shared" ca="1" si="1"/>
        <v>21</v>
      </c>
      <c r="D4" s="14">
        <f t="shared" ca="1" si="2"/>
        <v>32</v>
      </c>
      <c r="E4" s="14" t="str">
        <f ca="1">IFERROR(IFERROR(MID(B4,C4+1,D4-C4-IF(ISERROR(FIND("'",B4)),1,2)),_xll.SHEETNAME()),"wew")</f>
        <v>variables</v>
      </c>
      <c r="F4" s="14">
        <f t="shared" ca="1" si="3"/>
        <v>2</v>
      </c>
      <c r="G4" s="14">
        <f t="shared" ca="1" si="4"/>
        <v>66</v>
      </c>
    </row>
    <row r="5" spans="1:7">
      <c r="A5" t="s">
        <v>328</v>
      </c>
      <c r="B5" s="14" t="str">
        <f t="shared" ca="1" si="0"/>
        <v>'[dane surowe2d.xlsm]variables'!$BV$2</v>
      </c>
      <c r="C5" s="14">
        <f t="shared" ca="1" si="1"/>
        <v>21</v>
      </c>
      <c r="D5" s="14">
        <f t="shared" ca="1" si="2"/>
        <v>32</v>
      </c>
      <c r="E5" s="14" t="str">
        <f ca="1">IFERROR(IFERROR(MID(B5,C5+1,D5-C5-IF(ISERROR(FIND("'",B5)),1,2)),_xll.SHEETNAME()),"wew")</f>
        <v>variables</v>
      </c>
      <c r="F5" s="14">
        <f t="shared" ca="1" si="3"/>
        <v>2</v>
      </c>
      <c r="G5" s="14">
        <f t="shared" ca="1" si="4"/>
        <v>74</v>
      </c>
    </row>
    <row r="6" spans="1:7">
      <c r="A6" t="s">
        <v>329</v>
      </c>
      <c r="B6" s="14" t="str">
        <f t="shared" ca="1" si="0"/>
        <v>'[dane surowe2d.xlsm]variables'!$BZ$1</v>
      </c>
      <c r="C6" s="14">
        <f t="shared" ca="1" si="1"/>
        <v>21</v>
      </c>
      <c r="D6" s="14">
        <f t="shared" ca="1" si="2"/>
        <v>32</v>
      </c>
      <c r="E6" s="14" t="str">
        <f ca="1">IFERROR(IFERROR(MID(B6,C6+1,D6-C6-IF(ISERROR(FIND("'",B6)),1,2)),_xll.SHEETNAME()),"wew")</f>
        <v>variables</v>
      </c>
      <c r="F6" s="14">
        <f t="shared" ca="1" si="3"/>
        <v>1</v>
      </c>
      <c r="G6" s="14">
        <f t="shared" ca="1" si="4"/>
        <v>78</v>
      </c>
    </row>
    <row r="7" spans="1:7">
      <c r="A7" t="s">
        <v>321</v>
      </c>
      <c r="B7" s="14" t="str">
        <f t="shared" ca="1" si="0"/>
        <v>'[dane surowe2d.xlsm]grupy'!$C$4</v>
      </c>
      <c r="C7" s="14">
        <f t="shared" ca="1" si="1"/>
        <v>21</v>
      </c>
      <c r="D7" s="14">
        <f t="shared" ca="1" si="2"/>
        <v>28</v>
      </c>
      <c r="E7" s="14" t="str">
        <f ca="1">IFERROR(IFERROR(MID(B7,C7+1,D7-C7-IF(ISERROR(FIND("'",B7)),1,2)),_xll.SHEETNAME()),"wew")</f>
        <v>grupy</v>
      </c>
      <c r="F7" s="14">
        <f t="shared" ca="1" si="3"/>
        <v>4</v>
      </c>
      <c r="G7" s="14">
        <f t="shared" ca="1" si="4"/>
        <v>3</v>
      </c>
    </row>
    <row r="8" spans="1:7">
      <c r="A8" s="14" t="s">
        <v>333</v>
      </c>
      <c r="B8" s="14" t="str">
        <f t="shared" ca="1" si="0"/>
        <v>'[dane surowe2d.xlsm]ster'!$B$3</v>
      </c>
      <c r="C8" s="14">
        <f t="shared" ca="1" si="1"/>
        <v>21</v>
      </c>
      <c r="D8" s="14">
        <f t="shared" ca="1" si="2"/>
        <v>27</v>
      </c>
      <c r="E8" s="14" t="str">
        <f ca="1">IFERROR(IFERROR(MID(B8,C8+1,D8-C8-IF(ISERROR(FIND("'",B8)),1,2)),_xll.SHEETNAME()),"wew")</f>
        <v>ster</v>
      </c>
      <c r="F8" s="14">
        <f t="shared" ca="1" si="3"/>
        <v>3</v>
      </c>
      <c r="G8" s="14">
        <f t="shared" ca="1" si="4"/>
        <v>2</v>
      </c>
    </row>
    <row r="9" spans="1:7">
      <c r="A9" t="s">
        <v>318</v>
      </c>
      <c r="B9" s="14" t="str">
        <f t="shared" ca="1" si="0"/>
        <v>'[dane surowe2d.xlsm]ster'!$B$5</v>
      </c>
      <c r="C9" s="14">
        <f t="shared" ca="1" si="1"/>
        <v>21</v>
      </c>
      <c r="D9" s="14">
        <f t="shared" ca="1" si="2"/>
        <v>27</v>
      </c>
      <c r="E9" s="14" t="str">
        <f ca="1">IFERROR(IFERROR(MID(B9,C9+1,D9-C9-IF(ISERROR(FIND("'",B9)),1,2)),_xll.SHEETNAME()),"wew")</f>
        <v>ster</v>
      </c>
      <c r="F9" s="14">
        <f t="shared" ca="1" si="3"/>
        <v>5</v>
      </c>
      <c r="G9" s="14">
        <f t="shared" ca="1" si="4"/>
        <v>2</v>
      </c>
    </row>
    <row r="10" spans="1:7">
      <c r="A10" t="s">
        <v>316</v>
      </c>
      <c r="B10" s="14" t="str">
        <f t="shared" ca="1" si="0"/>
        <v>'[dane surowe2d.xlsm]ster'!$C$3</v>
      </c>
      <c r="C10" s="14">
        <f t="shared" ca="1" si="1"/>
        <v>21</v>
      </c>
      <c r="D10" s="14">
        <f t="shared" ca="1" si="2"/>
        <v>27</v>
      </c>
      <c r="E10" s="14" t="str">
        <f ca="1">IFERROR(IFERROR(MID(B10,C10+1,D10-C10-IF(ISERROR(FIND("'",B10)),1,2)),_xll.SHEETNAME()),"wew")</f>
        <v>ster</v>
      </c>
      <c r="F10" s="14">
        <f t="shared" ca="1" si="3"/>
        <v>3</v>
      </c>
      <c r="G10" s="14">
        <f t="shared" ca="1" si="4"/>
        <v>3</v>
      </c>
    </row>
    <row r="11" spans="1:7">
      <c r="A11" t="s">
        <v>317</v>
      </c>
      <c r="B11" s="14" t="str">
        <f t="shared" ca="1" si="0"/>
        <v>'[dane surowe2d.xlsm]ster'!$D$3</v>
      </c>
      <c r="C11" s="14">
        <f t="shared" ca="1" si="1"/>
        <v>21</v>
      </c>
      <c r="D11" s="14">
        <f t="shared" ca="1" si="2"/>
        <v>27</v>
      </c>
      <c r="E11" s="14" t="str">
        <f ca="1">IFERROR(IFERROR(MID(B11,C11+1,D11-C11-IF(ISERROR(FIND("'",B11)),1,2)),_xll.SHEETNAME()),"wew")</f>
        <v>ster</v>
      </c>
      <c r="F11" s="14">
        <f t="shared" ca="1" si="3"/>
        <v>3</v>
      </c>
      <c r="G11" s="14">
        <f t="shared" ca="1" si="4"/>
        <v>4</v>
      </c>
    </row>
    <row r="12" spans="1:7">
      <c r="A12" s="15" t="s">
        <v>399</v>
      </c>
      <c r="B12" t="str">
        <f t="shared" ca="1" si="0"/>
        <v>'[dane surowe2d.xlsm]variables'!$BM$2</v>
      </c>
      <c r="C12">
        <f t="shared" ca="1" si="1"/>
        <v>21</v>
      </c>
      <c r="D12">
        <f t="shared" ca="1" si="2"/>
        <v>32</v>
      </c>
      <c r="E12" s="14" t="str">
        <f ca="1">IFERROR(IFERROR(MID(B12,C12+1,D12-C12-IF(ISERROR(FIND("'",B12)),1,2)),_xll.SHEETNAME()),"wew")</f>
        <v>variables</v>
      </c>
      <c r="F12">
        <f t="shared" ca="1" si="3"/>
        <v>2</v>
      </c>
      <c r="G12">
        <f t="shared" ca="1" si="4"/>
        <v>65</v>
      </c>
    </row>
    <row r="13" spans="1:7">
      <c r="A13" t="s">
        <v>400</v>
      </c>
      <c r="B13" s="14" t="str">
        <f t="shared" ref="B13" ca="1" si="5">CELL("address",INDIRECT(A13))</f>
        <v>'[dane surowe2d.xlsm]variables'!$BL$2</v>
      </c>
      <c r="C13" s="14">
        <f t="shared" ref="C13" ca="1" si="6">FIND("]",B13)</f>
        <v>21</v>
      </c>
      <c r="D13" s="14">
        <f t="shared" ref="D13" ca="1" si="7">FIND("!",B13)</f>
        <v>32</v>
      </c>
      <c r="E13" s="14" t="str">
        <f ca="1">IFERROR(IFERROR(MID(B13,C13+1,D13-C13-IF(ISERROR(FIND("'",B13)),1,2)),_xll.SHEETNAME()),"wew")</f>
        <v>variables</v>
      </c>
      <c r="F13" s="14">
        <f t="shared" ref="F13" ca="1" si="8">ROW(INDIRECT(A13))</f>
        <v>2</v>
      </c>
      <c r="G13" s="14">
        <f t="shared" ref="G13" ca="1" si="9">COLUMN(INDIRECT(A13))</f>
        <v>64</v>
      </c>
    </row>
    <row r="14" spans="1:7">
      <c r="A14" t="s">
        <v>414</v>
      </c>
      <c r="B14" s="14" t="str">
        <f t="shared" ref="B14" ca="1" si="10">CELL("address",INDIRECT(A14))</f>
        <v>'[dane surowe2d.xlsm]variables'!$BP$2</v>
      </c>
      <c r="C14" s="14">
        <f t="shared" ref="C14" ca="1" si="11">FIND("]",B14)</f>
        <v>21</v>
      </c>
      <c r="D14" s="14">
        <f t="shared" ref="D14" ca="1" si="12">FIND("!",B14)</f>
        <v>32</v>
      </c>
      <c r="E14" s="14" t="str">
        <f ca="1">IFERROR(IFERROR(MID(B14,C14+1,D14-C14-IF(ISERROR(FIND("'",B14)),1,2)),_xll.SHEETNAME()),"wew")</f>
        <v>variables</v>
      </c>
      <c r="F14" s="14">
        <f t="shared" ref="F14" ca="1" si="13">ROW(INDIRECT(A14))</f>
        <v>2</v>
      </c>
      <c r="G14" s="14">
        <f t="shared" ref="G14" ca="1" si="14">COLUMN(INDIRECT(A14))</f>
        <v>68</v>
      </c>
    </row>
    <row r="15" spans="1:7">
      <c r="A15" t="s">
        <v>415</v>
      </c>
      <c r="B15" s="14" t="str">
        <f t="shared" ref="B15:B16" ca="1" si="15">CELL("address",INDIRECT(A15))</f>
        <v>'[dane surowe2d.xlsm]variables'!$BW$2</v>
      </c>
      <c r="C15" s="14">
        <f t="shared" ref="C15:C16" ca="1" si="16">FIND("]",B15)</f>
        <v>21</v>
      </c>
      <c r="D15" s="14">
        <f t="shared" ref="D15:D16" ca="1" si="17">FIND("!",B15)</f>
        <v>32</v>
      </c>
      <c r="E15" s="14" t="str">
        <f ca="1">IFERROR(IFERROR(MID(B15,C15+1,D15-C15-IF(ISERROR(FIND("'",B15)),1,2)),_xll.SHEETNAME()),"wew")</f>
        <v>variables</v>
      </c>
      <c r="F15" s="14">
        <f t="shared" ref="F15:F16" ca="1" si="18">ROW(INDIRECT(A15))</f>
        <v>2</v>
      </c>
      <c r="G15" s="14">
        <f t="shared" ref="G15:G16" ca="1" si="19">COLUMN(INDIRECT(A15))</f>
        <v>75</v>
      </c>
    </row>
    <row r="16" spans="1:7">
      <c r="A16" s="15" t="s">
        <v>416</v>
      </c>
      <c r="B16" s="14" t="str">
        <f t="shared" ca="1" si="15"/>
        <v>'[dane surowe2d.xlsm]variables'!$BX$2</v>
      </c>
      <c r="C16" s="14">
        <f t="shared" ca="1" si="16"/>
        <v>21</v>
      </c>
      <c r="D16" s="14">
        <f t="shared" ca="1" si="17"/>
        <v>32</v>
      </c>
      <c r="E16" s="14" t="str">
        <f ca="1">IFERROR(IFERROR(MID(B16,C16+1,D16-C16-IF(ISERROR(FIND("'",B16)),1,2)),_xll.SHEETNAME()),"wew")</f>
        <v>variables</v>
      </c>
      <c r="F16" s="14">
        <f t="shared" ca="1" si="18"/>
        <v>2</v>
      </c>
      <c r="G16" s="14">
        <f t="shared" ca="1" si="19"/>
        <v>76</v>
      </c>
    </row>
    <row r="17" spans="1:7">
      <c r="A17" t="s">
        <v>417</v>
      </c>
      <c r="B17" s="14" t="str">
        <f t="shared" ref="B17:B19" ca="1" si="20">CELL("address",INDIRECT(A17))</f>
        <v>'[dane surowe2d.xlsm]variables'!$BY$2</v>
      </c>
      <c r="C17" s="14">
        <f t="shared" ref="C17:C19" ca="1" si="21">FIND("]",B17)</f>
        <v>21</v>
      </c>
      <c r="D17" s="14">
        <f t="shared" ref="D17:D19" ca="1" si="22">FIND("!",B17)</f>
        <v>32</v>
      </c>
      <c r="E17" s="14" t="str">
        <f ca="1">IFERROR(IFERROR(MID(B17,C17+1,D17-C17-IF(ISERROR(FIND("'",B17)),1,2)),_xll.SHEETNAME()),"wew")</f>
        <v>variables</v>
      </c>
      <c r="F17" s="14">
        <f t="shared" ref="F17:F19" ca="1" si="23">ROW(INDIRECT(A17))</f>
        <v>2</v>
      </c>
      <c r="G17" s="14">
        <f t="shared" ref="G17:G19" ca="1" si="24">COLUMN(INDIRECT(A17))</f>
        <v>77</v>
      </c>
    </row>
    <row r="18" spans="1:7">
      <c r="A18" s="15" t="s">
        <v>439</v>
      </c>
      <c r="B18" s="14" t="str">
        <f t="shared" ca="1" si="20"/>
        <v>'[dane surowe2d.xlsm]variables'!$BQ$2</v>
      </c>
      <c r="C18">
        <f t="shared" ca="1" si="21"/>
        <v>21</v>
      </c>
      <c r="D18">
        <f t="shared" ca="1" si="22"/>
        <v>32</v>
      </c>
      <c r="E18" s="14" t="str">
        <f ca="1">IFERROR(IFERROR(MID(B18,C18+1,D18-C18-IF(ISERROR(FIND("'",B18)),1,2)),_xll.SHEETNAME()),"wew")</f>
        <v>variables</v>
      </c>
      <c r="F18">
        <f t="shared" ca="1" si="23"/>
        <v>2</v>
      </c>
      <c r="G18">
        <f t="shared" ca="1" si="24"/>
        <v>69</v>
      </c>
    </row>
    <row r="19" spans="1:7">
      <c r="A19" s="14" t="s">
        <v>453</v>
      </c>
      <c r="B19" t="str">
        <f t="shared" ca="1" si="20"/>
        <v>'[dane surowe2d.xlsm]wew'!$A$3</v>
      </c>
      <c r="C19">
        <f t="shared" ca="1" si="21"/>
        <v>21</v>
      </c>
      <c r="D19">
        <f t="shared" ca="1" si="22"/>
        <v>26</v>
      </c>
      <c r="E19" s="14" t="str">
        <f ca="1">IFERROR(IFERROR(MID(B19,C19+1,D19-C19-IF(ISERROR(FIND("'",B19)),1,2)),_xll.SHEETNAME()),"wew")</f>
        <v>wew</v>
      </c>
      <c r="F19">
        <f t="shared" ca="1" si="23"/>
        <v>3</v>
      </c>
      <c r="G19">
        <f t="shared" ca="1" si="24"/>
        <v>1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sv" Type="http://schemas.openxmlformats.org/officeDocument/2006/relationships/image" Target="images/sv.png"/><Relationship Id="AccessRefreshAllLists" Type="http://schemas.openxmlformats.org/officeDocument/2006/relationships/image" Target="images/AccessRefreshAllLists.ico"/><Relationship Id="Rlogo" Type="http://schemas.openxmlformats.org/officeDocument/2006/relationships/image" Target="images/Rlogo.png"/><Relationship Id="rld" Type="http://schemas.openxmlformats.org/officeDocument/2006/relationships/image" Target="images/AccessRefreshAllLists.png"/><Relationship Id="spsswin_27131" Type="http://schemas.openxmlformats.org/officeDocument/2006/relationships/image" Target="images/spsswin_27131.ico"/><Relationship Id="ImportExcel" Type="http://schemas.openxmlformats.org/officeDocument/2006/relationships/image" Target="images/ImportExcel.png"/><Relationship Id="ExportExcel" Type="http://schemas.openxmlformats.org/officeDocument/2006/relationships/image" Target="images/ExportExcel.png"/><Relationship Id="spss" Type="http://schemas.openxmlformats.org/officeDocument/2006/relationships/image" Target="images/spss.png"/></Relationships>
</file>

<file path=customUI/customUI.xml><?xml version="1.0" encoding="utf-8"?>
<customUI xmlns="http://schemas.microsoft.com/office/2006/01/customui" onLoad="RibbonOnLoad">
  <ribbon startFromScratch="false">
    <tabs>
      <tab idMso="TabData">
        <group id="connectionToR" label="Connection with R">
          <editBox id="IP" label="Rserve IP Addres" onChange="IPAddressWasChanged" getText="GetLastIPAddress" getEnabled="IsRAvailable" supertip="Put IP address of the Rserve server"/>
          <editBox id="port" label="Rserve IP port" onChange="PortAddressWasChanged" getText="GetLastPortAddress" getEnabled="IsRAvailable" supertip="Put the port the Rserve server is listening on. Default port is 6311"/>
          <editBox id="robj" label="R object" onChange="RObjWasChanged" getText="GetRObjName" getEnabled="IsRAvailable" supertip="Put name of the R object you wish this database to connect to using Load or Save buttons"/>
          <toggleButton id="connectrserve" size="large" getLabel="getLabelConnectRserve" getPressed="isconnected" onAction="connectrserve" image="Rlogo" getEnabled="IsRAvailable" supertip="Click to connect or disconnect to or from the R server"/>
          <toggleButton id="connectsvsocket" size="large" getLabel="getLabelConnectSvsocket" getPressed="isconnectedsv" onAction="connectsvsocket" image="sv" getEnabled="IsRAvailable" supertip="Click to connect or disconnect Rserve to or from svSocket server (to share or debug R session using e.g. Rstudio)"/>
          <button id="customButton1" label="Refresh connection status" size="large" onAction="refreshStatus" image="rld" supertip="Click to ping server and refresh connection status information" getEnabled="IsRAvailable"/>
        </group>
        <group id="loadsave" label="Data handling">
          <button id="customButton6" label="Load database from R" size="large" onAction="importFromR" image="ExportExcel" getEnabled="isconnected" supertip="Click to load database from R session"/>
          <button id="customButton7" label="Send database to R" size="large" onAction="exportToR" image="ImportExcel" getEnabled="isconnected" supertip="Click to save database into R session."/>
          <button id="customButton10" label="Clean the database" size="large" onAction="cmdcleanAll" imageMso="AdpStoredProcedureQueryMakeTable" supertip="Remove all data from the file."/>
          <!--					<button 
							id="customButton9" 
							label="Load SPSS file" 
							size="large" 
							onAction="loadSPSS" 
							getEnabled="IsSPSSAvailable"
							image="spss" 
							supertip="Click to import database from SPSS file."
					/> -->
          <button id="customButton8" label="Save database to SPSS file" size="large" onAction="saveSPSS" getEnabled="IsSPSSAvailable" image="spss" supertip="Click to export database into SPSS file. SPSS format is less rich, and not all metadata will be saved."/>
        </group>
      </tab>
      <tab idMso="TabInsert">
        <group id="AddInsertVar" label="Add and insert variables">
          <button id="customAddVar" label="Add variable to the database" size="large" onAction="cmdAddVar" getEnabled="IsVariableSelected" imageMso="FieldList" supertip="Add a blank variable to the database"/>
          <button id="customDelVar" label="Remove variable from the database" size="large" onAction="cmdDelVar" getEnabled="IsVariableSelected" imageMso="GroupMacroRows" supertip="Remove the current variable from the datab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53</vt:i4>
      </vt:variant>
    </vt:vector>
  </HeadingPairs>
  <TitlesOfParts>
    <vt:vector size="61" baseType="lpstr">
      <vt:lpstr>NewZal</vt:lpstr>
      <vt:lpstr>data_frame</vt:lpstr>
      <vt:lpstr>labels</vt:lpstr>
      <vt:lpstr>variables</vt:lpstr>
      <vt:lpstr>grupy</vt:lpstr>
      <vt:lpstr>ster</vt:lpstr>
      <vt:lpstr>wew</vt:lpstr>
      <vt:lpstr>pointers</vt:lpstr>
      <vt:lpstr>_CELL_ADDRESS_NAME</vt:lpstr>
      <vt:lpstr>_FirstInputCol</vt:lpstr>
      <vt:lpstr>_FirstRowTemplate</vt:lpstr>
      <vt:lpstr>_Flag_HighlightValues</vt:lpstr>
      <vt:lpstr>_LastInputCol</vt:lpstr>
      <vt:lpstr>_sheetname_dataframe</vt:lpstr>
      <vt:lpstr>_sheetname_labels</vt:lpstr>
      <vt:lpstr>_sheetname_var</vt:lpstr>
      <vt:lpstr>CaseCnt</vt:lpstr>
      <vt:lpstr>CustomerFolder</vt:lpstr>
      <vt:lpstr>DataOrigin</vt:lpstr>
      <vt:lpstr>DataType</vt:lpstr>
      <vt:lpstr>DBLongName</vt:lpstr>
      <vt:lpstr>ErrorString</vt:lpstr>
      <vt:lpstr>ForceDiscrete</vt:lpstr>
      <vt:lpstr>ForceInteger</vt:lpstr>
      <vt:lpstr>ForceLabels</vt:lpstr>
      <vt:lpstr>IntendedVariableClass</vt:lpstr>
      <vt:lpstr>IsUserValidationEntered</vt:lpstr>
      <vt:lpstr>IsUserValidationEntered2</vt:lpstr>
      <vt:lpstr>LabelCount</vt:lpstr>
      <vt:lpstr>LabelOrigin</vt:lpstr>
      <vt:lpstr>LevelLabels</vt:lpstr>
      <vt:lpstr>LevelValues</vt:lpstr>
      <vt:lpstr>LongNames</vt:lpstr>
      <vt:lpstr>MaxLabelCount</vt:lpstr>
      <vt:lpstr>MaxStatistics</vt:lpstr>
      <vt:lpstr>MaxTeor</vt:lpstr>
      <vt:lpstr>Measure</vt:lpstr>
      <vt:lpstr>MinStatistics</vt:lpstr>
      <vt:lpstr>MinTeor</vt:lpstr>
      <vt:lpstr>OnlyLabelledValues</vt:lpstr>
      <vt:lpstr>PathPrefix</vt:lpstr>
      <vt:lpstr>PointerColumn</vt:lpstr>
      <vt:lpstr>Required</vt:lpstr>
      <vt:lpstr>RFileName</vt:lpstr>
      <vt:lpstr>RObjName</vt:lpstr>
      <vt:lpstr>SelectNonIntegers</vt:lpstr>
      <vt:lpstr>ServerIP</vt:lpstr>
      <vt:lpstr>ServerPort</vt:lpstr>
      <vt:lpstr>SPSSFileName</vt:lpstr>
      <vt:lpstr>SPSSNames</vt:lpstr>
      <vt:lpstr>SubcustomerFolder</vt:lpstr>
      <vt:lpstr>TheoreticalMax</vt:lpstr>
      <vt:lpstr>TheoreticalMin</vt:lpstr>
      <vt:lpstr>Units</vt:lpstr>
      <vt:lpstr>VariableClass</vt:lpstr>
      <vt:lpstr>VariableCount</vt:lpstr>
      <vt:lpstr>VariableExists</vt:lpstr>
      <vt:lpstr>VariableGroupNames</vt:lpstr>
      <vt:lpstr>VariableGroupsColumn</vt:lpstr>
      <vt:lpstr>VariablesOrigin</vt:lpstr>
      <vt:lpstr>Version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eXPerience</cp:lastModifiedBy>
  <dcterms:created xsi:type="dcterms:W3CDTF">1996-10-14T23:33:28Z</dcterms:created>
  <dcterms:modified xsi:type="dcterms:W3CDTF">2017-04-09T17:16:04Z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:_Adam_MyDocs_Statystyka_Maszyny_statystyczne_Dab_szablony_dane_surowe_ze_wstawieniami.xlsm_InsertVariable_1" visible="true" label="kuku!" onAction="H:\Adam\MyDocs\Statystyka\Maszyny statystyczne\Dab\szablony\dane surowe ze wstawieniami.xlsm!InsertVariable" imageMso="HappyFace"/>
      </mso:documentControls>
    </mso:qat>
  </mso:ribbon>
</mso:customUI>
</file>